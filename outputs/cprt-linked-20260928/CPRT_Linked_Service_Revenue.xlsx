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85d63d497c41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PM Summary" sheetId="1" r:id="R0ac71ab2cf28445e"/>
    <x:sheet xmlns:r="http://schemas.openxmlformats.org/officeDocument/2006/relationships" name="Volume Build" sheetId="2" r:id="Rb55a5f19184945f0"/>
    <x:sheet xmlns:r="http://schemas.openxmlformats.org/officeDocument/2006/relationships" name="Vehicle Economics" sheetId="3" r:id="R67bc350de38a449a"/>
    <x:sheet xmlns:r="http://schemas.openxmlformats.org/officeDocument/2006/relationships" name="Revenue Bridge" sheetId="4" r:id="Rc2cf4e29e2394b3e"/>
    <x:sheet xmlns:r="http://schemas.openxmlformats.org/officeDocument/2006/relationships" name="Assumptions" sheetId="5" r:id="R61334ca786f04726"/>
    <x:sheet xmlns:r="http://schemas.openxmlformats.org/officeDocument/2006/relationships" name="Fleet Engine" sheetId="6" r:id="Rc589bbfa75a647e3"/>
    <x:sheet xmlns:r="http://schemas.openxmlformats.org/officeDocument/2006/relationships" name="Damage Engine" sheetId="7" r:id="Rfc95817a44af45d1"/>
    <x:sheet xmlns:r="http://schemas.openxmlformats.org/officeDocument/2006/relationships" name="Carrier Engine" sheetId="8" r:id="R210f9c7bca274fc6"/>
    <x:sheet xmlns:r="http://schemas.openxmlformats.org/officeDocument/2006/relationships" name="Source Data" sheetId="9" r:id="Ra27e148788814a5d"/>
    <x:sheet xmlns:r="http://schemas.openxmlformats.org/officeDocument/2006/relationships" name="Fee Data" sheetId="10" r:id="R96131b2136094c06"/>
    <x:sheet xmlns:r="http://schemas.openxmlformats.org/officeDocument/2006/relationships" name="Evidence" sheetId="11" r:id="R290846b622de45b6"/>
    <x:sheet xmlns:r="http://schemas.openxmlformats.org/officeDocument/2006/relationships" name="Checks" sheetId="12" r:id="Re0b4200072714d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;(#,##0.0);&quot;-&quot;"/>
    <x:numFmt numFmtId="201" formatCode="0.0%;(0.0%);&quot;-&quot;"/>
    <x:numFmt numFmtId="202" formatCode="#,##0;(#,##0);&quot;-&quot;"/>
    <x:numFmt numFmtId="203" formatCode="0.0000;(0.0000);0.0000"/>
    <x:numFmt numFmtId="204" formatCode="0"/>
  </x:numFmts>
  <x:fonts count="10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sz val="10"/>
      <x:color rgb="FF555555"/>
      <x:name val="Arial"/>
    </x:font>
    <x:font>
      <x:sz val="10"/>
      <x:color rgb="FF0000FF"/>
      <x:name val="Arial"/>
    </x:font>
    <x:font>
      <x:b/>
      <x:sz val="10"/>
      <x:name val="Arial"/>
    </x:font>
    <x:font>
      <x:sz val="10"/>
      <x:color rgb="FF008000"/>
      <x:name val="Arial"/>
    </x:font>
    <x:font>
      <x:sz val="10"/>
      <x:color rgb="FF111111"/>
      <x:name val="Arial"/>
    </x:font>
    <x:font>
      <x:b/>
      <x:sz val="10"/>
      <x:color rgb="FF1111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A51"/>
      </x:patternFill>
    </x:fill>
    <x:fill>
      <x:patternFill patternType="solid">
        <x:fgColor rgb="FFFFF4D6"/>
      </x:patternFill>
    </x:fill>
    <x:fill>
      <x:patternFill patternType="solid">
        <x:fgColor rgb="FFE7EBEF"/>
      </x:patternFill>
    </x:fill>
  </x:fills>
  <x:borders count="4">
    <x:border/>
    <x:border>
      <x:bottom style="thin">
        <x:color rgb="FF243A51"/>
      </x:bottom>
    </x:border>
    <x:border>
      <x:top style="thin">
        <x:color rgb="FFA4ACB4"/>
      </x:top>
      <x:bottom style="thin">
        <x:color rgb="FFA4ACB4"/>
      </x:bottom>
    </x:border>
    <x:border>
      <x:top style="thin">
        <x:color rgb="FF243A51"/>
      </x:top>
      <x:bottom style="double">
        <x:color rgb="FF243A5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0" fontId="6" fillId="4" borderId="0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200" fontId="6" fillId="4" borderId="2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201" fontId="7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200" fontId="9" fillId="0" borderId="0" xfId="0" applyNumberFormat="1" applyFont="1" applyFill="1" applyBorder="1" applyAlignment="1">
      <x:alignment vertical="center"/>
    </x:xf>
    <x:xf numFmtId="0" fontId="6" fillId="0" borderId="3" xfId="0" applyNumberFormat="1" applyFont="1" applyFill="1" applyBorder="1" applyAlignment="1">
      <x:alignment vertical="center"/>
    </x:xf>
    <x:xf numFmtId="200" fontId="9" fillId="0" borderId="3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2" fontId="9" fillId="0" borderId="0" xfId="0" applyNumberFormat="1" applyFont="1" applyFill="1" applyBorder="1" applyAlignment="1">
      <x:alignment vertical="center"/>
    </x:xf>
    <x:xf numFmtId="202" fontId="9" fillId="0" borderId="3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3" fontId="7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horizontal="right" vertical="center"/>
    </x:xf>
    <x:xf numFmtId="204" fontId="7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A00000"/>
      </x:font>
      <x:fill>
        <x:patternFill patternType="solid">
          <x:bgColor rgb="FFFF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c901a9e8274c9d" /><Relationship Type="http://schemas.openxmlformats.org/officeDocument/2006/relationships/theme" Target="/xl/theme/theme1.xml" Id="R65347df7246c4882" /><Relationship Type="http://schemas.openxmlformats.org/officeDocument/2006/relationships/sharedStrings" Target="/xl/sharedStrings.xml" Id="Rb2bbd44e30ca4ac2" /><Relationship Type="http://schemas.openxmlformats.org/officeDocument/2006/relationships/worksheet" Target="/xl/worksheets/sheet1.xml" Id="R0ac71ab2cf28445e" /><Relationship Type="http://schemas.openxmlformats.org/officeDocument/2006/relationships/worksheet" Target="/xl/worksheets/sheet2.xml" Id="Rb55a5f19184945f0" /><Relationship Type="http://schemas.openxmlformats.org/officeDocument/2006/relationships/worksheet" Target="/xl/worksheets/sheet3.xml" Id="R67bc350de38a449a" /><Relationship Type="http://schemas.openxmlformats.org/officeDocument/2006/relationships/worksheet" Target="/xl/worksheets/sheet4.xml" Id="Rc2cf4e29e2394b3e" /><Relationship Type="http://schemas.openxmlformats.org/officeDocument/2006/relationships/worksheet" Target="/xl/worksheets/sheet5.xml" Id="R61334ca786f04726" /><Relationship Type="http://schemas.openxmlformats.org/officeDocument/2006/relationships/worksheet" Target="/xl/worksheets/sheet6.xml" Id="Rc589bbfa75a647e3" /><Relationship Type="http://schemas.openxmlformats.org/officeDocument/2006/relationships/worksheet" Target="/xl/worksheets/sheet7.xml" Id="Rfc95817a44af45d1" /><Relationship Type="http://schemas.openxmlformats.org/officeDocument/2006/relationships/worksheet" Target="/xl/worksheets/sheet8.xml" Id="R210f9c7bca274fc6" /><Relationship Type="http://schemas.openxmlformats.org/officeDocument/2006/relationships/worksheet" Target="/xl/worksheets/sheet9.xml" Id="Ra27e148788814a5d" /><Relationship Type="http://schemas.openxmlformats.org/officeDocument/2006/relationships/worksheet" Target="/xl/worksheets/sheet10.xml" Id="R96131b2136094c06" /><Relationship Type="http://schemas.openxmlformats.org/officeDocument/2006/relationships/worksheet" Target="/xl/worksheets/sheet11.xml" Id="R290846b622de45b6" /><Relationship Type="http://schemas.openxmlformats.org/officeDocument/2006/relationships/worksheet" Target="/xl/worksheets/sheet12.xml" Id="Re0b4200072714d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43A51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Copart — linked units and service revenue</x:v>
      </x:c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2"/>
      <x:c r="B3" s="2"/>
      <x:c r="C3" s="15" t="str">
        <x:v>Research prototype. FY26 reported dollars; FY27 conditional operating case. No EPS, DCF or purchased-vehicle sales.</x:v>
      </x:c>
      <x:c r="D3" s="15"/>
      <x:c r="E3" s="15"/>
      <x:c r="F3" s="15"/>
      <x:c r="G3" s="15"/>
      <x:c r="H3" s="15"/>
      <x:c r="I3" s="15"/>
      <x:c r="J3" s="15"/>
      <x:c r="K3" s="15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US insurance services — estimated ($m)</x:v>
      </x:c>
      <x:c r="D8" s="44" t="str">
        <x:f>"n.a."</x:f>
        <x:v>n.a.</x:v>
      </x:c>
      <x:c r="E8" s="44" t="str">
        <x:f>"n.a."</x:f>
        <x:v>n.a.</x:v>
      </x:c>
      <x:c r="F8" s="44" t="str">
        <x:f>"n.a."</x:f>
        <x:v>n.a.</x:v>
      </x:c>
      <x:c r="G8" s="44" t="n">
        <x:f>'Revenue Bridge'!G10</x:f>
        <x:v>736.0398000000001</x:v>
      </x:c>
      <x:c r="H8" s="44" t="n">
        <x:f>'Revenue Bridge'!H10</x:f>
        <x:v>730.3196473172662</x:v>
      </x:c>
      <x:c r="I8" s="44" t="n">
        <x:f>'Revenue Bridge'!I10</x:f>
        <x:v>729.1344127556375</x:v>
      </x:c>
      <x:c r="J8" s="44" t="n">
        <x:f>'Revenue Bridge'!J10</x:f>
        <x:v>721.5638273732932</x:v>
      </x:c>
      <x:c r="K8" s="44" t="n">
        <x:f>'Revenue Bridge'!K10</x:f>
        <x:v>713.9861656757058</x:v>
      </x:c>
    </x:row>
    <x:row r="9" ht="19" customHeight="1">
      <x:c r="A9" s="2"/>
      <x:c r="B9" s="2"/>
      <x:c r="C9" s="2" t="str">
        <x:v>Other-US services — estimated ($m)</x:v>
      </x:c>
      <x:c r="D9" s="44" t="str">
        <x:f>"n.a."</x:f>
        <x:v>n.a.</x:v>
      </x:c>
      <x:c r="E9" s="44" t="str">
        <x:f>"n.a."</x:f>
        <x:v>n.a.</x:v>
      </x:c>
      <x:c r="F9" s="44" t="str">
        <x:f>"n.a."</x:f>
        <x:v>n.a.</x:v>
      </x:c>
      <x:c r="G9" s="44" t="n">
        <x:f>'Revenue Bridge'!G14</x:f>
        <x:v>81.78219999999999</x:v>
      </x:c>
      <x:c r="H9" s="44" t="n">
        <x:f>'Revenue Bridge'!H14</x:f>
        <x:v>81.78219999999999</x:v>
      </x:c>
      <x:c r="I9" s="44" t="n">
        <x:f>'Revenue Bridge'!I14</x:f>
        <x:v>81.78219999999999</x:v>
      </x:c>
      <x:c r="J9" s="44" t="n">
        <x:f>'Revenue Bridge'!J14</x:f>
        <x:v>81.78219999999999</x:v>
      </x:c>
      <x:c r="K9" s="44" t="n">
        <x:f>'Revenue Bridge'!K14</x:f>
        <x:v>81.78219999999999</x:v>
      </x:c>
    </x:row>
    <x:row r="10" ht="19" customHeight="1">
      <x:c r="A10" s="2"/>
      <x:c r="B10" s="2"/>
      <x:c r="C10" s="2" t="str">
        <x:v>US service revenue ($m)</x:v>
      </x:c>
      <x:c r="D10" s="28" t="n">
        <x:f>'Source Data'!D8</x:f>
        <x:v>855.534</x:v>
      </x:c>
      <x:c r="E10" s="28" t="n">
        <x:f>'Source Data'!E8</x:f>
        <x:v>819.467</x:v>
      </x:c>
      <x:c r="F10" s="28" t="n">
        <x:f>'Source Data'!F8</x:f>
        <x:v>895.464</x:v>
      </x:c>
      <x:c r="G10" s="28" t="n">
        <x:f>'Source Data'!G8</x:f>
        <x:v>817.822</x:v>
      </x:c>
      <x:c r="H10" s="28" t="n">
        <x:f>'Revenue Bridge'!H15</x:f>
        <x:v>812.1018473172662</x:v>
      </x:c>
      <x:c r="I10" s="28" t="n">
        <x:f>'Revenue Bridge'!I15</x:f>
        <x:v>810.9166127556375</x:v>
      </x:c>
      <x:c r="J10" s="28" t="n">
        <x:f>'Revenue Bridge'!J15</x:f>
        <x:v>803.3460273732932</x:v>
      </x:c>
      <x:c r="K10" s="28" t="n">
        <x:f>'Revenue Bridge'!K15</x:f>
        <x:v>795.7683656757058</x:v>
      </x:c>
    </x:row>
    <x:row r="11" ht="19" customHeight="1">
      <x:c r="A11" s="2"/>
      <x:c r="B11" s="2"/>
      <x:c r="C11" s="2" t="str">
        <x:v>International services ($m)</x:v>
      </x:c>
      <x:c r="D11" s="28" t="n">
        <x:f>'Source Data'!D9</x:f>
        <x:v>136.311</x:v>
      </x:c>
      <x:c r="E11" s="28" t="n">
        <x:f>'Source Data'!E9</x:f>
        <x:v>132.584</x:v>
      </x:c>
      <x:c r="F11" s="28" t="n">
        <x:f>'Source Data'!F9</x:f>
        <x:v>160.616</x:v>
      </x:c>
      <x:c r="G11" s="28" t="n">
        <x:f>'Source Data'!G9</x:f>
        <x:v>151.722</x:v>
      </x:c>
      <x:c r="H11" s="28" t="n">
        <x:f>'Revenue Bridge'!H19</x:f>
        <x:v>151.722</x:v>
      </x:c>
      <x:c r="I11" s="28" t="n">
        <x:f>'Revenue Bridge'!I19</x:f>
        <x:v>151.722</x:v>
      </x:c>
      <x:c r="J11" s="28" t="n">
        <x:f>'Revenue Bridge'!J19</x:f>
        <x:v>151.722</x:v>
      </x:c>
      <x:c r="K11" s="28" t="n">
        <x:f>'Revenue Bridge'!K19</x:f>
        <x:v>151.722</x:v>
      </x:c>
    </x:row>
    <x:row r="12" ht="19" customHeight="1">
      <x:c r="A12" s="2"/>
      <x:c r="B12" s="2"/>
      <x:c r="C12" s="33" t="str">
        <x:v>Total service revenue ($m)</x:v>
      </x:c>
      <x:c r="D12" s="34" t="n">
        <x:f>SUM(D10:D11)</x:f>
        <x:v>991.845</x:v>
      </x:c>
      <x:c r="E12" s="34" t="n">
        <x:f>SUM(E10:E11)</x:f>
        <x:v>952.0509999999999</x:v>
      </x:c>
      <x:c r="F12" s="34" t="n">
        <x:f>SUM(F10:F11)</x:f>
        <x:v>1056.0800000000002</x:v>
      </x:c>
      <x:c r="G12" s="34" t="n">
        <x:f>SUM(G10:G11)</x:f>
        <x:v>969.544</x:v>
      </x:c>
      <x:c r="H12" s="34" t="n">
        <x:f>SUM(H10:H11)</x:f>
        <x:v>963.8238473172662</x:v>
      </x:c>
      <x:c r="I12" s="34" t="n">
        <x:f>SUM(I10:I11)</x:f>
        <x:v>962.6386127556375</x:v>
      </x:c>
      <x:c r="J12" s="34" t="n">
        <x:f>SUM(J10:J11)</x:f>
        <x:v>955.0680273732931</x:v>
      </x:c>
      <x:c r="K12" s="34" t="n">
        <x:f>SUM(K10:K11)</x:f>
        <x:v>947.4903656757058</x:v>
      </x:c>
    </x:row>
    <x:row r="13" ht="19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3"/>
      <x:c r="K13" s="3"/>
    </x:row>
    <x:row r="14" ht="19" customHeight="1">
      <x:c r="A14" s="2"/>
      <x:c r="B14" s="2"/>
      <x:c r="C14" s="2" t="str">
        <x:v>Total service revenue YoY</x:v>
      </x:c>
      <x:c r="D14" s="30" t="n">
        <x:f>D12/SUM('Source Data'!D12:D13)-1</x:f>
        <x:v>0.005585317782175636</x:v>
      </x:c>
      <x:c r="E14" s="30" t="n">
        <x:f>E12/SUM('Source Data'!E12:E13)-1</x:f>
        <x:v>-0.03957505490370539</x:v>
      </x:c>
      <x:c r="F14" s="30" t="n">
        <x:f>F12/SUM('Source Data'!F12:F13)-1</x:f>
        <x:v>0.02052885674638305</x:v>
      </x:c>
      <x:c r="G14" s="30" t="n">
        <x:f>G12/SUM('Source Data'!G12:G13)-1</x:f>
        <x:v>0.01394569597232409</x:v>
      </x:c>
      <x:c r="H14" s="30" t="n">
        <x:f>H12/D12-1</x:f>
        <x:v>-0.028251544024251563</x:v>
      </x:c>
      <x:c r="I14" s="30" t="n">
        <x:f>I12/E12-1</x:f>
        <x:v>0.011120846210589175</x:v>
      </x:c>
      <x:c r="J14" s="30" t="n">
        <x:f>J12/F12-1</x:f>
        <x:v>-0.095648031045666</x:v>
      </x:c>
      <x:c r="K14" s="30" t="n">
        <x:f>K12/G12-1</x:f>
        <x:v>-0.022746398641314003</x:v>
      </x:c>
    </x:row>
    <x:row r="15" ht="19" customHeight="1">
      <x:c r="A15" s="2"/>
      <x:c r="B15" s="2"/>
      <x:c r="C15" s="2"/>
      <x:c r="D15" s="3"/>
      <x:c r="E15" s="3"/>
      <x:c r="F15" s="3"/>
      <x:c r="G15" s="3"/>
      <x:c r="H15" s="3"/>
      <x:c r="I15" s="3"/>
      <x:c r="J15" s="3"/>
      <x:c r="K15" s="3"/>
    </x:row>
    <x:row r="16" ht="19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  <x:c r="K16" s="3"/>
    </x:row>
    <x:row r="17" ht="19" customHeight="1">
      <x:c r="A17" s="2"/>
      <x:c r="B17" s="2"/>
      <x:c r="C17" s="24" t="str">
        <x:v>Insurance operating outputs — modeled in all periods</x:v>
      </x:c>
      <x:c r="D17" s="25"/>
      <x:c r="E17" s="25"/>
      <x:c r="F17" s="25"/>
      <x:c r="G17" s="25"/>
      <x:c r="H17" s="25"/>
      <x:c r="I17" s="25"/>
      <x:c r="J17" s="25"/>
      <x:c r="K17" s="25"/>
    </x:row>
    <x:row r="18" ht="19" customHeight="1">
      <x:c r="A18" s="2"/>
      <x:c r="B18" s="2"/>
      <x:c r="C18" s="2" t="str">
        <x:v>Completed units</x:v>
      </x:c>
      <x:c r="D18" s="36" t="n">
        <x:f>'Volume Build'!D23</x:f>
        <x:v>899329.4717108737</x:v>
      </x:c>
      <x:c r="E18" s="36" t="n">
        <x:f>'Volume Build'!E23</x:f>
        <x:v>896836.0209102236</x:v>
      </x:c>
      <x:c r="F18" s="36" t="n">
        <x:f>'Volume Build'!F23</x:f>
        <x:v>869268.888549057</x:v>
      </x:c>
      <x:c r="G18" s="36" t="n">
        <x:f>'Volume Build'!G23</x:f>
        <x:v>844815.0320191256</x:v>
      </x:c>
      <x:c r="H18" s="36" t="n">
        <x:f>'Volume Build'!H23</x:f>
        <x:v>838457.4377939278</x:v>
      </x:c>
      <x:c r="I18" s="36" t="n">
        <x:f>'Volume Build'!I23</x:f>
        <x:v>837303.1941991675</x:v>
      </x:c>
      <x:c r="J18" s="36" t="n">
        <x:f>'Volume Build'!J23</x:f>
        <x:v>828800.735904785</x:v>
      </x:c>
      <x:c r="K18" s="36" t="n">
        <x:f>'Volume Build'!K23</x:f>
        <x:v>820282.2072814215</x:v>
      </x:c>
    </x:row>
    <x:row r="19" ht="19" customHeight="1">
      <x:c r="A19" s="2"/>
      <x:c r="B19" s="2"/>
      <x:c r="C19" s="2" t="str">
        <x:v>Auction ASP ($)</x:v>
      </x:c>
      <x:c r="D19" s="28" t="n">
        <x:f>'Vehicle Economics'!D9</x:f>
        <x:v>2770.8630569765082</x:v>
      </x:c>
      <x:c r="E19" s="28" t="n">
        <x:f>'Vehicle Economics'!E9</x:f>
        <x:v>2770.657009265016</x:v>
      </x:c>
      <x:c r="F19" s="28" t="n">
        <x:f>'Vehicle Economics'!F9</x:f>
        <x:v>2770.2156713524064</x:v>
      </x:c>
      <x:c r="G19" s="28" t="n">
        <x:f>'Vehicle Economics'!G9</x:f>
        <x:v>2769.7022596508505</x:v>
      </x:c>
      <x:c r="H19" s="28" t="n">
        <x:f>'Vehicle Economics'!H9</x:f>
        <x:v>2769.18926458038</x:v>
      </x:c>
      <x:c r="I19" s="28" t="n">
        <x:f>'Vehicle Economics'!I9</x:f>
        <x:v>2768.70917922873</x:v>
      </x:c>
      <x:c r="J19" s="28" t="n">
        <x:f>'Vehicle Economics'!J9</x:f>
        <x:v>2768.651712563321</x:v>
      </x:c>
      <x:c r="K19" s="28" t="n">
        <x:f>'Vehicle Economics'!K9</x:f>
        <x:v>2768.724202848537</x:v>
      </x:c>
    </x:row>
    <x:row r="20" ht="19" customHeight="1">
      <x:c r="A20" s="2"/>
      <x:c r="B20" s="2"/>
      <x:c r="C20" s="2" t="str">
        <x:v>Core auction RPU ($)</x:v>
      </x:c>
      <x:c r="D20" s="28" t="n">
        <x:f>'Vehicle Economics'!D11</x:f>
        <x:v>816.7411532328042</x:v>
      </x:c>
      <x:c r="E20" s="28" t="n">
        <x:f>'Vehicle Economics'!E11</x:f>
        <x:v>816.6474371386278</x:v>
      </x:c>
      <x:c r="F20" s="28" t="n">
        <x:f>'Vehicle Economics'!F11</x:f>
        <x:v>816.4599437502004</x:v>
      </x:c>
      <x:c r="G20" s="28" t="n">
        <x:f>'Vehicle Economics'!G11</x:f>
        <x:v>816.2437304067016</x:v>
      </x:c>
      <x:c r="H20" s="28" t="n">
        <x:f>'Vehicle Economics'!H11</x:f>
        <x:v>816.0276925192723</x:v>
      </x:c>
      <x:c r="I20" s="28" t="n">
        <x:f>'Vehicle Economics'!I11</x:f>
        <x:v>815.812888099648</x:v>
      </x:c>
      <x:c r="J20" s="28" t="n">
        <x:f>'Vehicle Economics'!J11</x:f>
        <x:v>815.6119530475278</x:v>
      </x:c>
      <x:c r="K20" s="28" t="n">
        <x:f>'Vehicle Economics'!K11</x:f>
        <x:v>815.4152782272312</x:v>
      </x:c>
    </x:row>
    <x:row r="21" ht="19" customHeight="1">
      <x:c r="A21" s="2"/>
      <x:c r="B21" s="2"/>
      <x:c r="C21" s="2" t="str">
        <x:v>Additional-service RPU ($)</x:v>
      </x:c>
      <x:c r="D21" s="28" t="n">
        <x:f>'Vehicle Economics'!D18+'Vehicle Economics'!D24</x:f>
        <x:v>55</x:v>
      </x:c>
      <x:c r="E21" s="28" t="n">
        <x:f>'Vehicle Economics'!E18+'Vehicle Economics'!E24</x:f>
        <x:v>55</x:v>
      </x:c>
      <x:c r="F21" s="28" t="n">
        <x:f>'Vehicle Economics'!F18+'Vehicle Economics'!F24</x:f>
        <x:v>55</x:v>
      </x:c>
      <x:c r="G21" s="28" t="n">
        <x:f>'Vehicle Economics'!G18+'Vehicle Economics'!G24</x:f>
        <x:v>55</x:v>
      </x:c>
      <x:c r="H21" s="28" t="n">
        <x:f>'Vehicle Economics'!H18+'Vehicle Economics'!H24</x:f>
        <x:v>55</x:v>
      </x:c>
      <x:c r="I21" s="28" t="n">
        <x:f>'Vehicle Economics'!I18+'Vehicle Economics'!I24</x:f>
        <x:v>55</x:v>
      </x:c>
      <x:c r="J21" s="28" t="n">
        <x:f>'Vehicle Economics'!J18+'Vehicle Economics'!J24</x:f>
        <x:v>55</x:v>
      </x:c>
      <x:c r="K21" s="28" t="n">
        <x:f>'Vehicle Economics'!K18+'Vehicle Economics'!K24</x:f>
        <x:v>55</x:v>
      </x:c>
    </x:row>
    <x:row r="22" ht="19" customHeight="1">
      <x:c r="A22" s="2"/>
      <x:c r="B22" s="2"/>
      <x:c r="C22" s="2" t="str">
        <x:v>All-in service RPU ($)</x:v>
      </x:c>
      <x:c r="D22" s="28" t="n">
        <x:f>'Vehicle Economics'!D22</x:f>
        <x:v>871.7411532328042</x:v>
      </x:c>
      <x:c r="E22" s="28" t="n">
        <x:f>'Vehicle Economics'!E22</x:f>
        <x:v>871.6474371386278</x:v>
      </x:c>
      <x:c r="F22" s="28" t="n">
        <x:f>'Vehicle Economics'!F22</x:f>
        <x:v>871.4599437502004</x:v>
      </x:c>
      <x:c r="G22" s="28" t="n">
        <x:f>'Vehicle Economics'!G22</x:f>
        <x:v>871.2437304067016</x:v>
      </x:c>
      <x:c r="H22" s="28" t="n">
        <x:f>'Vehicle Economics'!H22</x:f>
        <x:v>871.0276925192723</x:v>
      </x:c>
      <x:c r="I22" s="28" t="n">
        <x:f>'Vehicle Economics'!I22</x:f>
        <x:v>870.812888099648</x:v>
      </x:c>
      <x:c r="J22" s="28" t="n">
        <x:f>'Vehicle Economics'!J22</x:f>
        <x:v>870.6119530475278</x:v>
      </x:c>
      <x:c r="K22" s="28" t="n">
        <x:f>'Vehicle Economics'!K22</x:f>
        <x:v>870.4152782272312</x:v>
      </x:c>
    </x:row>
    <x:row r="23" ht="19" customHeight="1">
      <x:c r="A23" s="2"/>
      <x:c r="B23" s="2"/>
      <x:c r="C23" s="2" t="str">
        <x:v>Copart allocation</x:v>
      </x:c>
      <x:c r="D23" s="30" t="n">
        <x:f>'Volume Build'!D18</x:f>
        <x:v>0.6031466250000002</x:v>
      </x:c>
      <x:c r="E23" s="30" t="n">
        <x:f>'Volume Build'!E18</x:f>
        <x:v>0.6011299999999999</x:v>
      </x:c>
      <x:c r="F23" s="30" t="n">
        <x:f>'Volume Build'!F18</x:f>
        <x:v>0.5823929545454546</x:v>
      </x:c>
      <x:c r="G23" s="30" t="n">
        <x:f>'Volume Build'!G18</x:f>
        <x:v>0.5657796044226044</x:v>
      </x:c>
      <x:c r="H23" s="30" t="n">
        <x:f>'Volume Build'!H18</x:f>
        <x:v>0.5612940349355036</x:v>
      </x:c>
      <x:c r="I23" s="30" t="n">
        <x:f>'Volume Build'!I18</x:f>
        <x:v>0.5603044474815726</x:v>
      </x:c>
      <x:c r="J23" s="30" t="n">
        <x:f>'Volume Build'!J18</x:f>
        <x:v>0.5545345830006141</x:v>
      </x:c>
      <x:c r="K23" s="30" t="n">
        <x:f>'Volume Build'!K18</x:f>
        <x:v>0.5487965405405405</x:v>
      </x:c>
    </x:row>
    <x:row r="24" ht="19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19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19" customHeight="1">
      <x:c r="A26" s="2"/>
      <x:c r="B26" s="2"/>
      <x:c r="C26" s="24" t="str">
        <x:v>External forecast comparison</x:v>
      </x:c>
      <x:c r="D26" s="25"/>
      <x:c r="E26" s="25"/>
      <x:c r="F26" s="25"/>
      <x:c r="G26" s="25"/>
      <x:c r="H26" s="25"/>
      <x:c r="I26" s="25"/>
      <x:c r="J26" s="25"/>
      <x:c r="K26" s="25"/>
    </x:row>
    <x:row r="27" ht="19" customHeight="1">
      <x:c r="A27" s="2"/>
      <x:c r="B27" s="2"/>
      <x:c r="C27" s="2" t="str">
        <x:v>Comparable service forecast ($m)</x:v>
      </x:c>
      <x:c r="D27" s="44" t="str">
        <x:f>'Assumptions'!D81</x:f>
        <x:v>n.a.</x:v>
      </x:c>
      <x:c r="E27" s="44" t="str">
        <x:f>'Assumptions'!E81</x:f>
        <x:v>n.a.</x:v>
      </x:c>
      <x:c r="F27" s="44" t="str">
        <x:f>'Assumptions'!F81</x:f>
        <x:v>n.a.</x:v>
      </x:c>
      <x:c r="G27" s="44" t="str">
        <x:f>'Assumptions'!G81</x:f>
        <x:v>n.a.</x:v>
      </x:c>
      <x:c r="H27" s="44" t="str">
        <x:f>'Assumptions'!H81</x:f>
        <x:v>n.a.</x:v>
      </x:c>
      <x:c r="I27" s="44" t="str">
        <x:f>'Assumptions'!I81</x:f>
        <x:v>n.a.</x:v>
      </x:c>
      <x:c r="J27" s="44" t="str">
        <x:f>'Assumptions'!J81</x:f>
        <x:v>n.a.</x:v>
      </x:c>
      <x:c r="K27" s="44" t="str">
        <x:f>'Assumptions'!K81</x:f>
        <x:v>n.a.</x:v>
      </x:c>
    </x:row>
    <x:row r="28" ht="19" customHeight="1">
      <x:c r="A28" s="2"/>
      <x:c r="B28" s="2"/>
      <x:c r="C28" s="2" t="str">
        <x:v>Difference vs external forecast</x:v>
      </x:c>
      <x:c r="D28" s="44" t="str">
        <x:f>IF(ISNUMBER(D27),D12-D27,"n.a.")</x:f>
        <x:v>n.a.</x:v>
      </x:c>
      <x:c r="E28" s="44" t="str">
        <x:f>IF(ISNUMBER(E27),E12-E27,"n.a.")</x:f>
        <x:v>n.a.</x:v>
      </x:c>
      <x:c r="F28" s="44" t="str">
        <x:f>IF(ISNUMBER(F27),F12-F27,"n.a.")</x:f>
        <x:v>n.a.</x:v>
      </x:c>
      <x:c r="G28" s="44" t="str">
        <x:f>IF(ISNUMBER(G27),G12-G27,"n.a.")</x:f>
        <x:v>n.a.</x:v>
      </x:c>
      <x:c r="H28" s="44" t="str">
        <x:f>IF(ISNUMBER(H27),H12-H27,"n.a.")</x:f>
        <x:v>n.a.</x:v>
      </x:c>
      <x:c r="I28" s="44" t="str">
        <x:f>IF(ISNUMBER(I27),I12-I27,"n.a.")</x:f>
        <x:v>n.a.</x:v>
      </x:c>
      <x:c r="J28" s="44" t="str">
        <x:f>IF(ISNUMBER(J27),J12-J27,"n.a.")</x:f>
        <x:v>n.a.</x:v>
      </x:c>
      <x:c r="K28" s="44" t="str">
        <x:f>IF(ISNUMBER(K27),K12-K27,"n.a.")</x:f>
        <x:v>n.a.</x:v>
      </x:c>
    </x:row>
    <x:row r="29" ht="19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</x:row>
    <x:row r="30" ht="19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</x:row>
    <x:row r="31" ht="30" customHeight="1">
      <x:c r="A31" s="2"/>
      <x:c r="B31" s="2"/>
      <x:c r="C31" s="15" t="str">
        <x:v>FY26Q4 insurance/other split is assumed. Earlier splits are unavailable here; the Revenue Bridge shows the full historical reconstruction and its residuals.</x:v>
      </x:c>
      <x:c r="D31" s="16"/>
      <x:c r="E31" s="16"/>
      <x:c r="F31" s="16"/>
      <x:c r="G31" s="16"/>
      <x:c r="H31" s="16"/>
      <x:c r="I31" s="16"/>
      <x:c r="J31" s="16"/>
      <x:c r="K31" s="16"/>
    </x:row>
    <x:row r="32" ht="19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</x:row>
    <x:row r="33" ht="30" customHeight="1">
      <x:c r="A33" s="2"/>
      <x:c r="B33" s="2"/>
      <x:c r="C33" s="15" t="str">
        <x:v>Current case does not assert service saturation or a validated crossover disadvantage. All amber driver assumptions remain reviewable.</x:v>
      </x:c>
      <x:c r="D33" s="16"/>
      <x:c r="E33" s="16"/>
      <x:c r="F33" s="16"/>
      <x:c r="G33" s="16"/>
      <x:c r="H33" s="16"/>
      <x:c r="I33" s="16"/>
      <x:c r="J33" s="16"/>
      <x:c r="K33" s="16"/>
    </x:row>
    <x:row r="34" ht="19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30" customHeight="1">
      <x:c r="A35" s="2"/>
      <x:c r="B35" s="2"/>
      <x:c r="C35" s="15" t="str">
        <x:v>Main unresolved inputs: claim levels, insurance dollar share, matched values/recovery, service prices/adoption, and carrier weights.</x:v>
      </x:c>
      <x:c r="D35" s="16"/>
      <x:c r="E35" s="16"/>
      <x:c r="F35" s="16"/>
      <x:c r="G35" s="16"/>
      <x:c r="H35" s="16"/>
      <x:c r="I35" s="16"/>
      <x:c r="J35" s="16"/>
      <x:c r="K35" s="16"/>
    </x:row>
    <x:row r="36" ht="19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</x:row>
    <x:row r="37" ht="19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</x:row>
    <x:row r="38" ht="30" customHeight="1">
      <x:c r="A38" s="2"/>
      <x:c r="B38" s="2"/>
      <x:c r="C38" s="8" t="str">
        <x:v>Six-month view</x:v>
      </x:c>
      <x:c r="D38" s="11" t="str">
        <x:v>H1 FY27</x:v>
      </x:c>
      <x:c r="E38" s="3"/>
      <x:c r="F38" s="3"/>
      <x:c r="G38" s="3"/>
      <x:c r="H38" s="3"/>
      <x:c r="I38" s="3"/>
      <x:c r="J38" s="3"/>
      <x:c r="K38" s="3"/>
    </x:row>
    <x:row r="39" ht="19" customHeight="1">
      <x:c r="A39" s="2"/>
      <x:c r="B39" s="2"/>
      <x:c r="C39" s="2" t="str">
        <x:v>Total service revenue ($m)</x:v>
      </x:c>
      <x:c r="D39" s="28" t="n">
        <x:f>SUM(H12:I12)</x:f>
        <x:v>1926.4624600729037</x:v>
      </x:c>
      <x:c r="E39" s="3"/>
      <x:c r="F39" s="3"/>
      <x:c r="G39" s="3"/>
      <x:c r="H39" s="3"/>
      <x:c r="I39" s="3"/>
      <x:c r="J39" s="3"/>
      <x:c r="K39" s="3"/>
    </x:row>
    <x:row r="40" ht="19" customHeight="1">
      <x:c r="A40" s="2"/>
      <x:c r="B40" s="2"/>
      <x:c r="C40" s="2" t="str">
        <x:v>YoY growth</x:v>
      </x:c>
      <x:c r="D40" s="30" t="n">
        <x:f>D39/SUM(D12:E12)-1</x:f>
        <x:v>-0.008968350121146496</x:v>
      </x:c>
      <x:c r="E40" s="3"/>
      <x:c r="F40" s="3"/>
      <x:c r="G40" s="3"/>
      <x:c r="H40" s="3"/>
      <x:c r="I40" s="3"/>
      <x:c r="J40" s="3"/>
      <x:c r="K40" s="3"/>
    </x:row>
    <x:row r="41" ht="19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19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</x:row>
    <x:row r="43" ht="19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</x:row>
    <x:row r="44" ht="19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</x:row>
    <x:row r="45" ht="19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</x:row>
    <x:row r="46" ht="19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</x:row>
  </x:sheetData>
  <x:mergeCells>
    <x:mergeCell ref="C3:K3"/>
    <x:mergeCell ref="C31:K31"/>
    <x:mergeCell ref="C33:K33"/>
    <x:mergeCell ref="C35:K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U.S. insurance claims → Copart sales</x:v>
      </x:c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2"/>
      <x:c r="B3" s="2"/>
      <x:c r="C3" s="15" t="str">
        <x:v>Modeled quantities are calibrated to FY26Q4 insurance service dollars; they are not disclosed unit levels.</x:v>
      </x:c>
      <x:c r="D3" s="15"/>
      <x:c r="E3" s="15"/>
      <x:c r="F3" s="15"/>
      <x:c r="G3" s="15"/>
      <x:c r="H3" s="15"/>
      <x:c r="I3" s="15"/>
      <x:c r="J3" s="15"/>
      <x:c r="K3" s="15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Relative claim exposure (000s)</x:v>
      </x:c>
      <x:c r="D8" s="27" t="n">
        <x:f>SUM('Fleet Engine'!F194:F217)</x:f>
        <x:v>193582.33353100726</x:v>
      </x:c>
      <x:c r="E8" s="27" t="n">
        <x:f>SUM('Fleet Engine'!G194:G217)</x:f>
        <x:v>193597.91893109435</x:v>
      </x:c>
      <x:c r="F8" s="27" t="n">
        <x:f>SUM('Fleet Engine'!H194:H217)</x:f>
        <x:v>193627.63601771696</x:v>
      </x:c>
      <x:c r="G8" s="27" t="n">
        <x:f>SUM('Fleet Engine'!I194:I217)</x:f>
        <x:v>193661.70131558154</x:v>
      </x:c>
      <x:c r="H8" s="27" t="n">
        <x:f>SUM('Fleet Engine'!J194:J217)</x:f>
        <x:v>193695.76661344597</x:v>
      </x:c>
      <x:c r="I8" s="27" t="n">
        <x:f>SUM('Fleet Engine'!K194:K217)</x:f>
        <x:v>193731.35814175406</x:v>
      </x:c>
      <x:c r="J8" s="27" t="n">
        <x:f>SUM('Fleet Engine'!L194:L217)</x:f>
        <x:v>193786.79066582906</x:v>
      </x:c>
      <x:c r="K8" s="27" t="n">
        <x:f>SUM('Fleet Engine'!M194:M217)</x:f>
        <x:v>193848.32811167845</x:v>
      </x:c>
    </x:row>
    <x:row r="9" ht="19" customHeight="1">
      <x:c r="A9" s="2"/>
      <x:c r="B9" s="2"/>
      <x:c r="C9" s="2" t="str">
        <x:v>Claims scale per exposure weight</x:v>
      </x:c>
      <x:c r="D9" s="27" t="n">
        <x:f>'Source Data'!$G$8*1000000*'Assumptions'!$D$7/($G$30*'Vehicle Economics'!$G$22)</x:f>
        <x:v>33.094014931004466</x:v>
      </x:c>
      <x:c r="E9" s="27" t="n">
        <x:f>'Source Data'!$G$8*1000000*'Assumptions'!$D$7/($G$30*'Vehicle Economics'!$G$22)</x:f>
        <x:v>33.094014931004466</x:v>
      </x:c>
      <x:c r="F9" s="27" t="n">
        <x:f>'Source Data'!$G$8*1000000*'Assumptions'!$D$7/($G$30*'Vehicle Economics'!$G$22)</x:f>
        <x:v>33.094014931004466</x:v>
      </x:c>
      <x:c r="G9" s="27" t="n">
        <x:f>'Source Data'!$G$8*1000000*'Assumptions'!$D$7/($G$30*'Vehicle Economics'!$G$22)</x:f>
        <x:v>33.094014931004466</x:v>
      </x:c>
      <x:c r="H9" s="27" t="n">
        <x:f>'Source Data'!$G$8*1000000*'Assumptions'!$D$7/($G$30*'Vehicle Economics'!$G$22)</x:f>
        <x:v>33.094014931004466</x:v>
      </x:c>
      <x:c r="I9" s="27" t="n">
        <x:f>'Source Data'!$G$8*1000000*'Assumptions'!$D$7/($G$30*'Vehicle Economics'!$G$22)</x:f>
        <x:v>33.094014931004466</x:v>
      </x:c>
      <x:c r="J9" s="27" t="n">
        <x:f>'Source Data'!$G$8*1000000*'Assumptions'!$D$7/($G$30*'Vehicle Economics'!$G$22)</x:f>
        <x:v>33.094014931004466</x:v>
      </x:c>
      <x:c r="K9" s="27" t="n">
        <x:f>'Source Data'!$G$8*1000000*'Assumptions'!$D$7/($G$30*'Vehicle Economics'!$G$22)</x:f>
        <x:v>33.094014931004466</x:v>
      </x:c>
    </x:row>
    <x:row r="10" ht="19" customHeight="1">
      <x:c r="A10" s="2"/>
      <x:c r="B10" s="2"/>
      <x:c r="C10" s="2" t="str">
        <x:v>Claim-frequency multiplier</x:v>
      </x:c>
      <x:c r="D10" s="27" t="n">
        <x:f>'Assumptions'!D30</x:f>
        <x:v>1</x:v>
      </x:c>
      <x:c r="E10" s="27" t="n">
        <x:f>'Assumptions'!E30</x:f>
        <x:v>1</x:v>
      </x:c>
      <x:c r="F10" s="27" t="n">
        <x:f>'Assumptions'!F30</x:f>
        <x:v>1</x:v>
      </x:c>
      <x:c r="G10" s="27" t="n">
        <x:f>'Assumptions'!G30</x:f>
        <x:v>1</x:v>
      </x:c>
      <x:c r="H10" s="27" t="n">
        <x:f>'Assumptions'!H30</x:f>
        <x:v>1</x:v>
      </x:c>
      <x:c r="I10" s="27" t="n">
        <x:f>'Assumptions'!I30</x:f>
        <x:v>1</x:v>
      </x:c>
      <x:c r="J10" s="27" t="n">
        <x:f>'Assumptions'!J30</x:f>
        <x:v>1</x:v>
      </x:c>
      <x:c r="K10" s="27" t="n">
        <x:f>'Assumptions'!K30</x:f>
        <x:v>1</x:v>
      </x:c>
    </x:row>
    <x:row r="11" ht="19" customHeight="1">
      <x:c r="A11" s="2"/>
      <x:c r="B11" s="2"/>
      <x:c r="C11" s="2" t="str">
        <x:v>Coverage / filing multiplier</x:v>
      </x:c>
      <x:c r="D11" s="27" t="n">
        <x:f>'Assumptions'!D31</x:f>
        <x:v>1</x:v>
      </x:c>
      <x:c r="E11" s="27" t="n">
        <x:f>'Assumptions'!E31</x:f>
        <x:v>1</x:v>
      </x:c>
      <x:c r="F11" s="27" t="n">
        <x:f>'Assumptions'!F31</x:f>
        <x:v>1</x:v>
      </x:c>
      <x:c r="G11" s="27" t="n">
        <x:f>'Assumptions'!G31</x:f>
        <x:v>1</x:v>
      </x:c>
      <x:c r="H11" s="27" t="n">
        <x:f>'Assumptions'!H31</x:f>
        <x:v>1</x:v>
      </x:c>
      <x:c r="I11" s="27" t="n">
        <x:f>'Assumptions'!I31</x:f>
        <x:v>1</x:v>
      </x:c>
      <x:c r="J11" s="27" t="n">
        <x:f>'Assumptions'!J31</x:f>
        <x:v>1</x:v>
      </x:c>
      <x:c r="K11" s="27" t="n">
        <x:f>'Assumptions'!K31</x:f>
        <x:v>1</x:v>
      </x:c>
    </x:row>
    <x:row r="12" ht="19" customHeight="1">
      <x:c r="A12" s="2"/>
      <x:c r="B12" s="2"/>
      <x:c r="C12" s="2" t="str">
        <x:v>Claim vehicles (calibrated)</x:v>
      </x:c>
      <x:c r="D12" s="35" t="n">
        <x:f>D8*D9*D10*D11*(1+'Assumptions'!D45)</x:f>
        <x:v>6406416.63625384</x:v>
      </x:c>
      <x:c r="E12" s="35" t="n">
        <x:f>E8*E9*E10*E11*(1+'Assumptions'!E45)</x:f>
        <x:v>6406932.419717029</x:v>
      </x:c>
      <x:c r="F12" s="35" t="n">
        <x:f>F8*F9*F10*F11*(1+'Assumptions'!F45)</x:f>
        <x:v>6407915.877425423</x:v>
      </x:c>
      <x:c r="G12" s="35" t="n">
        <x:f>G8*G9*G10*G11*(1+'Assumptions'!G45)</x:f>
        <x:v>6409043.234901583</x:v>
      </x:c>
      <x:c r="H12" s="35" t="n">
        <x:f>H8*H9*H10*H11*(1+'Assumptions'!H45)</x:f>
        <x:v>6410170.592377737</x:v>
      </x:c>
      <x:c r="I12" s="35" t="n">
        <x:f>I8*I9*I10*I11*(1+'Assumptions'!I45)</x:f>
        <x:v>6411348.458946982</x:v>
      </x:c>
      <x:c r="J12" s="35" t="n">
        <x:f>J8*J9*J10*J11*(1+'Assumptions'!J45)</x:f>
        <x:v>6413182.943726384</x:v>
      </x:c>
      <x:c r="K12" s="35" t="n">
        <x:f>K8*K9*K10*K11*(1+'Assumptions'!K45)</x:f>
        <x:v>6415219.464878139</x:v>
      </x:c>
    </x:row>
    <x:row r="13" ht="19" customHeight="1">
      <x:c r="A13" s="2"/>
      <x:c r="B13" s="2"/>
      <x:c r="C13" s="2"/>
      <x:c r="D13" s="3"/>
      <x:c r="E13" s="3"/>
      <x:c r="F13" s="3"/>
      <x:c r="G13" s="3"/>
      <x:c r="H13" s="3"/>
      <x:c r="I13" s="3"/>
      <x:c r="J13" s="3"/>
      <x:c r="K13" s="3"/>
    </x:row>
    <x:row r="14" ht="19" customHeight="1">
      <x:c r="A14" s="2"/>
      <x:c r="B14" s="2"/>
      <x:c r="C14" s="2" t="str">
        <x:v>Total-loss probability</x:v>
      </x:c>
      <x:c r="D14" s="29" t="n">
        <x:f>'Vehicle Economics'!D8</x:f>
        <x:v>0.2327452061341902</x:v>
      </x:c>
      <x:c r="E14" s="29" t="n">
        <x:f>'Vehicle Economics'!E8</x:f>
        <x:v>0.23285978794641152</x:v>
      </x:c>
      <x:c r="F14" s="29" t="n">
        <x:f>'Vehicle Economics'!F8</x:f>
        <x:v>0.2329277449294771</x:v>
      </x:c>
      <x:c r="G14" s="29" t="n">
        <x:f>'Vehicle Economics'!G8</x:f>
        <x:v>0.2329813426746252</x:v>
      </x:c>
      <x:c r="H14" s="29" t="n">
        <x:f>'Vehicle Economics'!H8</x:f>
        <x:v>0.23303492156728955</x:v>
      </x:c>
      <x:c r="I14" s="29" t="n">
        <x:f>'Vehicle Economics'!I8</x:f>
        <x:v>0.23308230091954074</x:v>
      </x:c>
      <x:c r="J14" s="29" t="n">
        <x:f>'Vehicle Economics'!J8</x:f>
        <x:v>0.23304933256134275</x:v>
      </x:c>
      <x:c r="K14" s="29" t="n">
        <x:f>'Vehicle Economics'!K8</x:f>
        <x:v>0.23299167745598076</x:v>
      </x:c>
    </x:row>
    <x:row r="15" ht="19" customHeight="1">
      <x:c r="A15" s="2"/>
      <x:c r="B15" s="2"/>
      <x:c r="C15" s="2" t="str">
        <x:v>Total-loss vehicles</x:v>
      </x:c>
      <x:c r="D15" s="36" t="n">
        <x:f>D12*D14</x:f>
        <x:v>1491062.7605864054</x:v>
      </x:c>
      <x:c r="E15" s="36" t="n">
        <x:f>E12*E14</x:f>
        <x:v>1491916.9246422965</x:v>
      </x:c>
      <x:c r="F15" s="36" t="n">
        <x:f>F12*F14</x:f>
        <x:v>1492581.3950264954</x:v>
      </x:c>
      <x:c r="G15" s="36" t="n">
        <x:f>G12*G14</x:f>
        <x:v>1493187.498127094</x:v>
      </x:c>
      <x:c r="H15" s="36" t="n">
        <x:f>H12*H14</x:f>
        <x:v>1493793.601227692</x:v>
      </x:c>
      <x:c r="I15" s="36" t="n">
        <x:f>I12*I14</x:f>
        <x:v>1494371.8508083143</x:v>
      </x:c>
      <x:c r="J15" s="36" t="n">
        <x:f>J12*J14</x:f>
        <x:v>1494588.004629221</x:v>
      </x:c>
      <x:c r="K15" s="36" t="n">
        <x:f>K12*K14</x:f>
        <x:v>1494692.744370217</x:v>
      </x:c>
    </x:row>
    <x:row r="16" ht="19" customHeight="1">
      <x:c r="A16" s="2"/>
      <x:c r="B16" s="2"/>
      <x:c r="C16" s="2" t="str">
        <x:v>Auction routing</x:v>
      </x:c>
      <x:c r="D16" s="29" t="n">
        <x:f>'Assumptions'!$D$13</x:f>
        <x:v>1</x:v>
      </x:c>
      <x:c r="E16" s="29" t="n">
        <x:f>'Assumptions'!$D$13</x:f>
        <x:v>1</x:v>
      </x:c>
      <x:c r="F16" s="29" t="n">
        <x:f>'Assumptions'!$D$13</x:f>
        <x:v>1</x:v>
      </x:c>
      <x:c r="G16" s="29" t="n">
        <x:f>'Assumptions'!$D$13</x:f>
        <x:v>1</x:v>
      </x:c>
      <x:c r="H16" s="29" t="n">
        <x:f>'Assumptions'!$D$13</x:f>
        <x:v>1</x:v>
      </x:c>
      <x:c r="I16" s="29" t="n">
        <x:f>'Assumptions'!$D$13</x:f>
        <x:v>1</x:v>
      </x:c>
      <x:c r="J16" s="29" t="n">
        <x:f>'Assumptions'!$D$13</x:f>
        <x:v>1</x:v>
      </x:c>
      <x:c r="K16" s="29" t="n">
        <x:f>'Assumptions'!$D$13</x:f>
        <x:v>1</x:v>
      </x:c>
    </x:row>
    <x:row r="17" ht="19" customHeight="1">
      <x:c r="A17" s="2"/>
      <x:c r="B17" s="2"/>
      <x:c r="C17" s="2" t="str">
        <x:v>Eligible auction vehicles</x:v>
      </x:c>
      <x:c r="D17" s="36" t="n">
        <x:f>D15*D16</x:f>
        <x:v>1491062.7605864054</x:v>
      </x:c>
      <x:c r="E17" s="36" t="n">
        <x:f>E15*E16</x:f>
        <x:v>1491916.9246422965</x:v>
      </x:c>
      <x:c r="F17" s="36" t="n">
        <x:f>F15*F16</x:f>
        <x:v>1492581.3950264954</x:v>
      </x:c>
      <x:c r="G17" s="36" t="n">
        <x:f>G15*G16</x:f>
        <x:v>1493187.498127094</x:v>
      </x:c>
      <x:c r="H17" s="36" t="n">
        <x:f>H15*H16</x:f>
        <x:v>1493793.601227692</x:v>
      </x:c>
      <x:c r="I17" s="36" t="n">
        <x:f>I15*I16</x:f>
        <x:v>1494371.8508083143</x:v>
      </x:c>
      <x:c r="J17" s="36" t="n">
        <x:f>J15*J16</x:f>
        <x:v>1494588.004629221</x:v>
      </x:c>
      <x:c r="K17" s="36" t="n">
        <x:f>K15*K16</x:f>
        <x:v>1494692.744370217</x:v>
      </x:c>
    </x:row>
    <x:row r="18" ht="19" customHeight="1">
      <x:c r="A18" s="2"/>
      <x:c r="B18" s="2"/>
      <x:c r="C18" s="2" t="str">
        <x:v>Copart allocation</x:v>
      </x:c>
      <x:c r="D18" s="29" t="n">
        <x:f>'Carrier Engine'!D91</x:f>
        <x:v>0.6031466250000002</x:v>
      </x:c>
      <x:c r="E18" s="29" t="n">
        <x:f>'Carrier Engine'!D92</x:f>
        <x:v>0.6011299999999999</x:v>
      </x:c>
      <x:c r="F18" s="29" t="n">
        <x:f>'Carrier Engine'!D93</x:f>
        <x:v>0.5823929545454546</x:v>
      </x:c>
      <x:c r="G18" s="29" t="n">
        <x:f>'Carrier Engine'!D94</x:f>
        <x:v>0.5657796044226044</x:v>
      </x:c>
      <x:c r="H18" s="29" t="n">
        <x:f>'Carrier Engine'!D95</x:f>
        <x:v>0.5612940349355036</x:v>
      </x:c>
      <x:c r="I18" s="29" t="n">
        <x:f>'Carrier Engine'!D96</x:f>
        <x:v>0.5603044474815726</x:v>
      </x:c>
      <x:c r="J18" s="29" t="n">
        <x:f>'Carrier Engine'!D97</x:f>
        <x:v>0.5545345830006141</x:v>
      </x:c>
      <x:c r="K18" s="29" t="n">
        <x:f>'Carrier Engine'!D98</x:f>
        <x:v>0.5487965405405405</x:v>
      </x:c>
    </x:row>
    <x:row r="19" ht="19" customHeight="1">
      <x:c r="A19" s="2"/>
      <x:c r="B19" s="2"/>
      <x:c r="C19" s="2" t="str">
        <x:v>Copart assignments (modeled)</x:v>
      </x:c>
      <x:c r="D19" s="36" t="n">
        <x:f>D17*D18</x:f>
        <x:v>899329.4717108737</x:v>
      </x:c>
      <x:c r="E19" s="36" t="n">
        <x:f>E17*E18</x:f>
        <x:v>896836.0209102236</x:v>
      </x:c>
      <x:c r="F19" s="36" t="n">
        <x:f>F17*F18</x:f>
        <x:v>869268.888549057</x:v>
      </x:c>
      <x:c r="G19" s="36" t="n">
        <x:f>G17*G18</x:f>
        <x:v>844815.0320191256</x:v>
      </x:c>
      <x:c r="H19" s="36" t="n">
        <x:f>H17*H18</x:f>
        <x:v>838457.4377939278</x:v>
      </x:c>
      <x:c r="I19" s="36" t="n">
        <x:f>I17*I18</x:f>
        <x:v>837303.1941991675</x:v>
      </x:c>
      <x:c r="J19" s="36" t="n">
        <x:f>J17*J18</x:f>
        <x:v>828800.735904785</x:v>
      </x:c>
      <x:c r="K19" s="36" t="n">
        <x:f>K17*K18</x:f>
        <x:v>820282.2072814215</x:v>
      </x:c>
    </x:row>
    <x:row r="20" ht="19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19" customHeight="1">
      <x:c r="A21" s="2"/>
      <x:c r="B21" s="2"/>
      <x:c r="C21" s="2" t="str">
        <x:v>Opening inventory (modeled)</x:v>
      </x:c>
      <x:c r="D21" s="36" t="n">
        <x:f>0</x:f>
        <x:v>0</x:v>
      </x:c>
      <x:c r="E21" s="36" t="n">
        <x:f>D24</x:f>
        <x:v>0</x:v>
      </x:c>
      <x:c r="F21" s="36" t="n">
        <x:f>E24</x:f>
        <x:v>0</x:v>
      </x:c>
      <x:c r="G21" s="36" t="n">
        <x:f>F24</x:f>
        <x:v>0</x:v>
      </x:c>
      <x:c r="H21" s="36" t="n">
        <x:f>G24</x:f>
        <x:v>0</x:v>
      </x:c>
      <x:c r="I21" s="36" t="n">
        <x:f>H24</x:f>
        <x:v>0</x:v>
      </x:c>
      <x:c r="J21" s="36" t="n">
        <x:f>I24</x:f>
        <x:v>0</x:v>
      </x:c>
      <x:c r="K21" s="36" t="n">
        <x:f>J24</x:f>
        <x:v>0</x:v>
      </x:c>
    </x:row>
    <x:row r="22" ht="19" customHeight="1">
      <x:c r="A22" s="2"/>
      <x:c r="B22" s="2"/>
      <x:c r="C22" s="2" t="str">
        <x:v>Quarterly sale conversion</x:v>
      </x:c>
      <x:c r="D22" s="29" t="n">
        <x:f>'Assumptions'!D32</x:f>
        <x:v>1</x:v>
      </x:c>
      <x:c r="E22" s="29" t="n">
        <x:f>'Assumptions'!E32</x:f>
        <x:v>1</x:v>
      </x:c>
      <x:c r="F22" s="29" t="n">
        <x:f>'Assumptions'!F32</x:f>
        <x:v>1</x:v>
      </x:c>
      <x:c r="G22" s="29" t="n">
        <x:f>'Assumptions'!G32</x:f>
        <x:v>1</x:v>
      </x:c>
      <x:c r="H22" s="29" t="n">
        <x:f>'Assumptions'!H32</x:f>
        <x:v>1</x:v>
      </x:c>
      <x:c r="I22" s="29" t="n">
        <x:f>'Assumptions'!I32</x:f>
        <x:v>1</x:v>
      </x:c>
      <x:c r="J22" s="29" t="n">
        <x:f>'Assumptions'!J32</x:f>
        <x:v>1</x:v>
      </x:c>
      <x:c r="K22" s="29" t="n">
        <x:f>'Assumptions'!K32</x:f>
        <x:v>1</x:v>
      </x:c>
    </x:row>
    <x:row r="23" ht="19" customHeight="1">
      <x:c r="A23" s="2"/>
      <x:c r="B23" s="2"/>
      <x:c r="C23" s="33" t="str">
        <x:v>Completed insurance sales</x:v>
      </x:c>
      <x:c r="D23" s="38" t="n">
        <x:f>(D21+D19)*D22</x:f>
        <x:v>899329.4717108737</x:v>
      </x:c>
      <x:c r="E23" s="38" t="n">
        <x:f>(E21+E19)*E22</x:f>
        <x:v>896836.0209102236</x:v>
      </x:c>
      <x:c r="F23" s="38" t="n">
        <x:f>(F21+F19)*F22</x:f>
        <x:v>869268.888549057</x:v>
      </x:c>
      <x:c r="G23" s="38" t="n">
        <x:f>(G21+G19)*G22</x:f>
        <x:v>844815.0320191256</x:v>
      </x:c>
      <x:c r="H23" s="38" t="n">
        <x:f>(H21+H19)*H22</x:f>
        <x:v>838457.4377939278</x:v>
      </x:c>
      <x:c r="I23" s="38" t="n">
        <x:f>(I21+I19)*I22</x:f>
        <x:v>837303.1941991675</x:v>
      </x:c>
      <x:c r="J23" s="38" t="n">
        <x:f>(J21+J19)*J22</x:f>
        <x:v>828800.735904785</x:v>
      </x:c>
      <x:c r="K23" s="38" t="n">
        <x:f>(K21+K19)*K22</x:f>
        <x:v>820282.2072814215</x:v>
      </x:c>
    </x:row>
    <x:row r="24" ht="19" customHeight="1">
      <x:c r="A24" s="2"/>
      <x:c r="B24" s="2"/>
      <x:c r="C24" s="2" t="str">
        <x:v>Closing inventory (modeled)</x:v>
      </x:c>
      <x:c r="D24" s="36" t="n">
        <x:f>SUM(D21,D19)-D23</x:f>
        <x:v>0</x:v>
      </x:c>
      <x:c r="E24" s="36" t="n">
        <x:f>SUM(E21,E19)-E23</x:f>
        <x:v>0</x:v>
      </x:c>
      <x:c r="F24" s="36" t="n">
        <x:f>SUM(F21,F19)-F23</x:f>
        <x:v>0</x:v>
      </x:c>
      <x:c r="G24" s="36" t="n">
        <x:f>SUM(G21,G19)-G23</x:f>
        <x:v>0</x:v>
      </x:c>
      <x:c r="H24" s="36" t="n">
        <x:f>SUM(H21,H19)-H23</x:f>
        <x:v>0</x:v>
      </x:c>
      <x:c r="I24" s="36" t="n">
        <x:f>SUM(I21,I19)-I23</x:f>
        <x:v>0</x:v>
      </x:c>
      <x:c r="J24" s="36" t="n">
        <x:f>SUM(J21,J19)-J23</x:f>
        <x:v>0</x:v>
      </x:c>
      <x:c r="K24" s="36" t="n">
        <x:f>SUM(K21,K19)-K23</x:f>
        <x:v>0</x:v>
      </x:c>
    </x:row>
    <x:row r="25" ht="19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19" customHeight="1">
      <x:c r="A26" s="2"/>
      <x:c r="B26" s="2"/>
      <x:c r="C26" s="24" t="str">
        <x:v>Historical normalization calculation</x:v>
      </x:c>
      <x:c r="D26" s="25"/>
      <x:c r="E26" s="25"/>
      <x:c r="F26" s="25"/>
      <x:c r="G26" s="25"/>
      <x:c r="H26" s="25"/>
      <x:c r="I26" s="25"/>
      <x:c r="J26" s="25"/>
      <x:c r="K26" s="25"/>
    </x:row>
    <x:row r="27" ht="19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</x:row>
    <x:row r="28" ht="19" customHeight="1">
      <x:c r="A28" s="2"/>
      <x:c r="B28" s="2"/>
      <x:c r="C28" s="2" t="str">
        <x:v>Assignments before scale</x:v>
      </x:c>
      <x:c r="D28" s="27" t="n">
        <x:f>D8*D10*D11*(1+'Assumptions'!D45)*D14*D16*D18</x:f>
        <x:v>27174.98839550978</x:v>
      </x:c>
      <x:c r="E28" s="27" t="n">
        <x:f>E8*E10*E11*(1+'Assumptions'!E45)*E14*E16*E18</x:f>
        <x:v>27099.643931991268</x:v>
      </x:c>
      <x:c r="F28" s="27" t="n">
        <x:f>F8*F10*F11*(1+'Assumptions'!F45)*F14*F16*F18</x:f>
        <x:v>26266.649433782466</x:v>
      </x:c>
      <x:c r="G28" s="27" t="n">
        <x:f>G8*G10*G11*(1+'Assumptions'!G45)*G14*G16*G18</x:f>
        <x:v>25527.728617407858</x:v>
      </x:c>
      <x:c r="H28" s="27" t="n">
        <x:f>H8*H10*H11*(1+'Assumptions'!H45)*H14*H16*H18</x:f>
        <x:v>25335.62154794372</x:v>
      </x:c>
      <x:c r="I28" s="27" t="n">
        <x:f>I8*I10*I11*(1+'Assumptions'!I45)*I14*I16*I18</x:f>
        <x:v>25300.743833735673</x:v>
      </x:c>
      <x:c r="J28" s="27" t="n">
        <x:f>J8*J10*J11*(1+'Assumptions'!J45)*J14*J16*J18</x:f>
        <x:v>25043.825526539982</x:v>
      </x:c>
      <x:c r="K28" s="27" t="n">
        <x:f>K8*K10*K11*(1+'Assumptions'!K45)*K14*K16*K18</x:f>
        <x:v>24786.421623111426</x:v>
      </x:c>
    </x:row>
    <x:row r="29" ht="19" customHeight="1">
      <x:c r="A29" s="2"/>
      <x:c r="B29" s="2"/>
      <x:c r="C29" s="2" t="str">
        <x:v>Opening inventory before scale</x:v>
      </x:c>
      <x:c r="D29" s="28" t="n">
        <x:f>0</x:f>
        <x:v>0</x:v>
      </x:c>
      <x:c r="E29" s="28" t="n">
        <x:f>D31</x:f>
        <x:v>0</x:v>
      </x:c>
      <x:c r="F29" s="28" t="n">
        <x:f>E31</x:f>
        <x:v>0</x:v>
      </x:c>
      <x:c r="G29" s="28" t="n">
        <x:f>F31</x:f>
        <x:v>0</x:v>
      </x:c>
      <x:c r="H29" s="28" t="n">
        <x:f>G31</x:f>
        <x:v>0</x:v>
      </x:c>
      <x:c r="I29" s="28" t="n">
        <x:f>H31</x:f>
        <x:v>0</x:v>
      </x:c>
      <x:c r="J29" s="28" t="n">
        <x:f>I31</x:f>
        <x:v>0</x:v>
      </x:c>
      <x:c r="K29" s="28" t="n">
        <x:f>J31</x:f>
        <x:v>0</x:v>
      </x:c>
    </x:row>
    <x:row r="30" ht="19" customHeight="1">
      <x:c r="A30" s="2"/>
      <x:c r="B30" s="2"/>
      <x:c r="C30" s="2" t="str">
        <x:v>Sales before scale</x:v>
      </x:c>
      <x:c r="D30" s="28" t="n">
        <x:f>SUM(D28:D29)*D22</x:f>
        <x:v>27174.98839550978</x:v>
      </x:c>
      <x:c r="E30" s="28" t="n">
        <x:f>SUM(E28:E29)*E22</x:f>
        <x:v>27099.643931991268</x:v>
      </x:c>
      <x:c r="F30" s="28" t="n">
        <x:f>SUM(F28:F29)*F22</x:f>
        <x:v>26266.649433782466</x:v>
      </x:c>
      <x:c r="G30" s="28" t="n">
        <x:f>SUM(G28:G29)*G22</x:f>
        <x:v>25527.728617407858</x:v>
      </x:c>
      <x:c r="H30" s="28" t="n">
        <x:f>SUM(H28:H29)*H22</x:f>
        <x:v>25335.62154794372</x:v>
      </x:c>
      <x:c r="I30" s="28" t="n">
        <x:f>SUM(I28:I29)*I22</x:f>
        <x:v>25300.743833735673</x:v>
      </x:c>
      <x:c r="J30" s="28" t="n">
        <x:f>SUM(J28:J29)*J22</x:f>
        <x:v>25043.825526539982</x:v>
      </x:c>
      <x:c r="K30" s="28" t="n">
        <x:f>SUM(K28:K29)*K22</x:f>
        <x:v>24786.421623111426</x:v>
      </x:c>
    </x:row>
    <x:row r="31" ht="19" customHeight="1">
      <x:c r="A31" s="2"/>
      <x:c r="B31" s="2"/>
      <x:c r="C31" s="2" t="str">
        <x:v>Closing inventory before scale</x:v>
      </x:c>
      <x:c r="D31" s="28" t="n">
        <x:f>SUM(D28:D29)-D30</x:f>
        <x:v>0</x:v>
      </x:c>
      <x:c r="E31" s="28" t="n">
        <x:f>SUM(E28:E29)-E30</x:f>
        <x:v>0</x:v>
      </x:c>
      <x:c r="F31" s="28" t="n">
        <x:f>SUM(F28:F29)-F30</x:f>
        <x:v>0</x:v>
      </x:c>
      <x:c r="G31" s="28" t="n">
        <x:f>SUM(G28:G29)-G30</x:f>
        <x:v>0</x:v>
      </x:c>
      <x:c r="H31" s="28" t="n">
        <x:f>SUM(H28:H29)-H30</x:f>
        <x:v>0</x:v>
      </x:c>
      <x:c r="I31" s="28" t="n">
        <x:f>SUM(I28:I29)-I30</x:f>
        <x:v>0</x:v>
      </x:c>
      <x:c r="J31" s="28" t="n">
        <x:f>SUM(J28:J29)-J30</x:f>
        <x:v>0</x:v>
      </x:c>
      <x:c r="K31" s="28" t="n">
        <x:f>SUM(K28:K29)-K30</x:f>
        <x:v>0</x:v>
      </x:c>
    </x:row>
    <x:row r="32" ht="19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</x:row>
    <x:row r="33" ht="19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</x:row>
    <x:row r="34" ht="30" customHeight="1">
      <x:c r="A34" s="2"/>
      <x:c r="B34" s="2"/>
      <x:c r="C34" s="15" t="str">
        <x:v>One normalization at FY26Q4. Earlier-quarter misses remain visible; there are no quarterly revenue-calibration plugs.</x:v>
      </x:c>
      <x:c r="D34" s="16"/>
      <x:c r="E34" s="16"/>
      <x:c r="F34" s="16"/>
      <x:c r="G34" s="16"/>
      <x:c r="H34" s="16"/>
      <x:c r="I34" s="16"/>
      <x:c r="J34" s="16"/>
      <x:c r="K34" s="16"/>
    </x:row>
    <x:row r="35" ht="19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</x:row>
    <x:row r="36" ht="30" customHeight="1">
      <x:c r="A36" s="2"/>
      <x:c r="B36" s="2"/>
      <x:c r="C36" s="15" t="str">
        <x:v>Opening FY26Q1 inventory is zero in the neutral timing convention. Changing historical timing requires a supported opening balance.</x:v>
      </x:c>
      <x:c r="D36" s="16"/>
      <x:c r="E36" s="16"/>
      <x:c r="F36" s="16"/>
      <x:c r="G36" s="16"/>
      <x:c r="H36" s="16"/>
      <x:c r="I36" s="16"/>
      <x:c r="J36" s="16"/>
      <x:c r="K36" s="16"/>
    </x:row>
    <x:row r="37" ht="19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</x:row>
    <x:row r="38" ht="30" customHeight="1">
      <x:c r="A38" s="2"/>
      <x:c r="B38" s="2"/>
      <x:c r="C38" s="15" t="str">
        <x:v>Claims scale combines unmeasured coverage and claim frequency. This is not an independent absolute insured-fleet forecast.</x:v>
      </x:c>
      <x:c r="D38" s="16"/>
      <x:c r="E38" s="16"/>
      <x:c r="F38" s="16"/>
      <x:c r="G38" s="16"/>
      <x:c r="H38" s="16"/>
      <x:c r="I38" s="16"/>
      <x:c r="J38" s="16"/>
      <x:c r="K38" s="16"/>
    </x:row>
    <x:row r="39" ht="19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19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</x:row>
    <x:row r="41" ht="19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19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</x:row>
    <x:row r="43" ht="19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</x:row>
    <x:row r="44" ht="19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</x:row>
    <x:row r="45" ht="19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</x:row>
    <x:row r="46" ht="19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</x:row>
    <x:row r="47" ht="19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19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</x:row>
  </x:sheetData>
  <x:mergeCells>
    <x:mergeCell ref="C3:K3"/>
    <x:mergeCell ref="C34:K34"/>
    <x:mergeCell ref="C36:K36"/>
    <x:mergeCell ref="C38:K3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Service revenue per insurance auction vehicle</x:v>
      </x:c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2"/>
      <x:c r="B3" s="2"/>
      <x:c r="C3" s="15" t="str">
        <x:v>RPU and ASP are outputs of the selected auction population. Service prices and adoption remain illustrative.</x:v>
      </x:c>
      <x:c r="D3" s="15"/>
      <x:c r="E3" s="15"/>
      <x:c r="F3" s="15"/>
      <x:c r="G3" s="15"/>
      <x:c r="H3" s="15"/>
      <x:c r="I3" s="15"/>
      <x:c r="J3" s="15"/>
      <x:c r="K3" s="15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Modeled total-loss probability</x:v>
      </x:c>
      <x:c r="D8" s="29" t="n">
        <x:f>SUM('Damage Engine'!U6:U221)/SUM('Fleet Engine'!F194:F217)</x:f>
        <x:v>0.2327452061341902</x:v>
      </x:c>
      <x:c r="E8" s="29" t="n">
        <x:f>SUM('Damage Engine'!U222:U437)/SUM('Fleet Engine'!G194:G217)</x:f>
        <x:v>0.23285978794641152</x:v>
      </x:c>
      <x:c r="F8" s="29" t="n">
        <x:f>SUM('Damage Engine'!U438:U653)/SUM('Fleet Engine'!H194:H217)</x:f>
        <x:v>0.2329277449294771</x:v>
      </x:c>
      <x:c r="G8" s="29" t="n">
        <x:f>SUM('Damage Engine'!U654:U869)/SUM('Fleet Engine'!I194:I217)</x:f>
        <x:v>0.2329813426746252</x:v>
      </x:c>
      <x:c r="H8" s="29" t="n">
        <x:f>SUM('Damage Engine'!U870:U1085)/SUM('Fleet Engine'!J194:J217)</x:f>
        <x:v>0.23303492156728955</x:v>
      </x:c>
      <x:c r="I8" s="29" t="n">
        <x:f>SUM('Damage Engine'!U1086:U1301)/SUM('Fleet Engine'!K194:K217)</x:f>
        <x:v>0.23308230091954074</x:v>
      </x:c>
      <x:c r="J8" s="29" t="n">
        <x:f>SUM('Damage Engine'!U1302:U1517)/SUM('Fleet Engine'!L194:L217)</x:f>
        <x:v>0.23304933256134275</x:v>
      </x:c>
      <x:c r="K8" s="29" t="n">
        <x:f>SUM('Damage Engine'!U1518:U1733)/SUM('Fleet Engine'!M194:M217)</x:f>
        <x:v>0.23299167745598076</x:v>
      </x:c>
    </x:row>
    <x:row r="9" ht="19" customHeight="1">
      <x:c r="A9" s="2"/>
      <x:c r="B9" s="2"/>
      <x:c r="C9" s="2" t="str">
        <x:v>Selected auction ASP ($)</x:v>
      </x:c>
      <x:c r="D9" s="27" t="n">
        <x:f>SUM('Damage Engine'!W6:W221)/SUM('Damage Engine'!U6:U221)</x:f>
        <x:v>2770.8630569765082</x:v>
      </x:c>
      <x:c r="E9" s="27" t="n">
        <x:f>SUM('Damage Engine'!W222:W437)/SUM('Damage Engine'!U222:U437)</x:f>
        <x:v>2770.657009265016</x:v>
      </x:c>
      <x:c r="F9" s="27" t="n">
        <x:f>SUM('Damage Engine'!W438:W653)/SUM('Damage Engine'!U438:U653)</x:f>
        <x:v>2770.2156713524064</x:v>
      </x:c>
      <x:c r="G9" s="27" t="n">
        <x:f>SUM('Damage Engine'!W654:W869)/SUM('Damage Engine'!U654:U869)</x:f>
        <x:v>2769.7022596508505</x:v>
      </x:c>
      <x:c r="H9" s="27" t="n">
        <x:f>SUM('Damage Engine'!W870:W1085)/SUM('Damage Engine'!U870:U1085)</x:f>
        <x:v>2769.18926458038</x:v>
      </x:c>
      <x:c r="I9" s="27" t="n">
        <x:f>SUM('Damage Engine'!W1086:W1301)/SUM('Damage Engine'!U1086:U1301)</x:f>
        <x:v>2768.70917922873</x:v>
      </x:c>
      <x:c r="J9" s="27" t="n">
        <x:f>SUM('Damage Engine'!W1302:W1517)/SUM('Damage Engine'!U1302:U1517)</x:f>
        <x:v>2768.651712563321</x:v>
      </x:c>
      <x:c r="K9" s="27" t="n">
        <x:f>SUM('Damage Engine'!W1518:W1733)/SUM('Damage Engine'!U1518:U1733)</x:f>
        <x:v>2768.724202848537</x:v>
      </x:c>
    </x:row>
    <x:row r="10" ht="19" customHeight="1">
      <x:c r="A10" s="2"/>
      <x:c r="B10" s="2"/>
      <x:c r="C10" s="2"/>
      <x:c r="D10" s="3"/>
      <x:c r="E10" s="3"/>
      <x:c r="F10" s="3"/>
      <x:c r="G10" s="3"/>
      <x:c r="H10" s="3"/>
      <x:c r="I10" s="3"/>
      <x:c r="J10" s="3"/>
      <x:c r="K10" s="3"/>
    </x:row>
    <x:row r="11" ht="19" customHeight="1">
      <x:c r="A11" s="2"/>
      <x:c r="B11" s="2"/>
      <x:c r="C11" s="2" t="str">
        <x:v>Core auction RPU ($)</x:v>
      </x:c>
      <x:c r="D11" s="27" t="n">
        <x:f>SUM('Damage Engine'!V6:V221)/SUM('Damage Engine'!U6:U221)</x:f>
        <x:v>816.7411532328042</x:v>
      </x:c>
      <x:c r="E11" s="27" t="n">
        <x:f>SUM('Damage Engine'!V222:V437)/SUM('Damage Engine'!U222:U437)</x:f>
        <x:v>816.6474371386278</x:v>
      </x:c>
      <x:c r="F11" s="27" t="n">
        <x:f>SUM('Damage Engine'!V438:V653)/SUM('Damage Engine'!U438:U653)</x:f>
        <x:v>816.4599437502004</x:v>
      </x:c>
      <x:c r="G11" s="27" t="n">
        <x:f>SUM('Damage Engine'!V654:V869)/SUM('Damage Engine'!U654:U869)</x:f>
        <x:v>816.2437304067016</x:v>
      </x:c>
      <x:c r="H11" s="27" t="n">
        <x:f>SUM('Damage Engine'!V870:V1085)/SUM('Damage Engine'!U870:U1085)</x:f>
        <x:v>816.0276925192723</x:v>
      </x:c>
      <x:c r="I11" s="27" t="n">
        <x:f>SUM('Damage Engine'!V1086:V1301)/SUM('Damage Engine'!U1086:U1301)</x:f>
        <x:v>815.812888099648</x:v>
      </x:c>
      <x:c r="J11" s="27" t="n">
        <x:f>SUM('Damage Engine'!V1302:V1517)/SUM('Damage Engine'!U1302:U1517)</x:f>
        <x:v>815.6119530475278</x:v>
      </x:c>
      <x:c r="K11" s="27" t="n">
        <x:f>SUM('Damage Engine'!V1518:V1733)/SUM('Damage Engine'!U1518:U1733)</x:f>
        <x:v>815.4152782272312</x:v>
      </x:c>
    </x:row>
    <x:row r="12" ht="19" customHeight="1">
      <x:c r="A12" s="2"/>
      <x:c r="B12" s="2"/>
      <x:c r="C12" s="2" t="str">
        <x:v>Seller fee within core RPU</x:v>
      </x:c>
      <x:c r="D12" s="27" t="n">
        <x:f>D9*'Carrier Engine'!E91</x:f>
        <x:v>110.8345222790603</x:v>
      </x:c>
      <x:c r="E12" s="27" t="n">
        <x:f>E9*'Carrier Engine'!E92</x:f>
        <x:v>110.82628037060066</x:v>
      </x:c>
      <x:c r="F12" s="27" t="n">
        <x:f>F9*'Carrier Engine'!E93</x:f>
        <x:v>110.80862685409626</x:v>
      </x:c>
      <x:c r="G12" s="27" t="n">
        <x:f>G9*'Carrier Engine'!E94</x:f>
        <x:v>110.78809038603401</x:v>
      </x:c>
      <x:c r="H12" s="27" t="n">
        <x:f>H9*'Carrier Engine'!E95</x:f>
        <x:v>110.76757058321522</x:v>
      </x:c>
      <x:c r="I12" s="27" t="n">
        <x:f>I9*'Carrier Engine'!E96</x:f>
        <x:v>110.7483671691492</x:v>
      </x:c>
      <x:c r="J12" s="27" t="n">
        <x:f>J9*'Carrier Engine'!E97</x:f>
        <x:v>110.74606850253285</x:v>
      </x:c>
      <x:c r="K12" s="27" t="n">
        <x:f>K9*'Carrier Engine'!E98</x:f>
        <x:v>110.74896811394146</x:v>
      </x:c>
    </x:row>
    <x:row r="13" ht="19" customHeight="1">
      <x:c r="A13" s="2"/>
      <x:c r="B13" s="2"/>
      <x:c r="C13" s="2" t="str">
        <x:v>Buyer fee within core RPU</x:v>
      </x:c>
      <x:c r="D13" s="28" t="n">
        <x:f>D11-D12</x:f>
        <x:v>705.906630953744</x:v>
      </x:c>
      <x:c r="E13" s="28" t="n">
        <x:f>E11-E12</x:f>
        <x:v>705.8211567680271</x:v>
      </x:c>
      <x:c r="F13" s="28" t="n">
        <x:f>F11-F12</x:f>
        <x:v>705.6513168961042</x:v>
      </x:c>
      <x:c r="G13" s="28" t="n">
        <x:f>G11-G12</x:f>
        <x:v>705.4556400206676</x:v>
      </x:c>
      <x:c r="H13" s="28" t="n">
        <x:f>H11-H12</x:f>
        <x:v>705.260121936057</x:v>
      </x:c>
      <x:c r="I13" s="28" t="n">
        <x:f>I11-I12</x:f>
        <x:v>705.0645209304988</x:v>
      </x:c>
      <x:c r="J13" s="28" t="n">
        <x:f>J11-J12</x:f>
        <x:v>704.865884544995</x:v>
      </x:c>
      <x:c r="K13" s="28" t="n">
        <x:f>K11-K12</x:f>
        <x:v>704.6663101132897</x:v>
      </x:c>
    </x:row>
    <x:row r="14" ht="19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</x:row>
    <x:row r="15" ht="19" customHeight="1">
      <x:c r="A15" s="2"/>
      <x:c r="B15" s="2"/>
      <x:c r="C15" s="24" t="str">
        <x:v>Attached services</x:v>
      </x:c>
      <x:c r="D15" s="25"/>
      <x:c r="E15" s="25"/>
      <x:c r="F15" s="25"/>
      <x:c r="G15" s="25"/>
      <x:c r="H15" s="25"/>
      <x:c r="I15" s="25"/>
      <x:c r="J15" s="25"/>
      <x:c r="K15" s="25"/>
    </x:row>
    <x:row r="16" ht="19" customHeight="1">
      <x:c r="A16" s="2"/>
      <x:c r="B16" s="2"/>
      <x:c r="C16" s="2" t="str">
        <x:v>Title service use / sold vehicles</x:v>
      </x:c>
      <x:c r="D16" s="29" t="n">
        <x:f>'Carrier Engine'!F91</x:f>
        <x:v>0.5</x:v>
      </x:c>
      <x:c r="E16" s="29" t="n">
        <x:f>'Carrier Engine'!F92</x:f>
        <x:v>0.5</x:v>
      </x:c>
      <x:c r="F16" s="29" t="n">
        <x:f>'Carrier Engine'!F93</x:f>
        <x:v>0.5</x:v>
      </x:c>
      <x:c r="G16" s="29" t="n">
        <x:f>'Carrier Engine'!F94</x:f>
        <x:v>0.5</x:v>
      </x:c>
      <x:c r="H16" s="29" t="n">
        <x:f>'Carrier Engine'!F95</x:f>
        <x:v>0.5</x:v>
      </x:c>
      <x:c r="I16" s="29" t="n">
        <x:f>'Carrier Engine'!F96</x:f>
        <x:v>0.5</x:v>
      </x:c>
      <x:c r="J16" s="29" t="n">
        <x:f>'Carrier Engine'!F97</x:f>
        <x:v>0.5</x:v>
      </x:c>
      <x:c r="K16" s="29" t="n">
        <x:f>'Carrier Engine'!F98</x:f>
        <x:v>0.5</x:v>
      </x:c>
    </x:row>
    <x:row r="17" ht="19" customHeight="1">
      <x:c r="A17" s="2"/>
      <x:c r="B17" s="2"/>
      <x:c r="C17" s="2" t="str">
        <x:v>Revenue per title job ($)</x:v>
      </x:c>
      <x:c r="D17" s="27" t="n">
        <x:f>'Assumptions'!$D$15*'Assumptions'!D38</x:f>
        <x:v>50</x:v>
      </x:c>
      <x:c r="E17" s="27" t="n">
        <x:f>'Assumptions'!$D$15*'Assumptions'!E38</x:f>
        <x:v>50</x:v>
      </x:c>
      <x:c r="F17" s="27" t="n">
        <x:f>'Assumptions'!$D$15*'Assumptions'!F38</x:f>
        <x:v>50</x:v>
      </x:c>
      <x:c r="G17" s="27" t="n">
        <x:f>'Assumptions'!$D$15*'Assumptions'!G38</x:f>
        <x:v>50</x:v>
      </x:c>
      <x:c r="H17" s="27" t="n">
        <x:f>'Assumptions'!$D$15*'Assumptions'!H38</x:f>
        <x:v>50</x:v>
      </x:c>
      <x:c r="I17" s="27" t="n">
        <x:f>'Assumptions'!$D$15*'Assumptions'!I38</x:f>
        <x:v>50</x:v>
      </x:c>
      <x:c r="J17" s="27" t="n">
        <x:f>'Assumptions'!$D$15*'Assumptions'!J38</x:f>
        <x:v>50</x:v>
      </x:c>
      <x:c r="K17" s="27" t="n">
        <x:f>'Assumptions'!$D$15*'Assumptions'!K38</x:f>
        <x:v>50</x:v>
      </x:c>
    </x:row>
    <x:row r="18" ht="19" customHeight="1">
      <x:c r="A18" s="2"/>
      <x:c r="B18" s="2"/>
      <x:c r="C18" s="2" t="str">
        <x:v>Title contribution to RPU ($)</x:v>
      </x:c>
      <x:c r="D18" s="28" t="n">
        <x:f>D16*D17</x:f>
        <x:v>25</x:v>
      </x:c>
      <x:c r="E18" s="28" t="n">
        <x:f>E16*E17</x:f>
        <x:v>25</x:v>
      </x:c>
      <x:c r="F18" s="28" t="n">
        <x:f>F16*F17</x:f>
        <x:v>25</x:v>
      </x:c>
      <x:c r="G18" s="28" t="n">
        <x:f>G16*G17</x:f>
        <x:v>25</x:v>
      </x:c>
      <x:c r="H18" s="28" t="n">
        <x:f>H16*H17</x:f>
        <x:v>25</x:v>
      </x:c>
      <x:c r="I18" s="28" t="n">
        <x:f>I16*I17</x:f>
        <x:v>25</x:v>
      </x:c>
      <x:c r="J18" s="28" t="n">
        <x:f>J16*J17</x:f>
        <x:v>25</x:v>
      </x:c>
      <x:c r="K18" s="28" t="n">
        <x:f>K16*K17</x:f>
        <x:v>25</x:v>
      </x:c>
    </x:row>
    <x:row r="19" ht="19" customHeight="1">
      <x:c r="A19" s="2"/>
      <x:c r="B19" s="2"/>
      <x:c r="C19" s="2"/>
      <x:c r="D19" s="3"/>
      <x:c r="E19" s="3"/>
      <x:c r="F19" s="3"/>
      <x:c r="G19" s="3"/>
      <x:c r="H19" s="3"/>
      <x:c r="I19" s="3"/>
      <x:c r="J19" s="3"/>
      <x:c r="K19" s="3"/>
    </x:row>
    <x:row r="20" ht="19" customHeight="1">
      <x:c r="A20" s="2"/>
      <x:c r="B20" s="2"/>
      <x:c r="C20" s="2" t="str">
        <x:v>Delivery use / sold vehicles</x:v>
      </x:c>
      <x:c r="D20" s="29" t="n">
        <x:f>'Assumptions'!D34</x:f>
        <x:v>0.1</x:v>
      </x:c>
      <x:c r="E20" s="29" t="n">
        <x:f>'Assumptions'!E34</x:f>
        <x:v>0.1</x:v>
      </x:c>
      <x:c r="F20" s="29" t="n">
        <x:f>'Assumptions'!F34</x:f>
        <x:v>0.1</x:v>
      </x:c>
      <x:c r="G20" s="29" t="n">
        <x:f>'Assumptions'!G34</x:f>
        <x:v>0.1</x:v>
      </x:c>
      <x:c r="H20" s="29" t="n">
        <x:f>'Assumptions'!H34</x:f>
        <x:v>0.1</x:v>
      </x:c>
      <x:c r="I20" s="29" t="n">
        <x:f>'Assumptions'!I34</x:f>
        <x:v>0.1</x:v>
      </x:c>
      <x:c r="J20" s="29" t="n">
        <x:f>'Assumptions'!J34</x:f>
        <x:v>0.1</x:v>
      </x:c>
      <x:c r="K20" s="29" t="n">
        <x:f>'Assumptions'!K34</x:f>
        <x:v>0.1</x:v>
      </x:c>
    </x:row>
    <x:row r="21" ht="19" customHeight="1">
      <x:c r="A21" s="2"/>
      <x:c r="B21" s="2"/>
      <x:c r="C21" s="2" t="str">
        <x:v>Revenue per delivery ($)</x:v>
      </x:c>
      <x:c r="D21" s="27" t="n">
        <x:f>'Assumptions'!$D$16*'Assumptions'!D39</x:f>
        <x:v>300</x:v>
      </x:c>
      <x:c r="E21" s="27" t="n">
        <x:f>'Assumptions'!$D$16*'Assumptions'!E39</x:f>
        <x:v>300</x:v>
      </x:c>
      <x:c r="F21" s="27" t="n">
        <x:f>'Assumptions'!$D$16*'Assumptions'!F39</x:f>
        <x:v>300</x:v>
      </x:c>
      <x:c r="G21" s="27" t="n">
        <x:f>'Assumptions'!$D$16*'Assumptions'!G39</x:f>
        <x:v>300</x:v>
      </x:c>
      <x:c r="H21" s="27" t="n">
        <x:f>'Assumptions'!$D$16*'Assumptions'!H39</x:f>
        <x:v>300</x:v>
      </x:c>
      <x:c r="I21" s="27" t="n">
        <x:f>'Assumptions'!$D$16*'Assumptions'!I39</x:f>
        <x:v>300</x:v>
      </x:c>
      <x:c r="J21" s="27" t="n">
        <x:f>'Assumptions'!$D$16*'Assumptions'!J39</x:f>
        <x:v>300</x:v>
      </x:c>
      <x:c r="K21" s="27" t="n">
        <x:f>'Assumptions'!$D$16*'Assumptions'!K39</x:f>
        <x:v>300</x:v>
      </x:c>
    </x:row>
    <x:row r="22" ht="19" customHeight="1">
      <x:c r="A22" s="2"/>
      <x:c r="B22" s="2"/>
      <x:c r="C22" s="33" t="str">
        <x:v>All-in insurance service RPU ($)</x:v>
      </x:c>
      <x:c r="D22" s="34" t="n">
        <x:f>SUM(D11,D18,D20*D21)</x:f>
        <x:v>871.7411532328042</x:v>
      </x:c>
      <x:c r="E22" s="34" t="n">
        <x:f>SUM(E11,E18,E20*E21)</x:f>
        <x:v>871.6474371386278</x:v>
      </x:c>
      <x:c r="F22" s="34" t="n">
        <x:f>SUM(F11,F18,F20*F21)</x:f>
        <x:v>871.4599437502004</x:v>
      </x:c>
      <x:c r="G22" s="34" t="n">
        <x:f>SUM(G11,G18,G20*G21)</x:f>
        <x:v>871.2437304067016</x:v>
      </x:c>
      <x:c r="H22" s="34" t="n">
        <x:f>SUM(H11,H18,H20*H21)</x:f>
        <x:v>871.0276925192723</x:v>
      </x:c>
      <x:c r="I22" s="34" t="n">
        <x:f>SUM(I11,I18,I20*I21)</x:f>
        <x:v>870.812888099648</x:v>
      </x:c>
      <x:c r="J22" s="34" t="n">
        <x:f>SUM(J11,J18,J20*J21)</x:f>
        <x:v>870.6119530475278</x:v>
      </x:c>
      <x:c r="K22" s="34" t="n">
        <x:f>SUM(K11,K18,K20*K21)</x:f>
        <x:v>870.4152782272312</x:v>
      </x:c>
    </x:row>
    <x:row r="23" ht="19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</x:row>
    <x:row r="24" ht="19" customHeight="1">
      <x:c r="A24" s="2"/>
      <x:c r="B24" s="2"/>
      <x:c r="C24" s="2" t="str">
        <x:v>Delivery contribution to RPU ($)</x:v>
      </x:c>
      <x:c r="D24" s="28" t="n">
        <x:f>D20*D21</x:f>
        <x:v>30</x:v>
      </x:c>
      <x:c r="E24" s="28" t="n">
        <x:f>E20*E21</x:f>
        <x:v>30</x:v>
      </x:c>
      <x:c r="F24" s="28" t="n">
        <x:f>F20*F21</x:f>
        <x:v>30</x:v>
      </x:c>
      <x:c r="G24" s="28" t="n">
        <x:f>G20*G21</x:f>
        <x:v>30</x:v>
      </x:c>
      <x:c r="H24" s="28" t="n">
        <x:f>H20*H21</x:f>
        <x:v>30</x:v>
      </x:c>
      <x:c r="I24" s="28" t="n">
        <x:f>I20*I21</x:f>
        <x:v>30</x:v>
      </x:c>
      <x:c r="J24" s="28" t="n">
        <x:f>J20*J21</x:f>
        <x:v>30</x:v>
      </x:c>
      <x:c r="K24" s="28" t="n">
        <x:f>K20*K21</x:f>
        <x:v>30</x:v>
      </x:c>
    </x:row>
    <x:row r="25" ht="19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19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</x:row>
    <x:row r="27" ht="19" customHeight="1">
      <x:c r="A27" s="2"/>
      <x:c r="B27" s="2"/>
      <x:c r="C27" s="24" t="str">
        <x:v>Change from FY26Q4 baseline ($ / unit)</x:v>
      </x:c>
      <x:c r="D27" s="25"/>
      <x:c r="E27" s="25"/>
      <x:c r="F27" s="25"/>
      <x:c r="G27" s="25"/>
      <x:c r="H27" s="25"/>
      <x:c r="I27" s="25"/>
      <x:c r="J27" s="25"/>
      <x:c r="K27" s="25"/>
    </x:row>
    <x:row r="28" ht="19" customHeight="1">
      <x:c r="A28" s="2"/>
      <x:c r="B28" s="2"/>
      <x:c r="C28" s="2" t="str">
        <x:v>Core auction change</x:v>
      </x:c>
      <x:c r="D28" s="28" t="n">
        <x:f>D11-$G$11</x:f>
        <x:v>0.4974228261025928</x:v>
      </x:c>
      <x:c r="E28" s="28" t="n">
        <x:f>E11-$G$11</x:f>
        <x:v>0.4037067319261496</x:v>
      </x:c>
      <x:c r="F28" s="28" t="n">
        <x:f>F11-$G$11</x:f>
        <x:v>0.21621334349879362</x:v>
      </x:c>
      <x:c r="G28" s="28" t="n">
        <x:f>G11-$G$11</x:f>
        <x:v>0</x:v>
      </x:c>
      <x:c r="H28" s="28" t="n">
        <x:f>H11-$G$11</x:f>
        <x:v>-0.21603788742936558</x:v>
      </x:c>
      <x:c r="I28" s="28" t="n">
        <x:f>I11-$G$11</x:f>
        <x:v>-0.43084230705358095</x:v>
      </x:c>
      <x:c r="J28" s="28" t="n">
        <x:f>J11-$G$11</x:f>
        <x:v>-0.6317773591738387</x:v>
      </x:c>
      <x:c r="K28" s="28" t="n">
        <x:f>K11-$G$11</x:f>
        <x:v>-0.828452179470446</x:v>
      </x:c>
    </x:row>
    <x:row r="29" ht="19" customHeight="1">
      <x:c r="A29" s="2"/>
      <x:c r="B29" s="2"/>
      <x:c r="C29" s="2" t="str">
        <x:v>Title contribution change</x:v>
      </x:c>
      <x:c r="D29" s="28" t="n">
        <x:f>D18-$G$18</x:f>
        <x:v>0</x:v>
      </x:c>
      <x:c r="E29" s="28" t="n">
        <x:f>E18-$G$18</x:f>
        <x:v>0</x:v>
      </x:c>
      <x:c r="F29" s="28" t="n">
        <x:f>F18-$G$18</x:f>
        <x:v>0</x:v>
      </x:c>
      <x:c r="G29" s="28" t="n">
        <x:f>G18-$G$18</x:f>
        <x:v>0</x:v>
      </x:c>
      <x:c r="H29" s="28" t="n">
        <x:f>H18-$G$18</x:f>
        <x:v>0</x:v>
      </x:c>
      <x:c r="I29" s="28" t="n">
        <x:f>I18-$G$18</x:f>
        <x:v>0</x:v>
      </x:c>
      <x:c r="J29" s="28" t="n">
        <x:f>J18-$G$18</x:f>
        <x:v>0</x:v>
      </x:c>
      <x:c r="K29" s="28" t="n">
        <x:f>K18-$G$18</x:f>
        <x:v>0</x:v>
      </x:c>
    </x:row>
    <x:row r="30" ht="19" customHeight="1">
      <x:c r="A30" s="2"/>
      <x:c r="B30" s="2"/>
      <x:c r="C30" s="2" t="str">
        <x:v>Delivery contribution change</x:v>
      </x:c>
      <x:c r="D30" s="28" t="n">
        <x:f>D24-$G$24</x:f>
        <x:v>0</x:v>
      </x:c>
      <x:c r="E30" s="28" t="n">
        <x:f>E24-$G$24</x:f>
        <x:v>0</x:v>
      </x:c>
      <x:c r="F30" s="28" t="n">
        <x:f>F24-$G$24</x:f>
        <x:v>0</x:v>
      </x:c>
      <x:c r="G30" s="28" t="n">
        <x:f>G24-$G$24</x:f>
        <x:v>0</x:v>
      </x:c>
      <x:c r="H30" s="28" t="n">
        <x:f>H24-$G$24</x:f>
        <x:v>0</x:v>
      </x:c>
      <x:c r="I30" s="28" t="n">
        <x:f>I24-$G$24</x:f>
        <x:v>0</x:v>
      </x:c>
      <x:c r="J30" s="28" t="n">
        <x:f>J24-$G$24</x:f>
        <x:v>0</x:v>
      </x:c>
      <x:c r="K30" s="28" t="n">
        <x:f>K24-$G$24</x:f>
        <x:v>0</x:v>
      </x:c>
    </x:row>
    <x:row r="31" ht="19" customHeight="1">
      <x:c r="A31" s="2"/>
      <x:c r="B31" s="2"/>
      <x:c r="C31" s="33" t="str">
        <x:v>Total RPU change</x:v>
      </x:c>
      <x:c r="D31" s="34" t="n">
        <x:f>SUM(D28:D30)</x:f>
        <x:v>0.4974228261025928</x:v>
      </x:c>
      <x:c r="E31" s="34" t="n">
        <x:f>SUM(E28:E30)</x:f>
        <x:v>0.4037067319261496</x:v>
      </x:c>
      <x:c r="F31" s="34" t="n">
        <x:f>SUM(F28:F30)</x:f>
        <x:v>0.21621334349879362</x:v>
      </x:c>
      <x:c r="G31" s="34" t="n">
        <x:f>SUM(G28:G30)</x:f>
        <x:v>0</x:v>
      </x:c>
      <x:c r="H31" s="34" t="n">
        <x:f>SUM(H28:H30)</x:f>
        <x:v>-0.21603788742936558</x:v>
      </x:c>
      <x:c r="I31" s="34" t="n">
        <x:f>SUM(I28:I30)</x:f>
        <x:v>-0.43084230705358095</x:v>
      </x:c>
      <x:c r="J31" s="34" t="n">
        <x:f>SUM(J28:J30)</x:f>
        <x:v>-0.6317773591738387</x:v>
      </x:c>
      <x:c r="K31" s="34" t="n">
        <x:f>SUM(K28:K30)</x:f>
        <x:v>-0.828452179470446</x:v>
      </x:c>
    </x:row>
    <x:row r="32" ht="19" customHeight="1">
      <x:c r="A32" s="2"/>
      <x:c r="B32" s="2"/>
      <x:c r="C32" s="2"/>
      <x:c r="D32" s="3"/>
      <x:c r="E32" s="3"/>
      <x:c r="F32" s="3"/>
      <x:c r="G32" s="3"/>
      <x:c r="H32" s="3"/>
      <x:c r="I32" s="3"/>
      <x:c r="J32" s="3"/>
      <x:c r="K32" s="3"/>
    </x:row>
    <x:row r="33" ht="19" customHeight="1">
      <x:c r="A33" s="2"/>
      <x:c r="B33" s="2"/>
      <x:c r="C33" s="2"/>
      <x:c r="D33" s="3"/>
      <x:c r="E33" s="3"/>
      <x:c r="F33" s="3"/>
      <x:c r="G33" s="3"/>
      <x:c r="H33" s="3"/>
      <x:c r="I33" s="3"/>
      <x:c r="J33" s="3"/>
      <x:c r="K33" s="3"/>
    </x:row>
    <x:row r="34" ht="30" customHeight="1">
      <x:c r="A34" s="2"/>
      <x:c r="B34" s="2"/>
      <x:c r="C34" s="15" t="str">
        <x:v>Title and delivery are modeled as attached auction revenue here. New or standalone product accounting still needs verification.</x:v>
      </x:c>
      <x:c r="D34" s="16"/>
      <x:c r="E34" s="16"/>
      <x:c r="F34" s="16"/>
      <x:c r="G34" s="16"/>
      <x:c r="H34" s="16"/>
      <x:c r="I34" s="16"/>
      <x:c r="J34" s="16"/>
      <x:c r="K34" s="16"/>
    </x:row>
    <x:row r="35" ht="19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</x:row>
    <x:row r="36" ht="30" customHeight="1">
      <x:c r="A36" s="2"/>
      <x:c r="B36" s="2"/>
      <x:c r="C36" s="15" t="str">
        <x:v>Same-quarter fee mix is applied to completed units. With nonzero carryover, prior-cohort fee attribution is an approximation.</x:v>
      </x:c>
      <x:c r="D36" s="16"/>
      <x:c r="E36" s="16"/>
      <x:c r="F36" s="16"/>
      <x:c r="G36" s="16"/>
      <x:c r="H36" s="16"/>
      <x:c r="I36" s="16"/>
      <x:c r="J36" s="16"/>
      <x:c r="K36" s="16"/>
    </x:row>
    <x:row r="37" ht="19" customHeight="1">
      <x:c r="A37" s="2"/>
      <x:c r="B37" s="2"/>
      <x:c r="C37" s="2"/>
      <x:c r="D37" s="3"/>
      <x:c r="E37" s="3"/>
      <x:c r="F37" s="3"/>
      <x:c r="G37" s="3"/>
      <x:c r="H37" s="3"/>
      <x:c r="I37" s="3"/>
      <x:c r="J37" s="3"/>
      <x:c r="K37" s="3"/>
    </x:row>
    <x:row r="38" ht="30" customHeight="1">
      <x:c r="A38" s="2"/>
      <x:c r="B38" s="2"/>
      <x:c r="C38" s="15" t="str">
        <x:v>No generic RPU-growth assumption. No historical +4pp regression intercept is carried into the forecast.</x:v>
      </x:c>
      <x:c r="D38" s="16"/>
      <x:c r="E38" s="16"/>
      <x:c r="F38" s="16"/>
      <x:c r="G38" s="16"/>
      <x:c r="H38" s="16"/>
      <x:c r="I38" s="16"/>
      <x:c r="J38" s="16"/>
      <x:c r="K38" s="16"/>
    </x:row>
    <x:row r="39" ht="19" customHeight="1">
      <x:c r="A39" s="2"/>
      <x:c r="B39" s="2"/>
      <x:c r="C39" s="2"/>
      <x:c r="D39" s="3"/>
      <x:c r="E39" s="3"/>
      <x:c r="F39" s="3"/>
      <x:c r="G39" s="3"/>
      <x:c r="H39" s="3"/>
      <x:c r="I39" s="3"/>
      <x:c r="J39" s="3"/>
      <x:c r="K39" s="3"/>
    </x:row>
    <x:row r="40" ht="19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</x:row>
    <x:row r="41" ht="19" customHeight="1">
      <x:c r="A41" s="2"/>
      <x:c r="B41" s="2"/>
      <x:c r="C41" s="2"/>
      <x:c r="D41" s="3"/>
      <x:c r="E41" s="3"/>
      <x:c r="F41" s="3"/>
      <x:c r="G41" s="3"/>
      <x:c r="H41" s="3"/>
      <x:c r="I41" s="3"/>
      <x:c r="J41" s="3"/>
      <x:c r="K41" s="3"/>
    </x:row>
    <x:row r="42" ht="19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</x:row>
    <x:row r="43" ht="19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</x:row>
    <x:row r="44" ht="19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</x:row>
    <x:row r="45" ht="19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</x:row>
    <x:row r="46" ht="19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</x:row>
    <x:row r="47" ht="19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19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</x:row>
    <x:row r="49" ht="19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</x:row>
    <x:row r="50" ht="19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19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</x:sheetData>
  <x:mergeCells>
    <x:mergeCell ref="C3:K3"/>
    <x:mergeCell ref="C34:K34"/>
    <x:mergeCell ref="C36:K36"/>
    <x:mergeCell ref="C38:K3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Quarterly service revenue from operating drivers</x:v>
      </x:c>
      <x:c r="D2" s="5"/>
      <x:c r="E2" s="5"/>
      <x:c r="F2" s="5"/>
      <x:c r="G2" s="5"/>
      <x:c r="H2" s="5"/>
      <x:c r="I2" s="5"/>
      <x:c r="J2" s="5"/>
      <x:c r="K2" s="5"/>
    </x:row>
    <x:row r="3" ht="30" customHeight="1">
      <x:c r="A3" s="2"/>
      <x:c r="B3" s="2"/>
      <x:c r="C3" s="15" t="str">
        <x:v>$millions unless stated. Other-US and international use coarse activity × fee builds; no service-growth plug.</x:v>
      </x:c>
      <x:c r="D3" s="15"/>
      <x:c r="E3" s="15"/>
      <x:c r="F3" s="15"/>
      <x:c r="G3" s="15"/>
      <x:c r="H3" s="15"/>
      <x:c r="I3" s="15"/>
      <x:c r="J3" s="15"/>
      <x:c r="K3" s="15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Insurance completed units</x:v>
      </x:c>
      <x:c r="D8" s="35" t="n">
        <x:f>'Volume Build'!D23</x:f>
        <x:v>899329.4717108737</x:v>
      </x:c>
      <x:c r="E8" s="35" t="n">
        <x:f>'Volume Build'!E23</x:f>
        <x:v>896836.0209102236</x:v>
      </x:c>
      <x:c r="F8" s="35" t="n">
        <x:f>'Volume Build'!F23</x:f>
        <x:v>869268.888549057</x:v>
      </x:c>
      <x:c r="G8" s="35" t="n">
        <x:f>'Volume Build'!G23</x:f>
        <x:v>844815.0320191256</x:v>
      </x:c>
      <x:c r="H8" s="35" t="n">
        <x:f>'Volume Build'!H23</x:f>
        <x:v>838457.4377939278</x:v>
      </x:c>
      <x:c r="I8" s="35" t="n">
        <x:f>'Volume Build'!I23</x:f>
        <x:v>837303.1941991675</x:v>
      </x:c>
      <x:c r="J8" s="35" t="n">
        <x:f>'Volume Build'!J23</x:f>
        <x:v>828800.735904785</x:v>
      </x:c>
      <x:c r="K8" s="35" t="n">
        <x:f>'Volume Build'!K23</x:f>
        <x:v>820282.2072814215</x:v>
      </x:c>
    </x:row>
    <x:row r="9" ht="19" customHeight="1">
      <x:c r="A9" s="2"/>
      <x:c r="B9" s="2"/>
      <x:c r="C9" s="2" t="str">
        <x:v>Insurance service RPU ($)</x:v>
      </x:c>
      <x:c r="D9" s="27" t="n">
        <x:f>'Vehicle Economics'!D22</x:f>
        <x:v>871.7411532328042</x:v>
      </x:c>
      <x:c r="E9" s="27" t="n">
        <x:f>'Vehicle Economics'!E22</x:f>
        <x:v>871.6474371386278</x:v>
      </x:c>
      <x:c r="F9" s="27" t="n">
        <x:f>'Vehicle Economics'!F22</x:f>
        <x:v>871.4599437502004</x:v>
      </x:c>
      <x:c r="G9" s="27" t="n">
        <x:f>'Vehicle Economics'!G22</x:f>
        <x:v>871.2437304067016</x:v>
      </x:c>
      <x:c r="H9" s="27" t="n">
        <x:f>'Vehicle Economics'!H22</x:f>
        <x:v>871.0276925192723</x:v>
      </x:c>
      <x:c r="I9" s="27" t="n">
        <x:f>'Vehicle Economics'!I22</x:f>
        <x:v>870.812888099648</x:v>
      </x:c>
      <x:c r="J9" s="27" t="n">
        <x:f>'Vehicle Economics'!J22</x:f>
        <x:v>870.6119530475278</x:v>
      </x:c>
      <x:c r="K9" s="27" t="n">
        <x:f>'Vehicle Economics'!K22</x:f>
        <x:v>870.4152782272312</x:v>
      </x:c>
    </x:row>
    <x:row r="10" ht="19" customHeight="1">
      <x:c r="A10" s="2"/>
      <x:c r="B10" s="2"/>
      <x:c r="C10" s="2" t="str">
        <x:v>US insurance service revenue</x:v>
      </x:c>
      <x:c r="D10" s="28" t="n">
        <x:f>D8*D9/1000000</x:f>
        <x:v>783.9825108054856</x:v>
      </x:c>
      <x:c r="E10" s="28" t="n">
        <x:f>E8*E9/1000000</x:f>
        <x:v>781.7248191600012</x:v>
      </x:c>
      <x:c r="F10" s="28" t="n">
        <x:f>F8*F9/1000000</x:f>
        <x:v>757.5330167187603</x:v>
      </x:c>
      <x:c r="G10" s="28" t="n">
        <x:f>G8*G9/1000000</x:f>
        <x:v>736.0398000000001</x:v>
      </x:c>
      <x:c r="H10" s="28" t="n">
        <x:f>H8*H9/1000000</x:f>
        <x:v>730.3196473172662</x:v>
      </x:c>
      <x:c r="I10" s="28" t="n">
        <x:f>I8*I9/1000000</x:f>
        <x:v>729.1344127556375</x:v>
      </x:c>
      <x:c r="J10" s="28" t="n">
        <x:f>J8*J9/1000000</x:f>
        <x:v>721.5638273732932</x:v>
      </x:c>
      <x:c r="K10" s="28" t="n">
        <x:f>K8*K9/1000000</x:f>
        <x:v>713.9861656757058</x:v>
      </x:c>
    </x:row>
    <x:row r="11" ht="19" customHeight="1">
      <x:c r="A11" s="2"/>
      <x:c r="B11" s="2"/>
      <x:c r="C11" s="2"/>
      <x:c r="D11" s="3"/>
      <x:c r="E11" s="3"/>
      <x:c r="F11" s="3"/>
      <x:c r="G11" s="3"/>
      <x:c r="H11" s="3"/>
      <x:c r="I11" s="3"/>
      <x:c r="J11" s="3"/>
      <x:c r="K11" s="3"/>
    </x:row>
    <x:row r="12" ht="19" customHeight="1">
      <x:c r="A12" s="2"/>
      <x:c r="B12" s="2"/>
      <x:c r="C12" s="2" t="str">
        <x:v>Other-US billable activity equivalents</x:v>
      </x:c>
      <x:c r="D12" s="35" t="n">
        <x:f>'Source Data'!$G$8*1000000*(1-'Assumptions'!$D$7)/'Assumptions'!$D$17*'Assumptions'!D40</x:f>
        <x:v>163564.39999999997</x:v>
      </x:c>
      <x:c r="E12" s="35" t="n">
        <x:f>'Source Data'!$G$8*1000000*(1-'Assumptions'!$D$7)/'Assumptions'!$D$17*'Assumptions'!E40</x:f>
        <x:v>163564.39999999997</x:v>
      </x:c>
      <x:c r="F12" s="35" t="n">
        <x:f>'Source Data'!$G$8*1000000*(1-'Assumptions'!$D$7)/'Assumptions'!$D$17*'Assumptions'!F40</x:f>
        <x:v>163564.39999999997</x:v>
      </x:c>
      <x:c r="G12" s="35" t="n">
        <x:f>'Source Data'!$G$8*1000000*(1-'Assumptions'!$D$7)/'Assumptions'!$D$17*'Assumptions'!G40</x:f>
        <x:v>163564.39999999997</x:v>
      </x:c>
      <x:c r="H12" s="35" t="n">
        <x:f>'Source Data'!$G$8*1000000*(1-'Assumptions'!$D$7)/'Assumptions'!$D$17*'Assumptions'!H40</x:f>
        <x:v>163564.39999999997</x:v>
      </x:c>
      <x:c r="I12" s="35" t="n">
        <x:f>'Source Data'!$G$8*1000000*(1-'Assumptions'!$D$7)/'Assumptions'!$D$17*'Assumptions'!I40</x:f>
        <x:v>163564.39999999997</x:v>
      </x:c>
      <x:c r="J12" s="35" t="n">
        <x:f>'Source Data'!$G$8*1000000*(1-'Assumptions'!$D$7)/'Assumptions'!$D$17*'Assumptions'!J40</x:f>
        <x:v>163564.39999999997</x:v>
      </x:c>
      <x:c r="K12" s="35" t="n">
        <x:f>'Source Data'!$G$8*1000000*(1-'Assumptions'!$D$7)/'Assumptions'!$D$17*'Assumptions'!K40</x:f>
        <x:v>163564.39999999997</x:v>
      </x:c>
    </x:row>
    <x:row r="13" ht="19" customHeight="1">
      <x:c r="A13" s="2"/>
      <x:c r="B13" s="2"/>
      <x:c r="C13" s="2" t="str">
        <x:v>Revenue per other-US activity ($)</x:v>
      </x:c>
      <x:c r="D13" s="27" t="n">
        <x:f>'Assumptions'!$D$17*'Assumptions'!D41</x:f>
        <x:v>500</x:v>
      </x:c>
      <x:c r="E13" s="27" t="n">
        <x:f>'Assumptions'!$D$17*'Assumptions'!E41</x:f>
        <x:v>500</x:v>
      </x:c>
      <x:c r="F13" s="27" t="n">
        <x:f>'Assumptions'!$D$17*'Assumptions'!F41</x:f>
        <x:v>500</x:v>
      </x:c>
      <x:c r="G13" s="27" t="n">
        <x:f>'Assumptions'!$D$17*'Assumptions'!G41</x:f>
        <x:v>500</x:v>
      </x:c>
      <x:c r="H13" s="27" t="n">
        <x:f>'Assumptions'!$D$17*'Assumptions'!H41</x:f>
        <x:v>500</x:v>
      </x:c>
      <x:c r="I13" s="27" t="n">
        <x:f>'Assumptions'!$D$17*'Assumptions'!I41</x:f>
        <x:v>500</x:v>
      </x:c>
      <x:c r="J13" s="27" t="n">
        <x:f>'Assumptions'!$D$17*'Assumptions'!J41</x:f>
        <x:v>500</x:v>
      </x:c>
      <x:c r="K13" s="27" t="n">
        <x:f>'Assumptions'!$D$17*'Assumptions'!K41</x:f>
        <x:v>500</x:v>
      </x:c>
    </x:row>
    <x:row r="14" ht="19" customHeight="1">
      <x:c r="A14" s="2"/>
      <x:c r="B14" s="2"/>
      <x:c r="C14" s="2" t="str">
        <x:v>Other-US service revenue</x:v>
      </x:c>
      <x:c r="D14" s="28" t="n">
        <x:f>D12*D13/1000000</x:f>
        <x:v>81.78219999999999</x:v>
      </x:c>
      <x:c r="E14" s="28" t="n">
        <x:f>E12*E13/1000000</x:f>
        <x:v>81.78219999999999</x:v>
      </x:c>
      <x:c r="F14" s="28" t="n">
        <x:f>F12*F13/1000000</x:f>
        <x:v>81.78219999999999</x:v>
      </x:c>
      <x:c r="G14" s="28" t="n">
        <x:f>G12*G13/1000000</x:f>
        <x:v>81.78219999999999</x:v>
      </x:c>
      <x:c r="H14" s="28" t="n">
        <x:f>H12*H13/1000000</x:f>
        <x:v>81.78219999999999</x:v>
      </x:c>
      <x:c r="I14" s="28" t="n">
        <x:f>I12*I13/1000000</x:f>
        <x:v>81.78219999999999</x:v>
      </x:c>
      <x:c r="J14" s="28" t="n">
        <x:f>J12*J13/1000000</x:f>
        <x:v>81.78219999999999</x:v>
      </x:c>
      <x:c r="K14" s="28" t="n">
        <x:f>K12*K13/1000000</x:f>
        <x:v>81.78219999999999</x:v>
      </x:c>
    </x:row>
    <x:row r="15" ht="19" customHeight="1">
      <x:c r="A15" s="2"/>
      <x:c r="B15" s="2"/>
      <x:c r="C15" s="33" t="str">
        <x:v>Total US service revenue</x:v>
      </x:c>
      <x:c r="D15" s="34" t="n">
        <x:f>SUM(D10,D14)</x:f>
        <x:v>865.7647108054856</x:v>
      </x:c>
      <x:c r="E15" s="34" t="n">
        <x:f>SUM(E10,E14)</x:f>
        <x:v>863.5070191600012</x:v>
      </x:c>
      <x:c r="F15" s="34" t="n">
        <x:f>SUM(F10,F14)</x:f>
        <x:v>839.3152167187603</x:v>
      </x:c>
      <x:c r="G15" s="34" t="n">
        <x:f>SUM(G10,G14)</x:f>
        <x:v>817.8220000000001</x:v>
      </x:c>
      <x:c r="H15" s="34" t="n">
        <x:f>SUM(H10,H14)</x:f>
        <x:v>812.1018473172662</x:v>
      </x:c>
      <x:c r="I15" s="34" t="n">
        <x:f>SUM(I10,I14)</x:f>
        <x:v>810.9166127556375</x:v>
      </x:c>
      <x:c r="J15" s="34" t="n">
        <x:f>SUM(J10,J14)</x:f>
        <x:v>803.3460273732932</x:v>
      </x:c>
      <x:c r="K15" s="34" t="n">
        <x:f>SUM(K10,K14)</x:f>
        <x:v>795.7683656757058</x:v>
      </x:c>
    </x:row>
    <x:row r="16" ht="19" customHeight="1">
      <x:c r="A16" s="2"/>
      <x:c r="B16" s="2"/>
      <x:c r="C16" s="2"/>
      <x:c r="D16" s="3"/>
      <x:c r="E16" s="3"/>
      <x:c r="F16" s="3"/>
      <x:c r="G16" s="3"/>
      <x:c r="H16" s="3"/>
      <x:c r="I16" s="3"/>
      <x:c r="J16" s="3"/>
      <x:c r="K16" s="3"/>
    </x:row>
    <x:row r="17" ht="19" customHeight="1">
      <x:c r="A17" s="2"/>
      <x:c r="B17" s="2"/>
      <x:c r="C17" s="2" t="str">
        <x:v>International activity equivalents</x:v>
      </x:c>
      <x:c r="D17" s="35" t="n">
        <x:f>'Source Data'!$G$9*1000000/'Assumptions'!$D$18*'Assumptions'!D42</x:f>
        <x:v>202296</x:v>
      </x:c>
      <x:c r="E17" s="35" t="n">
        <x:f>'Source Data'!$G$9*1000000/'Assumptions'!$D$18*'Assumptions'!E42</x:f>
        <x:v>202296</x:v>
      </x:c>
      <x:c r="F17" s="35" t="n">
        <x:f>'Source Data'!$G$9*1000000/'Assumptions'!$D$18*'Assumptions'!F42</x:f>
        <x:v>202296</x:v>
      </x:c>
      <x:c r="G17" s="35" t="n">
        <x:f>'Source Data'!$G$9*1000000/'Assumptions'!$D$18*'Assumptions'!G42</x:f>
        <x:v>202296</x:v>
      </x:c>
      <x:c r="H17" s="35" t="n">
        <x:f>'Source Data'!$G$9*1000000/'Assumptions'!$D$18*'Assumptions'!H42</x:f>
        <x:v>202296</x:v>
      </x:c>
      <x:c r="I17" s="35" t="n">
        <x:f>'Source Data'!$G$9*1000000/'Assumptions'!$D$18*'Assumptions'!I42</x:f>
        <x:v>202296</x:v>
      </x:c>
      <x:c r="J17" s="35" t="n">
        <x:f>'Source Data'!$G$9*1000000/'Assumptions'!$D$18*'Assumptions'!J42</x:f>
        <x:v>202296</x:v>
      </x:c>
      <x:c r="K17" s="35" t="n">
        <x:f>'Source Data'!$G$9*1000000/'Assumptions'!$D$18*'Assumptions'!K42</x:f>
        <x:v>202296</x:v>
      </x:c>
    </x:row>
    <x:row r="18" ht="19" customHeight="1">
      <x:c r="A18" s="2"/>
      <x:c r="B18" s="2"/>
      <x:c r="C18" s="2" t="str">
        <x:v>Revenue per activity ($ before FX)</x:v>
      </x:c>
      <x:c r="D18" s="27" t="n">
        <x:f>'Assumptions'!$D$18*'Assumptions'!D43</x:f>
        <x:v>750</x:v>
      </x:c>
      <x:c r="E18" s="27" t="n">
        <x:f>'Assumptions'!$D$18*'Assumptions'!E43</x:f>
        <x:v>750</x:v>
      </x:c>
      <x:c r="F18" s="27" t="n">
        <x:f>'Assumptions'!$D$18*'Assumptions'!F43</x:f>
        <x:v>750</x:v>
      </x:c>
      <x:c r="G18" s="27" t="n">
        <x:f>'Assumptions'!$D$18*'Assumptions'!G43</x:f>
        <x:v>750</x:v>
      </x:c>
      <x:c r="H18" s="27" t="n">
        <x:f>'Assumptions'!$D$18*'Assumptions'!H43</x:f>
        <x:v>750</x:v>
      </x:c>
      <x:c r="I18" s="27" t="n">
        <x:f>'Assumptions'!$D$18*'Assumptions'!I43</x:f>
        <x:v>750</x:v>
      </x:c>
      <x:c r="J18" s="27" t="n">
        <x:f>'Assumptions'!$D$18*'Assumptions'!J43</x:f>
        <x:v>750</x:v>
      </x:c>
      <x:c r="K18" s="27" t="n">
        <x:f>'Assumptions'!$D$18*'Assumptions'!K43</x:f>
        <x:v>750</x:v>
      </x:c>
    </x:row>
    <x:row r="19" ht="19" customHeight="1">
      <x:c r="A19" s="2"/>
      <x:c r="B19" s="2"/>
      <x:c r="C19" s="2" t="str">
        <x:v>International service revenue</x:v>
      </x:c>
      <x:c r="D19" s="27" t="n">
        <x:f>D17*D18*'Assumptions'!D44/1000000</x:f>
        <x:v>151.722</x:v>
      </x:c>
      <x:c r="E19" s="27" t="n">
        <x:f>E17*E18*'Assumptions'!E44/1000000</x:f>
        <x:v>151.722</x:v>
      </x:c>
      <x:c r="F19" s="27" t="n">
        <x:f>F17*F18*'Assumptions'!F44/1000000</x:f>
        <x:v>151.722</x:v>
      </x:c>
      <x:c r="G19" s="27" t="n">
        <x:f>G17*G18*'Assumptions'!G44/1000000</x:f>
        <x:v>151.722</x:v>
      </x:c>
      <x:c r="H19" s="27" t="n">
        <x:f>H17*H18*'Assumptions'!H44/1000000</x:f>
        <x:v>151.722</x:v>
      </x:c>
      <x:c r="I19" s="27" t="n">
        <x:f>I17*I18*'Assumptions'!I44/1000000</x:f>
        <x:v>151.722</x:v>
      </x:c>
      <x:c r="J19" s="27" t="n">
        <x:f>J17*J18*'Assumptions'!J44/1000000</x:f>
        <x:v>151.722</x:v>
      </x:c>
      <x:c r="K19" s="27" t="n">
        <x:f>K17*K18*'Assumptions'!K44/1000000</x:f>
        <x:v>151.722</x:v>
      </x:c>
    </x:row>
    <x:row r="20" ht="19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19" customHeight="1">
      <x:c r="A21" s="2"/>
      <x:c r="B21" s="2"/>
      <x:c r="C21" s="33" t="str">
        <x:v>Total modeled service revenue</x:v>
      </x:c>
      <x:c r="D21" s="34" t="n">
        <x:f>SUM(D15,D19)</x:f>
        <x:v>1017.4867108054856</x:v>
      </x:c>
      <x:c r="E21" s="34" t="n">
        <x:f>SUM(E15,E19)</x:f>
        <x:v>1015.2290191600011</x:v>
      </x:c>
      <x:c r="F21" s="34" t="n">
        <x:f>SUM(F15,F19)</x:f>
        <x:v>991.0372167187603</x:v>
      </x:c>
      <x:c r="G21" s="34" t="n">
        <x:f>SUM(G15,G19)</x:f>
        <x:v>969.5440000000001</x:v>
      </x:c>
      <x:c r="H21" s="34" t="n">
        <x:f>SUM(H15,H19)</x:f>
        <x:v>963.8238473172662</x:v>
      </x:c>
      <x:c r="I21" s="34" t="n">
        <x:f>SUM(I15,I19)</x:f>
        <x:v>962.6386127556375</x:v>
      </x:c>
      <x:c r="J21" s="34" t="n">
        <x:f>SUM(J15,J19)</x:f>
        <x:v>955.0680273732931</x:v>
      </x:c>
      <x:c r="K21" s="34" t="n">
        <x:f>SUM(K15,K19)</x:f>
        <x:v>947.4903656757058</x:v>
      </x:c>
    </x:row>
    <x:row r="22" ht="19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3"/>
      <x:c r="K22" s="3"/>
    </x:row>
    <x:row r="23" ht="19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</x:row>
    <x:row r="24" ht="19" customHeight="1">
      <x:c r="A24" s="2"/>
      <x:c r="B24" s="2"/>
      <x:c r="C24" s="24" t="str">
        <x:v>Historical reconstruction — not a backtest</x:v>
      </x:c>
      <x:c r="D24" s="25"/>
      <x:c r="E24" s="25"/>
      <x:c r="F24" s="25"/>
      <x:c r="G24" s="25"/>
      <x:c r="H24" s="25"/>
      <x:c r="I24" s="25"/>
      <x:c r="J24" s="25"/>
      <x:c r="K24" s="25"/>
    </x:row>
    <x:row r="25" ht="19" customHeight="1">
      <x:c r="A25" s="2"/>
      <x:c r="B25" s="2"/>
      <x:c r="C25" s="2" t="str">
        <x:v>US modeled less reported ($m)</x:v>
      </x:c>
      <x:c r="D25" s="27" t="n">
        <x:f>D15-'Source Data'!D8</x:f>
        <x:v>10.230710805485614</x:v>
      </x:c>
      <x:c r="E25" s="27" t="n">
        <x:f>E15-'Source Data'!E8</x:f>
        <x:v>44.04001916000118</x:v>
      </x:c>
      <x:c r="F25" s="27" t="n">
        <x:f>F15-'Source Data'!F8</x:f>
        <x:v>-56.14878328123973</x:v>
      </x:c>
      <x:c r="G25" s="27" t="n">
        <x:f>G15-'Source Data'!G8</x:f>
        <x:v>1.1368683772161603e-13</x:v>
      </x:c>
      <x:c r="H25" s="3"/>
      <x:c r="I25" s="3"/>
      <x:c r="J25" s="3"/>
      <x:c r="K25" s="3"/>
    </x:row>
    <x:row r="26" ht="19" customHeight="1">
      <x:c r="A26" s="2"/>
      <x:c r="B26" s="2"/>
      <x:c r="C26" s="2" t="str">
        <x:v>International less reported ($m)</x:v>
      </x:c>
      <x:c r="D26" s="27" t="n">
        <x:f>D19-'Source Data'!D9</x:f>
        <x:v>15.411000000000001</x:v>
      </x:c>
      <x:c r="E26" s="27" t="n">
        <x:f>E19-'Source Data'!E9</x:f>
        <x:v>19.138000000000005</x:v>
      </x:c>
      <x:c r="F26" s="27" t="n">
        <x:f>F19-'Source Data'!F9</x:f>
        <x:v>-8.894000000000005</x:v>
      </x:c>
      <x:c r="G26" s="27" t="n">
        <x:f>G19-'Source Data'!G9</x:f>
        <x:v>0</x:v>
      </x:c>
      <x:c r="H26" s="3"/>
      <x:c r="I26" s="3"/>
      <x:c r="J26" s="3"/>
      <x:c r="K26" s="3"/>
    </x:row>
    <x:row r="27" ht="19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</x:row>
    <x:row r="28" ht="19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</x:row>
    <x:row r="29" ht="19" customHeight="1">
      <x:c r="A29" s="2"/>
      <x:c r="B29" s="2"/>
      <x:c r="C29" s="24" t="str">
        <x:v>Insurance revenue change vs FY26Q4 ($m)</x:v>
      </x:c>
      <x:c r="D29" s="25"/>
      <x:c r="E29" s="25"/>
      <x:c r="F29" s="25"/>
      <x:c r="G29" s="25"/>
      <x:c r="H29" s="25"/>
      <x:c r="I29" s="25"/>
      <x:c r="J29" s="25"/>
      <x:c r="K29" s="25"/>
    </x:row>
    <x:row r="30" ht="19" customHeight="1">
      <x:c r="A30" s="2"/>
      <x:c r="B30" s="2"/>
      <x:c r="C30" s="2" t="str">
        <x:v>Completed-unit contribution</x:v>
      </x:c>
      <x:c r="D30" s="28" t="n">
        <x:f>(D8-$G$8)*$G$9/1000000</x:f>
        <x:v>47.49536379806969</x:v>
      </x:c>
      <x:c r="E30" s="28" t="n">
        <x:f>(E8-$G$8)*$G$9/1000000</x:f>
        <x:v>45.32296042092576</x:v>
      </x:c>
      <x:c r="F30" s="28" t="n">
        <x:f>(F8-$G$8)*$G$9/1000000</x:f>
        <x:v>21.305269185967628</x:v>
      </x:c>
      <x:c r="G30" s="28" t="n">
        <x:f>(G8-$G$8)*$G$9/1000000</x:f>
        <x:v>0</x:v>
      </x:c>
      <x:c r="H30" s="28" t="n">
        <x:f>(H8-$G$8)*$G$9/1000000</x:f>
        <x:v>-5.539014109173433</x:v>
      </x:c>
      <x:c r="I30" s="28" t="n">
        <x:f>(I8-$G$8)*$G$9/1000000</x:f>
        <x:v>-6.544641604470445</x:v>
      </x:c>
      <x:c r="J30" s="28" t="n">
        <x:f>(J8-$G$8)*$G$9/1000000</x:f>
        <x:v>-13.952355086495702</x:v>
      </x:c>
      <x:c r="K30" s="28" t="n">
        <x:f>(K8-$G$8)*$G$9/1000000</x:f>
        <x:v>-21.37406974189115</x:v>
      </x:c>
    </x:row>
    <x:row r="31" ht="19" customHeight="1">
      <x:c r="A31" s="2"/>
      <x:c r="B31" s="2"/>
      <x:c r="C31" s="2" t="str">
        <x:v>RPU contribution</x:v>
      </x:c>
      <x:c r="D31" s="28" t="n">
        <x:f>$G$8*(D9-$G$9)/1000000</x:f>
        <x:v>0.42023028076090596</x:v>
      </x:c>
      <x:c r="E31" s="28" t="n">
        <x:f>$G$8*(E9-$G$9)/1000000</x:f>
        <x:v>0.3410575156585266</x:v>
      </x:c>
      <x:c r="F31" s="28" t="n">
        <x:f>$G$8*(F9-$G$9)/1000000</x:f>
        <x:v>0.18266028271089554</x:v>
      </x:c>
      <x:c r="G31" s="28" t="n">
        <x:f>$G$8*(G9-$G$9)/1000000</x:f>
        <x:v>0</x:v>
      </x:c>
      <x:c r="H31" s="28" t="n">
        <x:f>$G$8*(H9-$G$9)/1000000</x:f>
        <x:v>-0.18251205478598376</x:v>
      </x:c>
      <x:c r="I31" s="28" t="n">
        <x:f>$G$8*(I9-$G$9)/1000000</x:f>
        <x:v>-0.36398205742866496</x:v>
      </x:c>
      <x:c r="J31" s="28" t="n">
        <x:f>$G$8*(J9-$G$9)/1000000</x:f>
        <x:v>-0.5337350099194053</x:v>
      </x:c>
      <x:c r="K31" s="28" t="n">
        <x:f>$G$8*(K9-$G$9)/1000000</x:f>
        <x:v>-0.6998888545256393</x:v>
      </x:c>
    </x:row>
    <x:row r="32" ht="19" customHeight="1">
      <x:c r="A32" s="2"/>
      <x:c r="B32" s="2"/>
      <x:c r="C32" s="2" t="str">
        <x:v>Unit × RPU interaction</x:v>
      </x:c>
      <x:c r="D32" s="28" t="n">
        <x:f>(D8-$G$8)*(D9-$G$9)/1000000</x:f>
        <x:v>0.02711672665486865</x:v>
      </x:c>
      <x:c r="E32" s="28" t="n">
        <x:f>(E8-$G$8)*(E9-$G$9)/1000000</x:f>
        <x:v>0.021001223416791687</x:v>
      </x:c>
      <x:c r="F32" s="28" t="n">
        <x:f>(F8-$G$8)*(F9-$G$9)/1000000</x:f>
        <x:v>0.0052872500817762545</x:v>
      </x:c>
      <x:c r="G32" s="28" t="n">
        <x:f>(G8-$G$8)*(G9-$G$9)/1000000</x:f>
        <x:v>0</x:v>
      </x:c>
      <x:c r="H32" s="28" t="n">
        <x:f>(H8-$G$8)*(H9-$G$9)/1000000</x:f>
        <x:v>0.0013734812255448664</x:v>
      </x:c>
      <x:c r="I32" s="28" t="n">
        <x:f>(I8-$G$8)*(I9-$G$9)/1000000</x:f>
        <x:v>0.0032364175365630922</x:v>
      </x:c>
      <x:c r="J32" s="28" t="n">
        <x:f>(J8-$G$8)*(J9-$G$9)/1000000</x:f>
        <x:v>0.010117469708146008</x:v>
      </x:c>
      <x:c r="K32" s="28" t="n">
        <x:f>(K8-$G$8)*(K9-$G$9)/1000000</x:f>
        <x:v>0.02032427212251746</x:v>
      </x:c>
    </x:row>
    <x:row r="33" ht="19" customHeight="1">
      <x:c r="A33" s="2"/>
      <x:c r="B33" s="2"/>
      <x:c r="C33" s="33" t="str">
        <x:v>Total insurance revenue change</x:v>
      </x:c>
      <x:c r="D33" s="34" t="n">
        <x:f>SUM(D30:D32)</x:f>
        <x:v>47.94271080548546</x:v>
      </x:c>
      <x:c r="E33" s="34" t="n">
        <x:f>SUM(E30:E32)</x:f>
        <x:v>45.685019160001076</x:v>
      </x:c>
      <x:c r="F33" s="34" t="n">
        <x:f>SUM(F30:F32)</x:f>
        <x:v>21.493216718760298</x:v>
      </x:c>
      <x:c r="G33" s="34" t="n">
        <x:f>SUM(G30:G32)</x:f>
        <x:v>0</x:v>
      </x:c>
      <x:c r="H33" s="34" t="n">
        <x:f>SUM(H30:H32)</x:f>
        <x:v>-5.720152682733872</x:v>
      </x:c>
      <x:c r="I33" s="34" t="n">
        <x:f>SUM(I30:I32)</x:f>
        <x:v>-6.905387244362547</x:v>
      </x:c>
      <x:c r="J33" s="34" t="n">
        <x:f>SUM(J30:J32)</x:f>
        <x:v>-14.475972626706962</x:v>
      </x:c>
      <x:c r="K33" s="34" t="n">
        <x:f>SUM(K30:K32)</x:f>
        <x:v>-22.053634324294272</x:v>
      </x:c>
    </x:row>
    <x:row r="34" ht="19" customHeight="1">
      <x:c r="A34" s="2"/>
      <x:c r="B34" s="2"/>
      <x:c r="C34" s="2"/>
      <x:c r="D34" s="3"/>
      <x:c r="E34" s="3"/>
      <x:c r="F34" s="3"/>
      <x:c r="G34" s="3"/>
      <x:c r="H34" s="3"/>
      <x:c r="I34" s="3"/>
      <x:c r="J34" s="3"/>
      <x:c r="K34" s="3"/>
    </x:row>
    <x:row r="35" ht="19" customHeight="1">
      <x:c r="A35" s="2"/>
      <x:c r="B35" s="2"/>
      <x:c r="C35" s="2"/>
      <x:c r="D35" s="3"/>
      <x:c r="E35" s="3"/>
      <x:c r="F35" s="3"/>
      <x:c r="G35" s="3"/>
      <x:c r="H35" s="3"/>
      <x:c r="I35" s="3"/>
      <x:c r="J35" s="3"/>
      <x:c r="K35" s="3"/>
    </x:row>
    <x:row r="36" ht="19" customHeight="1">
      <x:c r="A36" s="2"/>
      <x:c r="B36" s="2"/>
      <x:c r="C36" s="2"/>
      <x:c r="D36" s="3"/>
      <x:c r="E36" s="3"/>
      <x:c r="F36" s="3"/>
      <x:c r="G36" s="3"/>
      <x:c r="H36" s="3"/>
      <x:c r="I36" s="3"/>
      <x:c r="J36" s="3"/>
      <x:c r="K36" s="3"/>
    </x:row>
    <x:row r="37" ht="30" customHeight="1">
      <x:c r="A37" s="2"/>
      <x:c r="B37" s="2"/>
      <x:c r="C37" s="15" t="str">
        <x:v>Other-US includes referral/access/other unseparated services; equivalent activity counts are not reported auction units.</x:v>
      </x:c>
      <x:c r="D37" s="16"/>
      <x:c r="E37" s="16"/>
      <x:c r="F37" s="16"/>
      <x:c r="G37" s="16"/>
      <x:c r="H37" s="16"/>
      <x:c r="I37" s="16"/>
      <x:c r="J37" s="16"/>
      <x:c r="K37" s="16"/>
    </x:row>
    <x:row r="38" ht="19" customHeight="1">
      <x:c r="A38" s="2"/>
      <x:c r="B38" s="2"/>
      <x:c r="C38" s="2"/>
      <x:c r="D38" s="3"/>
      <x:c r="E38" s="3"/>
      <x:c r="F38" s="3"/>
      <x:c r="G38" s="3"/>
      <x:c r="H38" s="3"/>
      <x:c r="I38" s="3"/>
      <x:c r="J38" s="3"/>
      <x:c r="K38" s="3"/>
    </x:row>
    <x:row r="39" ht="30" customHeight="1">
      <x:c r="A39" s="2"/>
      <x:c r="B39" s="2"/>
      <x:c r="C39" s="15" t="str">
        <x:v>No acquisition contribution is included. Seasonality, CAT changes and other activity growth require supported explicit inputs.</x:v>
      </x:c>
      <x:c r="D39" s="16"/>
      <x:c r="E39" s="16"/>
      <x:c r="F39" s="16"/>
      <x:c r="G39" s="16"/>
      <x:c r="H39" s="16"/>
      <x:c r="I39" s="16"/>
      <x:c r="J39" s="16"/>
      <x:c r="K39" s="16"/>
    </x:row>
    <x:row r="40" ht="19" customHeight="1">
      <x:c r="A40" s="2"/>
      <x:c r="B40" s="2"/>
      <x:c r="C40" s="2"/>
      <x:c r="D40" s="3"/>
      <x:c r="E40" s="3"/>
      <x:c r="F40" s="3"/>
      <x:c r="G40" s="3"/>
      <x:c r="H40" s="3"/>
      <x:c r="I40" s="3"/>
      <x:c r="J40" s="3"/>
      <x:c r="K40" s="3"/>
    </x:row>
    <x:row r="41" ht="30" customHeight="1">
      <x:c r="A41" s="2"/>
      <x:c r="B41" s="2"/>
      <x:c r="C41" s="15" t="str">
        <x:v>This prototype covers the dollar perimeter but does not independently identify every revenue component.</x:v>
      </x:c>
      <x:c r="D41" s="16"/>
      <x:c r="E41" s="16"/>
      <x:c r="F41" s="16"/>
      <x:c r="G41" s="16"/>
      <x:c r="H41" s="16"/>
      <x:c r="I41" s="16"/>
      <x:c r="J41" s="16"/>
      <x:c r="K41" s="16"/>
    </x:row>
    <x:row r="42" ht="19" customHeight="1">
      <x:c r="A42" s="2"/>
      <x:c r="B42" s="2"/>
      <x:c r="C42" s="2"/>
      <x:c r="D42" s="3"/>
      <x:c r="E42" s="3"/>
      <x:c r="F42" s="3"/>
      <x:c r="G42" s="3"/>
      <x:c r="H42" s="3"/>
      <x:c r="I42" s="3"/>
      <x:c r="J42" s="3"/>
      <x:c r="K42" s="3"/>
    </x:row>
    <x:row r="43" ht="19" customHeight="1">
      <x:c r="A43" s="2"/>
      <x:c r="B43" s="2"/>
      <x:c r="C43" s="2"/>
      <x:c r="D43" s="3"/>
      <x:c r="E43" s="3"/>
      <x:c r="F43" s="3"/>
      <x:c r="G43" s="3"/>
      <x:c r="H43" s="3"/>
      <x:c r="I43" s="3"/>
      <x:c r="J43" s="3"/>
      <x:c r="K43" s="3"/>
    </x:row>
    <x:row r="44" ht="19" customHeight="1">
      <x:c r="A44" s="2"/>
      <x:c r="B44" s="2"/>
      <x:c r="C44" s="2"/>
      <x:c r="D44" s="3"/>
      <x:c r="E44" s="3"/>
      <x:c r="F44" s="3"/>
      <x:c r="G44" s="3"/>
      <x:c r="H44" s="3"/>
      <x:c r="I44" s="3"/>
      <x:c r="J44" s="3"/>
      <x:c r="K44" s="3"/>
    </x:row>
    <x:row r="45" ht="19" customHeight="1">
      <x:c r="A45" s="2"/>
      <x:c r="B45" s="2"/>
      <x:c r="C45" s="2"/>
      <x:c r="D45" s="3"/>
      <x:c r="E45" s="3"/>
      <x:c r="F45" s="3"/>
      <x:c r="G45" s="3"/>
      <x:c r="H45" s="3"/>
      <x:c r="I45" s="3"/>
      <x:c r="J45" s="3"/>
      <x:c r="K45" s="3"/>
    </x:row>
    <x:row r="46" ht="19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</x:row>
    <x:row r="47" ht="19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19" customHeight="1">
      <x:c r="A48" s="2"/>
      <x:c r="B48" s="2"/>
      <x:c r="C48" s="2"/>
      <x:c r="D48" s="3"/>
      <x:c r="E48" s="3"/>
      <x:c r="F48" s="3"/>
      <x:c r="G48" s="3"/>
      <x:c r="H48" s="3"/>
      <x:c r="I48" s="3"/>
      <x:c r="J48" s="3"/>
      <x:c r="K48" s="3"/>
    </x:row>
    <x:row r="49" ht="19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</x:row>
    <x:row r="50" ht="19" customHeight="1">
      <x:c r="A50" s="2"/>
      <x:c r="B50" s="2"/>
      <x:c r="C50" s="2"/>
      <x:c r="D50" s="3"/>
      <x:c r="E50" s="3"/>
      <x:c r="F50" s="3"/>
      <x:c r="G50" s="3"/>
      <x:c r="H50" s="3"/>
      <x:c r="I50" s="3"/>
      <x:c r="J50" s="3"/>
      <x:c r="K50" s="3"/>
    </x:row>
    <x:row r="51" ht="19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19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</x:row>
    <x:row r="53" ht="19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</x:sheetData>
  <x:mergeCells>
    <x:mergeCell ref="C3:K3"/>
    <x:mergeCell ref="C37:K37"/>
    <x:mergeCell ref="C39:K39"/>
    <x:mergeCell ref="C41:K4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9EAAB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Research assumptions — editable, not adopted forecasts</x:v>
      </x:c>
      <x:c r="D2" s="5"/>
      <x:c r="E2" s="5"/>
      <x:c r="F2" s="5"/>
      <x:c r="G2" s="5"/>
      <x:c r="H2" s="5"/>
      <x:c r="I2" s="5"/>
      <x:c r="J2" s="5"/>
      <x:c r="K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 t="str">
        <x:v>US insurance share of service dollars</x:v>
      </x:c>
      <x:c r="D7" s="19" t="n">
        <x:v>0.9</x:v>
      </x:c>
      <x:c r="E7" s="3"/>
      <x:c r="F7" s="3" t="str">
        <x:v>E14</x:v>
      </x:c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Car ACV at age 10 ($)</x:v>
      </x:c>
      <x:c r="D8" s="18" t="n">
        <x:v>10000</x:v>
      </x:c>
      <x:c r="E8" s="3"/>
      <x:c r="F8" s="3" t="str">
        <x:v>E08</x:v>
      </x:c>
      <x:c r="G8" s="3"/>
      <x:c r="H8" s="3"/>
      <x:c r="I8" s="3"/>
      <x:c r="J8" s="3"/>
      <x:c r="K8" s="3"/>
    </x:row>
    <x:row r="9" ht="19" customHeight="1">
      <x:c r="A9" s="2"/>
      <x:c r="B9" s="2"/>
      <x:c r="C9" s="2" t="str">
        <x:v>Annual age depreciation rate</x:v>
      </x:c>
      <x:c r="D9" s="19" t="n">
        <x:v>0.1</x:v>
      </x:c>
      <x:c r="E9" s="3"/>
      <x:c r="F9" s="3" t="str">
        <x:v>E08</x:v>
      </x:c>
      <x:c r="G9" s="3"/>
      <x:c r="H9" s="3"/>
      <x:c r="I9" s="3"/>
      <x:c r="J9" s="3"/>
      <x:c r="K9" s="3"/>
    </x:row>
    <x:row r="10" ht="19" customHeight="1">
      <x:c r="A10" s="2"/>
      <x:c r="B10" s="2"/>
      <x:c r="C10" s="2" t="str">
        <x:v>Log repair dispersion</x:v>
      </x:c>
      <x:c r="D10" s="18" t="n">
        <x:v>1.5702059479932844</x:v>
      </x:c>
      <x:c r="E10" s="3"/>
      <x:c r="F10" s="3" t="str">
        <x:v>E09</x:v>
      </x:c>
      <x:c r="G10" s="3"/>
      <x:c r="H10" s="3"/>
      <x:c r="I10" s="3"/>
      <x:c r="J10" s="3"/>
      <x:c r="K10" s="3"/>
    </x:row>
    <x:row r="11" ht="19" customHeight="1">
      <x:c r="A11" s="2"/>
      <x:c r="B11" s="2"/>
      <x:c r="C11" s="2" t="str">
        <x:v>Midpoint gross salvage / ACV</x:v>
      </x:c>
      <x:c r="D11" s="19" t="n">
        <x:v>0.3</x:v>
      </x:c>
      <x:c r="E11" s="3"/>
      <x:c r="F11" s="3" t="str">
        <x:v>E09</x:v>
      </x:c>
      <x:c r="G11" s="3"/>
      <x:c r="H11" s="3"/>
      <x:c r="I11" s="3"/>
      <x:c r="J11" s="3"/>
      <x:c r="K11" s="3"/>
    </x:row>
    <x:row r="12" ht="19" customHeight="1">
      <x:c r="A12" s="2"/>
      <x:c r="B12" s="2"/>
      <x:c r="C12" s="2" t="str">
        <x:v>Recovery slope across severity</x:v>
      </x:c>
      <x:c r="D12" s="19" t="n">
        <x:v>0.2</x:v>
      </x:c>
      <x:c r="E12" s="3"/>
      <x:c r="F12" s="3" t="str">
        <x:v>E09</x:v>
      </x:c>
      <x:c r="G12" s="3"/>
      <x:c r="H12" s="3"/>
      <x:c r="I12" s="3"/>
      <x:c r="J12" s="3"/>
      <x:c r="K12" s="3"/>
    </x:row>
    <x:row r="13" ht="19" customHeight="1">
      <x:c r="A13" s="2"/>
      <x:c r="B13" s="2"/>
      <x:c r="C13" s="2" t="str">
        <x:v>Auction routing fraction</x:v>
      </x:c>
      <x:c r="D13" s="19" t="n">
        <x:v>1</x:v>
      </x:c>
      <x:c r="E13" s="3"/>
      <x:c r="F13" s="3" t="str">
        <x:v>Embedded routing assumption</x:v>
      </x:c>
      <x:c r="G13" s="3"/>
      <x:c r="H13" s="3"/>
      <x:c r="I13" s="3"/>
      <x:c r="J13" s="3"/>
      <x:c r="K13" s="3"/>
    </x:row>
    <x:row r="14" ht="19" customHeight="1">
      <x:c r="A14" s="2"/>
      <x:c r="B14" s="2"/>
      <x:c r="C14" s="2" t="str">
        <x:v>Preferred buyer-fee share</x:v>
      </x:c>
      <x:c r="D14" s="19" t="n">
        <x:v>0.5</x:v>
      </x:c>
      <x:c r="E14" s="3"/>
      <x:c r="F14" s="3" t="str">
        <x:v>E10</x:v>
      </x:c>
      <x:c r="G14" s="3"/>
      <x:c r="H14" s="3"/>
      <x:c r="I14" s="3"/>
      <x:c r="J14" s="3"/>
      <x:c r="K14" s="3"/>
    </x:row>
    <x:row r="15" ht="19" customHeight="1">
      <x:c r="A15" s="2"/>
      <x:c r="B15" s="2"/>
      <x:c r="C15" s="2" t="str">
        <x:v>Title-service fee ($)</x:v>
      </x:c>
      <x:c r="D15" s="18" t="n">
        <x:v>50</x:v>
      </x:c>
      <x:c r="E15" s="3"/>
      <x:c r="F15" s="3" t="str">
        <x:v>E12</x:v>
      </x:c>
      <x:c r="G15" s="3"/>
      <x:c r="H15" s="3"/>
      <x:c r="I15" s="3"/>
      <x:c r="J15" s="3"/>
      <x:c r="K15" s="3"/>
    </x:row>
    <x:row r="16" ht="19" customHeight="1">
      <x:c r="A16" s="2"/>
      <x:c r="B16" s="2"/>
      <x:c r="C16" s="2" t="str">
        <x:v>Delivery revenue per job ($)</x:v>
      </x:c>
      <x:c r="D16" s="18" t="n">
        <x:v>300</x:v>
      </x:c>
      <x:c r="E16" s="3"/>
      <x:c r="F16" s="3" t="str">
        <x:v>E13</x:v>
      </x:c>
      <x:c r="G16" s="3"/>
      <x:c r="H16" s="3"/>
      <x:c r="I16" s="3"/>
      <x:c r="J16" s="3"/>
      <x:c r="K16" s="3"/>
    </x:row>
    <x:row r="17" ht="19" customHeight="1">
      <x:c r="A17" s="2"/>
      <x:c r="B17" s="2"/>
      <x:c r="C17" s="2" t="str">
        <x:v>Other-US revenue per activity ($)</x:v>
      </x:c>
      <x:c r="D17" s="18" t="n">
        <x:v>500</x:v>
      </x:c>
      <x:c r="E17" s="3"/>
      <x:c r="F17" s="3" t="str">
        <x:v>E15</x:v>
      </x:c>
      <x:c r="G17" s="3"/>
      <x:c r="H17" s="3"/>
      <x:c r="I17" s="3"/>
      <x:c r="J17" s="3"/>
      <x:c r="K17" s="3"/>
    </x:row>
    <x:row r="18" ht="19" customHeight="1">
      <x:c r="A18" s="2"/>
      <x:c r="B18" s="2"/>
      <x:c r="C18" s="2" t="str">
        <x:v>International revenue per activity ($)</x:v>
      </x:c>
      <x:c r="D18" s="18" t="n">
        <x:v>750</x:v>
      </x:c>
      <x:c r="E18" s="3"/>
      <x:c r="F18" s="3" t="str">
        <x:v>E16</x:v>
      </x:c>
      <x:c r="G18" s="3"/>
      <x:c r="H18" s="3"/>
      <x:c r="I18" s="3"/>
      <x:c r="J18" s="3"/>
      <x:c r="K18" s="3"/>
    </x:row>
    <x:row r="19" ht="19" customHeight="1">
      <x:c r="A19" s="2"/>
      <x:c r="B19" s="2"/>
      <x:c r="C19" s="2" t="str">
        <x:v>Car survival stretch</x:v>
      </x:c>
      <x:c r="D19" s="18" t="n">
        <x:v>1.27</x:v>
      </x:c>
      <x:c r="E19" s="3"/>
      <x:c r="F19" s="3" t="str">
        <x:v>E04</x:v>
      </x:c>
      <x:c r="G19" s="3"/>
      <x:c r="H19" s="3"/>
      <x:c r="I19" s="3"/>
      <x:c r="J19" s="3"/>
      <x:c r="K19" s="3"/>
    </x:row>
    <x:row r="20" ht="19" customHeight="1">
      <x:c r="A20" s="2"/>
      <x:c r="B20" s="2"/>
      <x:c r="C20" s="2" t="str">
        <x:v>LT survival stretch</x:v>
      </x:c>
      <x:c r="D20" s="18" t="n">
        <x:v>1.099</x:v>
      </x:c>
      <x:c r="E20" s="3"/>
      <x:c r="F20" s="3" t="str">
        <x:v>E04</x:v>
      </x:c>
      <x:c r="G20" s="3"/>
      <x:c r="H20" s="3"/>
      <x:c r="I20" s="3"/>
      <x:c r="J20" s="3"/>
      <x:c r="K20" s="3"/>
    </x:row>
    <x:row r="21" ht="19" customHeight="1">
      <x:c r="A21" s="2"/>
      <x:c r="B21" s="2"/>
      <x:c r="C21" s="2" t="str">
        <x:v>Age claim-weight decay</x:v>
      </x:c>
      <x:c r="D21" s="18" t="n">
        <x:v>0.09027</x:v>
      </x:c>
      <x:c r="E21" s="3"/>
      <x:c r="F21" s="3" t="str">
        <x:v>E05</x:v>
      </x:c>
      <x:c r="G21" s="3"/>
      <x:c r="H21" s="3"/>
      <x:c r="I21" s="3"/>
      <x:c r="J21" s="3"/>
      <x:c r="K21" s="3"/>
    </x:row>
    <x:row r="22" ht="19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3"/>
      <x:c r="K22" s="3"/>
    </x:row>
    <x:row r="23" ht="30" customHeight="1">
      <x:c r="A23" s="2"/>
      <x:c r="B23" s="2"/>
      <x:c r="C23" s="15" t="str">
        <x:v>Amber inputs are working assumptions. No saturation, repair inflation, price inflation or claims decline is imposed by default.</x:v>
      </x:c>
      <x:c r="D23" s="16"/>
      <x:c r="E23" s="16"/>
      <x:c r="F23" s="16"/>
      <x:c r="G23" s="16"/>
      <x:c r="H23" s="16"/>
      <x:c r="I23" s="16"/>
      <x:c r="J23" s="16"/>
      <x:c r="K23" s="16"/>
    </x:row>
    <x:row r="24" ht="19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30" customHeight="1">
      <x:c r="A25" s="2"/>
      <x:c r="B25" s="2"/>
      <x:c r="C25" s="15" t="str">
        <x:v>Insurance dollar share and service prices set the calibrated level. Absolute modeled units are not independently observed.</x:v>
      </x:c>
      <x:c r="D25" s="16"/>
      <x:c r="E25" s="16"/>
      <x:c r="F25" s="16"/>
      <x:c r="G25" s="16"/>
      <x:c r="H25" s="16"/>
      <x:c r="I25" s="16"/>
      <x:c r="J25" s="16"/>
      <x:c r="K25" s="16"/>
    </x:row>
    <x:row r="26" ht="19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</x:row>
    <x:row r="27" ht="19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</x:row>
    <x:row r="28" ht="19" customHeight="1">
      <x:c r="A28" s="2"/>
      <x:c r="B28" s="2"/>
      <x:c r="C28" s="24" t="str">
        <x:v>Quarterly operating drivers</x:v>
      </x:c>
      <x:c r="D28" s="25"/>
      <x:c r="E28" s="25"/>
      <x:c r="F28" s="25"/>
      <x:c r="G28" s="25"/>
      <x:c r="H28" s="25"/>
      <x:c r="I28" s="25"/>
      <x:c r="J28" s="25"/>
      <x:c r="K28" s="25"/>
    </x:row>
    <x:row r="29" ht="19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</x:row>
    <x:row r="30" ht="19" customHeight="1">
      <x:c r="A30" s="2"/>
      <x:c r="B30" s="2"/>
      <x:c r="C30" s="2" t="str">
        <x:v>Claim-frequency multiplier</x:v>
      </x:c>
      <x:c r="D30" s="18" t="n">
        <x:v>1</x:v>
      </x:c>
      <x:c r="E30" s="18" t="n">
        <x:v>1</x:v>
      </x:c>
      <x:c r="F30" s="18" t="n">
        <x:v>1</x:v>
      </x:c>
      <x:c r="G30" s="18" t="n">
        <x:v>1</x:v>
      </x:c>
      <x:c r="H30" s="18" t="n">
        <x:v>1</x:v>
      </x:c>
      <x:c r="I30" s="18" t="n">
        <x:v>1</x:v>
      </x:c>
      <x:c r="J30" s="18" t="n">
        <x:v>1</x:v>
      </x:c>
      <x:c r="K30" s="18" t="n">
        <x:v>1</x:v>
      </x:c>
    </x:row>
    <x:row r="31" ht="19" customHeight="1">
      <x:c r="A31" s="2"/>
      <x:c r="B31" s="2"/>
      <x:c r="C31" s="2" t="str">
        <x:v>Coverage / filing multiplier</x:v>
      </x:c>
      <x:c r="D31" s="18" t="n">
        <x:v>1</x:v>
      </x:c>
      <x:c r="E31" s="18" t="n">
        <x:v>1</x:v>
      </x:c>
      <x:c r="F31" s="18" t="n">
        <x:v>1</x:v>
      </x:c>
      <x:c r="G31" s="18" t="n">
        <x:v>1</x:v>
      </x:c>
      <x:c r="H31" s="18" t="n">
        <x:v>1</x:v>
      </x:c>
      <x:c r="I31" s="18" t="n">
        <x:v>1</x:v>
      </x:c>
      <x:c r="J31" s="18" t="n">
        <x:v>1</x:v>
      </x:c>
      <x:c r="K31" s="18" t="n">
        <x:v>1</x:v>
      </x:c>
    </x:row>
    <x:row r="32" ht="19" customHeight="1">
      <x:c r="A32" s="2"/>
      <x:c r="B32" s="2"/>
      <x:c r="C32" s="2" t="str">
        <x:v>Within-quarter sale conversion</x:v>
      </x:c>
      <x:c r="D32" s="19" t="n">
        <x:v>1</x:v>
      </x:c>
      <x:c r="E32" s="19" t="n">
        <x:v>1</x:v>
      </x:c>
      <x:c r="F32" s="19" t="n">
        <x:v>1</x:v>
      </x:c>
      <x:c r="G32" s="19" t="n">
        <x:v>1</x:v>
      </x:c>
      <x:c r="H32" s="19" t="n">
        <x:v>1</x:v>
      </x:c>
      <x:c r="I32" s="19" t="n">
        <x:v>1</x:v>
      </x:c>
      <x:c r="J32" s="19" t="n">
        <x:v>1</x:v>
      </x:c>
      <x:c r="K32" s="19" t="n">
        <x:v>1</x:v>
      </x:c>
    </x:row>
    <x:row r="33" ht="19" customHeight="1">
      <x:c r="A33" s="2"/>
      <x:c r="B33" s="2"/>
      <x:c r="C33" s="2" t="str">
        <x:v>Title use among eligible sold units</x:v>
      </x:c>
      <x:c r="D33" s="19" t="n">
        <x:v>0.5</x:v>
      </x:c>
      <x:c r="E33" s="19" t="n">
        <x:v>0.5</x:v>
      </x:c>
      <x:c r="F33" s="19" t="n">
        <x:v>0.5</x:v>
      </x:c>
      <x:c r="G33" s="19" t="n">
        <x:v>0.5</x:v>
      </x:c>
      <x:c r="H33" s="19" t="n">
        <x:v>0.5</x:v>
      </x:c>
      <x:c r="I33" s="19" t="n">
        <x:v>0.5</x:v>
      </x:c>
      <x:c r="J33" s="19" t="n">
        <x:v>0.5</x:v>
      </x:c>
      <x:c r="K33" s="19" t="n">
        <x:v>0.5</x:v>
      </x:c>
    </x:row>
    <x:row r="34" ht="19" customHeight="1">
      <x:c r="A34" s="2"/>
      <x:c r="B34" s="2"/>
      <x:c r="C34" s="2" t="str">
        <x:v>Delivery use among sold units</x:v>
      </x:c>
      <x:c r="D34" s="19" t="n">
        <x:v>0.1</x:v>
      </x:c>
      <x:c r="E34" s="19" t="n">
        <x:v>0.1</x:v>
      </x:c>
      <x:c r="F34" s="19" t="n">
        <x:v>0.1</x:v>
      </x:c>
      <x:c r="G34" s="19" t="n">
        <x:v>0.1</x:v>
      </x:c>
      <x:c r="H34" s="19" t="n">
        <x:v>0.1</x:v>
      </x:c>
      <x:c r="I34" s="19" t="n">
        <x:v>0.1</x:v>
      </x:c>
      <x:c r="J34" s="19" t="n">
        <x:v>0.1</x:v>
      </x:c>
      <x:c r="K34" s="19" t="n">
        <x:v>0.1</x:v>
      </x:c>
    </x:row>
    <x:row r="35" ht="19" customHeight="1">
      <x:c r="A35" s="2"/>
      <x:c r="B35" s="2"/>
      <x:c r="C35" s="2" t="str">
        <x:v>Repair-cost level</x:v>
      </x:c>
      <x:c r="D35" s="18" t="n">
        <x:v>1</x:v>
      </x:c>
      <x:c r="E35" s="18" t="n">
        <x:v>1</x:v>
      </x:c>
      <x:c r="F35" s="18" t="n">
        <x:v>1</x:v>
      </x:c>
      <x:c r="G35" s="18" t="n">
        <x:v>1</x:v>
      </x:c>
      <x:c r="H35" s="18" t="n">
        <x:v>1</x:v>
      </x:c>
      <x:c r="I35" s="18" t="n">
        <x:v>1</x:v>
      </x:c>
      <x:c r="J35" s="18" t="n">
        <x:v>1</x:v>
      </x:c>
      <x:c r="K35" s="18" t="n">
        <x:v>1</x:v>
      </x:c>
    </x:row>
    <x:row r="36" ht="19" customHeight="1">
      <x:c r="A36" s="2"/>
      <x:c r="B36" s="2"/>
      <x:c r="C36" s="2" t="str">
        <x:v>Pre-loss-value level</x:v>
      </x:c>
      <x:c r="D36" s="18" t="n">
        <x:v>1</x:v>
      </x:c>
      <x:c r="E36" s="18" t="n">
        <x:v>1</x:v>
      </x:c>
      <x:c r="F36" s="18" t="n">
        <x:v>1</x:v>
      </x:c>
      <x:c r="G36" s="18" t="n">
        <x:v>1</x:v>
      </x:c>
      <x:c r="H36" s="18" t="n">
        <x:v>1</x:v>
      </x:c>
      <x:c r="I36" s="18" t="n">
        <x:v>1</x:v>
      </x:c>
      <x:c r="J36" s="18" t="n">
        <x:v>1</x:v>
      </x:c>
      <x:c r="K36" s="18" t="n">
        <x:v>1</x:v>
      </x:c>
    </x:row>
    <x:row r="37" ht="19" customHeight="1">
      <x:c r="A37" s="2"/>
      <x:c r="B37" s="2"/>
      <x:c r="C37" s="2" t="str">
        <x:v>Buyer-fee schedule multiplier</x:v>
      </x:c>
      <x:c r="D37" s="18" t="n">
        <x:v>1</x:v>
      </x:c>
      <x:c r="E37" s="18" t="n">
        <x:v>1</x:v>
      </x:c>
      <x:c r="F37" s="18" t="n">
        <x:v>1</x:v>
      </x:c>
      <x:c r="G37" s="18" t="n">
        <x:v>1</x:v>
      </x:c>
      <x:c r="H37" s="18" t="n">
        <x:v>1</x:v>
      </x:c>
      <x:c r="I37" s="18" t="n">
        <x:v>1</x:v>
      </x:c>
      <x:c r="J37" s="18" t="n">
        <x:v>1</x:v>
      </x:c>
      <x:c r="K37" s="18" t="n">
        <x:v>1</x:v>
      </x:c>
    </x:row>
    <x:row r="38" ht="19" customHeight="1">
      <x:c r="A38" s="2"/>
      <x:c r="B38" s="2"/>
      <x:c r="C38" s="2" t="str">
        <x:v>Title-service price multiplier</x:v>
      </x:c>
      <x:c r="D38" s="18" t="n">
        <x:v>1</x:v>
      </x:c>
      <x:c r="E38" s="18" t="n">
        <x:v>1</x:v>
      </x:c>
      <x:c r="F38" s="18" t="n">
        <x:v>1</x:v>
      </x:c>
      <x:c r="G38" s="18" t="n">
        <x:v>1</x:v>
      </x:c>
      <x:c r="H38" s="18" t="n">
        <x:v>1</x:v>
      </x:c>
      <x:c r="I38" s="18" t="n">
        <x:v>1</x:v>
      </x:c>
      <x:c r="J38" s="18" t="n">
        <x:v>1</x:v>
      </x:c>
      <x:c r="K38" s="18" t="n">
        <x:v>1</x:v>
      </x:c>
    </x:row>
    <x:row r="39" ht="19" customHeight="1">
      <x:c r="A39" s="2"/>
      <x:c r="B39" s="2"/>
      <x:c r="C39" s="2" t="str">
        <x:v>Delivery-price multiplier</x:v>
      </x:c>
      <x:c r="D39" s="18" t="n">
        <x:v>1</x:v>
      </x:c>
      <x:c r="E39" s="18" t="n">
        <x:v>1</x:v>
      </x:c>
      <x:c r="F39" s="18" t="n">
        <x:v>1</x:v>
      </x:c>
      <x:c r="G39" s="18" t="n">
        <x:v>1</x:v>
      </x:c>
      <x:c r="H39" s="18" t="n">
        <x:v>1</x:v>
      </x:c>
      <x:c r="I39" s="18" t="n">
        <x:v>1</x:v>
      </x:c>
      <x:c r="J39" s="18" t="n">
        <x:v>1</x:v>
      </x:c>
      <x:c r="K39" s="18" t="n">
        <x:v>1</x:v>
      </x:c>
    </x:row>
    <x:row r="40" ht="19" customHeight="1">
      <x:c r="A40" s="2"/>
      <x:c r="B40" s="2"/>
      <x:c r="C40" s="2" t="str">
        <x:v>Other-US activity multiplier</x:v>
      </x:c>
      <x:c r="D40" s="18" t="n">
        <x:v>1</x:v>
      </x:c>
      <x:c r="E40" s="18" t="n">
        <x:v>1</x:v>
      </x:c>
      <x:c r="F40" s="18" t="n">
        <x:v>1</x:v>
      </x:c>
      <x:c r="G40" s="18" t="n">
        <x:v>1</x:v>
      </x:c>
      <x:c r="H40" s="18" t="n">
        <x:v>1</x:v>
      </x:c>
      <x:c r="I40" s="18" t="n">
        <x:v>1</x:v>
      </x:c>
      <x:c r="J40" s="18" t="n">
        <x:v>1</x:v>
      </x:c>
      <x:c r="K40" s="18" t="n">
        <x:v>1</x:v>
      </x:c>
    </x:row>
    <x:row r="41" ht="19" customHeight="1">
      <x:c r="A41" s="2"/>
      <x:c r="B41" s="2"/>
      <x:c r="C41" s="2" t="str">
        <x:v>Other-US fee multiplier</x:v>
      </x:c>
      <x:c r="D41" s="18" t="n">
        <x:v>1</x:v>
      </x:c>
      <x:c r="E41" s="18" t="n">
        <x:v>1</x:v>
      </x:c>
      <x:c r="F41" s="18" t="n">
        <x:v>1</x:v>
      </x:c>
      <x:c r="G41" s="18" t="n">
        <x:v>1</x:v>
      </x:c>
      <x:c r="H41" s="18" t="n">
        <x:v>1</x:v>
      </x:c>
      <x:c r="I41" s="18" t="n">
        <x:v>1</x:v>
      </x:c>
      <x:c r="J41" s="18" t="n">
        <x:v>1</x:v>
      </x:c>
      <x:c r="K41" s="18" t="n">
        <x:v>1</x:v>
      </x:c>
    </x:row>
    <x:row r="42" ht="19" customHeight="1">
      <x:c r="A42" s="2"/>
      <x:c r="B42" s="2"/>
      <x:c r="C42" s="2" t="str">
        <x:v>International activity multiplier</x:v>
      </x:c>
      <x:c r="D42" s="18" t="n">
        <x:v>1</x:v>
      </x:c>
      <x:c r="E42" s="18" t="n">
        <x:v>1</x:v>
      </x:c>
      <x:c r="F42" s="18" t="n">
        <x:v>1</x:v>
      </x:c>
      <x:c r="G42" s="18" t="n">
        <x:v>1</x:v>
      </x:c>
      <x:c r="H42" s="18" t="n">
        <x:v>1</x:v>
      </x:c>
      <x:c r="I42" s="18" t="n">
        <x:v>1</x:v>
      </x:c>
      <x:c r="J42" s="18" t="n">
        <x:v>1</x:v>
      </x:c>
      <x:c r="K42" s="18" t="n">
        <x:v>1</x:v>
      </x:c>
    </x:row>
    <x:row r="43" ht="19" customHeight="1">
      <x:c r="A43" s="2"/>
      <x:c r="B43" s="2"/>
      <x:c r="C43" s="2" t="str">
        <x:v>International fee multiplier</x:v>
      </x:c>
      <x:c r="D43" s="18" t="n">
        <x:v>1</x:v>
      </x:c>
      <x:c r="E43" s="18" t="n">
        <x:v>1</x:v>
      </x:c>
      <x:c r="F43" s="18" t="n">
        <x:v>1</x:v>
      </x:c>
      <x:c r="G43" s="18" t="n">
        <x:v>1</x:v>
      </x:c>
      <x:c r="H43" s="18" t="n">
        <x:v>1</x:v>
      </x:c>
      <x:c r="I43" s="18" t="n">
        <x:v>1</x:v>
      </x:c>
      <x:c r="J43" s="18" t="n">
        <x:v>1</x:v>
      </x:c>
      <x:c r="K43" s="18" t="n">
        <x:v>1</x:v>
      </x:c>
    </x:row>
    <x:row r="44" ht="19" customHeight="1">
      <x:c r="A44" s="2"/>
      <x:c r="B44" s="2"/>
      <x:c r="C44" s="2" t="str">
        <x:v>International FX multiplier</x:v>
      </x:c>
      <x:c r="D44" s="18" t="n">
        <x:v>1</x:v>
      </x:c>
      <x:c r="E44" s="18" t="n">
        <x:v>1</x:v>
      </x:c>
      <x:c r="F44" s="18" t="n">
        <x:v>1</x:v>
      </x:c>
      <x:c r="G44" s="18" t="n">
        <x:v>1</x:v>
      </x:c>
      <x:c r="H44" s="18" t="n">
        <x:v>1</x:v>
      </x:c>
      <x:c r="I44" s="18" t="n">
        <x:v>1</x:v>
      </x:c>
      <x:c r="J44" s="18" t="n">
        <x:v>1</x:v>
      </x:c>
      <x:c r="K44" s="18" t="n">
        <x:v>1</x:v>
      </x:c>
    </x:row>
    <x:row r="45" ht="19" customHeight="1">
      <x:c r="A45" s="2"/>
      <x:c r="B45" s="2"/>
      <x:c r="C45" s="2" t="str">
        <x:v>Additional CAT claim fraction</x:v>
      </x:c>
      <x:c r="D45" s="19" t="n">
        <x:v>0</x:v>
      </x:c>
      <x:c r="E45" s="19" t="n">
        <x:v>0</x:v>
      </x:c>
      <x:c r="F45" s="19" t="n">
        <x:v>0</x:v>
      </x:c>
      <x:c r="G45" s="19" t="n">
        <x:v>0</x:v>
      </x:c>
      <x:c r="H45" s="19" t="n">
        <x:v>0</x:v>
      </x:c>
      <x:c r="I45" s="19" t="n">
        <x:v>0</x:v>
      </x:c>
      <x:c r="J45" s="19" t="n">
        <x:v>0</x:v>
      </x:c>
      <x:c r="K45" s="19" t="n">
        <x:v>0</x:v>
      </x:c>
    </x:row>
    <x:row r="46" ht="19" customHeight="1">
      <x:c r="A46" s="2"/>
      <x:c r="B46" s="2"/>
      <x:c r="C46" s="2"/>
      <x:c r="D46" s="3"/>
      <x:c r="E46" s="3"/>
      <x:c r="F46" s="3"/>
      <x:c r="G46" s="3"/>
      <x:c r="H46" s="3"/>
      <x:c r="I46" s="3"/>
      <x:c r="J46" s="3"/>
      <x:c r="K46" s="3"/>
    </x:row>
    <x:row r="47" ht="19" customHeight="1">
      <x:c r="A47" s="2"/>
      <x:c r="B47" s="2"/>
      <x:c r="C47" s="2"/>
      <x:c r="D47" s="3"/>
      <x:c r="E47" s="3"/>
      <x:c r="F47" s="3"/>
      <x:c r="G47" s="3"/>
      <x:c r="H47" s="3"/>
      <x:c r="I47" s="3"/>
      <x:c r="J47" s="3"/>
      <x:c r="K47" s="3"/>
    </x:row>
    <x:row r="48" ht="30" customHeight="1">
      <x:c r="A48" s="2"/>
      <x:c r="B48" s="2"/>
      <x:c r="C48" s="15" t="str">
        <x:v>Other-US activity includes noninsurance auctions, referrals and other services. International is aggregated. Flat levels are neutral placeholders.</x:v>
      </x:c>
      <x:c r="D48" s="16"/>
      <x:c r="E48" s="16"/>
      <x:c r="F48" s="16"/>
      <x:c r="G48" s="16"/>
      <x:c r="H48" s="16"/>
      <x:c r="I48" s="16"/>
      <x:c r="J48" s="16"/>
      <x:c r="K48" s="16"/>
    </x:row>
    <x:row r="49" ht="19" customHeight="1">
      <x:c r="A49" s="2"/>
      <x:c r="B49" s="2"/>
      <x:c r="C49" s="2"/>
      <x:c r="D49" s="3"/>
      <x:c r="E49" s="3"/>
      <x:c r="F49" s="3"/>
      <x:c r="G49" s="3"/>
      <x:c r="H49" s="3"/>
      <x:c r="I49" s="3"/>
      <x:c r="J49" s="3"/>
      <x:c r="K49" s="3"/>
    </x:row>
    <x:row r="50" ht="30" customHeight="1">
      <x:c r="A50" s="2"/>
      <x:c r="B50" s="2"/>
      <x:c r="C50" s="15" t="str">
        <x:v>Timing starts at 100% within-quarter conversion to avoid imposing a second lag on the friend’s potentially sale-based allocation ramps.</x:v>
      </x:c>
      <x:c r="D50" s="16"/>
      <x:c r="E50" s="16"/>
      <x:c r="F50" s="16"/>
      <x:c r="G50" s="16"/>
      <x:c r="H50" s="16"/>
      <x:c r="I50" s="16"/>
      <x:c r="J50" s="16"/>
      <x:c r="K50" s="16"/>
    </x:row>
    <x:row r="51" ht="19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</x:row>
    <x:row r="52" ht="19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</x:row>
    <x:row r="53" ht="19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</x:row>
    <x:row r="54" ht="30" customHeight="1">
      <x:c r="A54" s="2"/>
      <x:c r="B54" s="2"/>
      <x:c r="C54" s="8" t="str">
        <x:v>Body</x:v>
      </x:c>
      <x:c r="D54" s="11" t="str">
        <x:v>Repair / car</x:v>
      </x:c>
      <x:c r="E54" s="11" t="str">
        <x:v>Value / car</x:v>
      </x:c>
      <x:c r="F54" s="11" t="str">
        <x:v>LT split</x:v>
      </x:c>
      <x:c r="G54" s="11" t="str">
        <x:v>Exposure adjustment</x:v>
      </x:c>
      <x:c r="H54" s="3"/>
      <x:c r="I54" s="3"/>
      <x:c r="J54" s="3"/>
      <x:c r="K54" s="3"/>
    </x:row>
    <x:row r="55" ht="19" customHeight="1">
      <x:c r="A55" s="2"/>
      <x:c r="B55" s="2"/>
      <x:c r="C55" s="2" t="str">
        <x:v>Car</x:v>
      </x:c>
      <x:c r="D55" s="18" t="n">
        <x:v>1</x:v>
      </x:c>
      <x:c r="E55" s="18" t="n">
        <x:v>1</x:v>
      </x:c>
      <x:c r="F55" s="19" t="n">
        <x:v>1</x:v>
      </x:c>
      <x:c r="G55" s="18" t="n">
        <x:v>1</x:v>
      </x:c>
      <x:c r="H55" s="3"/>
      <x:c r="I55" s="3"/>
      <x:c r="J55" s="3"/>
      <x:c r="K55" s="3"/>
    </x:row>
    <x:row r="56" ht="19" customHeight="1">
      <x:c r="A56" s="2"/>
      <x:c r="B56" s="2"/>
      <x:c r="C56" s="2" t="str">
        <x:v>SUV / crossover</x:v>
      </x:c>
      <x:c r="D56" s="18" t="n">
        <x:v>1.0067837414016483</x:v>
      </x:c>
      <x:c r="E56" s="18" t="n">
        <x:v>1.128</x:v>
      </x:c>
      <x:c r="F56" s="19" t="n">
        <x:v>0.7238938053097346</x:v>
      </x:c>
      <x:c r="G56" s="18" t="n">
        <x:v>1</x:v>
      </x:c>
      <x:c r="H56" s="3"/>
      <x:c r="I56" s="3"/>
      <x:c r="J56" s="3"/>
      <x:c r="K56" s="3"/>
    </x:row>
    <x:row r="57" ht="19" customHeight="1">
      <x:c r="A57" s="2"/>
      <x:c r="B57" s="2"/>
      <x:c r="C57" s="2" t="str">
        <x:v>Pickup</x:v>
      </x:c>
      <x:c r="D57" s="18" t="n">
        <x:v>1.30986050700456</x:v>
      </x:c>
      <x:c r="E57" s="18" t="n">
        <x:v>1.493</x:v>
      </x:c>
      <x:c r="F57" s="19" t="n">
        <x:v>0.1929203539823009</x:v>
      </x:c>
      <x:c r="G57" s="18" t="n">
        <x:v>1</x:v>
      </x:c>
      <x:c r="H57" s="3"/>
      <x:c r="I57" s="3"/>
      <x:c r="J57" s="3"/>
      <x:c r="K57" s="3"/>
    </x:row>
    <x:row r="58" ht="19" customHeight="1">
      <x:c r="A58" s="2"/>
      <x:c r="B58" s="2"/>
      <x:c r="C58" s="2" t="str">
        <x:v>Van</x:v>
      </x:c>
      <x:c r="D58" s="18" t="n">
        <x:v>0.9811785795166831</x:v>
      </x:c>
      <x:c r="E58" s="18" t="n">
        <x:v>1</x:v>
      </x:c>
      <x:c r="F58" s="19" t="n">
        <x:v>0.08318584070796461</x:v>
      </x:c>
      <x:c r="G58" s="18" t="n">
        <x:v>1</x:v>
      </x:c>
      <x:c r="H58" s="3"/>
      <x:c r="I58" s="3"/>
      <x:c r="J58" s="3"/>
      <x:c r="K58" s="3"/>
    </x:row>
    <x:row r="59" ht="19" customHeight="1">
      <x:c r="A59" s="2"/>
      <x:c r="B59" s="2"/>
      <x:c r="C59" s="2"/>
      <x:c r="D59" s="3"/>
      <x:c r="E59" s="3"/>
      <x:c r="F59" s="3"/>
      <x:c r="G59" s="3"/>
      <x:c r="H59" s="3"/>
      <x:c r="I59" s="3"/>
      <x:c r="J59" s="3"/>
      <x:c r="K59" s="3"/>
    </x:row>
    <x:row r="60" ht="30" customHeight="1">
      <x:c r="A60" s="2"/>
      <x:c r="B60" s="2"/>
      <x:c r="C60" s="15" t="str">
        <x:v>SUV 1.128x and pickup 1.493x values are small-panel retail proxies; van 1.00x is assumed. None is matched insurer ACV.</x:v>
      </x:c>
      <x:c r="D60" s="16"/>
      <x:c r="E60" s="16"/>
      <x:c r="F60" s="16"/>
      <x:c r="G60" s="16"/>
      <x:c r="H60" s="16"/>
      <x:c r="I60" s="16"/>
      <x:c r="J60" s="16"/>
      <x:c r="K60" s="16"/>
    </x:row>
    <x:row r="61" ht="19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</x:row>
    <x:row r="62" ht="19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</x:row>
    <x:row r="63" ht="19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</x:row>
    <x:row r="64" ht="30" customHeight="1">
      <x:c r="A64" s="2"/>
      <x:c r="B64" s="2"/>
      <x:c r="C64" s="8" t="str">
        <x:v>Carrier</x:v>
      </x:c>
      <x:c r="D64" s="11" t="str">
        <x:v>Seller rate</x:v>
      </x:c>
      <x:c r="E64" s="11" t="str">
        <x:v>Title-use factor</x:v>
      </x:c>
      <x:c r="F64" s="11" t="str">
        <x:v>Claim-weight factor</x:v>
      </x:c>
      <x:c r="G64" s="3"/>
      <x:c r="H64" s="3"/>
      <x:c r="I64" s="3"/>
      <x:c r="J64" s="3"/>
      <x:c r="K64" s="3"/>
    </x:row>
    <x:row r="65" ht="19" customHeight="1">
      <x:c r="A65" s="2"/>
      <x:c r="B65" s="2"/>
      <x:c r="C65" s="2" t="str">
        <x:v>State Farm</x:v>
      </x:c>
      <x:c r="D65" s="19" t="n">
        <x:v>0.04</x:v>
      </x:c>
      <x:c r="E65" s="18" t="n">
        <x:v>1</x:v>
      </x:c>
      <x:c r="F65" s="18" t="n">
        <x:v>1</x:v>
      </x:c>
      <x:c r="G65" s="3"/>
      <x:c r="H65" s="3"/>
      <x:c r="I65" s="3"/>
      <x:c r="J65" s="3"/>
      <x:c r="K65" s="3"/>
    </x:row>
    <x:row r="66" ht="19" customHeight="1">
      <x:c r="A66" s="2"/>
      <x:c r="B66" s="2"/>
      <x:c r="C66" s="2" t="str">
        <x:v>Progressive</x:v>
      </x:c>
      <x:c r="D66" s="19" t="n">
        <x:v>0.04</x:v>
      </x:c>
      <x:c r="E66" s="18" t="n">
        <x:v>1</x:v>
      </x:c>
      <x:c r="F66" s="18" t="n">
        <x:v>1</x:v>
      </x:c>
      <x:c r="G66" s="3"/>
      <x:c r="H66" s="3"/>
      <x:c r="I66" s="3"/>
      <x:c r="J66" s="3"/>
      <x:c r="K66" s="3"/>
    </x:row>
    <x:row r="67" ht="19" customHeight="1">
      <x:c r="A67" s="2"/>
      <x:c r="B67" s="2"/>
      <x:c r="C67" s="2" t="str">
        <x:v>GEICO</x:v>
      </x:c>
      <x:c r="D67" s="19" t="n">
        <x:v>0.04</x:v>
      </x:c>
      <x:c r="E67" s="18" t="n">
        <x:v>1</x:v>
      </x:c>
      <x:c r="F67" s="18" t="n">
        <x:v>1</x:v>
      </x:c>
      <x:c r="G67" s="3"/>
      <x:c r="H67" s="3"/>
      <x:c r="I67" s="3"/>
      <x:c r="J67" s="3"/>
      <x:c r="K67" s="3"/>
    </x:row>
    <x:row r="68" ht="19" customHeight="1">
      <x:c r="A68" s="2"/>
      <x:c r="B68" s="2"/>
      <x:c r="C68" s="2" t="str">
        <x:v>Allstate</x:v>
      </x:c>
      <x:c r="D68" s="19" t="n">
        <x:v>0.04</x:v>
      </x:c>
      <x:c r="E68" s="18" t="n">
        <x:v>1</x:v>
      </x:c>
      <x:c r="F68" s="18" t="n">
        <x:v>1</x:v>
      </x:c>
      <x:c r="G68" s="3"/>
      <x:c r="H68" s="3"/>
      <x:c r="I68" s="3"/>
      <x:c r="J68" s="3"/>
      <x:c r="K68" s="3"/>
    </x:row>
    <x:row r="69" ht="19" customHeight="1">
      <x:c r="A69" s="2"/>
      <x:c r="B69" s="2"/>
      <x:c r="C69" s="2" t="str">
        <x:v>USAA</x:v>
      </x:c>
      <x:c r="D69" s="19" t="n">
        <x:v>0.04</x:v>
      </x:c>
      <x:c r="E69" s="18" t="n">
        <x:v>1</x:v>
      </x:c>
      <x:c r="F69" s="18" t="n">
        <x:v>1</x:v>
      </x:c>
      <x:c r="G69" s="3"/>
      <x:c r="H69" s="3"/>
      <x:c r="I69" s="3"/>
      <x:c r="J69" s="3"/>
      <x:c r="K69" s="3"/>
    </x:row>
    <x:row r="70" ht="19" customHeight="1">
      <x:c r="A70" s="2"/>
      <x:c r="B70" s="2"/>
      <x:c r="C70" s="2" t="str">
        <x:v>Farmers</x:v>
      </x:c>
      <x:c r="D70" s="19" t="n">
        <x:v>0.04</x:v>
      </x:c>
      <x:c r="E70" s="18" t="n">
        <x:v>1</x:v>
      </x:c>
      <x:c r="F70" s="18" t="n">
        <x:v>1</x:v>
      </x:c>
      <x:c r="G70" s="3"/>
      <x:c r="H70" s="3"/>
      <x:c r="I70" s="3"/>
      <x:c r="J70" s="3"/>
      <x:c r="K70" s="3"/>
    </x:row>
    <x:row r="71" ht="19" customHeight="1">
      <x:c r="A71" s="2"/>
      <x:c r="B71" s="2"/>
      <x:c r="C71" s="2" t="str">
        <x:v>Liberty Mutual</x:v>
      </x:c>
      <x:c r="D71" s="19" t="n">
        <x:v>0.04</x:v>
      </x:c>
      <x:c r="E71" s="18" t="n">
        <x:v>1</x:v>
      </x:c>
      <x:c r="F71" s="18" t="n">
        <x:v>1</x:v>
      </x:c>
      <x:c r="G71" s="3"/>
      <x:c r="H71" s="3"/>
      <x:c r="I71" s="3"/>
      <x:c r="J71" s="3"/>
      <x:c r="K71" s="3"/>
    </x:row>
    <x:row r="72" ht="19" customHeight="1">
      <x:c r="A72" s="2"/>
      <x:c r="B72" s="2"/>
      <x:c r="C72" s="2" t="str">
        <x:v>Travelers</x:v>
      </x:c>
      <x:c r="D72" s="19" t="n">
        <x:v>0.04</x:v>
      </x:c>
      <x:c r="E72" s="18" t="n">
        <x:v>1</x:v>
      </x:c>
      <x:c r="F72" s="18" t="n">
        <x:v>1</x:v>
      </x:c>
      <x:c r="G72" s="3"/>
      <x:c r="H72" s="3"/>
      <x:c r="I72" s="3"/>
      <x:c r="J72" s="3"/>
      <x:c r="K72" s="3"/>
    </x:row>
    <x:row r="73" ht="19" customHeight="1">
      <x:c r="A73" s="2"/>
      <x:c r="B73" s="2"/>
      <x:c r="C73" s="2" t="str">
        <x:v>Nationwide</x:v>
      </x:c>
      <x:c r="D73" s="19" t="n">
        <x:v>0.04</x:v>
      </x:c>
      <x:c r="E73" s="18" t="n">
        <x:v>1</x:v>
      </x:c>
      <x:c r="F73" s="18" t="n">
        <x:v>1</x:v>
      </x:c>
      <x:c r="G73" s="3"/>
      <x:c r="H73" s="3"/>
      <x:c r="I73" s="3"/>
      <x:c r="J73" s="3"/>
      <x:c r="K73" s="3"/>
    </x:row>
    <x:row r="74" ht="19" customHeight="1">
      <x:c r="A74" s="2"/>
      <x:c r="B74" s="2"/>
      <x:c r="C74" s="2" t="str">
        <x:v>Other (Erie, AAA, AmFam, regionals)</x:v>
      </x:c>
      <x:c r="D74" s="19" t="n">
        <x:v>0.04</x:v>
      </x:c>
      <x:c r="E74" s="18" t="n">
        <x:v>1</x:v>
      </x:c>
      <x:c r="F74" s="18" t="n">
        <x:v>1</x:v>
      </x:c>
      <x:c r="G74" s="3"/>
      <x:c r="H74" s="3"/>
      <x:c r="I74" s="3"/>
      <x:c r="J74" s="3"/>
      <x:c r="K74" s="3"/>
    </x:row>
    <x:row r="75" ht="19" customHeight="1">
      <x:c r="A75" s="2"/>
      <x:c r="B75" s="2"/>
      <x:c r="C75" s="2"/>
      <x:c r="D75" s="3"/>
      <x:c r="E75" s="3"/>
      <x:c r="F75" s="3"/>
      <x:c r="G75" s="3"/>
      <x:c r="H75" s="3"/>
      <x:c r="I75" s="3"/>
      <x:c r="J75" s="3"/>
      <x:c r="K75" s="3"/>
    </x:row>
    <x:row r="76" ht="19" customHeight="1">
      <x:c r="A76" s="2"/>
      <x:c r="B76" s="2"/>
      <x:c r="C76" s="2"/>
      <x:c r="D76" s="3"/>
      <x:c r="E76" s="3"/>
      <x:c r="F76" s="3"/>
      <x:c r="G76" s="3"/>
      <x:c r="H76" s="3"/>
      <x:c r="I76" s="3"/>
      <x:c r="J76" s="3"/>
      <x:c r="K76" s="3"/>
    </x:row>
    <x:row r="77" ht="30" customHeight="1">
      <x:c r="A77" s="2"/>
      <x:c r="B77" s="2"/>
      <x:c r="C77" s="15" t="str">
        <x:v>Seller rates use an analyst illustration, not contracts. Carrier title-use factors are neutral, not measured adoption.</x:v>
      </x:c>
      <x:c r="D77" s="16"/>
      <x:c r="E77" s="16"/>
      <x:c r="F77" s="16"/>
      <x:c r="G77" s="16"/>
      <x:c r="H77" s="16"/>
      <x:c r="I77" s="16"/>
      <x:c r="J77" s="16"/>
      <x:c r="K77" s="16"/>
    </x:row>
    <x:row r="78" ht="19" customHeight="1">
      <x:c r="A78" s="2"/>
      <x:c r="B78" s="2"/>
      <x:c r="C78" s="2"/>
      <x:c r="D78" s="3"/>
      <x:c r="E78" s="3"/>
      <x:c r="F78" s="3"/>
      <x:c r="G78" s="3"/>
      <x:c r="H78" s="3"/>
      <x:c r="I78" s="3"/>
      <x:c r="J78" s="3"/>
      <x:c r="K78" s="3"/>
    </x:row>
    <x:row r="79" ht="19" customHeight="1">
      <x:c r="A79" s="2"/>
      <x:c r="B79" s="2"/>
      <x:c r="C79" s="2"/>
      <x:c r="D79" s="3"/>
      <x:c r="E79" s="3"/>
      <x:c r="F79" s="3"/>
      <x:c r="G79" s="3"/>
      <x:c r="H79" s="3"/>
      <x:c r="I79" s="3"/>
      <x:c r="J79" s="3"/>
      <x:c r="K79" s="3"/>
    </x:row>
    <x:row r="80" ht="30" customHeight="1">
      <x:c r="A80" s="2"/>
      <x:c r="B80" s="2"/>
      <x:c r="C80" s="8" t="str">
        <x:v>Comparison: total services ($m)</x:v>
      </x:c>
      <x:c r="D80" s="11" t="str">
        <x:v>Q1 FY26A</x:v>
      </x:c>
      <x:c r="E80" s="11" t="str">
        <x:v>Q2 FY26A</x:v>
      </x:c>
      <x:c r="F80" s="11" t="str">
        <x:v>Q3 FY26A</x:v>
      </x:c>
      <x:c r="G80" s="11" t="str">
        <x:v>Q4 FY26A</x:v>
      </x:c>
      <x:c r="H80" s="11" t="str">
        <x:v>Q1 FY27E</x:v>
      </x:c>
      <x:c r="I80" s="11" t="str">
        <x:v>Q2 FY27E</x:v>
      </x:c>
      <x:c r="J80" s="11" t="str">
        <x:v>Q3 FY27E</x:v>
      </x:c>
      <x:c r="K80" s="11" t="str">
        <x:v>Q4 FY27E</x:v>
      </x:c>
    </x:row>
    <x:row r="81" ht="19" customHeight="1">
      <x:c r="A81" s="2"/>
      <x:c r="B81" s="2"/>
      <x:c r="C81" s="2"/>
      <x:c r="D81" s="3" t="str">
        <x:v>n.a.</x:v>
      </x:c>
      <x:c r="E81" s="3" t="str">
        <x:v>n.a.</x:v>
      </x:c>
      <x:c r="F81" s="3" t="str">
        <x:v>n.a.</x:v>
      </x:c>
      <x:c r="G81" s="3" t="str">
        <x:v>n.a.</x:v>
      </x:c>
      <x:c r="H81" s="3" t="str">
        <x:v>n.a.</x:v>
      </x:c>
      <x:c r="I81" s="3" t="str">
        <x:v>n.a.</x:v>
      </x:c>
      <x:c r="J81" s="3" t="str">
        <x:v>n.a.</x:v>
      </x:c>
      <x:c r="K81" s="3" t="str">
        <x:v>n.a.</x:v>
      </x:c>
    </x:row>
    <x:row r="82" ht="19" customHeight="1">
      <x:c r="A82" s="2"/>
      <x:c r="B82" s="2"/>
      <x:c r="C82" s="2"/>
      <x:c r="D82" s="3"/>
      <x:c r="E82" s="3"/>
      <x:c r="F82" s="3"/>
      <x:c r="G82" s="3"/>
      <x:c r="H82" s="3"/>
      <x:c r="I82" s="3"/>
      <x:c r="J82" s="3"/>
      <x:c r="K82" s="3"/>
    </x:row>
    <x:row r="83" ht="30" customHeight="1">
      <x:c r="A83" s="2"/>
      <x:c r="B83" s="2"/>
      <x:c r="C83" s="15" t="str">
        <x:v>No compatible current consensus series loaded. Enter sourced quarterly service-revenue estimates to enable the comparison.</x:v>
      </x:c>
      <x:c r="D83" s="16"/>
      <x:c r="E83" s="16"/>
      <x:c r="F83" s="16"/>
      <x:c r="G83" s="16"/>
      <x:c r="H83" s="16"/>
      <x:c r="I83" s="16"/>
      <x:c r="J83" s="16"/>
      <x:c r="K83" s="16"/>
    </x:row>
    <x:row r="84" ht="19" customHeight="1">
      <x:c r="A84" s="2"/>
      <x:c r="B84" s="2"/>
      <x:c r="C84" s="2"/>
      <x:c r="D84" s="3"/>
      <x:c r="E84" s="3"/>
      <x:c r="F84" s="3"/>
      <x:c r="G84" s="3"/>
      <x:c r="H84" s="3"/>
      <x:c r="I84" s="3"/>
      <x:c r="J84" s="3"/>
      <x:c r="K84" s="3"/>
    </x:row>
    <x:row r="85" ht="19" customHeight="1">
      <x:c r="A85" s="2"/>
      <x:c r="B85" s="2"/>
      <x:c r="C85" s="2"/>
      <x:c r="D85" s="3"/>
      <x:c r="E85" s="3"/>
      <x:c r="F85" s="3"/>
      <x:c r="G85" s="3"/>
      <x:c r="H85" s="3"/>
      <x:c r="I85" s="3"/>
      <x:c r="J85" s="3"/>
      <x:c r="K85" s="3"/>
    </x:row>
    <x:row r="86" ht="19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3"/>
      <x:c r="K86" s="3"/>
    </x:row>
    <x:row r="87" ht="19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3"/>
      <x:c r="K87" s="3"/>
    </x:row>
    <x:row r="88" ht="19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3"/>
      <x:c r="K88" s="3"/>
    </x:row>
  </x:sheetData>
  <x:mergeCells>
    <x:mergeCell ref="C23:K23"/>
    <x:mergeCell ref="C25:K25"/>
    <x:mergeCell ref="C48:K48"/>
    <x:mergeCell ref="C50:K50"/>
    <x:mergeCell ref="C60:K60"/>
    <x:mergeCell ref="C77:K77"/>
    <x:mergeCell ref="C83:K8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2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</x:row>
    <x:row r="2" ht="24" customHeight="1">
      <x:c r="A2" s="2"/>
      <x:c r="B2" s="2"/>
      <x:c r="C2" s="5" t="str">
        <x:v>Fleet and relative claim exposure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</x:row>
    <x:row r="5" ht="30" customHeight="1">
      <x:c r="A5" s="2"/>
      <x:c r="B5" s="2"/>
      <x:c r="C5" s="8" t="str">
        <x:v>Body ID</x:v>
      </x:c>
      <x:c r="D5" s="8" t="str">
        <x:v>Age</x:v>
      </x:c>
      <x:c r="E5" s="8" t="str">
        <x:v>Bucket ID</x:v>
      </x:c>
      <x:c r="F5" s="8" t="str">
        <x:v>Relative claims</x:v>
      </x:c>
      <x:c r="G5" s="8" t="str">
        <x:v>Survival</x:v>
      </x:c>
      <x:c r="H5" s="8" t="str">
        <x:v>2023 stock</x:v>
      </x:c>
      <x:c r="I5" s="8" t="str">
        <x:v>2024 stock</x:v>
      </x:c>
      <x:c r="J5" s="8" t="str">
        <x:v>2025 stock</x:v>
      </x:c>
      <x:c r="K5" s="8" t="str">
        <x:v>2026 stock</x:v>
      </x:c>
      <x:c r="L5" s="8" t="str">
        <x:v>2027 stock</x:v>
      </x:c>
      <x:c r="M5" s="8" t="str">
        <x:v>Q1 FY26A</x:v>
      </x:c>
      <x:c r="N5" s="8" t="str">
        <x:v>Q2 FY26A</x:v>
      </x:c>
      <x:c r="O5" s="8" t="str">
        <x:v>Q3 FY26A</x:v>
      </x:c>
      <x:c r="P5" s="8" t="str">
        <x:v>Q4 FY26A</x:v>
      </x:c>
      <x:c r="Q5" s="8" t="str">
        <x:v>Q1 FY27E</x:v>
      </x:c>
      <x:c r="R5" s="8" t="str">
        <x:v>Q2 FY27E</x:v>
      </x:c>
      <x:c r="S5" s="8" t="str">
        <x:v>Q3 FY27E</x:v>
      </x:c>
      <x:c r="T5" s="8" t="str">
        <x:v>Q4 FY27E</x:v>
      </x:c>
      <x:c r="U5" s="2"/>
      <x:c r="V5" s="2"/>
      <x:c r="W5" s="2"/>
      <x:c r="X5" s="2"/>
      <x:c r="Y5" s="2"/>
      <x:c r="Z5" s="2"/>
      <x:c r="AA5" s="2"/>
      <x:c r="AB5" s="2"/>
      <x:c r="AC5" s="2"/>
      <x:c r="AD5" s="2"/>
    </x:row>
    <x:row r="6" ht="19" customHeight="1">
      <x:c r="A6" s="2"/>
      <x:c r="B6" s="2"/>
      <x:c r="C6" s="45" t="n">
        <x:f>'Source Data'!C29</x:f>
        <x:v>0</x:v>
      </x:c>
      <x:c r="D6" s="45" t="n">
        <x:f>'Source Data'!D29</x:f>
        <x:v>0</x:v>
      </x:c>
      <x:c r="E6" s="45" t="n">
        <x:f>'Source Data'!E29</x:f>
        <x:v>0</x:v>
      </x:c>
      <x:c r="F6" s="27" t="n">
        <x:f>IF(D6=0,0.5,1)*EXP(-'Assumptions'!$D$21*MAX(D6-6,0))</x:f>
        <x:v>0.5</x:v>
      </x:c>
      <x:c r="G6" s="27" t="n">
        <x:f>IF(D6/'Assumptions'!$D$19&gt;=31,0,INDEX('Source Data'!$M$29:$M$60,INT(D6/'Assumptions'!$D$19)+1)+(D6/'Assumptions'!$D$19-INT(D6/'Assumptions'!$D$19))*(INDEX('Source Data'!$M$29:$M$60,MIN(32,INT(D6/'Assumptions'!$D$19)+2))-INDEX('Source Data'!$M$29:$M$60,INT(D6/'Assumptions'!$D$19)+1)))</x:f>
        <x:v>1</x:v>
      </x:c>
      <x:c r="H6" s="27" t="n">
        <x:f>'Source Data'!F29*G6*'Assumptions'!$F$55*'Assumptions'!$G$55</x:f>
        <x:v>3184.6</x:v>
      </x:c>
      <x:c r="I6" s="27" t="n">
        <x:f>'Source Data'!G29*G6*'Assumptions'!$F$55*'Assumptions'!$G$55</x:f>
        <x:v>3040.5</x:v>
      </x:c>
      <x:c r="J6" s="27" t="n">
        <x:f>'Source Data'!H29*G6*'Assumptions'!$F$55*'Assumptions'!$G$55</x:f>
        <x:v>2764.4</x:v>
      </x:c>
      <x:c r="K6" s="27" t="n">
        <x:f>'Source Data'!I29*G6*'Assumptions'!$F$55*'Assumptions'!$G$55</x:f>
        <x:v>2764.4</x:v>
      </x:c>
      <x:c r="L6" s="27" t="n">
        <x:f>'Source Data'!J29*G6*'Assumptions'!$F$55*'Assumptions'!$G$55</x:f>
        <x:v>2764.4</x:v>
      </x:c>
      <x:c r="M6" s="27" t="n">
        <x:f>SUMPRODUCT(H6:L6,'Source Data'!D17:H17)</x:f>
        <x:v>2844.929166666667</x:v>
      </x:c>
      <x:c r="N6" s="27" t="n">
        <x:f>SUMPRODUCT(H6:L6,'Source Data'!D18:H18)</x:f>
        <x:v>2779.738888888889</x:v>
      </x:c>
      <x:c r="O6" s="27" t="n">
        <x:f>SUMPRODUCT(H6:L6,'Source Data'!D19:H19)</x:f>
        <x:v>2764.3999999999996</x:v>
      </x:c>
      <x:c r="P6" s="27" t="n">
        <x:f>SUMPRODUCT(H6:L6,'Source Data'!D20:H20)</x:f>
        <x:v>2764.4000000000005</x:v>
      </x:c>
      <x:c r="Q6" s="27" t="n">
        <x:f>SUMPRODUCT(H6:L6,'Source Data'!D21:H21)</x:f>
        <x:v>2764.4</x:v>
      </x:c>
      <x:c r="R6" s="27" t="n">
        <x:f>SUMPRODUCT(H6:L6,'Source Data'!D22:H22)</x:f>
        <x:v>2764.4</x:v>
      </x:c>
      <x:c r="S6" s="27" t="n">
        <x:f>SUMPRODUCT(H6:L6,'Source Data'!D23:H23)</x:f>
        <x:v>2764.3999999999996</x:v>
      </x:c>
      <x:c r="T6" s="27" t="n">
        <x:f>SUMPRODUCT(H6:L6,'Source Data'!D24:H24)</x:f>
        <x:v>2764.4000000000005</x:v>
      </x:c>
      <x:c r="U6" s="3"/>
      <x:c r="V6" s="3"/>
      <x:c r="W6" s="28" t="n">
        <x:f>M6*F6</x:f>
        <x:v>1422.4645833333334</x:v>
      </x:c>
      <x:c r="X6" s="28" t="n">
        <x:f>N6*F6</x:f>
        <x:v>1389.8694444444445</x:v>
      </x:c>
      <x:c r="Y6" s="28" t="n">
        <x:f>O6*F6</x:f>
        <x:v>1382.1999999999998</x:v>
      </x:c>
      <x:c r="Z6" s="28" t="n">
        <x:f>P6*F6</x:f>
        <x:v>1382.2000000000003</x:v>
      </x:c>
      <x:c r="AA6" s="28" t="n">
        <x:f>Q6*F6</x:f>
        <x:v>1382.2</x:v>
      </x:c>
      <x:c r="AB6" s="28" t="n">
        <x:f>R6*F6</x:f>
        <x:v>1382.2</x:v>
      </x:c>
      <x:c r="AC6" s="28" t="n">
        <x:f>S6*F6</x:f>
        <x:v>1382.1999999999998</x:v>
      </x:c>
      <x:c r="AD6" s="28" t="n">
        <x:f>T6*F6</x:f>
        <x:v>1382.2000000000003</x:v>
      </x:c>
    </x:row>
    <x:row r="7" ht="19" customHeight="1">
      <x:c r="A7" s="2"/>
      <x:c r="B7" s="2"/>
      <x:c r="C7" s="45" t="n">
        <x:f>'Source Data'!C30</x:f>
        <x:v>0</x:v>
      </x:c>
      <x:c r="D7" s="45" t="n">
        <x:f>'Source Data'!D30</x:f>
        <x:v>1</x:v>
      </x:c>
      <x:c r="E7" s="45" t="n">
        <x:f>'Source Data'!E30</x:f>
        <x:v>1</x:v>
      </x:c>
      <x:c r="F7" s="27" t="n">
        <x:f>IF(D7=0,0.5,1)*EXP(-'Assumptions'!$D$21*MAX(D7-6,0))</x:f>
        <x:v>1</x:v>
      </x:c>
      <x:c r="G7" s="27" t="n">
        <x:f>IF(D7/'Assumptions'!$D$19&gt;=31,0,INDEX('Source Data'!$M$29:$M$60,INT(D7/'Assumptions'!$D$19)+1)+(D7/'Assumptions'!$D$19-INT(D7/'Assumptions'!$D$19))*(INDEX('Source Data'!$M$29:$M$60,MIN(32,INT(D7/'Assumptions'!$D$19)+2))-INDEX('Source Data'!$M$29:$M$60,INT(D7/'Assumptions'!$D$19)+1)))</x:f>
        <x:v>0.9976377952755906</x:v>
      </x:c>
      <x:c r="H7" s="27" t="n">
        <x:f>'Source Data'!F30*G7*'Assumptions'!$F$55*'Assumptions'!$G$55</x:f>
        <x:v>2923.777086614173</x:v>
      </x:c>
      <x:c r="I7" s="27" t="n">
        <x:f>'Source Data'!G30*G7*'Assumptions'!$F$55*'Assumptions'!$G$55</x:f>
        <x:v>3177.0773228346457</x:v>
      </x:c>
      <x:c r="J7" s="27" t="n">
        <x:f>'Source Data'!H30*G7*'Assumptions'!$F$55*'Assumptions'!$G$55</x:f>
        <x:v>3033.317716535433</x:v>
      </x:c>
      <x:c r="K7" s="27" t="n">
        <x:f>'Source Data'!I30*G7*'Assumptions'!$F$55*'Assumptions'!$G$55</x:f>
        <x:v>2757.8699212598426</x:v>
      </x:c>
      <x:c r="L7" s="27" t="n">
        <x:f>'Source Data'!J30*G7*'Assumptions'!$F$55*'Assumptions'!$G$55</x:f>
        <x:v>2757.8699212598426</x:v>
      </x:c>
      <x:c r="M7" s="27" t="n">
        <x:f>SUMPRODUCT(H7:L7,'Source Data'!D17:H17)</x:f>
        <x:v>3075.247601706037</x:v>
      </x:c>
      <x:c r="N7" s="27" t="n">
        <x:f>SUMPRODUCT(H7:L7,'Source Data'!D18:H18)</x:f>
        <x:v>3037.4786975065617</x:v>
      </x:c>
      <x:c r="O7" s="27" t="n">
        <x:f>SUMPRODUCT(H7:L7,'Source Data'!D19:H19)</x:f>
        <x:v>2975.932759186351</x:v>
      </x:c>
      <x:c r="P7" s="27" t="n">
        <x:f>SUMPRODUCT(H7:L7,'Source Data'!D20:H20)</x:f>
        <x:v>2907.070810367454</x:v>
      </x:c>
      <x:c r="Q7" s="27" t="n">
        <x:f>SUMPRODUCT(H7:L7,'Source Data'!D21:H21)</x:f>
        <x:v>2838.208861548557</x:v>
      </x:c>
      <x:c r="R7" s="27" t="n">
        <x:f>SUMPRODUCT(H7:L7,'Source Data'!D22:H22)</x:f>
        <x:v>2773.1725765529313</x:v>
      </x:c>
      <x:c r="S7" s="27" t="n">
        <x:f>SUMPRODUCT(H7:L7,'Source Data'!D23:H23)</x:f>
        <x:v>2757.869921259842</x:v>
      </x:c>
      <x:c r="T7" s="27" t="n">
        <x:f>SUMPRODUCT(H7:L7,'Source Data'!D24:H24)</x:f>
        <x:v>2757.869921259843</x:v>
      </x:c>
      <x:c r="U7" s="3"/>
      <x:c r="V7" s="3"/>
      <x:c r="W7" s="28" t="n">
        <x:f>M7*F7</x:f>
        <x:v>3075.247601706037</x:v>
      </x:c>
      <x:c r="X7" s="28" t="n">
        <x:f>N7*F7</x:f>
        <x:v>3037.4786975065617</x:v>
      </x:c>
      <x:c r="Y7" s="28" t="n">
        <x:f>O7*F7</x:f>
        <x:v>2975.932759186351</x:v>
      </x:c>
      <x:c r="Z7" s="28" t="n">
        <x:f>P7*F7</x:f>
        <x:v>2907.070810367454</x:v>
      </x:c>
      <x:c r="AA7" s="28" t="n">
        <x:f>Q7*F7</x:f>
        <x:v>2838.208861548557</x:v>
      </x:c>
      <x:c r="AB7" s="28" t="n">
        <x:f>R7*F7</x:f>
        <x:v>2773.1725765529313</x:v>
      </x:c>
      <x:c r="AC7" s="28" t="n">
        <x:f>S7*F7</x:f>
        <x:v>2757.869921259842</x:v>
      </x:c>
      <x:c r="AD7" s="28" t="n">
        <x:f>T7*F7</x:f>
        <x:v>2757.869921259843</x:v>
      </x:c>
    </x:row>
    <x:row r="8" ht="19" customHeight="1">
      <x:c r="A8" s="2"/>
      <x:c r="B8" s="2"/>
      <x:c r="C8" s="45" t="n">
        <x:f>'Source Data'!C31</x:f>
        <x:v>0</x:v>
      </x:c>
      <x:c r="D8" s="45" t="n">
        <x:f>'Source Data'!D31</x:f>
        <x:v>2</x:v>
      </x:c>
      <x:c r="E8" s="45" t="n">
        <x:f>'Source Data'!E31</x:f>
        <x:v>1</x:v>
      </x:c>
      <x:c r="F8" s="27" t="n">
        <x:f>IF(D8=0,0.5,1)*EXP(-'Assumptions'!$D$21*MAX(D8-6,0))</x:f>
        <x:v>1</x:v>
      </x:c>
      <x:c r="G8" s="27" t="n">
        <x:f>IF(D8/'Assumptions'!$D$19&gt;=31,0,INDEX('Source Data'!$M$29:$M$60,INT(D8/'Assumptions'!$D$19)+1)+(D8/'Assumptions'!$D$19-INT(D8/'Assumptions'!$D$19))*(INDEX('Source Data'!$M$29:$M$60,MIN(32,INT(D8/'Assumptions'!$D$19)+2))-INDEX('Source Data'!$M$29:$M$60,INT(D8/'Assumptions'!$D$19)+1)))</x:f>
        <x:v>0.9952755905511811</x:v>
      </x:c>
      <x:c r="H8" s="27" t="n">
        <x:f>'Source Data'!F31*G8*'Assumptions'!$F$55*'Assumptions'!$G$55</x:f>
        <x:v>3334.2727559055115</x:v>
      </x:c>
      <x:c r="I8" s="27" t="n">
        <x:f>'Source Data'!G31*G8*'Assumptions'!$F$55*'Assumptions'!$G$55</x:f>
        <x:v>2916.854173228346</x:v>
      </x:c>
      <x:c r="J8" s="27" t="n">
        <x:f>'Source Data'!H31*G8*'Assumptions'!$F$55*'Assumptions'!$G$55</x:f>
        <x:v>3169.5546456692914</x:v>
      </x:c>
      <x:c r="K8" s="27" t="n">
        <x:f>'Source Data'!I31*G8*'Assumptions'!$F$55*'Assumptions'!$G$55</x:f>
        <x:v>3026.135433070866</x:v>
      </x:c>
      <x:c r="L8" s="27" t="n">
        <x:f>'Source Data'!J31*G8*'Assumptions'!$F$55*'Assumptions'!$G$55</x:f>
        <x:v>2751.339842519685</x:v>
      </x:c>
      <x:c r="M8" s="27" t="n">
        <x:f>SUMPRODUCT(H8:L8,'Source Data'!D17:H17)</x:f>
        <x:v>3095.850341207349</x:v>
      </x:c>
      <x:c r="N8" s="27" t="n">
        <x:f>SUMPRODUCT(H8:L8,'Source Data'!D18:H18)</x:f>
        <x:v>3153.5237970253716</x:v>
      </x:c>
      <x:c r="O8" s="27" t="n">
        <x:f>SUMPRODUCT(H8:L8,'Source Data'!D19:H19)</x:f>
        <x:v>3139.675643044619</x:v>
      </x:c>
      <x:c r="P8" s="27" t="n">
        <x:f>SUMPRODUCT(H8:L8,'Source Data'!D20:H20)</x:f>
        <x:v>3103.8208398950137</x:v>
      </x:c>
      <x:c r="Q8" s="27" t="n">
        <x:f>SUMPRODUCT(H8:L8,'Source Data'!D21:H21)</x:f>
        <x:v>3067.9660367454067</x:v>
      </x:c>
      <x:c r="R8" s="27" t="n">
        <x:f>SUMPRODUCT(H8:L8,'Source Data'!D22:H22)</x:f>
        <x:v>3030.2865616797894</x:v>
      </x:c>
      <x:c r="S8" s="27" t="n">
        <x:f>SUMPRODUCT(H8:L8,'Source Data'!D23:H23)</x:f>
        <x:v>2968.8863517060363</x:v>
      </x:c>
      <x:c r="T8" s="27" t="n">
        <x:f>SUMPRODUCT(H8:L8,'Source Data'!D24:H24)</x:f>
        <x:v>2900.187454068242</x:v>
      </x:c>
      <x:c r="U8" s="3"/>
      <x:c r="V8" s="3"/>
      <x:c r="W8" s="28" t="n">
        <x:f>M8*F8</x:f>
        <x:v>3095.850341207349</x:v>
      </x:c>
      <x:c r="X8" s="28" t="n">
        <x:f>N8*F8</x:f>
        <x:v>3153.5237970253716</x:v>
      </x:c>
      <x:c r="Y8" s="28" t="n">
        <x:f>O8*F8</x:f>
        <x:v>3139.675643044619</x:v>
      </x:c>
      <x:c r="Z8" s="28" t="n">
        <x:f>P8*F8</x:f>
        <x:v>3103.8208398950137</x:v>
      </x:c>
      <x:c r="AA8" s="28" t="n">
        <x:f>Q8*F8</x:f>
        <x:v>3067.9660367454067</x:v>
      </x:c>
      <x:c r="AB8" s="28" t="n">
        <x:f>R8*F8</x:f>
        <x:v>3030.2865616797894</x:v>
      </x:c>
      <x:c r="AC8" s="28" t="n">
        <x:f>S8*F8</x:f>
        <x:v>2968.8863517060363</x:v>
      </x:c>
      <x:c r="AD8" s="28" t="n">
        <x:f>T8*F8</x:f>
        <x:v>2900.187454068242</x:v>
      </x:c>
    </x:row>
    <x:row r="9" ht="19" customHeight="1">
      <x:c r="A9" s="2"/>
      <x:c r="B9" s="2"/>
      <x:c r="C9" s="45" t="n">
        <x:f>'Source Data'!C32</x:f>
        <x:v>0</x:v>
      </x:c>
      <x:c r="D9" s="45" t="n">
        <x:f>'Source Data'!D32</x:f>
        <x:v>3</x:v>
      </x:c>
      <x:c r="E9" s="45" t="n">
        <x:f>'Source Data'!E32</x:f>
        <x:v>1</x:v>
      </x:c>
      <x:c r="F9" s="27" t="n">
        <x:f>IF(D9=0,0.5,1)*EXP(-'Assumptions'!$D$21*MAX(D9-6,0))</x:f>
        <x:v>1</x:v>
      </x:c>
      <x:c r="G9" s="27" t="n">
        <x:f>IF(D9/'Assumptions'!$D$19&gt;=31,0,INDEX('Source Data'!$M$29:$M$60,INT(D9/'Assumptions'!$D$19)+1)+(D9/'Assumptions'!$D$19-INT(D9/'Assumptions'!$D$19))*(INDEX('Source Data'!$M$29:$M$60,MIN(32,INT(D9/'Assumptions'!$D$19)+2))-INDEX('Source Data'!$M$29:$M$60,INT(D9/'Assumptions'!$D$19)+1)))</x:f>
        <x:v>0.9929133858267717</x:v>
      </x:c>
      <x:c r="H9" s="27" t="n">
        <x:f>'Source Data'!F32*G9*'Assumptions'!$F$55*'Assumptions'!$G$55</x:f>
        <x:v>3377.692755905512</x:v>
      </x:c>
      <x:c r="I9" s="27" t="n">
        <x:f>'Source Data'!G32*G9*'Assumptions'!$F$55*'Assumptions'!$G$55</x:f>
        <x:v>3326.359133858268</x:v>
      </x:c>
      <x:c r="J9" s="27" t="n">
        <x:f>'Source Data'!H32*G9*'Assumptions'!$F$55*'Assumptions'!$G$55</x:f>
        <x:v>2909.9312598425195</x:v>
      </x:c>
      <x:c r="K9" s="27" t="n">
        <x:f>'Source Data'!I32*G9*'Assumptions'!$F$55*'Assumptions'!$G$55</x:f>
        <x:v>3162.031968503937</x:v>
      </x:c>
      <x:c r="L9" s="27" t="n">
        <x:f>'Source Data'!J32*G9*'Assumptions'!$F$55*'Assumptions'!$G$55</x:f>
        <x:v>3018.953149606299</x:v>
      </x:c>
      <x:c r="M9" s="27" t="n">
        <x:f>SUMPRODUCT(H9:L9,'Source Data'!D17:H17)</x:f>
        <x:v>3031.3893897637795</x:v>
      </x:c>
      <x:c r="N9" s="27" t="n">
        <x:f>SUMPRODUCT(H9:L9,'Source Data'!D18:H18)</x:f>
        <x:v>2936.5675404636922</x:v>
      </x:c>
      <x:c r="O9" s="27" t="n">
        <x:f>SUMPRODUCT(H9:L9,'Source Data'!D19:H19)</x:f>
        <x:v>2962.452240813648</x:v>
      </x:c>
      <x:c r="P9" s="27" t="n">
        <x:f>SUMPRODUCT(H9:L9,'Source Data'!D20:H20)</x:f>
        <x:v>3025.477417979003</x:v>
      </x:c>
      <x:c r="Q9" s="27" t="n">
        <x:f>SUMPRODUCT(H9:L9,'Source Data'!D21:H21)</x:f>
        <x:v>3088.5025951443567</x:v>
      </x:c>
      <x:c r="R9" s="27" t="n">
        <x:f>SUMPRODUCT(H9:L9,'Source Data'!D22:H22)</x:f>
        <x:v>3146.03916776028</x:v>
      </x:c>
      <x:c r="S9" s="27" t="n">
        <x:f>SUMPRODUCT(H9:L9,'Source Data'!D23:H23)</x:f>
        <x:v>3132.2238812335954</x:v>
      </x:c>
      <x:c r="T9" s="27" t="n">
        <x:f>SUMPRODUCT(H9:L9,'Source Data'!D24:H24)</x:f>
        <x:v>3096.4541765091867</x:v>
      </x:c>
      <x:c r="U9" s="3"/>
      <x:c r="V9" s="3"/>
      <x:c r="W9" s="28" t="n">
        <x:f>M9*F9</x:f>
        <x:v>3031.3893897637795</x:v>
      </x:c>
      <x:c r="X9" s="28" t="n">
        <x:f>N9*F9</x:f>
        <x:v>2936.5675404636922</x:v>
      </x:c>
      <x:c r="Y9" s="28" t="n">
        <x:f>O9*F9</x:f>
        <x:v>2962.452240813648</x:v>
      </x:c>
      <x:c r="Z9" s="28" t="n">
        <x:f>P9*F9</x:f>
        <x:v>3025.477417979003</x:v>
      </x:c>
      <x:c r="AA9" s="28" t="n">
        <x:f>Q9*F9</x:f>
        <x:v>3088.5025951443567</x:v>
      </x:c>
      <x:c r="AB9" s="28" t="n">
        <x:f>R9*F9</x:f>
        <x:v>3146.03916776028</x:v>
      </x:c>
      <x:c r="AC9" s="28" t="n">
        <x:f>S9*F9</x:f>
        <x:v>3132.2238812335954</x:v>
      </x:c>
      <x:c r="AD9" s="28" t="n">
        <x:f>T9*F9</x:f>
        <x:v>3096.4541765091867</x:v>
      </x:c>
    </x:row>
    <x:row r="10" ht="19" customHeight="1">
      <x:c r="A10" s="2"/>
      <x:c r="B10" s="2"/>
      <x:c r="C10" s="45" t="n">
        <x:f>'Source Data'!C33</x:f>
        <x:v>0</x:v>
      </x:c>
      <x:c r="D10" s="45" t="n">
        <x:f>'Source Data'!D33</x:f>
        <x:v>4</x:v>
      </x:c>
      <x:c r="E10" s="45" t="n">
        <x:f>'Source Data'!E33</x:f>
        <x:v>2</x:v>
      </x:c>
      <x:c r="F10" s="27" t="n">
        <x:f>IF(D10=0,0.5,1)*EXP(-'Assumptions'!$D$21*MAX(D10-6,0))</x:f>
        <x:v>1</x:v>
      </x:c>
      <x:c r="G10" s="27" t="n">
        <x:f>IF(D10/'Assumptions'!$D$19&gt;=31,0,INDEX('Source Data'!$M$29:$M$60,INT(D10/'Assumptions'!$D$19)+1)+(D10/'Assumptions'!$D$19-INT(D10/'Assumptions'!$D$19))*(INDEX('Source Data'!$M$29:$M$60,MIN(32,INT(D10/'Assumptions'!$D$19)+2))-INDEX('Source Data'!$M$29:$M$60,INT(D10/'Assumptions'!$D$19)+1)))</x:f>
        <x:v>0.9899527559055118</x:v>
      </x:c>
      <x:c r="H10" s="27" t="n">
        <x:f>'Source Data'!F33*G10*'Assumptions'!$F$55*'Assumptions'!$G$55</x:f>
        <x:v>4672.280022047244</x:v>
      </x:c>
      <x:c r="I10" s="27" t="n">
        <x:f>'Source Data'!G33*G10*'Assumptions'!$F$55*'Assumptions'!$G$55</x:f>
        <x:v>3367.6212850393704</x:v>
      </x:c>
      <x:c r="J10" s="27" t="n">
        <x:f>'Source Data'!H33*G10*'Assumptions'!$F$55*'Assumptions'!$G$55</x:f>
        <x:v>3316.440727559055</x:v>
      </x:c>
      <x:c r="K10" s="27" t="n">
        <x:f>'Source Data'!I33*G10*'Assumptions'!$F$55*'Assumptions'!$G$55</x:f>
        <x:v>2901.254541732283</x:v>
      </x:c>
      <x:c r="L10" s="27" t="n">
        <x:f>'Source Data'!J33*G10*'Assumptions'!$F$55*'Assumptions'!$G$55</x:f>
        <x:v>3152.6035464566926</x:v>
      </x:c>
      <x:c r="M10" s="27" t="n">
        <x:f>SUMPRODUCT(H10:L10,'Source Data'!D17:H17)</x:f>
        <x:v>3331.3683901574805</x:v>
      </x:c>
      <x:c r="N10" s="27" t="n">
        <x:f>SUMPRODUCT(H10:L10,'Source Data'!D18:H18)</x:f>
        <x:v>3313.5176170603677</x:v>
      </x:c>
      <x:c r="O10" s="27" t="n">
        <x:f>SUMPRODUCT(H10:L10,'Source Data'!D19:H19)</x:f>
        <x:v>3229.943605511811</x:v>
      </x:c>
      <x:c r="P10" s="27" t="n">
        <x:f>SUMPRODUCT(H10:L10,'Source Data'!D20:H20)</x:f>
        <x:v>3126.147059055118</x:v>
      </x:c>
      <x:c r="Q10" s="27" t="n">
        <x:f>SUMPRODUCT(H10:L10,'Source Data'!D21:H21)</x:f>
        <x:v>3022.350512598425</x:v>
      </x:c>
      <x:c r="R10" s="27" t="n">
        <x:f>SUMPRODUCT(H10:L10,'Source Data'!D22:H22)</x:f>
        <x:v>2927.811399343832</x:v>
      </x:c>
      <x:c r="S10" s="27" t="n">
        <x:f>SUMPRODUCT(H10:L10,'Source Data'!D23:H23)</x:f>
        <x:v>2953.618917716535</x:v>
      </x:c>
      <x:c r="T10" s="27" t="n">
        <x:f>SUMPRODUCT(H10:L10,'Source Data'!D24:H24)</x:f>
        <x:v>3016.456168897638</x:v>
      </x:c>
      <x:c r="U10" s="3"/>
      <x:c r="V10" s="3"/>
      <x:c r="W10" s="28" t="n">
        <x:f>M10*F10</x:f>
        <x:v>3331.3683901574805</x:v>
      </x:c>
      <x:c r="X10" s="28" t="n">
        <x:f>N10*F10</x:f>
        <x:v>3313.5176170603677</x:v>
      </x:c>
      <x:c r="Y10" s="28" t="n">
        <x:f>O10*F10</x:f>
        <x:v>3229.943605511811</x:v>
      </x:c>
      <x:c r="Z10" s="28" t="n">
        <x:f>P10*F10</x:f>
        <x:v>3126.147059055118</x:v>
      </x:c>
      <x:c r="AA10" s="28" t="n">
        <x:f>Q10*F10</x:f>
        <x:v>3022.350512598425</x:v>
      </x:c>
      <x:c r="AB10" s="28" t="n">
        <x:f>R10*F10</x:f>
        <x:v>2927.811399343832</x:v>
      </x:c>
      <x:c r="AC10" s="28" t="n">
        <x:f>S10*F10</x:f>
        <x:v>2953.618917716535</x:v>
      </x:c>
      <x:c r="AD10" s="28" t="n">
        <x:f>T10*F10</x:f>
        <x:v>3016.456168897638</x:v>
      </x:c>
    </x:row>
    <x:row r="11" ht="19" customHeight="1">
      <x:c r="A11" s="2"/>
      <x:c r="B11" s="2"/>
      <x:c r="C11" s="45" t="n">
        <x:f>'Source Data'!C34</x:f>
        <x:v>0</x:v>
      </x:c>
      <x:c r="D11" s="45" t="n">
        <x:f>'Source Data'!D34</x:f>
        <x:v>5</x:v>
      </x:c>
      <x:c r="E11" s="45" t="n">
        <x:f>'Source Data'!E34</x:f>
        <x:v>2</x:v>
      </x:c>
      <x:c r="F11" s="27" t="n">
        <x:f>IF(D11=0,0.5,1)*EXP(-'Assumptions'!$D$21*MAX(D11-6,0))</x:f>
        <x:v>1</x:v>
      </x:c>
      <x:c r="G11" s="27" t="n">
        <x:f>IF(D11/'Assumptions'!$D$19&gt;=31,0,INDEX('Source Data'!$M$29:$M$60,INT(D11/'Assumptions'!$D$19)+1)+(D11/'Assumptions'!$D$19-INT(D11/'Assumptions'!$D$19))*(INDEX('Source Data'!$M$29:$M$60,MIN(32,INT(D11/'Assumptions'!$D$19)+2))-INDEX('Source Data'!$M$29:$M$60,INT(D11/'Assumptions'!$D$19)+1)))</x:f>
        <x:v>0.9844409448818897</x:v>
      </x:c>
      <x:c r="H11" s="27" t="n">
        <x:f>'Source Data'!F34*G11*'Assumptions'!$F$55*'Assumptions'!$G$55</x:f>
        <x:v>5227.676749606299</x:v>
      </x:c>
      <x:c r="I11" s="27" t="n">
        <x:f>'Source Data'!G34*G11*'Assumptions'!$F$55*'Assumptions'!$G$55</x:f>
        <x:v>4646.265927559055</x:v>
      </x:c>
      <x:c r="J11" s="27" t="n">
        <x:f>'Source Data'!H34*G11*'Assumptions'!$F$55*'Assumptions'!$G$55</x:f>
        <x:v>3348.8712062992126</x:v>
      </x:c>
      <x:c r="K11" s="27" t="n">
        <x:f>'Source Data'!I34*G11*'Assumptions'!$F$55*'Assumptions'!$G$55</x:f>
        <x:v>3297.9756094488184</x:v>
      </x:c>
      <x:c r="L11" s="27" t="n">
        <x:f>'Source Data'!J34*G11*'Assumptions'!$F$55*'Assumptions'!$G$55</x:f>
        <x:v>2885.101077165354</x:v>
      </x:c>
      <x:c r="M11" s="27" t="n">
        <x:f>SUMPRODUCT(H11:L11,'Source Data'!D17:H17)</x:f>
        <x:v>3727.2780000000002</x:v>
      </x:c>
      <x:c r="N11" s="27" t="n">
        <x:f>SUMPRODUCT(H11:L11,'Source Data'!D18:H18)</x:f>
        <x:v>3420.24180752406</x:v>
      </x:c>
      <x:c r="O11" s="27" t="n">
        <x:f>SUMPRODUCT(H11:L11,'Source Data'!D19:H19)</x:f>
        <x:v>3338.26795695538</x:v>
      </x:c>
      <x:c r="P11" s="27" t="n">
        <x:f>SUMPRODUCT(H11:L11,'Source Data'!D20:H20)</x:f>
        <x:v>3325.5440577427826</x:v>
      </x:c>
      <x:c r="Q11" s="27" t="n">
        <x:f>SUMPRODUCT(H11:L11,'Source Data'!D21:H21)</x:f>
        <x:v>3312.8201585301836</x:v>
      </x:c>
      <x:c r="R11" s="27" t="n">
        <x:f>SUMPRODUCT(H11:L11,'Source Data'!D22:H22)</x:f>
        <x:v>3295.0687741032366</x:v>
      </x:c>
      <x:c r="S11" s="27" t="n">
        <x:f>SUMPRODUCT(H11:L11,'Source Data'!D23:H23)</x:f>
        <x:v>3211.9600818897634</x:v>
      </x:c>
      <x:c r="T11" s="27" t="n">
        <x:f>SUMPRODUCT(H11:L11,'Source Data'!D24:H24)</x:f>
        <x:v>3108.741448818898</x:v>
      </x:c>
      <x:c r="U11" s="3"/>
      <x:c r="V11" s="3"/>
      <x:c r="W11" s="28" t="n">
        <x:f>M11*F11</x:f>
        <x:v>3727.2780000000002</x:v>
      </x:c>
      <x:c r="X11" s="28" t="n">
        <x:f>N11*F11</x:f>
        <x:v>3420.24180752406</x:v>
      </x:c>
      <x:c r="Y11" s="28" t="n">
        <x:f>O11*F11</x:f>
        <x:v>3338.26795695538</x:v>
      </x:c>
      <x:c r="Z11" s="28" t="n">
        <x:f>P11*F11</x:f>
        <x:v>3325.5440577427826</x:v>
      </x:c>
      <x:c r="AA11" s="28" t="n">
        <x:f>Q11*F11</x:f>
        <x:v>3312.8201585301836</x:v>
      </x:c>
      <x:c r="AB11" s="28" t="n">
        <x:f>R11*F11</x:f>
        <x:v>3295.0687741032366</x:v>
      </x:c>
      <x:c r="AC11" s="28" t="n">
        <x:f>S11*F11</x:f>
        <x:v>3211.9600818897634</x:v>
      </x:c>
      <x:c r="AD11" s="28" t="n">
        <x:f>T11*F11</x:f>
        <x:v>3108.741448818898</x:v>
      </x:c>
    </x:row>
    <x:row r="12" ht="19" customHeight="1">
      <x:c r="A12" s="2"/>
      <x:c r="B12" s="2"/>
      <x:c r="C12" s="45" t="n">
        <x:f>'Source Data'!C35</x:f>
        <x:v>0</x:v>
      </x:c>
      <x:c r="D12" s="45" t="n">
        <x:f>'Source Data'!D35</x:f>
        <x:v>6</x:v>
      </x:c>
      <x:c r="E12" s="45" t="n">
        <x:f>'Source Data'!E35</x:f>
        <x:v>2</x:v>
      </x:c>
      <x:c r="F12" s="27" t="n">
        <x:f>IF(D12=0,0.5,1)*EXP(-'Assumptions'!$D$21*MAX(D12-6,0))</x:f>
        <x:v>1</x:v>
      </x:c>
      <x:c r="G12" s="27" t="n">
        <x:f>IF(D12/'Assumptions'!$D$19&gt;=31,0,INDEX('Source Data'!$M$29:$M$60,INT(D12/'Assumptions'!$D$19)+1)+(D12/'Assumptions'!$D$19-INT(D12/'Assumptions'!$D$19))*(INDEX('Source Data'!$M$29:$M$60,MIN(32,INT(D12/'Assumptions'!$D$19)+2))-INDEX('Source Data'!$M$29:$M$60,INT(D12/'Assumptions'!$D$19)+1)))</x:f>
        <x:v>0.976755905511811</x:v>
      </x:c>
      <x:c r="H12" s="27" t="n">
        <x:f>'Source Data'!F35*G12*'Assumptions'!$F$55*'Assumptions'!$G$55</x:f>
        <x:v>5947.66205984252</x:v>
      </x:c>
      <x:c r="I12" s="27" t="n">
        <x:f>'Source Data'!G35*G12*'Assumptions'!$F$55*'Assumptions'!$G$55</x:f>
        <x:v>5186.866885039371</x:v>
      </x:c>
      <x:c r="J12" s="27" t="n">
        <x:f>'Source Data'!H35*G12*'Assumptions'!$F$55*'Assumptions'!$G$55</x:f>
        <x:v>4609.994847244095</x:v>
      </x:c>
      <x:c r="K12" s="27" t="n">
        <x:f>'Source Data'!I35*G12*'Assumptions'!$F$55*'Assumptions'!$G$55</x:f>
        <x:v>3322.728239370079</x:v>
      </x:c>
      <x:c r="L12" s="27" t="n">
        <x:f>'Source Data'!J35*G12*'Assumptions'!$F$55*'Assumptions'!$G$55</x:f>
        <x:v>3272.229959055118</x:v>
      </x:c>
      <x:c r="M12" s="27" t="n">
        <x:f>SUMPRODUCT(H12:L12,'Source Data'!D17:H17)</x:f>
        <x:v>4778.24919160105</x:v>
      </x:c>
      <x:c r="N12" s="27" t="n">
        <x:f>SUMPRODUCT(H12:L12,'Source Data'!D18:H18)</x:f>
        <x:v>4624.164590901138</x:v>
      </x:c>
      <x:c r="O12" s="27" t="n">
        <x:f>SUMPRODUCT(H12:L12,'Source Data'!D19:H19)</x:f>
        <x:v>4341.814303937008</x:v>
      </x:c>
      <x:c r="P12" s="27" t="n">
        <x:f>SUMPRODUCT(H12:L12,'Source Data'!D20:H20)</x:f>
        <x:v>4019.9976519685047</x:v>
      </x:c>
      <x:c r="Q12" s="27" t="n">
        <x:f>SUMPRODUCT(H12:L12,'Source Data'!D21:H21)</x:f>
        <x:v>3698.1810000000005</x:v>
      </x:c>
      <x:c r="R12" s="27" t="n">
        <x:f>SUMPRODUCT(H12:L12,'Source Data'!D22:H22)</x:f>
        <x:v>3393.541685914261</x:v>
      </x:c>
      <x:c r="S12" s="27" t="n">
        <x:f>SUMPRODUCT(H12:L12,'Source Data'!D23:H23)</x:f>
        <x:v>3312.2077643044618</x:v>
      </x:c>
      <x:c r="T12" s="27" t="n">
        <x:f>SUMPRODUCT(H12:L12,'Source Data'!D24:H24)</x:f>
        <x:v>3299.583194225722</x:v>
      </x:c>
      <x:c r="U12" s="3"/>
      <x:c r="V12" s="3"/>
      <x:c r="W12" s="28" t="n">
        <x:f>M12*F12</x:f>
        <x:v>4778.24919160105</x:v>
      </x:c>
      <x:c r="X12" s="28" t="n">
        <x:f>N12*F12</x:f>
        <x:v>4624.164590901138</x:v>
      </x:c>
      <x:c r="Y12" s="28" t="n">
        <x:f>O12*F12</x:f>
        <x:v>4341.814303937008</x:v>
      </x:c>
      <x:c r="Z12" s="28" t="n">
        <x:f>P12*F12</x:f>
        <x:v>4019.9976519685047</x:v>
      </x:c>
      <x:c r="AA12" s="28" t="n">
        <x:f>Q12*F12</x:f>
        <x:v>3698.1810000000005</x:v>
      </x:c>
      <x:c r="AB12" s="28" t="n">
        <x:f>R12*F12</x:f>
        <x:v>3393.541685914261</x:v>
      </x:c>
      <x:c r="AC12" s="28" t="n">
        <x:f>S12*F12</x:f>
        <x:v>3312.2077643044618</x:v>
      </x:c>
      <x:c r="AD12" s="28" t="n">
        <x:f>T12*F12</x:f>
        <x:v>3299.583194225722</x:v>
      </x:c>
    </x:row>
    <x:row r="13" ht="19" customHeight="1">
      <x:c r="A13" s="2"/>
      <x:c r="B13" s="2"/>
      <x:c r="C13" s="45" t="n">
        <x:f>'Source Data'!C36</x:f>
        <x:v>0</x:v>
      </x:c>
      <x:c r="D13" s="45" t="n">
        <x:f>'Source Data'!D36</x:f>
        <x:v>7</x:v>
      </x:c>
      <x:c r="E13" s="45" t="n">
        <x:f>'Source Data'!E36</x:f>
        <x:v>3</x:v>
      </x:c>
      <x:c r="F13" s="27" t="n">
        <x:f>IF(D13=0,0.5,1)*EXP(-'Assumptions'!$D$21*MAX(D13-6,0))</x:f>
        <x:v>0.9136844571609987</x:v>
      </x:c>
      <x:c r="G13" s="27" t="n">
        <x:f>IF(D13/'Assumptions'!$D$19&gt;=31,0,INDEX('Source Data'!$M$29:$M$60,INT(D13/'Assumptions'!$D$19)+1)+(D13/'Assumptions'!$D$19-INT(D13/'Assumptions'!$D$19))*(INDEX('Source Data'!$M$29:$M$60,MIN(32,INT(D13/'Assumptions'!$D$19)+2))-INDEX('Source Data'!$M$29:$M$60,INT(D13/'Assumptions'!$D$19)+1)))</x:f>
        <x:v>0.9673464566929133</x:v>
      </x:c>
      <x:c r="H13" s="27" t="n">
        <x:f>'Source Data'!F36*G13*'Assumptions'!$F$55*'Assumptions'!$G$55</x:f>
        <x:v>6658.53586535433</x:v>
      </x:c>
      <x:c r="I13" s="27" t="n">
        <x:f>'Source Data'!G36*G13*'Assumptions'!$F$55*'Assumptions'!$G$55</x:f>
        <x:v>5890.366044094488</x:v>
      </x:c>
      <x:c r="J13" s="27" t="n">
        <x:f>'Source Data'!H36*G13*'Assumptions'!$F$55*'Assumptions'!$G$55</x:f>
        <x:v>5136.899888976378</x:v>
      </x:c>
      <x:c r="K13" s="27" t="n">
        <x:f>'Source Data'!I36*G13*'Assumptions'!$F$55*'Assumptions'!$G$55</x:f>
        <x:v>4565.585071653542</x:v>
      </x:c>
      <x:c r="L13" s="27" t="n">
        <x:f>'Source Data'!J36*G13*'Assumptions'!$F$55*'Assumptions'!$G$55</x:f>
        <x:v>3290.719176377953</x:v>
      </x:c>
      <x:c r="M13" s="27" t="n">
        <x:f>SUMPRODUCT(H13:L13,'Source Data'!D17:H17)</x:f>
        <x:v>5356.660850885827</x:v>
      </x:c>
      <x:c r="N13" s="27" t="n">
        <x:f>SUMPRODUCT(H13:L13,'Source Data'!D18:H18)</x:f>
        <x:v>5170.8241917979</x:v>
      </x:c>
      <x:c r="O13" s="27" t="n">
        <x:f>SUMPRODUCT(H13:L13,'Source Data'!D19:H19)</x:f>
        <x:v>5017.875968700787</x:v>
      </x:c>
      <x:c r="P13" s="27" t="n">
        <x:f>SUMPRODUCT(H13:L13,'Source Data'!D20:H20)</x:f>
        <x:v>4875.047264370079</x:v>
      </x:c>
      <x:c r="Q13" s="27" t="n">
        <x:f>SUMPRODUCT(H13:L13,'Source Data'!D21:H21)</x:f>
        <x:v>4732.21856003937</x:v>
      </x:c>
      <x:c r="R13" s="27" t="n">
        <x:f>SUMPRODUCT(H13:L13,'Source Data'!D22:H22)</x:f>
        <x:v>4579.618312959316</x:v>
      </x:c>
      <x:c r="S13" s="27" t="n">
        <x:f>SUMPRODUCT(H13:L13,'Source Data'!D23:H23)</x:f>
        <x:v>4299.988010137795</x:v>
      </x:c>
      <x:c r="T13" s="27" t="n">
        <x:f>SUMPRODUCT(H13:L13,'Source Data'!D24:H24)</x:f>
        <x:v>3981.2715363188977</x:v>
      </x:c>
      <x:c r="U13" s="3"/>
      <x:c r="V13" s="3"/>
      <x:c r="W13" s="28" t="n">
        <x:f>M13*F13</x:f>
        <x:v>4894.29776173719</x:v>
      </x:c>
      <x:c r="X13" s="28" t="n">
        <x:f>N13*F13</x:f>
        <x:v>4724.501694757824</x:v>
      </x:c>
      <x:c r="Y13" s="28" t="n">
        <x:f>O13*F13</x:f>
        <x:v>4584.755280563599</x:v>
      </x:c>
      <x:c r="Z13" s="28" t="n">
        <x:f>P13*F13</x:f>
        <x:v>4454.254913380187</x:v>
      </x:c>
      <x:c r="AA13" s="28" t="n">
        <x:f>Q13*F13</x:f>
        <x:v>4323.754546196774</x:v>
      </x:c>
      <x:c r="AB13" s="28" t="n">
        <x:f>R13*F13</x:f>
        <x:v>4184.326072280802</x:v>
      </x:c>
      <x:c r="AC13" s="28" t="n">
        <x:f>S13*F13</x:f>
        <x:v>3928.832210841554</x:v>
      </x:c>
      <x:c r="AD13" s="28" t="n">
        <x:f>T13*F13</x:f>
        <x:v>3637.625922472067</x:v>
      </x:c>
    </x:row>
    <x:row r="14" ht="19" customHeight="1">
      <x:c r="A14" s="2"/>
      <x:c r="B14" s="2"/>
      <x:c r="C14" s="45" t="n">
        <x:f>'Source Data'!C37</x:f>
        <x:v>0</x:v>
      </x:c>
      <x:c r="D14" s="45" t="n">
        <x:f>'Source Data'!D37</x:f>
        <x:v>8</x:v>
      </x:c>
      <x:c r="E14" s="45" t="n">
        <x:f>'Source Data'!E37</x:f>
        <x:v>3</x:v>
      </x:c>
      <x:c r="F14" s="27" t="n">
        <x:f>IF(D14=0,0.5,1)*EXP(-'Assumptions'!$D$21*MAX(D14-6,0))</x:f>
        <x:v>0.8348192872575889</x:v>
      </x:c>
      <x:c r="G14" s="27" t="n">
        <x:f>IF(D14/'Assumptions'!$D$19&gt;=31,0,INDEX('Source Data'!$M$29:$M$60,INT(D14/'Assumptions'!$D$19)+1)+(D14/'Assumptions'!$D$19-INT(D14/'Assumptions'!$D$19))*(INDEX('Source Data'!$M$29:$M$60,MIN(32,INT(D14/'Assumptions'!$D$19)+2))-INDEX('Source Data'!$M$29:$M$60,INT(D14/'Assumptions'!$D$19)+1)))</x:f>
        <x:v>0.9553149606299213</x:v>
      </x:c>
      <x:c r="H14" s="27" t="n">
        <x:f>'Source Data'!F37*G14*'Assumptions'!$F$55*'Assumptions'!$G$55</x:f>
        <x:v>7192.088681102362</x:v>
      </x:c>
      <x:c r="I14" s="27" t="n">
        <x:f>'Source Data'!G37*G14*'Assumptions'!$F$55*'Assumptions'!$G$55</x:f>
        <x:v>6575.719468503938</x:v>
      </x:c>
      <x:c r="J14" s="27" t="n">
        <x:f>'Source Data'!H37*G14*'Assumptions'!$F$55*'Assumptions'!$G$55</x:f>
        <x:v>5817.1038582677165</x:v>
      </x:c>
      <x:c r="K14" s="27" t="n">
        <x:f>'Source Data'!I37*G14*'Assumptions'!$F$55*'Assumptions'!$G$55</x:f>
        <x:v>5073.009035433071</x:v>
      </x:c>
      <x:c r="L14" s="27" t="n">
        <x:f>'Source Data'!J37*G14*'Assumptions'!$F$55*'Assumptions'!$G$55</x:f>
        <x:v>4508.800019685039</x:v>
      </x:c>
      <x:c r="M14" s="27" t="n">
        <x:f>SUMPRODUCT(H14:L14,'Source Data'!D17:H17)</x:f>
        <x:v>6038.366744586614</x:v>
      </x:c>
      <x:c r="N14" s="27" t="n">
        <x:f>SUMPRODUCT(H14:L14,'Source Data'!D18:H18)</x:f>
        <x:v>5848.914519630359</x:v>
      </x:c>
      <x:c r="O14" s="27" t="n">
        <x:f>SUMPRODUCT(H14:L14,'Source Data'!D19:H19)</x:f>
        <x:v>5662.084103510499</x:v>
      </x:c>
      <x:c r="P14" s="27" t="n">
        <x:f>SUMPRODUCT(H14:L14,'Source Data'!D20:H20)</x:f>
        <x:v>5476.060397801838</x:v>
      </x:c>
      <x:c r="Q14" s="27" t="n">
        <x:f>SUMPRODUCT(H14:L14,'Source Data'!D21:H21)</x:f>
        <x:v>5290.0366920931765</x:v>
      </x:c>
      <x:c r="R14" s="27" t="n">
        <x:f>SUMPRODUCT(H14:L14,'Source Data'!D22:H22)</x:f>
        <x:v>5106.511400371829</x:v>
      </x:c>
      <x:c r="S14" s="27" t="n">
        <x:f>SUMPRODUCT(H14:L14,'Source Data'!D23:H23)</x:f>
        <x:v>4955.465490485564</x:v>
      </x:c>
      <x:c r="T14" s="27" t="n">
        <x:f>SUMPRODUCT(H14:L14,'Source Data'!D24:H24)</x:f>
        <x:v>4814.413236548557</x:v>
      </x:c>
      <x:c r="U14" s="3"/>
      <x:c r="V14" s="3"/>
      <x:c r="W14" s="28" t="n">
        <x:f>M14*F14</x:f>
        <x:v>5040.945021915724</x:v>
      </x:c>
      <x:c r="X14" s="28" t="n">
        <x:f>N14*F14</x:f>
        <x:v>4882.786650508379</x:v>
      </x:c>
      <x:c r="Y14" s="28" t="n">
        <x:f>O14*F14</x:f>
        <x:v>4726.817015685158</x:v>
      </x:c>
      <x:c r="Z14" s="28" t="n">
        <x:f>P14*F14</x:f>
        <x:v>4571.5208382724395</x:v>
      </x:c>
      <x:c r="AA14" s="28" t="n">
        <x:f>Q14*F14</x:f>
        <x:v>4416.224660859719</x:v>
      </x:c>
      <x:c r="AB14" s="28" t="n">
        <x:f>R14*F14</x:f>
        <x:v>4263.014207631162</x:v>
      </x:c>
      <x:c r="AC14" s="28" t="n">
        <x:f>S14*F14</x:f>
        <x:v>4136.918168796737</x:v>
      </x:c>
      <x:c r="AD14" s="28" t="n">
        <x:f>T14*F14</x:f>
        <x:v>4019.1650266989677</x:v>
      </x:c>
    </x:row>
    <x:row r="15" ht="19" customHeight="1">
      <x:c r="A15" s="2"/>
      <x:c r="B15" s="2"/>
      <x:c r="C15" s="45" t="n">
        <x:f>'Source Data'!C38</x:f>
        <x:v>0</x:v>
      </x:c>
      <x:c r="D15" s="45" t="n">
        <x:f>'Source Data'!D38</x:f>
        <x:v>9</x:v>
      </x:c>
      <x:c r="E15" s="45" t="n">
        <x:f>'Source Data'!E38</x:f>
        <x:v>3</x:v>
      </x:c>
      <x:c r="F15" s="27" t="n">
        <x:f>IF(D15=0,0.5,1)*EXP(-'Assumptions'!$D$21*MAX(D15-6,0))</x:f>
        <x:v>0.7627614073054819</x:v>
      </x:c>
      <x:c r="G15" s="27" t="n">
        <x:f>IF(D15/'Assumptions'!$D$19&gt;=31,0,INDEX('Source Data'!$M$29:$M$60,INT(D15/'Assumptions'!$D$19)+1)+(D15/'Assumptions'!$D$19-INT(D15/'Assumptions'!$D$19))*(INDEX('Source Data'!$M$29:$M$60,MIN(32,INT(D15/'Assumptions'!$D$19)+2))-INDEX('Source Data'!$M$29:$M$60,INT(D15/'Assumptions'!$D$19)+1)))</x:f>
        <x:v>0.9400944881889763</x:v>
      </x:c>
      <x:c r="H15" s="27" t="n">
        <x:f>'Source Data'!F38*G15*'Assumptions'!$F$55*'Assumptions'!$G$55</x:f>
        <x:v>7246.24831496063</x:v>
      </x:c>
      <x:c r="I15" s="27" t="n">
        <x:f>'Source Data'!G38*G15*'Assumptions'!$F$55*'Assumptions'!$G$55</x:f>
        <x:v>7077.501354330709</x:v>
      </x:c>
      <x:c r="J15" s="27" t="n">
        <x:f>'Source Data'!H38*G15*'Assumptions'!$F$55*'Assumptions'!$G$55</x:f>
        <x:v>6470.952390551181</x:v>
      </x:c>
      <x:c r="K15" s="27" t="n">
        <x:f>'Source Data'!I38*G15*'Assumptions'!$F$55*'Assumptions'!$G$55</x:f>
        <x:v>5724.423357480315</x:v>
      </x:c>
      <x:c r="L15" s="27" t="n">
        <x:f>'Source Data'!J38*G15*'Assumptions'!$F$55*'Assumptions'!$G$55</x:f>
        <x:v>4992.183760629921</x:v>
      </x:c>
      <x:c r="M15" s="27" t="n">
        <x:f>SUMPRODUCT(H15:L15,'Source Data'!D17:H17)</x:f>
        <x:v>6647.862504986877</x:v>
      </x:c>
      <x:c r="N15" s="27" t="n">
        <x:f>SUMPRODUCT(H15:L15,'Source Data'!D18:H18)</x:f>
        <x:v>6494.2810964129485</x:v>
      </x:c>
      <x:c r="O15" s="27" t="n">
        <x:f>SUMPRODUCT(H15:L15,'Source Data'!D19:H19)</x:f>
        <x:v>6315.425508661417</x:v>
      </x:c>
      <x:c r="P15" s="27" t="n">
        <x:f>SUMPRODUCT(H15:L15,'Source Data'!D20:H20)</x:f>
        <x:v>6128.793250393701</x:v>
      </x:c>
      <x:c r="Q15" s="27" t="n">
        <x:f>SUMPRODUCT(H15:L15,'Source Data'!D21:H21)</x:f>
        <x:v>5942.160992125984</x:v>
      </x:c>
      <x:c r="R15" s="27" t="n">
        <x:f>SUMPRODUCT(H15:L15,'Source Data'!D22:H22)</x:f>
        <x:v>5755.727198250219</x:v>
      </x:c>
      <x:c r="S15" s="27" t="n">
        <x:f>SUMPRODUCT(H15:L15,'Source Data'!D23:H23)</x:f>
        <x:v>5571.873441469816</x:v>
      </x:c>
      <x:c r="T15" s="27" t="n">
        <x:f>SUMPRODUCT(H15:L15,'Source Data'!D24:H24)</x:f>
        <x:v>5388.813542257218</x:v>
      </x:c>
      <x:c r="U15" s="3"/>
      <x:c r="V15" s="3"/>
      <x:c r="W15" s="28" t="n">
        <x:f>M15*F15</x:f>
        <x:v>5070.732959877137</x:v>
      </x:c>
      <x:c r="X15" s="28" t="n">
        <x:f>N15*F15</x:f>
        <x:v>4953.586988537329</x:v>
      </x:c>
      <x:c r="Y15" s="28" t="n">
        <x:f>O15*F15</x:f>
        <x:v>4817.162848719521</x:v>
      </x:c>
      <x:c r="Z15" s="28" t="n">
        <x:f>P15*F15</x:f>
        <x:v>4674.806964754638</x:v>
      </x:c>
      <x:c r="AA15" s="28" t="n">
        <x:f>Q15*F15</x:f>
        <x:v>4532.451080789754</x:v>
      </x:c>
      <x:c r="AB15" s="28" t="n">
        <x:f>R15*F15</x:f>
        <x:v>4390.246577803776</x:v>
      </x:c>
      <x:c r="AC15" s="28" t="n">
        <x:f>S15*F15</x:f>
        <x:v>4250.010027543555</x:v>
      </x:c>
      <x:c r="AD15" s="28" t="n">
        <x:f>T15*F15</x:f>
        <x:v>4110.379001198954</x:v>
      </x:c>
    </x:row>
    <x:row r="16" ht="19" customHeight="1">
      <x:c r="A16" s="2"/>
      <x:c r="B16" s="2"/>
      <x:c r="C16" s="45" t="n">
        <x:f>'Source Data'!C39</x:f>
        <x:v>0</x:v>
      </x:c>
      <x:c r="D16" s="45" t="n">
        <x:f>'Source Data'!D39</x:f>
        <x:v>10</x:v>
      </x:c>
      <x:c r="E16" s="45" t="n">
        <x:f>'Source Data'!E39</x:f>
        <x:v>4</x:v>
      </x:c>
      <x:c r="F16" s="27" t="n">
        <x:f>IF(D16=0,0.5,1)*EXP(-'Assumptions'!$D$21*MAX(D16-6,0))</x:f>
        <x:v>0.6969232423772687</x:v>
      </x:c>
      <x:c r="G16" s="27" t="n">
        <x:f>IF(D16/'Assumptions'!$D$19&gt;=31,0,INDEX('Source Data'!$M$29:$M$60,INT(D16/'Assumptions'!$D$19)+1)+(D16/'Assumptions'!$D$19-INT(D16/'Assumptions'!$D$19))*(INDEX('Source Data'!$M$29:$M$60,MIN(32,INT(D16/'Assumptions'!$D$19)+2))-INDEX('Source Data'!$M$29:$M$60,INT(D16/'Assumptions'!$D$19)+1)))</x:f>
        <x:v>0.9227716535433071</x:v>
      </x:c>
      <x:c r="H16" s="27" t="n">
        <x:f>'Source Data'!F39*G16*'Assumptions'!$F$55*'Assumptions'!$G$55</x:f>
        <x:v>7000.422595275591</x:v>
      </x:c>
      <x:c r="I16" s="27" t="n">
        <x:f>'Source Data'!G39*G16*'Assumptions'!$F$55*'Assumptions'!$G$55</x:f>
        <x:v>7112.723905511812</x:v>
      </x:c>
      <x:c r="J16" s="27" t="n">
        <x:f>'Source Data'!H39*G16*'Assumptions'!$F$55*'Assumptions'!$G$55</x:f>
        <x:v>6947.086393700788</x:v>
      </x:c>
      <x:c r="K16" s="27" t="n">
        <x:f>'Source Data'!I39*G16*'Assumptions'!$F$55*'Assumptions'!$G$55</x:f>
        <x:v>6351.714122834646</x:v>
      </x:c>
      <x:c r="L16" s="27" t="n">
        <x:f>'Source Data'!J39*G16*'Assumptions'!$F$55*'Assumptions'!$G$55</x:f>
        <x:v>5618.941152755906</x:v>
      </x:c>
      <x:c r="M16" s="27" t="n">
        <x:f>SUMPRODUCT(H16:L16,'Source Data'!D17:H17)</x:f>
        <x:v>6995.3973346456705</x:v>
      </x:c>
      <x:c r="N16" s="27" t="n">
        <x:f>SUMPRODUCT(H16:L16,'Source Data'!D18:H18)</x:f>
        <x:v>6948.0194183727035</x:v>
      </x:c>
      <x:c r="O16" s="27" t="n">
        <x:f>SUMPRODUCT(H16:L16,'Source Data'!D19:H19)</x:f>
        <x:v>6823.050503937008</x:v>
      </x:c>
      <x:c r="P16" s="27" t="n">
        <x:f>SUMPRODUCT(H16:L16,'Source Data'!D20:H20)</x:f>
        <x:v>6674.207436220473</x:v>
      </x:c>
      <x:c r="Q16" s="27" t="n">
        <x:f>SUMPRODUCT(H16:L16,'Source Data'!D21:H21)</x:f>
        <x:v>6525.364368503939</x:v>
      </x:c>
      <x:c r="R16" s="27" t="n">
        <x:f>SUMPRODUCT(H16:L16,'Source Data'!D22:H22)</x:f>
        <x:v>6374.612957742782</x:v>
      </x:c>
      <x:c r="S16" s="27" t="n">
        <x:f>SUMPRODUCT(H16:L16,'Source Data'!D23:H23)</x:f>
        <x:v>6199.053087401575</x:v>
      </x:c>
      <x:c r="T16" s="27" t="n">
        <x:f>SUMPRODUCT(H16:L16,'Source Data'!D24:H24)</x:f>
        <x:v>6015.85984488189</x:v>
      </x:c>
      <x:c r="U16" s="3"/>
      <x:c r="V16" s="3"/>
      <x:c r="W16" s="28" t="n">
        <x:f>M16*F16</x:f>
        <x:v>4875.254992178564</x:v>
      </x:c>
      <x:c r="X16" s="28" t="n">
        <x:f>N16*F16</x:f>
        <x:v>4842.236221152529</x:v>
      </x:c>
      <x:c r="Y16" s="28" t="n">
        <x:f>O16*F16</x:f>
        <x:v>4755.142480107636</x:v>
      </x:c>
      <x:c r="Z16" s="28" t="n">
        <x:f>P16*F16</x:f>
        <x:v>4651.410286749249</x:v>
      </x:c>
      <x:c r="AA16" s="28" t="n">
        <x:f>Q16*F16</x:f>
        <x:v>4547.678093390863</x:v>
      </x:c>
      <x:c r="AB16" s="28" t="n">
        <x:f>R16*F16</x:f>
        <x:v>4442.615931410251</x:v>
      </x:c>
      <x:c r="AC16" s="28" t="n">
        <x:f>S16*F16</x:f>
        <x:v>4320.264177340723</x:v>
      </x:c>
      <x:c r="AD16" s="28" t="n">
        <x:f>T16*F16</x:f>
        <x:v>4192.5925487823</x:v>
      </x:c>
    </x:row>
    <x:row r="17" ht="19" customHeight="1">
      <x:c r="A17" s="2"/>
      <x:c r="B17" s="2"/>
      <x:c r="C17" s="45" t="n">
        <x:f>'Source Data'!C40</x:f>
        <x:v>0</x:v>
      </x:c>
      <x:c r="D17" s="45" t="n">
        <x:f>'Source Data'!D40</x:f>
        <x:v>11</x:v>
      </x:c>
      <x:c r="E17" s="45" t="n">
        <x:f>'Source Data'!E40</x:f>
        <x:v>4</x:v>
      </x:c>
      <x:c r="F17" s="27" t="n">
        <x:f>IF(D17=0,0.5,1)*EXP(-'Assumptions'!$D$21*MAX(D17-6,0))</x:f>
        <x:v>0.6367679343943579</x:v>
      </x:c>
      <x:c r="G17" s="27" t="n">
        <x:f>IF(D17/'Assumptions'!$D$19&gt;=31,0,INDEX('Source Data'!$M$29:$M$60,INT(D17/'Assumptions'!$D$19)+1)+(D17/'Assumptions'!$D$19-INT(D17/'Assumptions'!$D$19))*(INDEX('Source Data'!$M$29:$M$60,MIN(32,INT(D17/'Assumptions'!$D$19)+2))-INDEX('Source Data'!$M$29:$M$60,INT(D17/'Assumptions'!$D$19)+1)))</x:f>
        <x:v>0.9021417322834646</x:v>
      </x:c>
      <x:c r="H17" s="27" t="n">
        <x:f>'Source Data'!F40*G17*'Assumptions'!$F$55*'Assumptions'!$G$55</x:f>
        <x:v>6536.197278740157</x:v>
      </x:c>
      <x:c r="I17" s="27" t="n">
        <x:f>'Source Data'!G40*G17*'Assumptions'!$F$55*'Assumptions'!$G$55</x:f>
        <x:v>6843.917823622048</x:v>
      </x:c>
      <x:c r="J17" s="27" t="n">
        <x:f>'Source Data'!H40*G17*'Assumptions'!$F$55*'Assumptions'!$G$55</x:f>
        <x:v>6953.708472440945</x:v>
      </x:c>
      <x:c r="K17" s="27" t="n">
        <x:f>'Source Data'!I40*G17*'Assumptions'!$F$55*'Assumptions'!$G$55</x:f>
        <x:v>6791.774031496064</x:v>
      </x:c>
      <x:c r="L17" s="27" t="n">
        <x:f>'Source Data'!J40*G17*'Assumptions'!$F$55*'Assumptions'!$G$55</x:f>
        <x:v>6209.712185826772</x:v>
      </x:c>
      <x:c r="M17" s="27" t="n">
        <x:f>SUMPRODUCT(H17:L17,'Source Data'!D17:H17)</x:f>
        <x:v>6921.686199868767</x:v>
      </x:c>
      <x:c r="N17" s="27" t="n">
        <x:f>SUMPRODUCT(H17:L17,'Source Data'!D18:H18)</x:f>
        <x:v>6945.359902493438</x:v>
      </x:c>
      <x:c r="O17" s="27" t="n">
        <x:f>SUMPRODUCT(H17:L17,'Source Data'!D19:H19)</x:f>
        <x:v>6919.972130577428</x:v>
      </x:c>
      <x:c r="P17" s="27" t="n">
        <x:f>SUMPRODUCT(H17:L17,'Source Data'!D20:H20)</x:f>
        <x:v>6879.488520341209</x:v>
      </x:c>
      <x:c r="Q17" s="27" t="n">
        <x:f>SUMPRODUCT(H17:L17,'Source Data'!D21:H21)</x:f>
        <x:v>6839.004910104988</x:v>
      </x:c>
      <x:c r="R17" s="27" t="n">
        <x:f>SUMPRODUCT(H17:L17,'Source Data'!D22:H22)</x:f>
        <x:v>6792.686197025373</x:v>
      </x:c>
      <x:c r="S17" s="27" t="n">
        <x:f>SUMPRODUCT(H17:L17,'Source Data'!D23:H23)</x:f>
        <x:v>6670.5111469816275</x:v>
      </x:c>
      <x:c r="T17" s="27" t="n">
        <x:f>SUMPRODUCT(H17:L17,'Source Data'!D24:H24)</x:f>
        <x:v>6524.995685564306</x:v>
      </x:c>
      <x:c r="U17" s="3"/>
      <x:c r="V17" s="3"/>
      <x:c r="W17" s="28" t="n">
        <x:f>M17*F17</x:f>
        <x:v>4407.5078240163675</x:v>
      </x:c>
      <x:c r="X17" s="28" t="n">
        <x:f>N17*F17</x:f>
        <x:v>4422.582478736145</x:v>
      </x:c>
      <x:c r="Y17" s="28" t="n">
        <x:f>O17*F17</x:f>
        <x:v>4406.416359654313</x:v>
      </x:c>
      <x:c r="Z17" s="28" t="n">
        <x:f>P17*F17</x:f>
        <x:v>4380.637694787369</x:v>
      </x:c>
      <x:c r="AA17" s="28" t="n">
        <x:f>Q17*F17</x:f>
        <x:v>4354.859029920424</x:v>
      </x:c>
      <x:c r="AB17" s="28" t="n">
        <x:f>R17*F17</x:f>
        <x:v>4325.364758668913</x:v>
      </x:c>
      <x:c r="AC17" s="28" t="n">
        <x:f>S17*F17</x:f>
        <x:v>4247.56760441803</x:v>
      </x:c>
      <x:c r="AD17" s="28" t="n">
        <x:f>T17*F17</x:f>
        <x:v>4154.90802462888</x:v>
      </x:c>
    </x:row>
    <x:row r="18" ht="19" customHeight="1">
      <x:c r="A18" s="2"/>
      <x:c r="B18" s="2"/>
      <x:c r="C18" s="45" t="n">
        <x:f>'Source Data'!C41</x:f>
        <x:v>0</x:v>
      </x:c>
      <x:c r="D18" s="45" t="n">
        <x:f>'Source Data'!D41</x:f>
        <x:v>12</x:v>
      </x:c>
      <x:c r="E18" s="45" t="n">
        <x:f>'Source Data'!E41</x:f>
        <x:v>4</x:v>
      </x:c>
      <x:c r="F18" s="27" t="n">
        <x:f>IF(D18=0,0.5,1)*EXP(-'Assumptions'!$D$21*MAX(D18-6,0))</x:f>
        <x:v>0.5818049644746394</x:v>
      </x:c>
      <x:c r="G18" s="27" t="n">
        <x:f>IF(D18/'Assumptions'!$D$19&gt;=31,0,INDEX('Source Data'!$M$29:$M$60,INT(D18/'Assumptions'!$D$19)+1)+(D18/'Assumptions'!$D$19-INT(D18/'Assumptions'!$D$19))*(INDEX('Source Data'!$M$29:$M$60,MIN(32,INT(D18/'Assumptions'!$D$19)+2))-INDEX('Source Data'!$M$29:$M$60,INT(D18/'Assumptions'!$D$19)+1)))</x:f>
        <x:v>0.8790866141732284</x:v>
      </x:c>
      <x:c r="H18" s="27" t="n">
        <x:f>'Source Data'!F41*G18*'Assumptions'!$F$55*'Assumptions'!$G$55</x:f>
        <x:v>5356.186831496063</x:v>
      </x:c>
      <x:c r="I18" s="27" t="n">
        <x:f>'Source Data'!G41*G18*'Assumptions'!$F$55*'Assumptions'!$G$55</x:f>
        <x:v>6369.158337007874</x:v>
      </x:c>
      <x:c r="J18" s="27" t="n">
        <x:f>'Source Data'!H41*G18*'Assumptions'!$F$55*'Assumptions'!$G$55</x:f>
        <x:v>6669.014781102363</x:v>
      </x:c>
      <x:c r="K18" s="27" t="n">
        <x:f>'Source Data'!I41*G18*'Assumptions'!$F$55*'Assumptions'!$G$55</x:f>
        <x:v>6775.999622047245</x:v>
      </x:c>
      <x:c r="L18" s="27" t="n">
        <x:f>'Source Data'!J41*G18*'Assumptions'!$F$55*'Assumptions'!$G$55</x:f>
        <x:v>6618.20357480315</x:v>
      </x:c>
      <x:c r="M18" s="27" t="n">
        <x:f>SUMPRODUCT(H18:L18,'Source Data'!D17:H17)</x:f>
        <x:v>6581.556651574803</x:v>
      </x:c>
      <x:c r="N18" s="27" t="n">
        <x:f>SUMPRODUCT(H18:L18,'Source Data'!D18:H18)</x:f>
        <x:v>6653.841990332458</x:v>
      </x:c>
      <x:c r="O18" s="27" t="n">
        <x:f>SUMPRODUCT(H18:L18,'Source Data'!D19:H19)</x:f>
        <x:v>6691.303289632546</x:v>
      </x:c>
      <x:c r="P18" s="27" t="n">
        <x:f>SUMPRODUCT(H18:L18,'Source Data'!D20:H20)</x:f>
        <x:v>6718.049499868768</x:v>
      </x:c>
      <x:c r="Q18" s="27" t="n">
        <x:f>SUMPRODUCT(H18:L18,'Source Data'!D21:H21)</x:f>
        <x:v>6744.795710104988</x:v>
      </x:c>
      <x:c r="R18" s="27" t="n">
        <x:f>SUMPRODUCT(H18:L18,'Source Data'!D22:H22)</x:f>
        <x:v>6767.86440800525</x:v>
      </x:c>
      <x:c r="S18" s="27" t="n">
        <x:f>SUMPRODUCT(H18:L18,'Source Data'!D23:H23)</x:f>
        <x:v>6743.125445538059</x:v>
      </x:c>
      <x:c r="T18" s="27" t="n">
        <x:f>SUMPRODUCT(H18:L18,'Source Data'!D24:H24)</x:f>
        <x:v>6703.676433727036</x:v>
      </x:c>
      <x:c r="U18" s="3"/>
      <x:c r="V18" s="3"/>
      <x:c r="W18" s="28" t="n">
        <x:f>M18*F18</x:f>
        <x:v>3829.182333857305</x:v>
      </x:c>
      <x:c r="X18" s="28" t="n">
        <x:f>N18*F18</x:f>
        <x:v>3871.2383028052395</x:v>
      </x:c>
      <x:c r="Y18" s="28" t="n">
        <x:f>O18*F18</x:f>
        <x:v>3893.033472713701</x:v>
      </x:c>
      <x:c r="Z18" s="28" t="n">
        <x:f>P18*F18</x:f>
        <x:v>3908.5945506100174</x:v>
      </x:c>
      <x:c r="AA18" s="28" t="n">
        <x:f>Q18*F18</x:f>
        <x:v>3924.1556285063325</x:v>
      </x:c>
      <x:c r="AB18" s="28" t="n">
        <x:f>R18*F18</x:f>
        <x:v>3937.5771114686704</x:v>
      </x:c>
      <x:c r="AC18" s="28" t="n">
        <x:f>S18*F18</x:f>
        <x:v>3923.1838602893067</x:v>
      </x:c>
      <x:c r="AD18" s="28" t="n">
        <x:f>T18*F18</x:f>
        <x:v>3900.2322293740353</x:v>
      </x:c>
    </x:row>
    <x:row r="19" ht="19" customHeight="1">
      <x:c r="A19" s="2"/>
      <x:c r="B19" s="2"/>
      <x:c r="C19" s="45" t="n">
        <x:f>'Source Data'!C42</x:f>
        <x:v>0</x:v>
      </x:c>
      <x:c r="D19" s="45" t="n">
        <x:f>'Source Data'!D42</x:f>
        <x:v>13</x:v>
      </x:c>
      <x:c r="E19" s="45" t="n">
        <x:f>'Source Data'!E42</x:f>
        <x:v>5</x:v>
      </x:c>
      <x:c r="F19" s="27" t="n">
        <x:f>IF(D19=0,0.5,1)*EXP(-'Assumptions'!$D$21*MAX(D19-6,0))</x:f>
        <x:v>0.5315861531395849</x:v>
      </x:c>
      <x:c r="G19" s="27" t="n">
        <x:f>IF(D19/'Assumptions'!$D$19&gt;=31,0,INDEX('Source Data'!$M$29:$M$60,INT(D19/'Assumptions'!$D$19)+1)+(D19/'Assumptions'!$D$19-INT(D19/'Assumptions'!$D$19))*(INDEX('Source Data'!$M$29:$M$60,MIN(32,INT(D19/'Assumptions'!$D$19)+2))-INDEX('Source Data'!$M$29:$M$60,INT(D19/'Assumptions'!$D$19)+1)))</x:f>
        <x:v>0.853496062992126</x:v>
      </x:c>
      <x:c r="H19" s="27" t="n">
        <x:f>'Source Data'!F42*G19*'Assumptions'!$F$55*'Assumptions'!$G$55</x:f>
        <x:v>4810.047762204725</x:v>
      </x:c>
      <x:c r="I19" s="27" t="n">
        <x:f>'Source Data'!G42*G19*'Assumptions'!$F$55*'Assumptions'!$G$55</x:f>
        <x:v>5200.266162204724</x:v>
      </x:c>
      <x:c r="J19" s="27" t="n">
        <x:f>'Source Data'!H42*G19*'Assumptions'!$F$55*'Assumptions'!$G$55</x:f>
        <x:v>6183.749675590551</x:v>
      </x:c>
      <x:c r="K19" s="27" t="n">
        <x:f>'Source Data'!I42*G19*'Assumptions'!$F$55*'Assumptions'!$G$55</x:f>
        <x:v>6474.877182677165</x:v>
      </x:c>
      <x:c r="L19" s="27" t="n">
        <x:f>'Source Data'!J42*G19*'Assumptions'!$F$55*'Assumptions'!$G$55</x:f>
        <x:v>6578.747653543307</x:v>
      </x:c>
      <x:c r="M19" s="27" t="n">
        <x:f>SUMPRODUCT(H19:L19,'Source Data'!D17:H17)</x:f>
        <x:v>5896.900317519686</x:v>
      </x:c>
      <x:c r="N19" s="27" t="n">
        <x:f>SUMPRODUCT(H19:L19,'Source Data'!D18:H18)</x:f>
        <x:v>6133.155140223097</x:v>
      </x:c>
      <x:c r="O19" s="27" t="n">
        <x:f>SUMPRODUCT(H19:L19,'Source Data'!D19:H19)</x:f>
        <x:v>6244.401239566929</x:v>
      </x:c>
      <x:c r="P19" s="27" t="n">
        <x:f>SUMPRODUCT(H19:L19,'Source Data'!D20:H20)</x:f>
        <x:v>6317.183116338583</x:v>
      </x:c>
      <x:c r="Q19" s="27" t="n">
        <x:f>SUMPRODUCT(H19:L19,'Source Data'!D21:H21)</x:f>
        <x:v>6389.964993110237</x:v>
      </x:c>
      <x:c r="R19" s="27" t="n">
        <x:f>SUMPRODUCT(H19:L19,'Source Data'!D22:H22)</x:f>
        <x:v>6460.146077712161</x:v>
      </x:c>
      <x:c r="S19" s="27" t="n">
        <x:f>SUMPRODUCT(H19:L19,'Source Data'!D23:H23)</x:f>
        <x:v>6496.516864107611</x:v>
      </x:c>
      <x:c r="T19" s="27" t="n">
        <x:f>SUMPRODUCT(H19:L19,'Source Data'!D24:H24)</x:f>
        <x:v>6522.484481824147</x:v>
      </x:c>
      <x:c r="U19" s="3"/>
      <x:c r="V19" s="3"/>
      <x:c r="W19" s="28" t="n">
        <x:f>M19*F19</x:f>
        <x:v>3134.7105552378866</x:v>
      </x:c>
      <x:c r="X19" s="28" t="n">
        <x:f>N19*F19</x:f>
        <x:v>3260.300347599468</x:v>
      </x:c>
      <x:c r="Y19" s="28" t="n">
        <x:f>O19*F19</x:f>
        <x:v>3319.4372336014394</x:v>
      </x:c>
      <x:c r="Z19" s="28" t="n">
        <x:f>P19*F19</x:f>
        <x:v>3358.1270714927623</x:v>
      </x:c>
      <x:c r="AA19" s="28" t="n">
        <x:f>Q19*F19</x:f>
        <x:v>3396.8169093840847</x:v>
      </x:c>
      <x:c r="AB19" s="28" t="n">
        <x:f>R19*F19</x:f>
        <x:v>3434.124202170786</x:v>
      </x:c>
      <x:c r="AC19" s="28" t="n">
        <x:f>S19*F19</x:f>
        <x:v>3453.4584085974043</x:v>
      </x:c>
      <x:c r="AD19" s="28" t="n">
        <x:f>T19*F19</x:f>
        <x:v>3467.2624346055372</x:v>
      </x:c>
    </x:row>
    <x:row r="20" ht="19" customHeight="1">
      <x:c r="A20" s="2"/>
      <x:c r="B20" s="2"/>
      <x:c r="C20" s="45" t="n">
        <x:f>'Source Data'!C43</x:f>
        <x:v>0</x:v>
      </x:c>
      <x:c r="D20" s="45" t="n">
        <x:f>'Source Data'!D43</x:f>
        <x:v>14</x:v>
      </x:c>
      <x:c r="E20" s="45" t="n">
        <x:f>'Source Data'!E43</x:f>
        <x:v>5</x:v>
      </x:c>
      <x:c r="F20" s="27" t="n">
        <x:f>IF(D20=0,0.5,1)*EXP(-'Assumptions'!$D$21*MAX(D20-6,0))</x:f>
        <x:v>0.4857020057656452</x:v>
      </x:c>
      <x:c r="G20" s="27" t="n">
        <x:f>IF(D20/'Assumptions'!$D$19&gt;=31,0,INDEX('Source Data'!$M$29:$M$60,INT(D20/'Assumptions'!$D$19)+1)+(D20/'Assumptions'!$D$19-INT(D20/'Assumptions'!$D$19))*(INDEX('Source Data'!$M$29:$M$60,MIN(32,INT(D20/'Assumptions'!$D$19)+2))-INDEX('Source Data'!$M$29:$M$60,INT(D20/'Assumptions'!$D$19)+1)))</x:f>
        <x:v>0.8251023622047243</x:v>
      </x:c>
      <x:c r="H20" s="27" t="n">
        <x:f>'Source Data'!F43*G20*'Assumptions'!$F$55*'Assumptions'!$G$55</x:f>
        <x:v>4456.872919685039</x:v>
      </x:c>
      <x:c r="I20" s="27" t="n">
        <x:f>'Source Data'!G43*G20*'Assumptions'!$F$55*'Assumptions'!$G$55</x:f>
        <x:v>4650.029382677165</x:v>
      </x:c>
      <x:c r="J20" s="27" t="n">
        <x:f>'Source Data'!H43*G20*'Assumptions'!$F$55*'Assumptions'!$G$55</x:f>
        <x:v>5027.266182677165</x:v>
      </x:c>
      <x:c r="K20" s="27" t="n">
        <x:f>'Source Data'!I43*G20*'Assumptions'!$F$55*'Assumptions'!$G$55</x:f>
        <x:v>5978.031634645668</x:v>
      </x:c>
      <x:c r="L20" s="27" t="n">
        <x:f>'Source Data'!J43*G20*'Assumptions'!$F$55*'Assumptions'!$G$55</x:f>
        <x:v>6259.4740503937</x:v>
      </x:c>
      <x:c r="M20" s="27" t="n">
        <x:f>SUMPRODUCT(H20:L20,'Source Data'!D17:H17)</x:f>
        <x:v>4917.238782677165</x:v>
      </x:c>
      <x:c r="N20" s="27" t="n">
        <x:f>SUMPRODUCT(H20:L20,'Source Data'!D18:H18)</x:f>
        <x:v>5019.51365839895</x:v>
      </x:c>
      <x:c r="O20" s="27" t="n">
        <x:f>SUMPRODUCT(H20:L20,'Source Data'!D19:H19)</x:f>
        <x:v>5225.3423185039355</x:v>
      </x:c>
      <x:c r="P20" s="27" t="n">
        <x:f>SUMPRODUCT(H20:L20,'Source Data'!D20:H20)</x:f>
        <x:v>5463.033681496063</x:v>
      </x:c>
      <x:c r="Q20" s="27" t="n">
        <x:f>SUMPRODUCT(H20:L20,'Source Data'!D21:H21)</x:f>
        <x:v>5700.725044488188</x:v>
      </x:c>
      <x:c r="R20" s="27" t="n">
        <x:f>SUMPRODUCT(H20:L20,'Source Data'!D22:H22)</x:f>
        <x:v>5929.120254199474</x:v>
      </x:c>
      <x:c r="S20" s="27" t="n">
        <x:f>SUMPRODUCT(H20:L20,'Source Data'!D23:H23)</x:f>
        <x:v>6036.665471259841</x:v>
      </x:c>
      <x:c r="T20" s="27" t="n">
        <x:f>SUMPRODUCT(H20:L20,'Source Data'!D24:H24)</x:f>
        <x:v>6107.02607519685</x:v>
      </x:c>
      <x:c r="U20" s="3"/>
      <x:c r="V20" s="3"/>
      <x:c r="W20" s="28" t="n">
        <x:f>M20*F20</x:f>
        <x:v>2388.3127395749184</x:v>
      </x:c>
      <x:c r="X20" s="28" t="n">
        <x:f>N20*F20</x:f>
        <x:v>2437.9878518524215</x:v>
      </x:c>
      <x:c r="Y20" s="28" t="n">
        <x:f>O20*F20</x:f>
        <x:v>2537.9592449094685</x:v>
      </x:c>
      <x:c r="Z20" s="28" t="n">
        <x:f>P20*F20</x:f>
        <x:v>2653.4064166679145</x:v>
      </x:c>
      <x:c r="AA20" s="28" t="n">
        <x:f>Q20*F20</x:f>
        <x:v>2768.85358842636</x:v>
      </x:c>
      <x:c r="AB20" s="28" t="n">
        <x:f>R20*F20</x:f>
        <x:v>2879.785599890397</x:v>
      </x:c>
      <x:c r="AC20" s="28" t="n">
        <x:f>S20*F20</x:f>
        <x:v>2932.0205275271187</x:v>
      </x:c>
      <x:c r="AD20" s="28" t="n">
        <x:f>T20*F20</x:f>
        <x:v>2966.194813986206</x:v>
      </x:c>
    </x:row>
    <x:row r="21" ht="19" customHeight="1">
      <x:c r="A21" s="2"/>
      <x:c r="B21" s="2"/>
      <x:c r="C21" s="45" t="n">
        <x:f>'Source Data'!C44</x:f>
        <x:v>0</x:v>
      </x:c>
      <x:c r="D21" s="45" t="n">
        <x:f>'Source Data'!D44</x:f>
        <x:v>15</x:v>
      </x:c>
      <x:c r="E21" s="45" t="n">
        <x:f>'Source Data'!E44</x:f>
        <x:v>5</x:v>
      </x:c>
      <x:c r="F21" s="27" t="n">
        <x:f>IF(D21=0,0.5,1)*EXP(-'Assumptions'!$D$21*MAX(D21-6,0))</x:f>
        <x:v>0.44377837347999183</x:v>
      </x:c>
      <x:c r="G21" s="27" t="n">
        <x:f>IF(D21/'Assumptions'!$D$19&gt;=31,0,INDEX('Source Data'!$M$29:$M$60,INT(D21/'Assumptions'!$D$19)+1)+(D21/'Assumptions'!$D$19-INT(D21/'Assumptions'!$D$19))*(INDEX('Source Data'!$M$29:$M$60,MIN(32,INT(D21/'Assumptions'!$D$19)+2))-INDEX('Source Data'!$M$29:$M$60,INT(D21/'Assumptions'!$D$19)+1)))</x:f>
        <x:v>0.7951811023622047</x:v>
      </x:c>
      <x:c r="H21" s="27" t="n">
        <x:f>'Source Data'!F44*G21*'Assumptions'!$F$55*'Assumptions'!$G$55</x:f>
        <x:v>5382.660400000001</x:v>
      </x:c>
      <x:c r="I21" s="27" t="n">
        <x:f>'Source Data'!G44*G21*'Assumptions'!$F$55*'Assumptions'!$G$55</x:f>
        <x:v>4295.250242519685</x:v>
      </x:c>
      <x:c r="J21" s="27" t="n">
        <x:f>'Source Data'!H44*G21*'Assumptions'!$F$55*'Assumptions'!$G$55</x:f>
        <x:v>4481.402138582677</x:v>
      </x:c>
      <x:c r="K21" s="27" t="n">
        <x:f>'Source Data'!I44*G21*'Assumptions'!$F$55*'Assumptions'!$G$55</x:f>
        <x:v>4844.958938582677</x:v>
      </x:c>
      <x:c r="L21" s="27" t="n">
        <x:f>'Source Data'!J44*G21*'Assumptions'!$F$55*'Assumptions'!$G$55</x:f>
        <x:v>5761.246122834646</x:v>
      </x:c>
      <x:c r="M21" s="27" t="n">
        <x:f>SUMPRODUCT(H21:L21,'Source Data'!D17:H17)</x:f>
        <x:v>4427.107835564305</x:v>
      </x:c>
      <x:c r="N21" s="27" t="n">
        <x:f>SUMPRODUCT(H21:L21,'Source Data'!D18:H18)</x:f>
        <x:v>4476.109766579178</x:v>
      </x:c>
      <x:c r="O21" s="27" t="n">
        <x:f>SUMPRODUCT(H21:L21,'Source Data'!D19:H19)</x:f>
        <x:v>4557.143138582676</x:v>
      </x:c>
      <x:c r="P21" s="27" t="n">
        <x:f>SUMPRODUCT(H21:L21,'Source Data'!D20:H20)</x:f>
        <x:v>4648.032338582678</x:v>
      </x:c>
      <x:c r="Q21" s="27" t="n">
        <x:f>SUMPRODUCT(H21:L21,'Source Data'!D21:H21)</x:f>
        <x:v>4738.921538582677</x:v>
      </x:c>
      <x:c r="R21" s="27" t="n">
        <x:f>SUMPRODUCT(H21:L21,'Source Data'!D22:H22)</x:f>
        <x:v>4837.487549475065</x:v>
      </x:c>
      <x:c r="S21" s="27" t="n">
        <x:f>SUMPRODUCT(H21:L21,'Source Data'!D23:H23)</x:f>
        <x:v>5035.852101968503</x:v>
      </x:c>
      <x:c r="T21" s="27" t="n">
        <x:f>SUMPRODUCT(H21:L21,'Source Data'!D24:H24)</x:f>
        <x:v>5264.923898031497</x:v>
      </x:c>
      <x:c r="U21" s="3"/>
      <x:c r="V21" s="3"/>
      <x:c r="W21" s="28" t="n">
        <x:f>M21*F21</x:f>
        <x:v>1964.6547144872543</x:v>
      </x:c>
      <x:c r="X21" s="28" t="n">
        <x:f>N21*F21</x:f>
        <x:v>1986.4007117304134</x:v>
      </x:c>
      <x:c r="Y21" s="28" t="n">
        <x:f>O21*F21</x:f>
        <x:v>2022.361569755725</x:v>
      </x:c>
      <x:c r="Z21" s="28" t="n">
        <x:f>P21*F21</x:f>
        <x:v>2062.6962310986232</x:v>
      </x:c>
      <x:c r="AA21" s="28" t="n">
        <x:f>Q21*F21</x:f>
        <x:v>2103.030892441521</x:v>
      </x:c>
      <x:c r="AB21" s="28" t="n">
        <x:f>R21*F21</x:f>
        <x:v>2146.7723564357557</x:v>
      </x:c>
      <x:c r="AC21" s="28" t="n">
        <x:f>S21*F21</x:f>
        <x:v>2234.8022548973804</x:v>
      </x:c>
      <x:c r="AD21" s="28" t="n">
        <x:f>T21*F21</x:f>
        <x:v>2336.459363964356</x:v>
      </x:c>
    </x:row>
    <x:row r="22" ht="19" customHeight="1">
      <x:c r="A22" s="2"/>
      <x:c r="B22" s="2"/>
      <x:c r="C22" s="45" t="n">
        <x:f>'Source Data'!C45</x:f>
        <x:v>0</x:v>
      </x:c>
      <x:c r="D22" s="45" t="n">
        <x:f>'Source Data'!D45</x:f>
        <x:v>16</x:v>
      </x:c>
      <x:c r="E22" s="45" t="n">
        <x:f>'Source Data'!E45</x:f>
        <x:v>5</x:v>
      </x:c>
      <x:c r="F22" s="27" t="n">
        <x:f>IF(D22=0,0.5,1)*EXP(-'Assumptions'!$D$21*MAX(D22-6,0))</x:f>
        <x:v>0.4054734022728572</x:v>
      </x:c>
      <x:c r="G22" s="27" t="n">
        <x:f>IF(D22/'Assumptions'!$D$19&gt;=31,0,INDEX('Source Data'!$M$29:$M$60,INT(D22/'Assumptions'!$D$19)+1)+(D22/'Assumptions'!$D$19-INT(D22/'Assumptions'!$D$19))*(INDEX('Source Data'!$M$29:$M$60,MIN(32,INT(D22/'Assumptions'!$D$19)+2))-INDEX('Source Data'!$M$29:$M$60,INT(D22/'Assumptions'!$D$19)+1)))</x:f>
        <x:v>0.7461102362204726</x:v>
      </x:c>
      <x:c r="H22" s="27" t="n">
        <x:f>'Source Data'!F45*G22*'Assumptions'!$F$55*'Assumptions'!$G$55</x:f>
        <x:v>5642.309439370079</x:v>
      </x:c>
      <x:c r="I22" s="27" t="n">
        <x:f>'Source Data'!G45*G22*'Assumptions'!$F$55*'Assumptions'!$G$55</x:f>
        <x:v>5050.494800000001</x:v>
      </x:c>
      <x:c r="J22" s="27" t="n">
        <x:f>'Source Data'!H45*G22*'Assumptions'!$F$55*'Assumptions'!$G$55</x:f>
        <x:v>4030.189051968505</x:v>
      </x:c>
      <x:c r="K22" s="27" t="n">
        <x:f>'Source Data'!I45*G22*'Assumptions'!$F$55*'Assumptions'!$G$55</x:f>
        <x:v>4204.8534582677175</x:v>
      </x:c>
      <x:c r="L22" s="27" t="n">
        <x:f>'Source Data'!J45*G22*'Assumptions'!$F$55*'Assumptions'!$G$55</x:f>
        <x:v>4545.975058267717</x:v>
      </x:c>
      <x:c r="M22" s="27" t="n">
        <x:f>SUMPRODUCT(H22:L22,'Source Data'!D17:H17)</x:f>
        <x:v>4327.778228477691</x:v>
      </x:c>
      <x:c r="N22" s="27" t="n">
        <x:f>SUMPRODUCT(H22:L22,'Source Data'!D18:H18)</x:f>
        <x:v>4089.298599168855</x:v>
      </x:c>
      <x:c r="O22" s="27" t="n">
        <x:f>SUMPRODUCT(H22:L22,'Source Data'!D19:H19)</x:f>
        <x:v>4066.5774699475073</x:v>
      </x:c>
      <x:c r="P22" s="27" t="n">
        <x:f>SUMPRODUCT(H22:L22,'Source Data'!D20:H20)</x:f>
        <x:v>4110.243571522311</x:v>
      </x:c>
      <x:c r="Q22" s="27" t="n">
        <x:f>SUMPRODUCT(H22:L22,'Source Data'!D21:H21)</x:f>
        <x:v>4153.909673097114</x:v>
      </x:c>
      <x:c r="R22" s="27" t="n">
        <x:f>SUMPRODUCT(H22:L22,'Source Data'!D22:H22)</x:f>
        <x:v>4199.887680139983</x:v>
      </x:c>
      <x:c r="S22" s="27" t="n">
        <x:f>SUMPRODUCT(H22:L22,'Source Data'!D23:H23)</x:f>
        <x:v>4275.920458267718</x:v>
      </x:c>
      <x:c r="T22" s="27" t="n">
        <x:f>SUMPRODUCT(H22:L22,'Source Data'!D24:H24)</x:f>
        <x:v>4361.200858267718</x:v>
      </x:c>
      <x:c r="U22" s="3"/>
      <x:c r="V22" s="3"/>
      <x:c r="W22" s="28" t="n">
        <x:f>M22*F22</x:f>
        <x:v>1754.7989625832483</x:v>
      </x:c>
      <x:c r="X22" s="28" t="n">
        <x:f>N22*F22</x:f>
        <x:v>1658.1018159146247</x:v>
      </x:c>
      <x:c r="Y22" s="28" t="n">
        <x:f>O22*F22</x:f>
        <x:v>1648.8890023457636</x:v>
      </x:c>
      <x:c r="Z22" s="28" t="n">
        <x:f>P22*F22</x:f>
        <x:v>1666.5944451152914</x:v>
      </x:c>
      <x:c r="AA22" s="28" t="n">
        <x:f>Q22*F22</x:f>
        <x:v>1684.299887884819</x:v>
      </x:c>
      <x:c r="AB22" s="28" t="n">
        <x:f>R22*F22</x:f>
        <x:v>1702.9427468302163</x:v>
      </x:c>
      <x:c r="AC22" s="28" t="n">
        <x:f>S22*F22</x:f>
        <x:v>1733.7720160619263</x:v>
      </x:c>
      <x:c r="AD22" s="28" t="n">
        <x:f>T22*F22</x:f>
        <x:v>1768.3509499971167</x:v>
      </x:c>
    </x:row>
    <x:row r="23" ht="19" customHeight="1">
      <x:c r="A23" s="2"/>
      <x:c r="B23" s="2"/>
      <x:c r="C23" s="45" t="n">
        <x:f>'Source Data'!C46</x:f>
        <x:v>0</x:v>
      </x:c>
      <x:c r="D23" s="45" t="n">
        <x:f>'Source Data'!D46</x:f>
        <x:v>17</x:v>
      </x:c>
      <x:c r="E23" s="45" t="n">
        <x:f>'Source Data'!E46</x:f>
        <x:v>5</x:v>
      </x:c>
      <x:c r="F23" s="27" t="n">
        <x:f>IF(D23=0,0.5,1)*EXP(-'Assumptions'!$D$21*MAX(D23-6,0))</x:f>
        <x:v>0.37047474544889886</x:v>
      </x:c>
      <x:c r="G23" s="27" t="n">
        <x:f>IF(D23/'Assumptions'!$D$19&gt;=31,0,INDEX('Source Data'!$M$29:$M$60,INT(D23/'Assumptions'!$D$19)+1)+(D23/'Assumptions'!$D$19-INT(D23/'Assumptions'!$D$19))*(INDEX('Source Data'!$M$29:$M$60,MIN(32,INT(D23/'Assumptions'!$D$19)+2))-INDEX('Source Data'!$M$29:$M$60,INT(D23/'Assumptions'!$D$19)+1)))</x:f>
        <x:v>0.677488188976378</x:v>
      </x:c>
      <x:c r="H23" s="27" t="n">
        <x:f>'Source Data'!F46*G23*'Assumptions'!$F$55*'Assumptions'!$G$55</x:f>
        <x:v>5258.392327559055</x:v>
      </x:c>
      <x:c r="I23" s="27" t="n">
        <x:f>'Source Data'!G46*G23*'Assumptions'!$F$55*'Assumptions'!$G$55</x:f>
        <x:v>5123.368931496063</x:v>
      </x:c>
      <x:c r="J23" s="27" t="n">
        <x:f>'Source Data'!H46*G23*'Assumptions'!$F$55*'Assumptions'!$G$55</x:f>
        <x:v>4585.9853</x:v>
      </x:c>
      <x:c r="K23" s="27" t="n">
        <x:f>'Source Data'!I46*G23*'Assumptions'!$F$55*'Assumptions'!$G$55</x:f>
        <x:v>3659.5202015748037</x:v>
      </x:c>
      <x:c r="L23" s="27" t="n">
        <x:f>'Source Data'!J46*G23*'Assumptions'!$F$55*'Assumptions'!$G$55</x:f>
        <x:v>3818.1201866141732</x:v>
      </x:c>
      <x:c r="M23" s="27" t="n">
        <x:f>SUMPRODUCT(H23:L23,'Source Data'!D17:H17)</x:f>
        <x:v>4742.722192519685</x:v>
      </x:c>
      <x:c r="N23" s="27" t="n">
        <x:f>SUMPRODUCT(H23:L23,'Source Data'!D18:H18)</x:f>
        <x:v>4602.972375382766</x:v>
      </x:c>
      <x:c r="O23" s="27" t="n">
        <x:f>SUMPRODUCT(H23:L23,'Source Data'!D19:H19)</x:f>
        <x:v>4392.971737828084</x:v>
      </x:c>
      <x:c r="P23" s="27" t="n">
        <x:f>SUMPRODUCT(H23:L23,'Source Data'!D20:H20)</x:f>
        <x:v>4161.355463221786</x:v>
      </x:c>
      <x:c r="Q23" s="27" t="n">
        <x:f>SUMPRODUCT(H23:L23,'Source Data'!D21:H21)</x:f>
        <x:v>3929.7391886154865</x:v>
      </x:c>
      <x:c r="R23" s="27" t="n">
        <x:f>SUMPRODUCT(H23:L23,'Source Data'!D22:H22)</x:f>
        <x:v>3713.193262390639</x:v>
      </x:c>
      <x:c r="S23" s="27" t="n">
        <x:f>SUMPRODUCT(H23:L23,'Source Data'!D23:H23)</x:f>
        <x:v>3692.561865124672</x:v>
      </x:c>
      <x:c r="T23" s="27" t="n">
        <x:f>SUMPRODUCT(H23:L23,'Source Data'!D24:H24)</x:f>
        <x:v>3732.211861384515</x:v>
      </x:c>
      <x:c r="U23" s="3"/>
      <x:c r="V23" s="3"/>
      <x:c r="W23" s="28" t="n">
        <x:f>M23*F23</x:f>
        <x:v>1757.058797008574</x:v>
      </x:c>
      <x:c r="X23" s="28" t="n">
        <x:f>N23*F23</x:f>
        <x:v>1705.2850190782435</x:v>
      </x:c>
      <x:c r="Y23" s="28" t="n">
        <x:f>O23*F23</x:f>
        <x:v>1627.4850863360662</x:v>
      </x:c>
      <x:c r="Z23" s="28" t="n">
        <x:f>P23*F23</x:f>
        <x:v>1541.6771059594755</x:v>
      </x:c>
      <x:c r="AA23" s="28" t="n">
        <x:f>Q23*F23</x:f>
        <x:v>1455.8691255828846</x:v>
      </x:c>
      <x:c r="AB23" s="28" t="n">
        <x:f>R23*F23</x:f>
        <x:v>1375.6443286867384</x:v>
      </x:c>
      <x:c r="AC23" s="28" t="n">
        <x:f>S23*F23</x:f>
        <x:v>1368.000917036374</x:v>
      </x:c>
      <x:c r="AD23" s="28" t="n">
        <x:f>T23*F23</x:f>
        <x:v>1382.6902393077892</x:v>
      </x:c>
    </x:row>
    <x:row r="24" ht="19" customHeight="1">
      <x:c r="A24" s="2"/>
      <x:c r="B24" s="2"/>
      <x:c r="C24" s="45" t="n">
        <x:f>'Source Data'!C47</x:f>
        <x:v>0</x:v>
      </x:c>
      <x:c r="D24" s="45" t="n">
        <x:f>'Source Data'!D47</x:f>
        <x:v>18</x:v>
      </x:c>
      <x:c r="E24" s="45" t="n">
        <x:f>'Source Data'!E47</x:f>
        <x:v>5</x:v>
      </x:c>
      <x:c r="F24" s="27" t="n">
        <x:f>IF(D24=0,0.5,1)*EXP(-'Assumptions'!$D$21*MAX(D24-6,0))</x:f>
        <x:v>0.33849701668733634</x:v>
      </x:c>
      <x:c r="G24" s="27" t="n">
        <x:f>IF(D24/'Assumptions'!$D$19&gt;=31,0,INDEX('Source Data'!$M$29:$M$60,INT(D24/'Assumptions'!$D$19)+1)+(D24/'Assumptions'!$D$19-INT(D24/'Assumptions'!$D$19))*(INDEX('Source Data'!$M$29:$M$60,MIN(32,INT(D24/'Assumptions'!$D$19)+2))-INDEX('Source Data'!$M$29:$M$60,INT(D24/'Assumptions'!$D$19)+1)))</x:f>
        <x:v>0.5951574803149606</x:v>
      </x:c>
      <x:c r="H24" s="27" t="n">
        <x:f>'Source Data'!F47*G24*'Assumptions'!$F$55*'Assumptions'!$G$55</x:f>
        <x:v>4558.906299212598</x:v>
      </x:c>
      <x:c r="I24" s="27" t="n">
        <x:f>'Source Data'!G47*G24*'Assumptions'!$F$55*'Assumptions'!$G$55</x:f>
        <x:v>4619.374299212599</x:v>
      </x:c>
      <x:c r="J24" s="27" t="n">
        <x:f>'Source Data'!H47*G24*'Assumptions'!$F$55*'Assumptions'!$G$55</x:f>
        <x:v>4500.7594133858265</x:v>
      </x:c>
      <x:c r="K24" s="27" t="n">
        <x:f>'Source Data'!I47*G24*'Assumptions'!$F$55*'Assumptions'!$G$55</x:f>
        <x:v>4028.6805000000004</x:v>
      </x:c>
      <x:c r="L24" s="27" t="n">
        <x:f>'Source Data'!J47*G24*'Assumptions'!$F$55*'Assumptions'!$G$55</x:f>
        <x:v>3214.8026456692915</x:v>
      </x:c>
      <x:c r="M24" s="27" t="n">
        <x:f>SUMPRODUCT(H24:L24,'Source Data'!D17:H17)</x:f>
        <x:v>4535.355421751969</x:v>
      </x:c>
      <x:c r="N24" s="27" t="n">
        <x:f>SUMPRODUCT(H24:L24,'Source Data'!D18:H18)</x:f>
        <x:v>4500.792477690288</x:v>
      </x:c>
      <x:c r="O24" s="27" t="n">
        <x:f>SUMPRODUCT(H24:L24,'Source Data'!D19:H19)</x:f>
        <x:v>4402.4096397637795</x:v>
      </x:c>
      <x:c r="P24" s="27" t="n">
        <x:f>SUMPRODUCT(H24:L24,'Source Data'!D20:H20)</x:f>
        <x:v>4284.389911417324</x:v>
      </x:c>
      <x:c r="Q24" s="27" t="n">
        <x:f>SUMPRODUCT(H24:L24,'Source Data'!D21:H21)</x:f>
        <x:v>4166.370183070867</x:v>
      </x:c>
      <x:c r="R24" s="27" t="n">
        <x:f>SUMPRODUCT(H24:L24,'Source Data'!D22:H22)</x:f>
        <x:v>4043.603247211286</x:v>
      </x:c>
      <x:c r="S24" s="27" t="n">
        <x:f>SUMPRODUCT(H24:L24,'Source Data'!D23:H23)</x:f>
        <x:v>3859.1226136811024</x:v>
      </x:c>
      <x:c r="T24" s="27" t="n">
        <x:f>SUMPRODUCT(H24:L24,'Source Data'!D24:H24)</x:f>
        <x:v>3655.6531500984256</x:v>
      </x:c>
      <x:c r="U24" s="3"/>
      <x:c r="V24" s="3"/>
      <x:c r="W24" s="28" t="n">
        <x:f>M24*F24</x:f>
        <x:v>1535.2042798797775</x:v>
      </x:c>
      <x:c r="X24" s="28" t="n">
        <x:f>N24*F24</x:f>
        <x:v>1523.5048264269674</x:v>
      </x:c>
      <x:c r="Y24" s="28" t="n">
        <x:f>O24*F24</x:f>
        <x:v>1490.2025292956105</x:v>
      </x:c>
      <x:c r="Z24" s="28" t="n">
        <x:f>P24*F24</x:f>
        <x:v>1450.2532033400853</x:v>
      </x:c>
      <x:c r="AA24" s="28" t="n">
        <x:f>Q24*F24</x:f>
        <x:v>1410.3038773845599</x:v>
      </x:c>
      <x:c r="AB24" s="28" t="n">
        <x:f>R24*F24</x:f>
        <x:v>1368.747635848246</x:v>
      </x:c>
      <x:c r="AC24" s="28" t="n">
        <x:f>S24*F24</x:f>
        <x:v>1306.3014917616892</x:v>
      </x:c>
      <x:c r="AD24" s="28" t="n">
        <x:f>T24*F24</x:f>
        <x:v>1237.4276853519805</x:v>
      </x:c>
    </x:row>
    <x:row r="25" ht="19" customHeight="1">
      <x:c r="A25" s="2"/>
      <x:c r="B25" s="2"/>
      <x:c r="C25" s="45" t="n">
        <x:f>'Source Data'!C48</x:f>
        <x:v>0</x:v>
      </x:c>
      <x:c r="D25" s="45" t="n">
        <x:f>'Source Data'!D48</x:f>
        <x:v>19</x:v>
      </x:c>
      <x:c r="E25" s="45" t="n">
        <x:f>'Source Data'!E48</x:f>
        <x:v>5</x:v>
      </x:c>
      <x:c r="F25" s="27" t="n">
        <x:f>IF(D25=0,0.5,1)*EXP(-'Assumptions'!$D$21*MAX(D25-6,0))</x:f>
        <x:v>0.3092794629425864</x:v>
      </x:c>
      <x:c r="G25" s="27" t="n">
        <x:f>IF(D25/'Assumptions'!$D$19&gt;=31,0,INDEX('Source Data'!$M$29:$M$60,INT(D25/'Assumptions'!$D$19)+1)+(D25/'Assumptions'!$D$19-INT(D25/'Assumptions'!$D$19))*(INDEX('Source Data'!$M$29:$M$60,MIN(32,INT(D25/'Assumptions'!$D$19)+2))-INDEX('Source Data'!$M$29:$M$60,INT(D25/'Assumptions'!$D$19)+1)))</x:f>
        <x:v>0.5140551181102362</x:v>
      </x:c>
      <x:c r="H25" s="27" t="n">
        <x:f>'Source Data'!F48*G25*'Assumptions'!$F$55*'Assumptions'!$G$55</x:f>
        <x:v>3846.4688267716533</x:v>
      </x:c>
      <x:c r="I25" s="27" t="n">
        <x:f>'Source Data'!G48*G25*'Assumptions'!$F$55*'Assumptions'!$G$55</x:f>
        <x:v>3937.662204724409</x:v>
      </x:c>
      <x:c r="J25" s="27" t="n">
        <x:f>'Source Data'!H48*G25*'Assumptions'!$F$55*'Assumptions'!$G$55</x:f>
        <x:v>3989.890204724409</x:v>
      </x:c>
      <x:c r="K25" s="27" t="n">
        <x:f>'Source Data'!I48*G25*'Assumptions'!$F$55*'Assumptions'!$G$55</x:f>
        <x:v>3887.439019685039</x:v>
      </x:c>
      <x:c r="L25" s="27" t="n">
        <x:f>'Source Data'!J48*G25*'Assumptions'!$F$55*'Assumptions'!$G$55</x:f>
        <x:v>3479.6905</x:v>
      </x:c>
      <x:c r="M25" s="27" t="n">
        <x:f>SUMPRODUCT(H25:L25,'Source Data'!D17:H17)</x:f>
        <x:v>3974.6570380577423</x:v>
      </x:c>
      <x:c r="N25" s="27" t="n">
        <x:f>SUMPRODUCT(H25:L25,'Source Data'!D18:H18)</x:f>
        <x:v>3985.565716043307</x:v>
      </x:c>
      <x:c r="O25" s="27" t="n">
        <x:f>SUMPRODUCT(H25:L25,'Source Data'!D19:H19)</x:f>
        <x:v>3968.546207841207</x:v>
      </x:c>
      <x:c r="P25" s="27" t="n">
        <x:f>SUMPRODUCT(H25:L25,'Source Data'!D20:H20)</x:f>
        <x:v>3942.933411581365</x:v>
      </x:c>
      <x:c r="Q25" s="27" t="n">
        <x:f>SUMPRODUCT(H25:L25,'Source Data'!D21:H21)</x:f>
        <x:v>3917.3206153215224</x:v>
      </x:c>
      <x:c r="R25" s="27" t="n">
        <x:f>SUMPRODUCT(H25:L25,'Source Data'!D22:H22)</x:f>
        <x:v>3887.467578302712</x:v>
      </x:c>
      <x:c r="S25" s="27" t="n">
        <x:f>SUMPRODUCT(H25:L25,'Source Data'!D23:H23)</x:f>
        <x:v>3802.491411417322</x:v>
      </x:c>
      <x:c r="T25" s="27" t="n">
        <x:f>SUMPRODUCT(H25:L25,'Source Data'!D24:H24)</x:f>
        <x:v>3700.5542814960636</x:v>
      </x:c>
      <x:c r="U25" s="3"/>
      <x:c r="V25" s="3"/>
      <x:c r="W25" s="28" t="n">
        <x:f>M25*F25</x:f>
        <x:v>1229.2797941114698</x:v>
      </x:c>
      <x:c r="X25" s="28" t="n">
        <x:f>N25*F25</x:f>
        <x:v>1232.6536241802587</x:v>
      </x:c>
      <x:c r="Y25" s="28" t="n">
        <x:f>O25*F25</x:f>
        <x:v>1227.3898398239664</x:v>
      </x:c>
      <x:c r="Z25" s="28" t="n">
        <x:f>P25*F25</x:f>
        <x:v>1219.4683279522644</x:v>
      </x:c>
      <x:c r="AA25" s="28" t="n">
        <x:f>Q25*F25</x:f>
        <x:v>1211.5468160805626</x:v>
      </x:c>
      <x:c r="AB25" s="28" t="n">
        <x:f>R25*F25</x:f>
        <x:v>1202.3138848241797</x:v>
      </x:c>
      <x:c r="AC25" s="28" t="n">
        <x:f>S25*F25</x:f>
        <x:v>1176.0325015669466</x:v>
      </x:c>
      <x:c r="AD25" s="28" t="n">
        <x:f>T25*F25</x:f>
        <x:v>1144.5054407709913</x:v>
      </x:c>
    </x:row>
    <x:row r="26" ht="19" customHeight="1">
      <x:c r="A26" s="2"/>
      <x:c r="B26" s="2"/>
      <x:c r="C26" s="45" t="n">
        <x:f>'Source Data'!C49</x:f>
        <x:v>0</x:v>
      </x:c>
      <x:c r="D26" s="45" t="n">
        <x:f>'Source Data'!D49</x:f>
        <x:v>20</x:v>
      </x:c>
      <x:c r="E26" s="45" t="n">
        <x:f>'Source Data'!E49</x:f>
        <x:v>5</x:v>
      </x:c>
      <x:c r="F26" s="27" t="n">
        <x:f>IF(D26=0,0.5,1)*EXP(-'Assumptions'!$D$21*MAX(D26-6,0))</x:f>
        <x:v>0.28258383820974226</x:v>
      </x:c>
      <x:c r="G26" s="27" t="n">
        <x:f>IF(D26/'Assumptions'!$D$19&gt;=31,0,INDEX('Source Data'!$M$29:$M$60,INT(D26/'Assumptions'!$D$19)+1)+(D26/'Assumptions'!$D$19-INT(D26/'Assumptions'!$D$19))*(INDEX('Source Data'!$M$29:$M$60,MIN(32,INT(D26/'Assumptions'!$D$19)+2))-INDEX('Source Data'!$M$29:$M$60,INT(D26/'Assumptions'!$D$19)+1)))</x:f>
        <x:v>0.4389370078740157</x:v>
      </x:c>
      <x:c r="H26" s="27" t="n">
        <x:f>'Source Data'!F49*G26*'Assumptions'!$F$55*'Assumptions'!$G$55</x:f>
        <x:v>3316.432456692913</x:v>
      </x:c>
      <x:c r="I26" s="27" t="n">
        <x:f>'Source Data'!G49*G26*'Assumptions'!$F$55*'Assumptions'!$G$55</x:f>
        <x:v>3284.39005511811</x:v>
      </x:c>
      <x:c r="J26" s="27" t="n">
        <x:f>'Source Data'!H49*G26*'Assumptions'!$F$55*'Assumptions'!$G$55</x:f>
        <x:v>3362.25748031496</x:v>
      </x:c>
      <x:c r="K26" s="27" t="n">
        <x:f>'Source Data'!I49*G26*'Assumptions'!$F$55*'Assumptions'!$G$55</x:f>
        <x:v>3406.8534803149605</x:v>
      </x:c>
      <x:c r="L26" s="27" t="n">
        <x:f>'Source Data'!J49*G26*'Assumptions'!$F$55*'Assumptions'!$G$55</x:f>
        <x:v>3319.373334645669</x:v>
      </x:c>
      <x:c r="M26" s="27" t="n">
        <x:f>SUMPRODUCT(H26:L26,'Source Data'!D17:H17)</x:f>
        <x:v>3339.546147965879</x:v>
      </x:c>
      <x:c r="N26" s="27" t="n">
        <x:f>SUMPRODUCT(H26:L26,'Source Data'!D18:H18)</x:f>
        <x:v>3358.5509011373574</x:v>
      </x:c>
      <x:c r="O26" s="27" t="n">
        <x:f>SUMPRODUCT(H26:L26,'Source Data'!D19:H19)</x:f>
        <x:v>3371.548313648293</x:v>
      </x:c>
      <x:c r="P26" s="27" t="n">
        <x:f>SUMPRODUCT(H26:L26,'Source Data'!D20:H20)</x:f>
        <x:v>3382.697313648294</x:v>
      </x:c>
      <x:c r="Q26" s="27" t="n">
        <x:f>SUMPRODUCT(H26:L26,'Source Data'!D21:H21)</x:f>
        <x:v>3393.846313648294</x:v>
      </x:c>
      <x:c r="R26" s="27" t="n">
        <x:f>SUMPRODUCT(H26:L26,'Source Data'!D22:H22)</x:f>
        <x:v>3403.1609227362205</x:v>
      </x:c>
      <x:c r="S26" s="27" t="n">
        <x:f>SUMPRODUCT(H26:L26,'Source Data'!D23:H23)</x:f>
        <x:v>3388.628449967191</x:v>
      </x:c>
      <x:c r="T26" s="27" t="n">
        <x:f>SUMPRODUCT(H26:L26,'Source Data'!D24:H24)</x:f>
        <x:v>3366.7584135498687</x:v>
      </x:c>
      <x:c r="U26" s="3"/>
      <x:c r="V26" s="3"/>
      <x:c r="W26" s="28" t="n">
        <x:f>M26*F26</x:f>
        <x:v>943.7017683707579</x:v>
      </x:c>
      <x:c r="X26" s="28" t="n">
        <x:f>N26*F26</x:f>
        <x:v>949.072204466183</x:v>
      </x:c>
      <x:c r="Y26" s="28" t="n">
        <x:f>O26*F26</x:f>
        <x:v>952.7450631803185</x:v>
      </x:c>
      <x:c r="Z26" s="28" t="n">
        <x:f>P26*F26</x:f>
        <x:v>955.8955903925192</x:v>
      </x:c>
      <x:c r="AA26" s="28" t="n">
        <x:f>Q26*F26</x:f>
        <x:v>959.0461176047197</x:v>
      </x:c>
      <x:c r="AB26" s="28" t="n">
        <x:f>R26*F26</x:f>
        <x:v>961.6782755922093</x:v>
      </x:c>
      <x:c r="AC26" s="28" t="n">
        <x:f>S26*F26</x:f>
        <x:v>957.5716336584584</x:v>
      </x:c>
      <x:c r="AD26" s="28" t="n">
        <x:f>T26*F26</x:f>
        <x:v>951.3915148258646</x:v>
      </x:c>
    </x:row>
    <x:row r="27" ht="19" customHeight="1">
      <x:c r="A27" s="2"/>
      <x:c r="B27" s="2"/>
      <x:c r="C27" s="45" t="n">
        <x:f>'Source Data'!C50</x:f>
        <x:v>0</x:v>
      </x:c>
      <x:c r="D27" s="45" t="n">
        <x:f>'Source Data'!D50</x:f>
        <x:v>21</x:v>
      </x:c>
      <x:c r="E27" s="45" t="n">
        <x:f>'Source Data'!E50</x:f>
        <x:v>5</x:v>
      </x:c>
      <x:c r="F27" s="27" t="n">
        <x:f>IF(D27=0,0.5,1)*EXP(-'Assumptions'!$D$21*MAX(D27-6,0))</x:f>
        <x:v>0.25819246081713987</x:v>
      </x:c>
      <x:c r="G27" s="27" t="n">
        <x:f>IF(D27/'Assumptions'!$D$19&gt;=31,0,INDEX('Source Data'!$M$29:$M$60,INT(D27/'Assumptions'!$D$19)+1)+(D27/'Assumptions'!$D$19-INT(D27/'Assumptions'!$D$19))*(INDEX('Source Data'!$M$29:$M$60,MIN(32,INT(D27/'Assumptions'!$D$19)+2))-INDEX('Source Data'!$M$29:$M$60,INT(D27/'Assumptions'!$D$19)+1)))</x:f>
        <x:v>0.3705590551181103</x:v>
      </x:c>
      <x:c r="H27" s="27" t="n">
        <x:f>'Source Data'!F50*G27*'Assumptions'!$F$55*'Assumptions'!$G$55</x:f>
        <x:v>2980.1470889763787</x:v>
      </x:c>
      <x:c r="I27" s="27" t="n">
        <x:f>'Source Data'!G50*G27*'Assumptions'!$F$55*'Assumptions'!$G$55</x:f>
        <x:v>2799.7959968503947</x:v>
      </x:c>
      <x:c r="J27" s="27" t="n">
        <x:f>'Source Data'!H50*G27*'Assumptions'!$F$55*'Assumptions'!$G$55</x:f>
        <x:v>2772.7451858267723</x:v>
      </x:c>
      <x:c r="K27" s="27" t="n">
        <x:f>'Source Data'!I50*G27*'Assumptions'!$F$55*'Assumptions'!$G$55</x:f>
        <x:v>2838.482362204725</x:v>
      </x:c>
      <x:c r="L27" s="27" t="n">
        <x:f>'Source Data'!J50*G27*'Assumptions'!$F$55*'Assumptions'!$G$55</x:f>
        <x:v>2876.131162204725</x:v>
      </x:c>
      <x:c r="M27" s="27" t="n">
        <x:f>SUMPRODUCT(H27:L27,'Source Data'!D17:H17)</x:f>
        <x:v>2780.635005708662</x:v>
      </x:c>
      <x:c r="N27" s="27" t="n">
        <x:f>SUMPRODUCT(H27:L27,'Source Data'!D18:H18)</x:f>
        <x:v>2775.161025000001</x:v>
      </x:c>
      <x:c r="O27" s="27" t="n">
        <x:f>SUMPRODUCT(H27:L27,'Source Data'!D19:H19)</x:f>
        <x:v>2786.4404309055126</x:v>
      </x:c>
      <x:c r="P27" s="27" t="n">
        <x:f>SUMPRODUCT(H27:L27,'Source Data'!D20:H20)</x:f>
        <x:v>2802.874725000001</x:v>
      </x:c>
      <x:c r="Q27" s="27" t="n">
        <x:f>SUMPRODUCT(H27:L27,'Source Data'!D21:H21)</x:f>
        <x:v>2819.309019094489</x:v>
      </x:c>
      <x:c r="R27" s="27" t="n">
        <x:f>SUMPRODUCT(H27:L27,'Source Data'!D22:H22)</x:f>
        <x:v>2835.3531968503944</x:v>
      </x:c>
      <x:c r="S27" s="27" t="n">
        <x:f>SUMPRODUCT(H27:L27,'Source Data'!D23:H23)</x:f>
        <x:v>2846.325862204725</x:v>
      </x:c>
      <x:c r="T27" s="27" t="n">
        <x:f>SUMPRODUCT(H27:L27,'Source Data'!D24:H24)</x:f>
        <x:v>2855.738062204726</x:v>
      </x:c>
      <x:c r="U27" s="3"/>
      <x:c r="V27" s="3"/>
      <x:c r="W27" s="28" t="n">
        <x:f>M27*F27</x:f>
        <x:v>717.9389947582013</x:v>
      </x:c>
      <x:c r="X27" s="28" t="n">
        <x:f>N27*F27</x:f>
        <x:v>716.5256542085664</x:v>
      </x:c>
      <x:c r="Y27" s="28" t="n">
        <x:f>O27*F27</x:f>
        <x:v>719.4379117758659</x:v>
      </x:c>
      <x:c r="Z27" s="28" t="n">
        <x:f>P27*F27</x:f>
        <x:v>723.6811226099145</x:v>
      </x:c>
      <x:c r="AA27" s="28" t="n">
        <x:f>Q27*F27</x:f>
        <x:v>727.924333443963</x:v>
      </x:c>
      <x:c r="AB27" s="28" t="n">
        <x:f>R27*F27</x:f>
        <x:v>732.0668191805477</x:v>
      </x:c>
      <x:c r="AC27" s="28" t="n">
        <x:f>S27*F27</x:f>
        <x:v>734.8998786501054</x:v>
      </x:c>
      <x:c r="AD27" s="28" t="n">
        <x:f>T27*F27</x:f>
        <x:v>737.3300377298086</x:v>
      </x:c>
    </x:row>
    <x:row r="28" ht="19" customHeight="1">
      <x:c r="A28" s="2"/>
      <x:c r="B28" s="2"/>
      <x:c r="C28" s="45" t="n">
        <x:f>'Source Data'!C51</x:f>
        <x:v>0</x:v>
      </x:c>
      <x:c r="D28" s="45" t="n">
        <x:f>'Source Data'!D51</x:f>
        <x:v>22</x:v>
      </x:c>
      <x:c r="E28" s="45" t="n">
        <x:f>'Source Data'!E51</x:f>
        <x:v>5</x:v>
      </x:c>
      <x:c r="F28" s="27" t="n">
        <x:f>IF(D28=0,0.5,1)*EXP(-'Assumptions'!$D$21*MAX(D28-6,0))</x:f>
        <x:v>0.23590643840477085</x:v>
      </x:c>
      <x:c r="G28" s="27" t="n">
        <x:f>IF(D28/'Assumptions'!$D$19&gt;=31,0,INDEX('Source Data'!$M$29:$M$60,INT(D28/'Assumptions'!$D$19)+1)+(D28/'Assumptions'!$D$19-INT(D28/'Assumptions'!$D$19))*(INDEX('Source Data'!$M$29:$M$60,MIN(32,INT(D28/'Assumptions'!$D$19)+2))-INDEX('Source Data'!$M$29:$M$60,INT(D28/'Assumptions'!$D$19)+1)))</x:f>
        <x:v>0.30907874015748027</x:v>
      </x:c>
      <x:c r="H28" s="27" t="n">
        <x:f>'Source Data'!F51*G28*'Assumptions'!$F$55*'Assumptions'!$G$55</x:f>
        <x:v>2581.425637795275</x:v>
      </x:c>
      <x:c r="I28" s="27" t="n">
        <x:f>'Source Data'!G51*G28*'Assumptions'!$F$55*'Assumptions'!$G$55</x:f>
        <x:v>2485.7039519685036</x:v>
      </x:c>
      <x:c r="J28" s="27" t="n">
        <x:f>'Source Data'!H51*G28*'Assumptions'!$F$55*'Assumptions'!$G$55</x:f>
        <x:v>2335.275329133858</x:v>
      </x:c>
      <x:c r="K28" s="27" t="n">
        <x:f>'Source Data'!I51*G28*'Assumptions'!$F$55*'Assumptions'!$G$55</x:f>
        <x:v>2312.712581102362</x:v>
      </x:c>
      <x:c r="L28" s="27" t="n">
        <x:f>'Source Data'!J51*G28*'Assumptions'!$F$55*'Assumptions'!$G$55</x:f>
        <x:v>2367.543149606299</x:v>
      </x:c>
      <x:c r="M28" s="27" t="n">
        <x:f>SUMPRODUCT(H28:L28,'Source Data'!D17:H17)</x:f>
        <x:v>2379.1503441272966</x:v>
      </x:c>
      <x:c r="N28" s="27" t="n">
        <x:f>SUMPRODUCT(H28:L28,'Source Data'!D18:H18)</x:f>
        <x:v>2343.319103346457</x:v>
      </x:c>
      <x:c r="O28" s="27" t="n">
        <x:f>SUMPRODUCT(H28:L28,'Source Data'!D19:H19)</x:f>
        <x:v>2330.574756627296</x:v>
      </x:c>
      <x:c r="P28" s="27" t="n">
        <x:f>SUMPRODUCT(H28:L28,'Source Data'!D20:H20)</x:f>
        <x:v>2324.934069619423</x:v>
      </x:c>
      <x:c r="Q28" s="27" t="n">
        <x:f>SUMPRODUCT(H28:L28,'Source Data'!D21:H21)</x:f>
        <x:v>2319.2933826115486</x:v>
      </x:c>
      <x:c r="R28" s="27" t="n">
        <x:f>SUMPRODUCT(H28:L28,'Source Data'!D22:H22)</x:f>
        <x:v>2314.727602777778</x:v>
      </x:c>
      <x:c r="S28" s="27" t="n">
        <x:f>SUMPRODUCT(H28:L28,'Source Data'!D23:H23)</x:f>
        <x:v>2324.135616207349</x:v>
      </x:c>
      <x:c r="T28" s="27" t="n">
        <x:f>SUMPRODUCT(H28:L28,'Source Data'!D24:H24)</x:f>
        <x:v>2337.8432583333333</x:v>
      </x:c>
      <x:c r="U28" s="3"/>
      <x:c r="V28" s="3"/>
      <x:c r="W28" s="28" t="n">
        <x:f>M28*F28</x:f>
        <x:v>561.2568841125554</x:v>
      </x:c>
      <x:c r="X28" s="28" t="n">
        <x:f>N28*F28</x:f>
        <x:v>552.8040637163238</x:v>
      </x:c>
      <x:c r="Y28" s="28" t="n">
        <x:f>O28*F28</x:f>
        <x:v>549.7975902720111</x:v>
      </x:c>
      <x:c r="Z28" s="28" t="n">
        <x:f>P28*F28</x:f>
        <x:v>548.4669158898276</x:v>
      </x:c>
      <x:c r="AA28" s="28" t="n">
        <x:f>Q28*F28</x:f>
        <x:v>547.136241507644</x:v>
      </x:c>
      <x:c r="AB28" s="28" t="n">
        <x:f>R28*F28</x:f>
        <x:v>546.0591446485188</x:v>
      </x:c>
      <x:c r="AC28" s="28" t="n">
        <x:f>S28*F28</x:f>
        <x:v>548.2785555891531</x:v>
      </x:c>
      <x:c r="AD28" s="28" t="n">
        <x:f>T28*F28</x:f>
        <x:v>551.5122766220213</x:v>
      </x:c>
    </x:row>
    <x:row r="29" ht="19" customHeight="1">
      <x:c r="A29" s="2"/>
      <x:c r="B29" s="2"/>
      <x:c r="C29" s="45" t="n">
        <x:f>'Source Data'!C52</x:f>
        <x:v>0</x:v>
      </x:c>
      <x:c r="D29" s="45" t="n">
        <x:f>'Source Data'!D52</x:f>
        <x:v>23</x:v>
      </x:c>
      <x:c r="E29" s="45" t="n">
        <x:f>'Source Data'!E52</x:f>
        <x:v>5</x:v>
      </x:c>
      <x:c r="F29" s="27" t="n">
        <x:f>IF(D29=0,0.5,1)*EXP(-'Assumptions'!$D$21*MAX(D29-6,0))</x:f>
        <x:v>0.2155440461146476</x:v>
      </x:c>
      <x:c r="G29" s="27" t="n">
        <x:f>IF(D29/'Assumptions'!$D$19&gt;=31,0,INDEX('Source Data'!$M$29:$M$60,INT(D29/'Assumptions'!$D$19)+1)+(D29/'Assumptions'!$D$19-INT(D29/'Assumptions'!$D$19))*(INDEX('Source Data'!$M$29:$M$60,MIN(32,INT(D29/'Assumptions'!$D$19)+2))-INDEX('Source Data'!$M$29:$M$60,INT(D29/'Assumptions'!$D$19)+1)))</x:f>
        <x:v>0.2546062992125985</x:v>
      </x:c>
      <x:c r="H29" s="27" t="n">
        <x:f>'Source Data'!F52*G29*'Assumptions'!$F$55*'Assumptions'!$G$55</x:f>
        <x:v>2234.8577125984257</x:v>
      </x:c>
      <x:c r="I29" s="27" t="n">
        <x:f>'Source Data'!G52*G29*'Assumptions'!$F$55*'Assumptions'!$G$55</x:f>
        <x:v>2126.4718110236226</x:v>
      </x:c>
      <x:c r="J29" s="27" t="n">
        <x:f>'Source Data'!H52*G29*'Assumptions'!$F$55*'Assumptions'!$G$55</x:f>
        <x:v>2047.6202401574808</x:v>
      </x:c>
      <x:c r="K29" s="27" t="n">
        <x:f>'Source Data'!I52*G29*'Assumptions'!$F$55*'Assumptions'!$G$55</x:f>
        <x:v>1923.703354330709</x:v>
      </x:c>
      <x:c r="L29" s="27" t="n">
        <x:f>'Source Data'!J52*G29*'Assumptions'!$F$55*'Assumptions'!$G$55</x:f>
        <x:v>1905.1170944881894</x:v>
      </x:c>
      <x:c r="M29" s="27" t="n">
        <x:f>SUMPRODUCT(H29:L29,'Source Data'!D17:H17)</x:f>
        <x:v>2070.6186149934388</x:v>
      </x:c>
      <x:c r="N29" s="27" t="n">
        <x:f>SUMPRODUCT(H29:L29,'Source Data'!D18:H18)</x:f>
        <x:v>2050.2798151246725</x:v>
      </x:c>
      <x:c r="O29" s="27" t="n">
        <x:f>SUMPRODUCT(H29:L29,'Source Data'!D19:H19)</x:f>
        <x:v>2021.8042222769031</x:v>
      </x:c>
      <x:c r="P29" s="27" t="n">
        <x:f>SUMPRODUCT(H29:L29,'Source Data'!D20:H20)</x:f>
        <x:v>1990.8250008202106</x:v>
      </x:c>
      <x:c r="Q29" s="27" t="n">
        <x:f>SUMPRODUCT(H29:L29,'Source Data'!D21:H21)</x:f>
        <x:v>1959.8457793635175</x:v>
      </x:c>
      <x:c r="R29" s="27" t="n">
        <x:f>SUMPRODUCT(H29:L29,'Source Data'!D22:H22)</x:f>
        <x:v>1930.3294832677168</x:v>
      </x:c>
      <x:c r="S29" s="27" t="n">
        <x:f>SUMPRODUCT(H29:L29,'Source Data'!D23:H23)</x:f>
        <x:v>1919.8312168635173</x:v>
      </x:c>
      <x:c r="T29" s="27" t="n">
        <x:f>SUMPRODUCT(H29:L29,'Source Data'!D24:H24)</x:f>
        <x:v>1915.1846519028877</x:v>
      </x:c>
      <x:c r="U29" s="3"/>
      <x:c r="V29" s="3"/>
      <x:c r="W29" s="28" t="n">
        <x:f>M29*F29</x:f>
        <x:v>446.30951423599356</x:v>
      </x:c>
      <x:c r="X29" s="28" t="n">
        <x:f>N29*F29</x:f>
        <x:v>441.9256070191636</x:v>
      </x:c>
      <x:c r="Y29" s="28" t="n">
        <x:f>O29*F29</x:f>
        <x:v>435.78786252124206</x:v>
      </x:c>
      <x:c r="Z29" s="28" t="n">
        <x:f>P29*F29</x:f>
        <x:v>429.11047578298485</x:v>
      </x:c>
      <x:c r="AA29" s="28" t="n">
        <x:f>Q29*F29</x:f>
        <x:v>422.4330890447275</x:v>
      </x:c>
      <x:c r="AB29" s="28" t="n">
        <x:f>R29*F29</x:f>
        <x:v>416.07102715792064</x:v>
      </x:c>
      <x:c r="AC29" s="28" t="n">
        <x:f>S29*F29</x:f>
        <x:v>413.80818833997</x:v>
      </x:c>
      <x:c r="AD29" s="28" t="n">
        <x:f>T29*F29</x:f>
        <x:v>412.80664892782136</x:v>
      </x:c>
    </x:row>
    <x:row r="30" ht="19" customHeight="1">
      <x:c r="A30" s="2"/>
      <x:c r="B30" s="2"/>
      <x:c r="C30" s="45" t="n">
        <x:f>'Source Data'!C53</x:f>
        <x:v>0</x:v>
      </x:c>
      <x:c r="D30" s="45" t="n">
        <x:f>'Source Data'!D53</x:f>
        <x:v>24</x:v>
      </x:c>
      <x:c r="E30" s="45" t="n">
        <x:f>'Source Data'!E53</x:f>
        <x:v>5</x:v>
      </x:c>
      <x:c r="F30" s="27" t="n">
        <x:f>IF(D30=0,0.5,1)*EXP(-'Assumptions'!$D$21*MAX(D30-6,0))</x:f>
        <x:v>0.19693924476854713</x:v>
      </x:c>
      <x:c r="G30" s="27" t="n">
        <x:f>IF(D30/'Assumptions'!$D$19&gt;=31,0,INDEX('Source Data'!$M$29:$M$60,INT(D30/'Assumptions'!$D$19)+1)+(D30/'Assumptions'!$D$19-INT(D30/'Assumptions'!$D$19))*(INDEX('Source Data'!$M$29:$M$60,MIN(32,INT(D30/'Assumptions'!$D$19)+2))-INDEX('Source Data'!$M$29:$M$60,INT(D30/'Assumptions'!$D$19)+1)))</x:f>
        <x:v>0.20893700787401587</x:v>
      </x:c>
      <x:c r="H30" s="27" t="n">
        <x:f>'Source Data'!F53*G30*'Assumptions'!$F$55*'Assumptions'!$G$55</x:f>
        <x:v>1804.735192913387</x:v>
      </x:c>
      <x:c r="I30" s="27" t="n">
        <x:f>'Source Data'!G53*G30*'Assumptions'!$F$55*'Assumptions'!$G$55</x:f>
        <x:v>1833.9863740157493</x:v>
      </x:c>
      <x:c r="J30" s="27" t="n">
        <x:f>'Source Data'!H53*G30*'Assumptions'!$F$55*'Assumptions'!$G$55</x:f>
        <x:v>1745.0418897637805</x:v>
      </x:c>
      <x:c r="K30" s="27" t="n">
        <x:f>'Source Data'!I53*G30*'Assumptions'!$F$55*'Assumptions'!$G$55</x:f>
        <x:v>1680.334098425198</x:v>
      </x:c>
      <x:c r="L30" s="27" t="n">
        <x:f>'Source Data'!J53*G30*'Assumptions'!$F$55*'Assumptions'!$G$55</x:f>
        <x:v>1578.6444566929144</x:v>
      </x:c>
      <x:c r="M30" s="27" t="n">
        <x:f>SUMPRODUCT(H30:L30,'Source Data'!D17:H17)</x:f>
        <x:v>1770.984031003938</x:v>
      </x:c>
      <x:c r="N30" s="27" t="n">
        <x:f>SUMPRODUCT(H30:L30,'Source Data'!D18:H18)</x:f>
        <x:v>1749.084530675854</x:v>
      </x:c>
      <x:c r="O30" s="27" t="n">
        <x:f>SUMPRODUCT(H30:L30,'Source Data'!D19:H19)</x:f>
        <x:v>1731.5610999015757</x:v>
      </x:c>
      <x:c r="P30" s="27" t="n">
        <x:f>SUMPRODUCT(H30:L30,'Source Data'!D20:H20)</x:f>
        <x:v>1715.3841520669303</x:v>
      </x:c>
      <x:c r="Q30" s="27" t="n">
        <x:f>SUMPRODUCT(H30:L30,'Source Data'!D21:H21)</x:f>
        <x:v>1699.2072042322848</x:v>
      </x:c>
      <x:c r="R30" s="27" t="n">
        <x:f>SUMPRODUCT(H30:L30,'Source Data'!D22:H22)</x:f>
        <x:v>1682.5166195866152</x:v>
      </x:c>
      <x:c r="S30" s="27" t="n">
        <x:f>SUMPRODUCT(H30:L30,'Source Data'!D23:H23)</x:f>
        <x:v>1659.1487563976389</x:v>
      </x:c>
      <x:c r="T30" s="27" t="n">
        <x:f>SUMPRODUCT(H30:L30,'Source Data'!D24:H24)</x:f>
        <x:v>1633.7263459645683</x:v>
      </x:c>
      <x:c r="U30" s="3"/>
      <x:c r="V30" s="3"/>
      <x:c r="W30" s="28" t="n">
        <x:f>M30*F30</x:f>
        <x:v>348.7762575630728</x:v>
      </x:c>
      <x:c r="X30" s="28" t="n">
        <x:f>N30*F30</x:f>
        <x:v>344.46338650765136</x:v>
      </x:c>
      <x:c r="Y30" s="28" t="n">
        <x:f>O30*F30</x:f>
        <x:v>341.0123352852111</x:v>
      </x:c>
      <x:c r="Z30" s="28" t="n">
        <x:f>P30*F30</x:f>
        <x:v>337.82645939599587</x:v>
      </x:c>
      <x:c r="AA30" s="28" t="n">
        <x:f>Q30*F30</x:f>
        <x:v>334.64058350678056</x:v>
      </x:c>
      <x:c r="AB30" s="28" t="n">
        <x:f>R30*F30</x:f>
        <x:v>331.3535523719169</x:v>
      </x:c>
      <x:c r="AC30" s="28" t="n">
        <x:f>S30*F30</x:f>
        <x:v>326.7515030436252</x:v>
      </x:c>
      <x:c r="AD30" s="28" t="n">
        <x:f>T30*F30</x:f>
        <x:v>321.74483273274024</x:v>
      </x:c>
    </x:row>
    <x:row r="31" ht="19" customHeight="1">
      <x:c r="A31" s="2"/>
      <x:c r="B31" s="2"/>
      <x:c r="C31" s="45" t="n">
        <x:f>'Source Data'!C54</x:f>
        <x:v>0</x:v>
      </x:c>
      <x:c r="D31" s="45" t="n">
        <x:f>'Source Data'!D54</x:f>
        <x:v>25</x:v>
      </x:c>
      <x:c r="E31" s="45" t="n">
        <x:f>'Source Data'!E54</x:f>
        <x:v>5</x:v>
      </x:c>
      <x:c r="F31" s="27" t="n">
        <x:f>IF(D31=0,0.5,1)*EXP(-'Assumptions'!$D$21*MAX(D31-6,0))</x:f>
        <x:v>0.17994032695004702</x:v>
      </x:c>
      <x:c r="G31" s="27" t="n">
        <x:f>IF(D31/'Assumptions'!$D$19&gt;=31,0,INDEX('Source Data'!$M$29:$M$60,INT(D31/'Assumptions'!$D$19)+1)+(D31/'Assumptions'!$D$19-INT(D31/'Assumptions'!$D$19))*(INDEX('Source Data'!$M$29:$M$60,MIN(32,INT(D31/'Assumptions'!$D$19)+2))-INDEX('Source Data'!$M$29:$M$60,INT(D31/'Assumptions'!$D$19)+1)))</x:f>
        <x:v>0.17148818897637794</x:v>
      </x:c>
      <x:c r="H31" s="27" t="n">
        <x:f>'Source Data'!F54*G31*'Assumptions'!$F$55*'Assumptions'!$G$55</x:f>
        <x:v>1386.4820078740156</x:v>
      </x:c>
      <x:c r="I31" s="27" t="n">
        <x:f>'Source Data'!G54*G31*'Assumptions'!$F$55*'Assumptions'!$G$55</x:f>
        <x:v>1481.2635299212598</x:v>
      </x:c>
      <x:c r="J31" s="27" t="n">
        <x:f>'Source Data'!H54*G31*'Assumptions'!$F$55*'Assumptions'!$G$55</x:f>
        <x:v>1505.2718763779528</x:v>
      </x:c>
      <x:c r="K31" s="27" t="n">
        <x:f>'Source Data'!I54*G31*'Assumptions'!$F$55*'Assumptions'!$G$55</x:f>
        <x:v>1432.2693543307084</x:v>
      </x:c>
      <x:c r="L31" s="27" t="n">
        <x:f>'Source Data'!J54*G31*'Assumptions'!$F$55*'Assumptions'!$G$55</x:f>
        <x:v>1379.1594622047244</x:v>
      </x:c>
      <x:c r="M31" s="27" t="n">
        <x:f>SUMPRODUCT(H31:L31,'Source Data'!D17:H17)</x:f>
        <x:v>1498.2694419947507</x:v>
      </x:c>
      <x:c r="N31" s="27" t="n">
        <x:f>SUMPRODUCT(H31:L31,'Source Data'!D18:H18)</x:f>
        <x:v>1502.9241554352582</x:v>
      </x:c>
      <x:c r="O31" s="27" t="n">
        <x:f>SUMPRODUCT(H31:L31,'Source Data'!D19:H19)</x:f>
        <x:v>1490.06301761811</x:v>
      </x:c>
      <x:c r="P31" s="27" t="n">
        <x:f>SUMPRODUCT(H31:L31,'Source Data'!D20:H20)</x:f>
        <x:v>1471.8123871062994</x:v>
      </x:c>
      <x:c r="Q31" s="27" t="n">
        <x:f>SUMPRODUCT(H31:L31,'Source Data'!D21:H21)</x:f>
        <x:v>1453.561756594488</x:v>
      </x:c>
      <x:c r="R31" s="27" t="n">
        <x:f>SUMPRODUCT(H31:L31,'Source Data'!D22:H22)</x:f>
        <x:v>1435.5874126093613</x:v>
      </x:c>
      <x:c r="S31" s="27" t="n">
        <x:f>SUMPRODUCT(H31:L31,'Source Data'!D23:H23)</x:f>
        <x:v>1421.2047934711284</x:v>
      </x:c>
      <x:c r="T31" s="27" t="n">
        <x:f>SUMPRODUCT(H31:L31,'Source Data'!D24:H24)</x:f>
        <x:v>1407.9273204396327</x:v>
      </x:c>
      <x:c r="U31" s="3"/>
      <x:c r="V31" s="3"/>
      <x:c r="W31" s="28" t="n">
        <x:f>M31*F31</x:f>
        <x:v>269.59909325179996</x:v>
      </x:c>
      <x:c r="X31" s="28" t="n">
        <x:f>N31*F31</x:f>
        <x:v>270.43666391014364</x:v>
      </x:c>
      <x:c r="Y31" s="28" t="n">
        <x:f>O31*F31</x:f>
        <x:v>268.1224265663764</x:v>
      </x:c>
      <x:c r="Z31" s="28" t="n">
        <x:f>P31*F31</x:f>
        <x:v>264.8384021450367</x:v>
      </x:c>
      <x:c r="AA31" s="28" t="n">
        <x:f>Q31*F31</x:f>
        <x:v>261.55437772369686</x:v>
      </x:c>
      <x:c r="AB31" s="28" t="n">
        <x:f>R31*F31</x:f>
        <x:v>258.32006839030055</x:v>
      </x:c>
      <x:c r="AC31" s="28" t="n">
        <x:f>S31*F31</x:f>
        <x:v>255.7320552001689</x:v>
      </x:c>
      <x:c r="AD31" s="28" t="n">
        <x:f>T31*F31</x:f>
        <x:v>253.34290236181113</x:v>
      </x:c>
    </x:row>
    <x:row r="32" ht="19" customHeight="1">
      <x:c r="A32" s="2"/>
      <x:c r="B32" s="2"/>
      <x:c r="C32" s="45" t="n">
        <x:f>'Source Data'!C55</x:f>
        <x:v>0</x:v>
      </x:c>
      <x:c r="D32" s="45" t="n">
        <x:f>'Source Data'!D55</x:f>
        <x:v>26</x:v>
      </x:c>
      <x:c r="E32" s="45" t="n">
        <x:f>'Source Data'!E55</x:f>
        <x:v>5</x:v>
      </x:c>
      <x:c r="F32" s="27" t="n">
        <x:f>IF(D32=0,0.5,1)*EXP(-'Assumptions'!$D$21*MAX(D32-6,0))</x:f>
        <x:v>0.16440867995072633</x:v>
      </x:c>
      <x:c r="G32" s="27" t="n">
        <x:f>IF(D32/'Assumptions'!$D$19&gt;=31,0,INDEX('Source Data'!$M$29:$M$60,INT(D32/'Assumptions'!$D$19)+1)+(D32/'Assumptions'!$D$19-INT(D32/'Assumptions'!$D$19))*(INDEX('Source Data'!$M$29:$M$60,MIN(32,INT(D32/'Assumptions'!$D$19)+2))-INDEX('Source Data'!$M$29:$M$60,INT(D32/'Assumptions'!$D$19)+1)))</x:f>
        <x:v>0.13951968503937012</x:v>
      </x:c>
      <x:c r="H32" s="27" t="n">
        <x:f>'Source Data'!F55*G32*'Assumptions'!$F$55*'Assumptions'!$G$55</x:f>
        <x:v>1146.503011811024</x:v>
      </x:c>
      <x:c r="I32" s="27" t="n">
        <x:f>'Source Data'!G55*G32*'Assumptions'!$F$55*'Assumptions'!$G$55</x:f>
        <x:v>1128.0166535433075</x:v>
      </x:c>
      <x:c r="J32" s="27" t="n">
        <x:f>'Source Data'!H55*G32*'Assumptions'!$F$55*'Assumptions'!$G$55</x:f>
        <x:v>1205.1291834645674</x:v>
      </x:c>
      <x:c r="K32" s="27" t="n">
        <x:f>'Source Data'!I55*G32*'Assumptions'!$F$55*'Assumptions'!$G$55</x:f>
        <x:v>1224.6619393700792</x:v>
      </x:c>
      <x:c r="L32" s="27" t="n">
        <x:f>'Source Data'!J55*G32*'Assumptions'!$F$55*'Assumptions'!$G$55</x:f>
        <x:v>1165.2684094488193</x:v>
      </x:c>
      <x:c r="M32" s="27" t="n">
        <x:f>SUMPRODUCT(H32:L32,'Source Data'!D17:H17)</x:f>
        <x:v>1182.6380289042</x:v>
      </x:c>
      <x:c r="N32" s="27" t="n">
        <x:f>SUMPRODUCT(H32:L32,'Source Data'!D18:H18)</x:f>
        <x:v>1201.116442300963</x:v>
      </x:c>
      <x:c r="O32" s="27" t="n">
        <x:f>SUMPRODUCT(H32:L32,'Source Data'!D19:H19)</x:f>
        <x:v>1209.1985076115488</x:v>
      </x:c>
      <x:c r="P32" s="27" t="n">
        <x:f>SUMPRODUCT(H32:L32,'Source Data'!D20:H20)</x:f>
        <x:v>1214.0816965879271</x:v>
      </x:c>
      <x:c r="Q32" s="27" t="n">
        <x:f>SUMPRODUCT(H32:L32,'Source Data'!D21:H21)</x:f>
        <x:v>1218.964885564305</x:v>
      </x:c>
      <x:c r="R32" s="27" t="n">
        <x:f>SUMPRODUCT(H32:L32,'Source Data'!D22:H22)</x:f>
        <x:v>1222.751876126422</x:v>
      </x:c>
      <x:c r="S32" s="27" t="n">
        <x:f>SUMPRODUCT(H32:L32,'Source Data'!D23:H23)</x:f>
        <x:v>1212.28828730315</x:v>
      </x:c>
      <x:c r="T32" s="27" t="n">
        <x:f>SUMPRODUCT(H32:L32,'Source Data'!D24:H24)</x:f>
        <x:v>1197.4399048228352</x:v>
      </x:c>
      <x:c r="U32" s="3"/>
      <x:c r="V32" s="3"/>
      <x:c r="W32" s="28" t="n">
        <x:f>M32*F32</x:f>
        <x:v>194.43595719166845</x:v>
      </x:c>
      <x:c r="X32" s="28" t="n">
        <x:f>N32*F32</x:f>
        <x:v>197.47396874581406</x:v>
      </x:c>
      <x:c r="Y32" s="28" t="n">
        <x:f>O32*F32</x:f>
        <x:v>198.80273043480307</x:v>
      </x:c>
      <x:c r="Z32" s="28" t="n">
        <x:f>P32*F32</x:f>
        <x:v>199.60556908835935</x:v>
      </x:c>
      <x:c r="AA32" s="28" t="n">
        <x:f>Q32*F32</x:f>
        <x:v>200.40840774191557</x:v>
      </x:c>
      <x:c r="AB32" s="28" t="n">
        <x:f>R32*F32</x:f>
        <x:v>201.0310218612191</x:v>
      </x:c>
      <x:c r="AC32" s="28" t="n">
        <x:f>S32*F32</x:f>
        <x:v>199.31071703523776</x:v>
      </x:c>
      <x:c r="AD32" s="28" t="n">
        <x:f>T32*F32</x:f>
        <x:v>196.86951407224572</x:v>
      </x:c>
    </x:row>
    <x:row r="33" ht="19" customHeight="1">
      <x:c r="A33" s="2"/>
      <x:c r="B33" s="2"/>
      <x:c r="C33" s="45" t="n">
        <x:f>'Source Data'!C56</x:f>
        <x:v>0</x:v>
      </x:c>
      <x:c r="D33" s="45" t="n">
        <x:f>'Source Data'!D56</x:f>
        <x:v>27</x:v>
      </x:c>
      <x:c r="E33" s="45" t="n">
        <x:f>'Source Data'!E56</x:f>
        <x:v>5</x:v>
      </x:c>
      <x:c r="F33" s="27" t="n">
        <x:f>IF(D33=0,0.5,1)*EXP(-'Assumptions'!$D$21*MAX(D33-6,0))</x:f>
        <x:v>0.15021765549333577</x:v>
      </x:c>
      <x:c r="G33" s="27" t="n">
        <x:f>IF(D33/'Assumptions'!$D$19&gt;=31,0,INDEX('Source Data'!$M$29:$M$60,INT(D33/'Assumptions'!$D$19)+1)+(D33/'Assumptions'!$D$19-INT(D33/'Assumptions'!$D$19))*(INDEX('Source Data'!$M$29:$M$60,MIN(32,INT(D33/'Assumptions'!$D$19)+2))-INDEX('Source Data'!$M$29:$M$60,INT(D33/'Assumptions'!$D$19)+1)))</x:f>
        <x:v>0.11272440944881885</x:v>
      </x:c>
      <x:c r="H33" s="27" t="n">
        <x:f>'Source Data'!F56*G33*'Assumptions'!$F$55*'Assumptions'!$G$55</x:f>
        <x:v>955.7339055118107</x:v>
      </x:c>
      <x:c r="I33" s="27" t="n">
        <x:f>'Source Data'!G56*G33*'Assumptions'!$F$55*'Assumptions'!$G$55</x:f>
        <x:v>926.3128346456689</x:v>
      </x:c>
      <x:c r="J33" s="27" t="n">
        <x:f>'Source Data'!H56*G33*'Assumptions'!$F$55*'Assumptions'!$G$55</x:f>
        <x:v>911.3768503937005</x:v>
      </x:c>
      <x:c r="K33" s="27" t="n">
        <x:f>'Source Data'!I56*G33*'Assumptions'!$F$55*'Assumptions'!$G$55</x:f>
        <x:v>973.6796314960627</x:v>
      </x:c>
      <x:c r="L33" s="27" t="n">
        <x:f>'Source Data'!J56*G33*'Assumptions'!$F$55*'Assumptions'!$G$55</x:f>
        <x:v>989.4610488188973</x:v>
      </x:c>
      <x:c r="M33" s="27" t="n">
        <x:f>SUMPRODUCT(H33:L33,'Source Data'!D17:H17)</x:f>
        <x:v>915.7331791338579</x:v>
      </x:c>
      <x:c r="N33" s="27" t="n">
        <x:f>SUMPRODUCT(H33:L33,'Source Data'!D18:H18)</x:f>
        <x:v>913.0719437007871</x:v>
      </x:c>
      <x:c r="O33" s="27" t="n">
        <x:f>SUMPRODUCT(H33:L33,'Source Data'!D19:H19)</x:f>
        <x:v>924.3565964566925</x:v>
      </x:c>
      <x:c r="P33" s="27" t="n">
        <x:f>SUMPRODUCT(H33:L33,'Source Data'!D20:H20)</x:f>
        <x:v>939.9322917322833</x:v>
      </x:c>
      <x:c r="Q33" s="27" t="n">
        <x:f>SUMPRODUCT(H33:L33,'Source Data'!D21:H21)</x:f>
        <x:v>955.5079870078739</x:v>
      </x:c>
      <x:c r="R33" s="27" t="n">
        <x:f>SUMPRODUCT(H33:L33,'Source Data'!D22:H22)</x:f>
        <x:v>970.4375522309708</x:v>
      </x:c>
      <x:c r="S33" s="27" t="n">
        <x:f>SUMPRODUCT(H33:L33,'Source Data'!D23:H23)</x:f>
        <x:v>976.9674267716532</x:v>
      </x:c>
      <x:c r="T33" s="27" t="n">
        <x:f>SUMPRODUCT(H33:L33,'Source Data'!D24:H24)</x:f>
        <x:v>980.912781102362</x:v>
      </x:c>
      <x:c r="U33" s="3"/>
      <x:c r="V33" s="3"/>
      <x:c r="W33" s="28" t="n">
        <x:f>M33*F33</x:f>
        <x:v>137.55929122694698</x:v>
      </x:c>
      <x:c r="X33" s="28" t="n">
        <x:f>N33*F33</x:f>
        <x:v>137.1595266794753</x:v>
      </x:c>
      <x:c r="Y33" s="28" t="n">
        <x:f>O33*F33</x:f>
        <x:v>138.85468075952383</x:v>
      </x:c>
      <x:c r="Z33" s="28" t="n">
        <x:f>P33*F33</x:f>
        <x:v>141.1944251865017</x:v>
      </x:c>
      <x:c r="AA33" s="28" t="n">
        <x:f>Q33*F33</x:f>
        <x:v>143.53416961347955</x:v>
      </x:c>
      <x:c r="AB33" s="28" t="n">
        <x:f>R33*F33</x:f>
        <x:v>145.77685389882802</x:v>
      </x:c>
      <x:c r="AC33" s="28" t="n">
        <x:f>S33*F33</x:f>
        <x:v>146.75775634299495</x:v>
      </x:c>
      <x:c r="AD33" s="28" t="n">
        <x:f>T33*F33</x:f>
        <x:v>147.35041822064449</x:v>
      </x:c>
    </x:row>
    <x:row r="34" ht="19" customHeight="1">
      <x:c r="A34" s="2"/>
      <x:c r="B34" s="2"/>
      <x:c r="C34" s="45" t="n">
        <x:f>'Source Data'!C57</x:f>
        <x:v>0</x:v>
      </x:c>
      <x:c r="D34" s="45" t="n">
        <x:f>'Source Data'!D57</x:f>
        <x:v>28</x:v>
      </x:c>
      <x:c r="E34" s="45" t="n">
        <x:f>'Source Data'!E57</x:f>
        <x:v>5</x:v>
      </x:c>
      <x:c r="F34" s="27" t="n">
        <x:f>IF(D34=0,0.5,1)*EXP(-'Assumptions'!$D$21*MAX(D34-6,0))</x:f>
        <x:v>0.1372515370154264</x:v>
      </x:c>
      <x:c r="G34" s="27" t="n">
        <x:f>IF(D34/'Assumptions'!$D$19&gt;=31,0,INDEX('Source Data'!$M$29:$M$60,INT(D34/'Assumptions'!$D$19)+1)+(D34/'Assumptions'!$D$19-INT(D34/'Assumptions'!$D$19))*(INDEX('Source Data'!$M$29:$M$60,MIN(32,INT(D34/'Assumptions'!$D$19)+2))-INDEX('Source Data'!$M$29:$M$60,INT(D34/'Assumptions'!$D$19)+1)))</x:f>
        <x:v>0.09096062992125985</x:v>
      </x:c>
      <x:c r="H34" s="27" t="n">
        <x:f>'Source Data'!F57*G34*'Assumptions'!$F$55*'Assumptions'!$G$55</x:f>
        <x:v>784.0988220472442</x:v>
      </x:c>
      <x:c r="I34" s="27" t="n">
        <x:f>'Source Data'!G57*G34*'Assumptions'!$F$55*'Assumptions'!$G$55</x:f>
        <x:v>771.2097007874016</x:v>
      </x:c>
      <x:c r="J34" s="27" t="n">
        <x:f>'Source Data'!H57*G34*'Assumptions'!$F$55*'Assumptions'!$G$55</x:f>
        <x:v>747.4689763779528</x:v>
      </x:c>
      <x:c r="K34" s="27" t="n">
        <x:f>'Source Data'!I57*G34*'Assumptions'!$F$55*'Assumptions'!$G$55</x:f>
        <x:v>735.4166929133859</x:v>
      </x:c>
      <x:c r="L34" s="27" t="n">
        <x:f>'Source Data'!J57*G34*'Assumptions'!$F$55*'Assumptions'!$G$55</x:f>
        <x:v>785.6906330708663</x:v>
      </x:c>
      <x:c r="M34" s="27" t="n">
        <x:f>SUMPRODUCT(H34:L34,'Source Data'!D17:H17)</x:f>
        <x:v>754.3933543307087</x:v>
      </x:c>
      <x:c r="N34" s="27" t="n">
        <x:f>SUMPRODUCT(H34:L34,'Source Data'!D18:H18)</x:f>
        <x:v>748.6205126859144</x:v>
      </x:c>
      <x:c r="O34" s="27" t="n">
        <x:f>SUMPRODUCT(H34:L34,'Source Data'!D19:H19)</x:f>
        <x:v>744.9580839895013</x:v>
      </x:c>
      <x:c r="P34" s="27" t="n">
        <x:f>SUMPRODUCT(H34:L34,'Source Data'!D20:H20)</x:f>
        <x:v>741.9450131233597</x:v>
      </x:c>
      <x:c r="Q34" s="27" t="n">
        <x:f>SUMPRODUCT(H34:L34,'Source Data'!D21:H21)</x:f>
        <x:v>738.9319422572179</x:v>
      </x:c>
      <x:c r="R34" s="27" t="n">
        <x:f>SUMPRODUCT(H34:L34,'Source Data'!D22:H22)</x:f>
        <x:v>736.7845133858269</x:v>
      </x:c>
      <x:c r="S34" s="27" t="n">
        <x:f>SUMPRODUCT(H34:L34,'Source Data'!D23:H23)</x:f>
        <x:v>745.8904304461943</x:v>
      </x:c>
      <x:c r="T34" s="27" t="n">
        <x:f>SUMPRODUCT(H34:L34,'Source Data'!D24:H24)</x:f>
        <x:v>758.4589154855645</x:v>
      </x:c>
      <x:c r="U34" s="3"/>
      <x:c r="V34" s="3"/>
      <x:c r="W34" s="28" t="n">
        <x:f>M34*F34</x:f>
        <x:v>103.54164739611294</x:v>
      </x:c>
      <x:c r="X34" s="28" t="n">
        <x:f>N34*F34</x:f>
        <x:v>102.74931600741826</x:v>
      </x:c>
      <x:c r="Y34" s="28" t="n">
        <x:f>O34*F34</x:f>
        <x:v>102.24664203962617</x:v>
      </x:c>
      <x:c r="Z34" s="28" t="n">
        <x:f>P34*F34</x:f>
        <x:v>101.83309343211182</x:v>
      </x:c>
      <x:c r="AA34" s="28" t="n">
        <x:f>Q34*F34</x:f>
        <x:v>101.41954482459745</x:v>
      </x:c>
      <x:c r="AB34" s="28" t="n">
        <x:f>R34*F34</x:f>
        <x:v>101.12480691136774</x:v>
      </x:c>
      <x:c r="AC34" s="28" t="n">
        <x:f>S34*F34</x:f>
        <x:v>102.37460802383815</x:v>
      </x:c>
      <x:c r="AD34" s="28" t="n">
        <x:f>T34*F34</x:f>
        <x:v>104.0996519134471</x:v>
      </x:c>
    </x:row>
    <x:row r="35" ht="19" customHeight="1">
      <x:c r="A35" s="2"/>
      <x:c r="B35" s="2"/>
      <x:c r="C35" s="45" t="n">
        <x:f>'Source Data'!C58</x:f>
        <x:v>0</x:v>
      </x:c>
      <x:c r="D35" s="45" t="n">
        <x:f>'Source Data'!D58</x:f>
        <x:v>29</x:v>
      </x:c>
      <x:c r="E35" s="45" t="n">
        <x:f>'Source Data'!E58</x:f>
        <x:v>5</x:v>
      </x:c>
      <x:c r="F35" s="27" t="n">
        <x:f>IF(D35=0,0.5,1)*EXP(-'Assumptions'!$D$21*MAX(D35-6,0))</x:f>
        <x:v>0.12540459609245258</x:v>
      </x:c>
      <x:c r="G35" s="27" t="n">
        <x:f>IF(D35/'Assumptions'!$D$19&gt;=31,0,INDEX('Source Data'!$M$29:$M$60,INT(D35/'Assumptions'!$D$19)+1)+(D35/'Assumptions'!$D$19-INT(D35/'Assumptions'!$D$19))*(INDEX('Source Data'!$M$29:$M$60,MIN(32,INT(D35/'Assumptions'!$D$19)+2))-INDEX('Source Data'!$M$29:$M$60,INT(D35/'Assumptions'!$D$19)+1)))</x:f>
        <x:v>0.07363779527559058</x:v>
      </x:c>
      <x:c r="H35" s="27" t="n">
        <x:f>'Source Data'!F58*G35*'Assumptions'!$F$55*'Assumptions'!$G$55</x:f>
        <x:v>662.0405984251971</x:v>
      </x:c>
      <x:c r="I35" s="27" t="n">
        <x:f>'Source Data'!G58*G35*'Assumptions'!$F$55*'Assumptions'!$G$55</x:f>
        <x:v>634.772522834646</x:v>
      </x:c>
      <x:c r="J35" s="27" t="n">
        <x:f>'Source Data'!H58*G35*'Assumptions'!$F$55*'Assumptions'!$G$55</x:f>
        <x:v>624.3380472440948</x:v>
      </x:c>
      <x:c r="K35" s="27" t="n">
        <x:f>'Source Data'!I58*G35*'Assumptions'!$F$55*'Assumptions'!$G$55</x:f>
        <x:v>605.1185826771656</x:v>
      </x:c>
      <x:c r="L35" s="27" t="n">
        <x:f>'Source Data'!J58*G35*'Assumptions'!$F$55*'Assumptions'!$G$55</x:f>
        <x:v>595.3615748031499</x:v>
      </x:c>
      <x:c r="M35" s="27" t="n">
        <x:f>SUMPRODUCT(H35:L35,'Source Data'!D17:H17)</x:f>
        <x:v>627.3814359580056</x:v>
      </x:c>
      <x:c r="N35" s="27" t="n">
        <x:f>SUMPRODUCT(H35:L35,'Source Data'!D18:H18)</x:f>
        <x:v>624.6508033245848</x:v>
      </x:c>
      <x:c r="O35" s="27" t="n">
        <x:f>SUMPRODUCT(H35:L35,'Source Data'!D19:H19)</x:f>
        <x:v>620.3339921259845</x:v>
      </x:c>
      <x:c r="P35" s="27" t="n">
        <x:f>SUMPRODUCT(H35:L35,'Source Data'!D20:H20)</x:f>
        <x:v>615.5291259842522</x:v>
      </x:c>
      <x:c r="Q35" s="27" t="n">
        <x:f>SUMPRODUCT(H35:L35,'Source Data'!D21:H21)</x:f>
        <x:v>610.72425984252</x:v>
      </x:c>
      <x:c r="R35" s="27" t="n">
        <x:f>SUMPRODUCT(H35:L35,'Source Data'!D22:H22)</x:f>
        <x:v>606.0508167104114</x:v>
      </x:c>
      <x:c r="S35" s="27" t="n">
        <x:f>SUMPRODUCT(H35:L35,'Source Data'!D23:H23)</x:f>
        <x:v>603.0858727034123</x:v>
      </x:c>
      <x:c r="T35" s="27" t="n">
        <x:f>SUMPRODUCT(H35:L35,'Source Data'!D24:H24)</x:f>
        <x:v>600.6466207349085</x:v>
      </x:c>
      <x:c r="U35" s="3"/>
      <x:c r="V35" s="3"/>
      <x:c r="W35" s="28" t="n">
        <x:f>M35*F35</x:f>
        <x:v>78.67651557221659</x:v>
      </x:c>
      <x:c r="X35" s="28" t="n">
        <x:f>N35*F35</x:f>
        <x:v>78.33408168974559</x:v>
      </x:c>
      <x:c r="Y35" s="28" t="n">
        <x:f>O35*F35</x:f>
        <x:v>77.79273372497775</x:v>
      </x:c>
      <x:c r="Z35" s="28" t="n">
        <x:f>P35*F35</x:f>
        <x:v>77.19018142719551</x:v>
      </x:c>
      <x:c r="AA35" s="28" t="n">
        <x:f>Q35*F35</x:f>
        <x:v>76.58762912941329</x:v>
      </x:c>
      <x:c r="AB35" s="28" t="n">
        <x:f>R35*F35</x:f>
        <x:v>76.00155788107016</x:v>
      </x:c>
      <x:c r="AC35" s="28" t="n">
        <x:f>S35*F35</x:f>
        <x:v>75.6297402754357</x:v>
      </x:c>
      <x:c r="AD35" s="28" t="n">
        <x:f>T35*F35</x:f>
        <x:v>75.32384686755776</x:v>
      </x:c>
    </x:row>
    <x:row r="36" ht="19" customHeight="1">
      <x:c r="A36" s="2"/>
      <x:c r="B36" s="2"/>
      <x:c r="C36" s="45" t="n">
        <x:f>'Source Data'!C59</x:f>
        <x:v>0</x:v>
      </x:c>
      <x:c r="D36" s="45" t="n">
        <x:f>'Source Data'!D59</x:f>
        <x:v>30</x:v>
      </x:c>
      <x:c r="E36" s="45" t="n">
        <x:f>'Source Data'!E59</x:f>
        <x:v>5</x:v>
      </x:c>
      <x:c r="F36" s="27" t="n">
        <x:f>IF(D36=0,0.5,1)*EXP(-'Assumptions'!$D$21*MAX(D36-6,0))</x:f>
        <x:v>0.11458023030622685</x:v>
      </x:c>
      <x:c r="G36" s="27" t="n">
        <x:f>IF(D36/'Assumptions'!$D$19&gt;=31,0,INDEX('Source Data'!$M$29:$M$60,INT(D36/'Assumptions'!$D$19)+1)+(D36/'Assumptions'!$D$19-INT(D36/'Assumptions'!$D$19))*(INDEX('Source Data'!$M$29:$M$60,MIN(32,INT(D36/'Assumptions'!$D$19)+2))-INDEX('Source Data'!$M$29:$M$60,INT(D36/'Assumptions'!$D$19)+1)))</x:f>
        <x:v>0.05942519685039369</x:v>
      </x:c>
      <x:c r="H36" s="27" t="n">
        <x:f>'Source Data'!F59*G36*'Assumptions'!$F$55*'Assumptions'!$G$55</x:f>
        <x:v>506.1778842519684</x:v>
      </x:c>
      <x:c r="I36" s="27" t="n">
        <x:f>'Source Data'!G59*G36*'Assumptions'!$F$55*'Assumptions'!$G$55</x:f>
        <x:v>534.2622322834645</x:v>
      </x:c>
      <x:c r="J36" s="27" t="n">
        <x:f>'Source Data'!H59*G36*'Assumptions'!$F$55*'Assumptions'!$G$55</x:f>
        <x:v>512.2570818897638</x:v>
      </x:c>
      <x:c r="K36" s="27" t="n">
        <x:f>'Source Data'!I59*G36*'Assumptions'!$F$55*'Assumptions'!$G$55</x:f>
        <x:v>503.83653149606295</x:v>
      </x:c>
      <x:c r="L36" s="27" t="n">
        <x:f>'Source Data'!J59*G36*'Assumptions'!$F$55*'Assumptions'!$G$55</x:f>
        <x:v>488.32655511811015</x:v>
      </x:c>
      <x:c r="M36" s="27" t="n">
        <x:f>SUMPRODUCT(H36:L36,'Source Data'!D17:H17)</x:f>
        <x:v>518.6752507545932</x:v>
      </x:c>
      <x:c r="N36" s="27" t="n">
        <x:f>SUMPRODUCT(H36:L36,'Source Data'!D18:H18)</x:f>
        <x:v>513.3626381561679</x:v>
      </x:c>
      <x:c r="O36" s="27" t="n">
        <x:f>SUMPRODUCT(H36:L36,'Source Data'!D19:H19)</x:f>
        <x:v>510.5028005577427</x:v>
      </x:c>
      <x:c r="P36" s="27" t="n">
        <x:f>SUMPRODUCT(H36:L36,'Source Data'!D20:H20)</x:f>
        <x:v>508.3976629593176</x:v>
      </x:c>
      <x:c r="Q36" s="27" t="n">
        <x:f>SUMPRODUCT(H36:L36,'Source Data'!D21:H21)</x:f>
        <x:v>506.29252536089234</x:v>
      </x:c>
      <x:c r="R36" s="27" t="n">
        <x:f>SUMPRODUCT(H36:L36,'Source Data'!D22:H22)</x:f>
        <x:v>504.0889235126858</x:v>
      </x:c>
      <x:c r="S36" s="27" t="n">
        <x:f>SUMPRODUCT(H36:L36,'Source Data'!D23:H23)</x:f>
        <x:v>500.60528641732276</x:v>
      </x:c>
      <x:c r="T36" s="27" t="n">
        <x:f>SUMPRODUCT(H36:L36,'Source Data'!D24:H24)</x:f>
        <x:v>496.7277923228346</x:v>
      </x:c>
      <x:c r="U36" s="3"/>
      <x:c r="V36" s="3"/>
      <x:c r="W36" s="28" t="n">
        <x:f>M36*F36</x:f>
        <x:v>59.42992968560125</x:v>
      </x:c>
      <x:c r="X36" s="28" t="n">
        <x:f>N36*F36</x:f>
        <x:v>58.821209310545925</x:v>
      </x:c>
      <x:c r="Y36" s="28" t="n">
        <x:f>O36*F36</x:f>
        <x:v>58.493528459879954</x:v>
      </x:c>
      <x:c r="Z36" s="28" t="n">
        <x:f>P36*F36</x:f>
        <x:v>58.25232130902611</x:v>
      </x:c>
      <x:c r="AA36" s="28" t="n">
        <x:f>Q36*F36</x:f>
        <x:v>58.01111415817225</x:v>
      </x:c>
      <x:c r="AB36" s="28" t="n">
        <x:f>R36*F36</x:f>
        <x:v>57.75862495090151</x:v>
      </x:c>
      <x:c r="AC36" s="28" t="n">
        <x:f>S36*F36</x:f>
        <x:v>57.3594690102115</x:v>
      </x:c>
      <x:c r="AD36" s="28" t="n">
        <x:f>T36*F36</x:f>
        <x:v>56.915184843854014</x:v>
      </x:c>
    </x:row>
    <x:row r="37" ht="19" customHeight="1">
      <x:c r="A37" s="2"/>
      <x:c r="B37" s="2"/>
      <x:c r="C37" s="45" t="n">
        <x:f>'Source Data'!C60</x:f>
        <x:v>0</x:v>
      </x:c>
      <x:c r="D37" s="45" t="n">
        <x:f>'Source Data'!D60</x:f>
        <x:v>31</x:v>
      </x:c>
      <x:c r="E37" s="45" t="n">
        <x:f>'Source Data'!E60</x:f>
        <x:v>5</x:v>
      </x:c>
      <x:c r="F37" s="27" t="n">
        <x:f>IF(D37=0,0.5,1)*EXP(-'Assumptions'!$D$21*MAX(D37-6,0))</x:f>
        <x:v>0.10469017552872706</x:v>
      </x:c>
      <x:c r="G37" s="27" t="n">
        <x:f>IF(D37/'Assumptions'!$D$19&gt;=31,0,INDEX('Source Data'!$M$29:$M$60,INT(D37/'Assumptions'!$D$19)+1)+(D37/'Assumptions'!$D$19-INT(D37/'Assumptions'!$D$19))*(INDEX('Source Data'!$M$29:$M$60,MIN(32,INT(D37/'Assumptions'!$D$19)+2))-INDEX('Source Data'!$M$29:$M$60,INT(D37/'Assumptions'!$D$19)+1)))</x:f>
        <x:v>0.04767716535433072</x:v>
      </x:c>
      <x:c r="H37" s="27" t="n">
        <x:f>'Source Data'!F60*G37*'Assumptions'!$F$55*'Assumptions'!$G$55</x:f>
        <x:v>391.57732677165365</x:v>
      </x:c>
      <x:c r="I37" s="27" t="n">
        <x:f>'Source Data'!G60*G37*'Assumptions'!$F$55*'Assumptions'!$G$55</x:f>
        <x:v>406.1093267716536</x:v>
      </x:c>
      <x:c r="J37" s="27" t="n">
        <x:f>'Source Data'!H60*G37*'Assumptions'!$F$55*'Assumptions'!$G$55</x:f>
        <x:v>428.6415551181103</x:v>
      </x:c>
      <x:c r="K37" s="27" t="n">
        <x:f>'Source Data'!I60*G37*'Assumptions'!$F$55*'Assumptions'!$G$55</x:f>
        <x:v>410.9867007874017</x:v>
      </x:c>
      <x:c r="L37" s="27" t="n">
        <x:f>'Source Data'!J60*G37*'Assumptions'!$F$55*'Assumptions'!$G$55</x:f>
        <x:v>404.230846456693</x:v>
      </x:c>
      <x:c r="M37" s="27" t="n">
        <x:f>SUMPRODUCT(H37:L37,'Source Data'!D17:H17)</x:f>
        <x:v>422.06965518372715</x:v>
      </x:c>
      <x:c r="N37" s="27" t="n">
        <x:f>SUMPRODUCT(H37:L37,'Source Data'!D18:H18)</x:f>
        <x:v>427.14455834426957</x:v>
      </x:c>
      <x:c r="O37" s="27" t="n">
        <x:f>SUMPRODUCT(H37:L37,'Source Data'!D19:H19)</x:f>
        <x:v>424.9634604658793</x:v>
      </x:c>
      <x:c r="P37" s="27" t="n">
        <x:f>SUMPRODUCT(H37:L37,'Source Data'!D20:H20)</x:f>
        <x:v>420.54974688320226</x:v>
      </x:c>
      <x:c r="Q37" s="27" t="n">
        <x:f>SUMPRODUCT(H37:L37,'Source Data'!D21:H21)</x:f>
        <x:v>416.13603330052507</x:v>
      </x:c>
      <x:c r="R37" s="27" t="n">
        <x:f>SUMPRODUCT(H37:L37,'Source Data'!D22:H22)</x:f>
        <x:v>411.87369471784785</x:v>
      </x:c>
      <x:c r="S37" s="27" t="n">
        <x:f>SUMPRODUCT(H37:L37,'Source Data'!D23:H23)</x:f>
        <x:v>409.57923113517063</x:v>
      </x:c>
      <x:c r="T37" s="27" t="n">
        <x:f>SUMPRODUCT(H37:L37,'Source Data'!D24:H24)</x:f>
        <x:v>407.8902675524936</x:v>
      </x:c>
      <x:c r="U37" s="3"/>
      <x:c r="V37" s="3"/>
      <x:c r="W37" s="28" t="n">
        <x:f>M37*F37</x:f>
        <x:v>44.1865462865337</x:v>
      </x:c>
      <x:c r="X37" s="28" t="n">
        <x:f>N37*F37</x:f>
        <x:v>44.717838789202176</x:v>
      </x:c>
      <x:c r="Y37" s="28" t="n">
        <x:f>O37*F37</x:f>
        <x:v>44.48949926946816</x:v>
      </x:c>
      <x:c r="Z37" s="28" t="n">
        <x:f>P37*F37</x:f>
        <x:v>44.02742681976418</x:v>
      </x:c>
      <x:c r="AA37" s="28" t="n">
        <x:f>Q37*F37</x:f>
        <x:v>43.56535437006018</x:v>
      </x:c>
      <x:c r="AB37" s="28" t="n">
        <x:f>R37*F37</x:f>
        <x:v>43.119129395676836</x:v>
      </x:c>
      <x:c r="AC37" s="28" t="n">
        <x:f>S37*F37</x:f>
        <x:v>42.878921600462085</x:v>
      </x:c>
      <x:c r="AD37" s="28" t="n">
        <x:f>T37*F37</x:f>
        <x:v>42.702103706529996</x:v>
      </x:c>
    </x:row>
    <x:row r="38" ht="19" customHeight="1">
      <x:c r="A38" s="2"/>
      <x:c r="B38" s="2"/>
      <x:c r="C38" s="45" t="n">
        <x:f>'Source Data'!C61</x:f>
        <x:v>0</x:v>
      </x:c>
      <x:c r="D38" s="45" t="n">
        <x:f>'Source Data'!D61</x:f>
        <x:v>32</x:v>
      </x:c>
      <x:c r="E38" s="45" t="n">
        <x:f>'Source Data'!E61</x:f>
        <x:v>5</x:v>
      </x:c>
      <x:c r="F38" s="27" t="n">
        <x:f>IF(D38=0,0.5,1)*EXP(-'Assumptions'!$D$21*MAX(D38-6,0))</x:f>
        <x:v>0.09565378619805467</x:v>
      </x:c>
      <x:c r="G38" s="27" t="n">
        <x:f>IF(D38/'Assumptions'!$D$19&gt;=31,0,INDEX('Source Data'!$M$29:$M$60,INT(D38/'Assumptions'!$D$19)+1)+(D38/'Assumptions'!$D$19-INT(D38/'Assumptions'!$D$19))*(INDEX('Source Data'!$M$29:$M$60,MIN(32,INT(D38/'Assumptions'!$D$19)+2))-INDEX('Source Data'!$M$29:$M$60,INT(D38/'Assumptions'!$D$19)+1)))</x:f>
        <x:v>0.03803149606299215</x:v>
      </x:c>
      <x:c r="H38" s="27" t="n">
        <x:f>'Source Data'!F61*G38*'Assumptions'!$F$55*'Assumptions'!$G$55</x:f>
        <x:v>311.2877952755908</x:v>
      </x:c>
      <x:c r="I38" s="27" t="n">
        <x:f>'Source Data'!G61*G38*'Assumptions'!$F$55*'Assumptions'!$G$55</x:f>
        <x:v>312.35648031496083</x:v>
      </x:c>
      <x:c r="J38" s="27" t="n">
        <x:f>'Source Data'!H61*G38*'Assumptions'!$F$55*'Assumptions'!$G$55</x:f>
        <x:v>323.9484803149608</x:v>
      </x:c>
      <x:c r="K38" s="27" t="n">
        <x:f>'Source Data'!I61*G38*'Assumptions'!$F$55*'Assumptions'!$G$55</x:f>
        <x:v>341.92216535433096</x:v>
      </x:c>
      <x:c r="L38" s="27" t="n">
        <x:f>'Source Data'!J61*G38*'Assumptions'!$F$55*'Assumptions'!$G$55</x:f>
        <x:v>327.839102362205</x:v>
      </x:c>
      <x:c r="M38" s="27" t="n">
        <x:f>SUMPRODUCT(H38:L38,'Source Data'!D17:H17)</x:f>
        <x:v>320.56748031496085</x:v>
      </x:c>
      <x:c r="N38" s="27" t="n">
        <x:f>SUMPRODUCT(H38:L38,'Source Data'!D18:H18)</x:f>
        <x:v>323.5541148293965</x:v>
      </x:c>
      <x:c r="O38" s="27" t="n">
        <x:f>SUMPRODUCT(H38:L38,'Source Data'!D19:H19)</x:f>
        <x:v>327.69299803149624</x:v>
      </x:c>
      <x:c r="P38" s="27" t="n">
        <x:f>SUMPRODUCT(H38:L38,'Source Data'!D20:H20)</x:f>
        <x:v>332.18641929133884</x:v>
      </x:c>
      <x:c r="Q38" s="27" t="n">
        <x:f>SUMPRODUCT(H38:L38,'Source Data'!D21:H21)</x:f>
        <x:v>336.67984055118137</x:v>
      </x:c>
      <x:c r="R38" s="27" t="n">
        <x:f>SUMPRODUCT(H38:L38,'Source Data'!D22:H22)</x:f>
        <x:v>340.7280291994753</x:v>
      </x:c>
      <x:c r="S38" s="27" t="n">
        <x:f>SUMPRODUCT(H38:L38,'Source Data'!D23:H23)</x:f>
        <x:v>338.98819389763804</x:v>
      </x:c>
      <x:c r="T38" s="27" t="n">
        <x:f>SUMPRODUCT(H38:L38,'Source Data'!D24:H24)</x:f>
        <x:v>335.4674281496066</x:v>
      </x:c>
      <x:c r="U38" s="3"/>
      <x:c r="V38" s="3"/>
      <x:c r="W38" s="28" t="n">
        <x:f>M38*F38</x:f>
        <x:v>30.663493224096364</x:v>
      </x:c>
      <x:c r="X38" s="28" t="n">
        <x:f>N38*F38</x:f>
        <x:v>30.949176123391926</x:v>
      </x:c>
      <x:c r="Y38" s="28" t="n">
        <x:f>O38*F38</x:f>
        <x:v>31.345075972304294</x:v>
      </x:c>
      <x:c r="Z38" s="28" t="n">
        <x:f>P38*F38</x:f>
        <x:v>31.77488872879107</x:v>
      </x:c>
      <x:c r="AA38" s="28" t="n">
        <x:f>Q38*F38</x:f>
        <x:v>32.204701485277845</x:v>
      </x:c>
      <x:c r="AB38" s="28" t="n">
        <x:f>R38*F38</x:f>
        <x:v>32.59192605673114</x:v>
      </x:c>
      <x:c r="AC38" s="28" t="n">
        <x:f>S38*F38</x:f>
        <x:v>32.425504222749375</x:v>
      </x:c>
      <x:c r="AD38" s="28" t="n">
        <x:f>T38*F38</x:f>
        <x:v>32.08872964863374</x:v>
      </x:c>
    </x:row>
    <x:row r="39" ht="19" customHeight="1">
      <x:c r="A39" s="2"/>
      <x:c r="B39" s="2"/>
      <x:c r="C39" s="45" t="n">
        <x:f>'Source Data'!C62</x:f>
        <x:v>0</x:v>
      </x:c>
      <x:c r="D39" s="45" t="n">
        <x:f>'Source Data'!D62</x:f>
        <x:v>33</x:v>
      </x:c>
      <x:c r="E39" s="45" t="n">
        <x:f>'Source Data'!E62</x:f>
        <x:v>5</x:v>
      </x:c>
      <x:c r="F39" s="27" t="n">
        <x:f>IF(D39=0,0.5,1)*EXP(-'Assumptions'!$D$21*MAX(D39-6,0))</x:f>
        <x:v>0.08739737771776383</x:v>
      </x:c>
      <x:c r="G39" s="27" t="n">
        <x:f>IF(D39/'Assumptions'!$D$19&gt;=31,0,INDEX('Source Data'!$M$29:$M$60,INT(D39/'Assumptions'!$D$19)+1)+(D39/'Assumptions'!$D$19-INT(D39/'Assumptions'!$D$19))*(INDEX('Source Data'!$M$29:$M$60,MIN(32,INT(D39/'Assumptions'!$D$19)+2))-INDEX('Source Data'!$M$29:$M$60,INT(D39/'Assumptions'!$D$19)+1)))</x:f>
        <x:v>0.030157480314960627</x:v>
      </x:c>
      <x:c r="H39" s="27" t="n">
        <x:f>'Source Data'!F62*G39*'Assumptions'!$F$55*'Assumptions'!$G$55</x:f>
        <x:v>280.5007559055118</x:v>
      </x:c>
      <x:c r="I39" s="27" t="n">
        <x:f>'Source Data'!G62*G39*'Assumptions'!$F$55*'Assumptions'!$G$55</x:f>
        <x:v>246.83897637795275</x:v>
      </x:c>
      <x:c r="J39" s="27" t="n">
        <x:f>'Source Data'!H62*G39*'Assumptions'!$F$55*'Assumptions'!$G$55</x:f>
        <x:v>247.68640157480314</x:v>
      </x:c>
      <x:c r="K39" s="27" t="n">
        <x:f>'Source Data'!I62*G39*'Assumptions'!$F$55*'Assumptions'!$G$55</x:f>
        <x:v>256.8784015748031</x:v>
      </x:c>
      <x:c r="L39" s="27" t="n">
        <x:f>'Source Data'!J62*G39*'Assumptions'!$F$55*'Assumptions'!$G$55</x:f>
        <x:v>271.1308267716535</x:v>
      </x:c>
      <x:c r="M39" s="27" t="n">
        <x:f>SUMPRODUCT(H39:L39,'Source Data'!D17:H17)</x:f>
        <x:v>247.43923589238847</x:v>
      </x:c>
      <x:c r="N39" s="27" t="n">
        <x:f>SUMPRODUCT(H39:L39,'Source Data'!D18:H18)</x:f>
        <x:v>247.76698906386702</x:v>
      </x:c>
      <x:c r="O39" s="27" t="n">
        <x:f>SUMPRODUCT(H39:L39,'Source Data'!D19:H19)</x:f>
        <x:v>249.6014015748031</x:v>
      </x:c>
      <x:c r="P39" s="27" t="n">
        <x:f>SUMPRODUCT(H39:L39,'Source Data'!D20:H20)</x:f>
        <x:v>251.89940157480314</x:v>
      </x:c>
      <x:c r="Q39" s="27" t="n">
        <x:f>SUMPRODUCT(H39:L39,'Source Data'!D21:H21)</x:f>
        <x:v>254.1974015748031</x:v>
      </x:c>
      <x:c r="R39" s="27" t="n">
        <x:f>SUMPRODUCT(H39:L39,'Source Data'!D22:H22)</x:f>
        <x:v>256.5656852580927</x:v>
      </x:c>
      <x:c r="S39" s="27" t="n">
        <x:f>SUMPRODUCT(H39:L39,'Source Data'!D23:H23)</x:f>
        <x:v>259.8476568241469</x:v>
      </x:c>
      <x:c r="T39" s="27" t="n">
        <x:f>SUMPRODUCT(H39:L39,'Source Data'!D24:H24)</x:f>
        <x:v>263.4107631233596</x:v>
      </x:c>
      <x:c r="U39" s="3"/>
      <x:c r="V39" s="3"/>
      <x:c r="W39" s="28" t="n">
        <x:f>M39*F39</x:f>
        <x:v>21.625540361481942</x:v>
      </x:c>
      <x:c r="X39" s="28" t="n">
        <x:f>N39*F39</x:f>
        <x:v>21.654185129207846</x:v>
      </x:c>
      <x:c r="Y39" s="28" t="n">
        <x:f>O39*F39</x:f>
        <x:v>21.81450797231632</x:v>
      </x:c>
      <x:c r="Z39" s="28" t="n">
        <x:f>P39*F39</x:f>
        <x:v>22.015347146311743</x:v>
      </x:c>
      <x:c r="AA39" s="28" t="n">
        <x:f>Q39*F39</x:f>
        <x:v>22.216186320307163</x:v>
      </x:c>
      <x:c r="AB39" s="28" t="n">
        <x:f>R39*F39</x:f>
        <x:v>22.42316810391844</x:v>
      </x:c>
      <x:c r="AC39" s="28" t="n">
        <x:f>S39*F39</x:f>
        <x:v>22.710003812535838</x:v>
      </x:c>
      <x:c r="AD39" s="28" t="n">
        <x:f>T39*F39</x:f>
        <x:v>23.021409959616673</x:v>
      </x:c>
    </x:row>
    <x:row r="40" ht="19" customHeight="1">
      <x:c r="A40" s="2"/>
      <x:c r="B40" s="2"/>
      <x:c r="C40" s="45" t="n">
        <x:f>'Source Data'!C63</x:f>
        <x:v>0</x:v>
      </x:c>
      <x:c r="D40" s="45" t="n">
        <x:f>'Source Data'!D63</x:f>
        <x:v>34</x:v>
      </x:c>
      <x:c r="E40" s="45" t="n">
        <x:f>'Source Data'!E63</x:f>
        <x:v>5</x:v>
      </x:c>
      <x:c r="F40" s="27" t="n">
        <x:f>IF(D40=0,0.5,1)*EXP(-'Assumptions'!$D$21*MAX(D40-6,0))</x:f>
        <x:v>0.0798536256173498</x:v>
      </x:c>
      <x:c r="G40" s="27" t="n">
        <x:f>IF(D40/'Assumptions'!$D$19&gt;=31,0,INDEX('Source Data'!$M$29:$M$60,INT(D40/'Assumptions'!$D$19)+1)+(D40/'Assumptions'!$D$19-INT(D40/'Assumptions'!$D$19))*(INDEX('Source Data'!$M$29:$M$60,MIN(32,INT(D40/'Assumptions'!$D$19)+2))-INDEX('Source Data'!$M$29:$M$60,INT(D40/'Assumptions'!$D$19)+1)))</x:f>
        <x:v>0.024598425196850404</x:v>
      </x:c>
      <x:c r="H40" s="27" t="n">
        <x:f>'Source Data'!F63*G40*'Assumptions'!$F$55*'Assumptions'!$G$55</x:f>
        <x:v>240.47174488188986</x:v>
      </x:c>
      <x:c r="I40" s="27" t="n">
        <x:f>'Source Data'!G63*G40*'Assumptions'!$F$55*'Assumptions'!$G$55</x:f>
        <x:v>228.794872440945</x:v>
      </x:c>
      <x:c r="J40" s="27" t="n">
        <x:f>'Source Data'!H63*G40*'Assumptions'!$F$55*'Assumptions'!$G$55</x:f>
        <x:v>201.33811023622056</x:v>
      </x:c>
      <x:c r="K40" s="27" t="n">
        <x:f>'Source Data'!I63*G40*'Assumptions'!$F$55*'Assumptions'!$G$55</x:f>
        <x:v>202.02932598425207</x:v>
      </x:c>
      <x:c r="L40" s="27" t="n">
        <x:f>'Source Data'!J63*G40*'Assumptions'!$F$55*'Assumptions'!$G$55</x:f>
        <x:v>209.52692598425205</x:v>
      </x:c>
      <x:c r="M40" s="27" t="n">
        <x:f>SUMPRODUCT(H40:L40,'Source Data'!D17:H17)</x:f>
        <x:v>209.34633254593186</x:v>
      </x:c>
      <x:c r="N40" s="27" t="n">
        <x:f>SUMPRODUCT(H40:L40,'Source Data'!D18:H18)</x:f>
        <x:v>202.87308613298345</x:v>
      </x:c>
      <x:c r="O40" s="27" t="n">
        <x:f>SUMPRODUCT(H40:L40,'Source Data'!D19:H19)</x:f>
        <x:v>201.48211351706044</x:v>
      </x:c>
      <x:c r="P40" s="27" t="n">
        <x:f>SUMPRODUCT(H40:L40,'Source Data'!D20:H20)</x:f>
        <x:v>201.65491745406837</x:v>
      </x:c>
      <x:c r="Q40" s="27" t="n">
        <x:f>SUMPRODUCT(H40:L40,'Source Data'!D21:H21)</x:f>
        <x:v>201.8277213910762</x:v>
      </x:c>
      <x:c r="R40" s="27" t="n">
        <x:f>SUMPRODUCT(H40:L40,'Source Data'!D22:H22)</x:f>
        <x:v>202.09505844269478</x:v>
      </x:c>
      <x:c r="S40" s="27" t="n">
        <x:f>SUMPRODUCT(H40:L40,'Source Data'!D23:H23)</x:f>
        <x:v>203.59132598425205</x:v>
      </x:c>
      <x:c r="T40" s="27" t="n">
        <x:f>SUMPRODUCT(H40:L40,'Source Data'!D24:H24)</x:f>
        <x:v>205.46572598425206</x:v>
      </x:c>
      <x:c r="U40" s="3"/>
      <x:c r="V40" s="3"/>
      <x:c r="W40" s="28" t="n">
        <x:f>M40*F40</x:f>
        <x:v>16.71706366348805</x:v>
      </x:c>
      <x:c r="X40" s="28" t="n">
        <x:f>N40*F40</x:f>
        <x:v>16.20015146789962</x:v>
      </x:c>
      <x:c r="Y40" s="28" t="n">
        <x:f>O40*F40</x:f>
        <x:v>16.089077261383718</x:v>
      </x:c>
      <x:c r="Z40" s="28" t="n">
        <x:f>P40*F40</x:f>
        <x:v>16.102876282274753</x:v>
      </x:c>
      <x:c r="AA40" s="28" t="n">
        <x:f>Q40*F40</x:f>
        <x:v>16.11667530316578</x:v>
      </x:c>
      <x:c r="AB40" s="28" t="n">
        <x:f>R40*F40</x:f>
        <x:v>16.138023135999376</x:v>
      </x:c>
      <x:c r="AC40" s="28" t="n">
        <x:f>S40*F40</x:f>
        <x:v>16.257505524086284</x:v>
      </x:c>
      <x:c r="AD40" s="28" t="n">
        <x:f>T40*F40</x:f>
        <x:v>16.407183159943443</x:v>
      </x:c>
    </x:row>
    <x:row r="41" ht="19" customHeight="1">
      <x:c r="A41" s="2"/>
      <x:c r="B41" s="2"/>
      <x:c r="C41" s="45" t="n">
        <x:f>'Source Data'!C64</x:f>
        <x:v>0</x:v>
      </x:c>
      <x:c r="D41" s="45" t="n">
        <x:f>'Source Data'!D64</x:f>
        <x:v>35</x:v>
      </x:c>
      <x:c r="E41" s="45" t="n">
        <x:f>'Source Data'!E64</x:f>
        <x:v>5</x:v>
      </x:c>
      <x:c r="F41" s="27" t="n">
        <x:f>IF(D41=0,0.5,1)*EXP(-'Assumptions'!$D$21*MAX(D41-6,0))</x:f>
        <x:v>0.07296101657452587</x:v>
      </x:c>
      <x:c r="G41" s="27" t="n">
        <x:f>IF(D41/'Assumptions'!$D$19&gt;=31,0,INDEX('Source Data'!$M$29:$M$60,INT(D41/'Assumptions'!$D$19)+1)+(D41/'Assumptions'!$D$19-INT(D41/'Assumptions'!$D$19))*(INDEX('Source Data'!$M$29:$M$60,MIN(32,INT(D41/'Assumptions'!$D$19)+2))-INDEX('Source Data'!$M$29:$M$60,INT(D41/'Assumptions'!$D$19)+1)))</x:f>
        <x:v>0.01740944881889763</x:v>
      </x:c>
      <x:c r="H41" s="27" t="n">
        <x:f>'Source Data'!F64*G41*'Assumptions'!$F$55*'Assumptions'!$G$55</x:f>
        <x:v>183.55826456692907</x:v>
      </x:c>
      <x:c r="I41" s="27" t="n">
        <x:f>'Source Data'!G64*G41*'Assumptions'!$F$55*'Assumptions'!$G$55</x:f>
        <x:v>170.19303070866135</x:v>
      </x:c>
      <x:c r="J41" s="27" t="n">
        <x:f>'Source Data'!H64*G41*'Assumptions'!$F$55*'Assumptions'!$G$55</x:f>
        <x:v>161.92876535433066</x:v>
      </x:c>
      <x:c r="K41" s="27" t="n">
        <x:f>'Source Data'!I64*G41*'Assumptions'!$F$55*'Assumptions'!$G$55</x:f>
        <x:v>142.4963385826771</x:v>
      </x:c>
      <x:c r="L41" s="27" t="n">
        <x:f>'Source Data'!J64*G41*'Assumptions'!$F$55*'Assumptions'!$G$55</x:f>
        <x:v>142.98554409448815</x:v>
      </x:c>
      <x:c r="M41" s="27" t="n">
        <x:f>SUMPRODUCT(H41:L41,'Source Data'!D17:H17)</x:f>
        <x:v>164.3391760826771</x:v>
      </x:c>
      <x:c r="N41" s="27" t="n">
        <x:f>SUMPRODUCT(H41:L41,'Source Data'!D18:H18)</x:f>
        <x:v>162.11799639107608</x:v>
      </x:c>
      <x:c r="O41" s="27" t="n">
        <x:f>SUMPRODUCT(H41:L41,'Source Data'!D19:H19)</x:f>
        <x:v>157.88034311023614</x:v>
      </x:c>
      <x:c r="P41" s="27" t="n">
        <x:f>SUMPRODUCT(H41:L41,'Source Data'!D20:H20)</x:f>
        <x:v>153.0222364173228</x:v>
      </x:c>
      <x:c r="Q41" s="27" t="n">
        <x:f>SUMPRODUCT(H41:L41,'Source Data'!D21:H21)</x:f>
        <x:v>148.1641297244094</x:v>
      </x:c>
      <x:c r="R41" s="27" t="n">
        <x:f>SUMPRODUCT(H41:L41,'Source Data'!D22:H22)</x:f>
        <x:v>143.58271236876635</x:v>
      </x:c>
      <x:c r="S41" s="27" t="n">
        <x:f>SUMPRODUCT(H41:L41,'Source Data'!D23:H23)</x:f>
        <x:v>142.59825639763773</x:v>
      </x:c>
      <x:c r="T41" s="27" t="n">
        <x:f>SUMPRODUCT(H41:L41,'Source Data'!D24:H24)</x:f>
        <x:v>142.72055777559052</x:v>
      </x:c>
      <x:c r="U41" s="3"/>
      <x:c r="V41" s="3"/>
      <x:c r="W41" s="28" t="n">
        <x:f>M41*F41</x:f>
        <x:v>11.990353350012132</x:v>
      </x:c>
      <x:c r="X41" s="28" t="n">
        <x:f>N41*F41</x:f>
        <x:v>11.828293821718228</x:v>
      </x:c>
      <x:c r="Y41" s="28" t="n">
        <x:f>O41*F41</x:f>
        <x:v>11.51911033045777</x:v>
      </x:c>
      <x:c r="Z41" s="28" t="n">
        <x:f>P41*F41</x:f>
        <x:v>11.164657927515306</x:v>
      </x:c>
      <x:c r="AA41" s="28" t="n">
        <x:f>Q41*F41</x:f>
        <x:v>10.810205524572837</x:v>
      </x:c>
      <x:c r="AB41" s="28" t="n">
        <x:f>R41*F41</x:f>
        <x:v>10.475940656952943</x:v>
      </x:c>
      <x:c r="AC41" s="28" t="n">
        <x:f>S41*F41</x:f>
        <x:v>10.404113748526537</x:v>
      </x:c>
      <x:c r="AD41" s="28" t="n">
        <x:f>T41*F41</x:f>
        <x:v>10.413036981390437</x:v>
      </x:c>
    </x:row>
    <x:row r="42" ht="19" customHeight="1">
      <x:c r="A42" s="2"/>
      <x:c r="B42" s="2"/>
      <x:c r="C42" s="45" t="n">
        <x:f>'Source Data'!C65</x:f>
        <x:v>0</x:v>
      </x:c>
      <x:c r="D42" s="45" t="n">
        <x:f>'Source Data'!D65</x:f>
        <x:v>36</x:v>
      </x:c>
      <x:c r="E42" s="45" t="n">
        <x:f>'Source Data'!E65</x:f>
        <x:v>5</x:v>
      </x:c>
      <x:c r="F42" s="27" t="n">
        <x:f>IF(D42=0,0.5,1)*EXP(-'Assumptions'!$D$21*MAX(D42-6,0))</x:f>
        <x:v>0.0666633468228103</x:v>
      </x:c>
      <x:c r="G42" s="27" t="n">
        <x:f>IF(D42/'Assumptions'!$D$19&gt;=31,0,INDEX('Source Data'!$M$29:$M$60,INT(D42/'Assumptions'!$D$19)+1)+(D42/'Assumptions'!$D$19-INT(D42/'Assumptions'!$D$19))*(INDEX('Source Data'!$M$29:$M$60,MIN(32,INT(D42/'Assumptions'!$D$19)+2))-INDEX('Source Data'!$M$29:$M$60,INT(D42/'Assumptions'!$D$19)+1)))</x:f>
        <x:v>0.011960629921259843</x:v>
      </x:c>
      <x:c r="H42" s="27" t="n">
        <x:f>'Source Data'!F65*G42*'Assumptions'!$F$55*'Assumptions'!$G$55</x:f>
        <x:v>121.84891732283465</x:v>
      </x:c>
      <x:c r="I42" s="27" t="n">
        <x:f>'Source Data'!G65*G42*'Assumptions'!$F$55*'Assumptions'!$G$55</x:f>
        <x:v>126.10809763779528</x:v>
      </x:c>
      <x:c r="J42" s="27" t="n">
        <x:f>'Source Data'!H65*G42*'Assumptions'!$F$55*'Assumptions'!$G$55</x:f>
        <x:v>116.9259220472441</x:v>
      </x:c>
      <x:c r="K42" s="27" t="n">
        <x:f>'Source Data'!I65*G42*'Assumptions'!$F$55*'Assumptions'!$G$55</x:f>
        <x:v>111.24821102362206</x:v>
      </x:c>
      <x:c r="L42" s="27" t="n">
        <x:f>'Source Data'!J65*G42*'Assumptions'!$F$55*'Assumptions'!$G$55</x:f>
        <x:v>97.89775590551181</x:v>
      </x:c>
      <x:c r="M42" s="27" t="n">
        <x:f>SUMPRODUCT(H42:L42,'Source Data'!D17:H17)</x:f>
        <x:v>119.60405659448821</x:v>
      </x:c>
      <x:c r="N42" s="27" t="n">
        <x:f>SUMPRODUCT(H42:L42,'Source Data'!D18:H18)</x:f>
        <x:v>117.35718581583552</x:v>
      </x:c>
      <x:c r="O42" s="27" t="n">
        <x:f>SUMPRODUCT(H42:L42,'Source Data'!D19:H19)</x:f>
        <x:v>115.7430655839895</x:v>
      </x:c>
      <x:c r="P42" s="27" t="n">
        <x:f>SUMPRODUCT(H42:L42,'Source Data'!D20:H20)</x:f>
        <x:v>114.323637828084</x:v>
      </x:c>
      <x:c r="Q42" s="27" t="n">
        <x:f>SUMPRODUCT(H42:L42,'Source Data'!D21:H21)</x:f>
        <x:v>112.9042100721785</x:v>
      </x:c>
      <x:c r="R42" s="27" t="n">
        <x:f>SUMPRODUCT(H42:L42,'Source Data'!D22:H22)</x:f>
        <x:v>111.37821642607175</x:v>
      </x:c>
      <x:c r="S42" s="27" t="n">
        <x:f>SUMPRODUCT(H42:L42,'Source Data'!D23:H23)</x:f>
        <x:v>108.4668662073491</x:v>
      </x:c>
      <x:c r="T42" s="27" t="n">
        <x:f>SUMPRODUCT(H42:L42,'Source Data'!D24:H24)</x:f>
        <x:v>105.12925242782154</x:v>
      </x:c>
      <x:c r="U42" s="3"/>
      <x:c r="V42" s="3"/>
      <x:c r="W42" s="28" t="n">
        <x:f>M42*F42</x:f>
        <x:v>7.9732067061734</x:v>
      </x:c>
      <x:c r="X42" s="28" t="n">
        <x:f>N42*F42</x:f>
        <x:v>7.823422780190038</x:v>
      </x:c>
      <x:c r="Y42" s="28" t="n">
        <x:f>O42*F42</x:f>
        <x:v>7.715820123360771</x:v>
      </x:c>
      <x:c r="Z42" s="28" t="n">
        <x:f>P42*F42</x:f>
        <x:v>7.62119631857892</x:v>
      </x:c>
      <x:c r="AA42" s="28" t="n">
        <x:f>Q42*F42</x:f>
        <x:v>7.526572513797068</x:v>
      </x:c>
      <x:c r="AB42" s="28" t="n">
        <x:f>R42*F42</x:f>
        <x:v>7.424844670117248</x:v>
      </x:c>
      <x:c r="AC42" s="28" t="n">
        <x:f>S42*F42</x:f>
        <x:v>7.230764320763876</x:v>
      </x:c>
      <x:c r="AD42" s="28" t="n">
        <x:f>T42*F42</x:f>
        <x:v>7.008267815818639</x:v>
      </x:c>
    </x:row>
    <x:row r="43" ht="19" customHeight="1">
      <x:c r="A43" s="2"/>
      <x:c r="B43" s="2"/>
      <x:c r="C43" s="45" t="n">
        <x:f>'Source Data'!C66</x:f>
        <x:v>0</x:v>
      </x:c>
      <x:c r="D43" s="45" t="n">
        <x:f>'Source Data'!D66</x:f>
        <x:v>37</x:v>
      </x:c>
      <x:c r="E43" s="45" t="n">
        <x:f>'Source Data'!E66</x:f>
        <x:v>5</x:v>
      </x:c>
      <x:c r="F43" s="27" t="n">
        <x:f>IF(D43=0,0.5,1)*EXP(-'Assumptions'!$D$21*MAX(D43-6,0))</x:f>
        <x:v>0.06090926385433481</x:v>
      </x:c>
      <x:c r="G43" s="27" t="n">
        <x:f>IF(D43/'Assumptions'!$D$19&gt;=31,0,INDEX('Source Data'!$M$29:$M$60,INT(D43/'Assumptions'!$D$19)+1)+(D43/'Assumptions'!$D$19-INT(D43/'Assumptions'!$D$19))*(INDEX('Source Data'!$M$29:$M$60,MIN(32,INT(D43/'Assumptions'!$D$19)+2))-INDEX('Source Data'!$M$29:$M$60,INT(D43/'Assumptions'!$D$19)+1)))</x:f>
        <x:v>0.0095984251968504</x:v>
      </x:c>
      <x:c r="H43" s="27" t="n">
        <x:f>'Source Data'!F66*G43*'Assumptions'!$F$55*'Assumptions'!$G$55</x:f>
        <x:v>109.46140078740164</x:v>
      </x:c>
      <x:c r="I43" s="27" t="n">
        <x:f>'Source Data'!G66*G43*'Assumptions'!$F$55*'Assumptions'!$G$55</x:f>
        <x:v>97.78395669291345</x:v>
      </x:c>
      <x:c r="J43" s="27" t="n">
        <x:f>'Source Data'!H66*G43*'Assumptions'!$F$55*'Assumptions'!$G$55</x:f>
        <x:v>101.20195590551188</x:v>
      </x:c>
      <x:c r="K43" s="27" t="n">
        <x:f>'Source Data'!I66*G43*'Assumptions'!$F$55*'Assumptions'!$G$55</x:f>
        <x:v>93.83324488188981</x:v>
      </x:c>
      <x:c r="L43" s="27" t="n">
        <x:f>'Source Data'!J66*G43*'Assumptions'!$F$55*'Assumptions'!$G$55</x:f>
        <x:v>89.27687244094494</x:v>
      </x:c>
      <x:c r="M43" s="27" t="n">
        <x:f>SUMPRODUCT(H43:L43,'Source Data'!D17:H17)</x:f>
        <x:v>100.20503946850403</x:v>
      </x:c>
      <x:c r="N43" s="27" t="n">
        <x:f>SUMPRODUCT(H43:L43,'Source Data'!D18:H18)</x:f>
        <x:v>100.9097238517061</x:v>
      </x:c>
      <x:c r="O43" s="27" t="n">
        <x:f>SUMPRODUCT(H43:L43,'Source Data'!D19:H19)</x:f>
        <x:v>99.6668077755906</x:v>
      </x:c>
      <x:c r="P43" s="27" t="n">
        <x:f>SUMPRODUCT(H43:L43,'Source Data'!D20:H20)</x:f>
        <x:v>97.82463001968512</x:v>
      </x:c>
      <x:c r="Q43" s="27" t="n">
        <x:f>SUMPRODUCT(H43:L43,'Source Data'!D21:H21)</x:f>
        <x:v>95.98245226377959</x:v>
      </x:c>
      <x:c r="R43" s="27" t="n">
        <x:f>SUMPRODUCT(H43:L43,'Source Data'!D22:H22)</x:f>
        <x:v>94.1793347659668</x:v>
      </x:c>
      <x:c r="S43" s="27" t="n">
        <x:f>SUMPRODUCT(H43:L43,'Source Data'!D23:H23)</x:f>
        <x:v>92.88400062335963</x:v>
      </x:c>
      <x:c r="T43" s="27" t="n">
        <x:f>SUMPRODUCT(H43:L43,'Source Data'!D24:H24)</x:f>
        <x:v>91.74490751312342</x:v>
      </x:c>
      <x:c r="U43" s="3"/>
      <x:c r="V43" s="3"/>
      <x:c r="W43" s="28" t="n">
        <x:f>M43*F43</x:f>
        <x:v>6.103415188521145</x:v>
      </x:c>
      <x:c r="X43" s="28" t="n">
        <x:f>N43*F43</x:f>
        <x:v>6.146336995551629</x:v>
      </x:c>
      <x:c r="Y43" s="28" t="n">
        <x:f>O43*F43</x:f>
        <x:v>6.070631892322716</x:v>
      </x:c>
      <x:c r="Z43" s="28" t="n">
        <x:f>P43*F43</x:f>
        <x:v>5.958426201321682</x:v>
      </x:c>
      <x:c r="AA43" s="28" t="n">
        <x:f>Q43*F43</x:f>
        <x:v>5.846220510320647</x:v>
      </x:c>
      <x:c r="AB43" s="28" t="n">
        <x:f>R43*F43</x:f>
        <x:v>5.736393950885999</x:v>
      </x:c>
      <x:c r="AC43" s="28" t="n">
        <x:f>S43*F43</x:f>
        <x:v>5.65749610181441</x:v>
      </x:c>
      <x:c r="AD43" s="28" t="n">
        <x:f>T43*F43</x:f>
        <x:v>5.588114779008379</x:v>
      </x:c>
    </x:row>
    <x:row r="44" ht="19" customHeight="1">
      <x:c r="A44" s="2"/>
      <x:c r="B44" s="2"/>
      <x:c r="C44" s="45" t="n">
        <x:f>'Source Data'!C67</x:f>
        <x:v>0</x:v>
      </x:c>
      <x:c r="D44" s="45" t="n">
        <x:f>'Source Data'!D67</x:f>
        <x:v>38</x:v>
      </x:c>
      <x:c r="E44" s="45" t="n">
        <x:f>'Source Data'!E67</x:f>
        <x:v>5</x:v>
      </x:c>
      <x:c r="F44" s="27" t="n">
        <x:f>IF(D44=0,0.5,1)*EXP(-'Assumptions'!$D$21*MAX(D44-6,0))</x:f>
        <x:v>0.05565184768082394</x:v>
      </x:c>
      <x:c r="G44" s="27" t="n">
        <x:f>IF(D44/'Assumptions'!$D$19&gt;=31,0,INDEX('Source Data'!$M$29:$M$60,INT(D44/'Assumptions'!$D$19)+1)+(D44/'Assumptions'!$D$19-INT(D44/'Assumptions'!$D$19))*(INDEX('Source Data'!$M$29:$M$60,MIN(32,INT(D44/'Assumptions'!$D$19)+2))-INDEX('Source Data'!$M$29:$M$60,INT(D44/'Assumptions'!$D$19)+1)))</x:f>
        <x:v>0.007236220472440945</x:v>
      </x:c>
      <x:c r="H44" s="27" t="n">
        <x:f>'Source Data'!F67*G44*'Assumptions'!$F$55*'Assumptions'!$G$55</x:f>
        <x:v>79.44791181102363</x:v>
      </x:c>
      <x:c r="I44" s="27" t="n">
        <x:f>'Source Data'!G67*G44*'Assumptions'!$F$55*'Assumptions'!$G$55</x:f>
        <x:v>82.52258188976379</x:v>
      </x:c>
      <x:c r="J44" s="27" t="n">
        <x:f>'Source Data'!H67*G44*'Assumptions'!$F$55*'Assumptions'!$G$55</x:f>
        <x:v>73.71899606299212</x:v>
      </x:c>
      <x:c r="K44" s="27" t="n">
        <x:f>'Source Data'!I67*G44*'Assumptions'!$F$55*'Assumptions'!$G$55</x:f>
        <x:v>76.29581417322835</x:v>
      </x:c>
      <x:c r="L44" s="27" t="n">
        <x:f>'Source Data'!J67*G44*'Assumptions'!$F$55*'Assumptions'!$G$55</x:f>
        <x:v>70.74056771653542</x:v>
      </x:c>
      <x:c r="M44" s="27" t="n">
        <x:f>SUMPRODUCT(H44:L44,'Source Data'!D17:H17)</x:f>
        <x:v>76.28670859580052</x:v>
      </x:c>
      <x:c r="N44" s="27" t="n">
        <x:f>SUMPRODUCT(H44:L44,'Source Data'!D18:H18)</x:f>
        <x:v>74.24387330489938</x:v>
      </x:c>
      <x:c r="O44" s="27" t="n">
        <x:f>SUMPRODUCT(H44:L44,'Source Data'!D19:H19)</x:f>
        <x:v>74.25583316929134</x:v>
      </x:c>
      <x:c r="P44" s="27" t="n">
        <x:f>SUMPRODUCT(H44:L44,'Source Data'!D20:H20)</x:f>
        <x:v>74.9000376968504</x:v>
      </x:c>
      <x:c r="Q44" s="27" t="n">
        <x:f>SUMPRODUCT(H44:L44,'Source Data'!D21:H21)</x:f>
        <x:v>75.54424222440946</x:v>
      </x:c>
      <x:c r="R44" s="27" t="n">
        <x:f>SUMPRODUCT(H44:L44,'Source Data'!D22:H22)</x:f>
        <x:v>76.07550141076116</x:v>
      </x:c>
      <x:c r="S44" s="27" t="n">
        <x:f>SUMPRODUCT(H44:L44,'Source Data'!D23:H23)</x:f>
        <x:v>75.13847116141733</x:v>
      </x:c>
      <x:c r="T44" s="27" t="n">
        <x:f>SUMPRODUCT(H44:L44,'Source Data'!D24:H24)</x:f>
        <x:v>73.74965954724411</x:v>
      </x:c>
      <x:c r="U44" s="3"/>
      <x:c r="V44" s="3"/>
      <x:c r="W44" s="28" t="n">
        <x:f>M44*F44</x:f>
        <x:v>4.245496286844893</x:v>
      </x:c>
      <x:c r="X44" s="28" t="n">
        <x:f>N44*F44</x:f>
        <x:v>4.131808728398651</x:v>
      </x:c>
      <x:c r="Y44" s="28" t="n">
        <x:f>O44*F44</x:f>
        <x:v>4.132474316950075</x:v>
      </x:c>
      <x:c r="Z44" s="28" t="n">
        <x:f>P44*F44</x:f>
        <x:v>4.16832548919309</x:v>
      </x:c>
      <x:c r="AA44" s="28" t="n">
        <x:f>Q44*F44</x:f>
        <x:v>4.204176661436104</x:v>
      </x:c>
      <x:c r="AB44" s="28" t="n">
        <x:f>R44*F44</x:f>
        <x:v>4.2337422167539875</x:v>
      </x:c>
      <x:c r="AC44" s="28" t="n">
        <x:f>S44*F44</x:f>
        <x:v>4.1815947520451795</x:v>
      </x:c>
      <x:c r="AD44" s="28" t="n">
        <x:f>T44*F44</x:f>
        <x:v>4.1043048196358525</x:v>
      </x:c>
    </x:row>
    <x:row r="45" ht="19" customHeight="1">
      <x:c r="A45" s="2"/>
      <x:c r="B45" s="2"/>
      <x:c r="C45" s="45" t="n">
        <x:f>'Source Data'!C68</x:f>
        <x:v>0</x:v>
      </x:c>
      <x:c r="D45" s="45" t="n">
        <x:f>'Source Data'!D68</x:f>
        <x:v>39</x:v>
      </x:c>
      <x:c r="E45" s="45" t="n">
        <x:f>'Source Data'!E68</x:f>
        <x:v>5</x:v>
      </x:c>
      <x:c r="F45" s="27" t="n">
        <x:f>IF(D45=0,0.5,1)*EXP(-'Assumptions'!$D$21*MAX(D45-6,0))</x:f>
        <x:v>0.05084822823826022</x:v>
      </x:c>
      <x:c r="G45" s="27" t="n">
        <x:f>IF(D45/'Assumptions'!$D$19&gt;=31,0,INDEX('Source Data'!$M$29:$M$60,INT(D45/'Assumptions'!$D$19)+1)+(D45/'Assumptions'!$D$19-INT(D45/'Assumptions'!$D$19))*(INDEX('Source Data'!$M$29:$M$60,MIN(32,INT(D45/'Assumptions'!$D$19)+2))-INDEX('Source Data'!$M$29:$M$60,INT(D45/'Assumptions'!$D$19)+1)))</x:f>
        <x:v>0.003456692913385833</x:v>
      </x:c>
      <x:c r="H45" s="27" t="n">
        <x:f>'Source Data'!F68*G45*'Assumptions'!$F$55*'Assumptions'!$G$55</x:f>
        <x:v>35.68586062992133</x:v>
      </x:c>
      <x:c r="I45" s="27" t="n">
        <x:f>'Source Data'!G68*G45*'Assumptions'!$F$55*'Assumptions'!$G$55</x:f>
        <x:v>37.95172283464574</x:v>
      </x:c>
      <x:c r="J45" s="27" t="n">
        <x:f>'Source Data'!H68*G45*'Assumptions'!$F$55*'Assumptions'!$G$55</x:f>
        <x:v>39.42047165354338</x:v>
      </x:c>
      <x:c r="K45" s="27" t="n">
        <x:f>'Source Data'!I68*G45*'Assumptions'!$F$55*'Assumptions'!$G$55</x:f>
        <x:v>35.215059055118175</x:v>
      </x:c>
      <x:c r="L45" s="27" t="n">
        <x:f>'Source Data'!J68*G45*'Assumptions'!$F$55*'Assumptions'!$G$55</x:f>
        <x:v>36.44598740157487</x:v>
      </x:c>
      <x:c r="M45" s="27" t="n">
        <x:f>SUMPRODUCT(H45:L45,'Source Data'!D17:H17)</x:f>
        <x:v>38.99208658136491</x:v>
      </x:c>
      <x:c r="N45" s="27" t="n">
        <x:f>SUMPRODUCT(H45:L45,'Source Data'!D18:H18)</x:f>
        <x:v>39.280465988626496</x:v>
      </x:c>
      <x:c r="O45" s="27" t="n">
        <x:f>SUMPRODUCT(H45:L45,'Source Data'!D19:H19)</x:f>
        <x:v>38.54434402887146</x:v>
      </x:c>
      <x:c r="P45" s="27" t="n">
        <x:f>SUMPRODUCT(H45:L45,'Source Data'!D20:H20)</x:f>
        <x:v>37.492990879265164</x:v>
      </x:c>
      <x:c r="Q45" s="27" t="n">
        <x:f>SUMPRODUCT(H45:L45,'Source Data'!D21:H21)</x:f>
        <x:v>36.441637729658865</x:v>
      </x:c>
      <x:c r="R45" s="27" t="n">
        <x:f>SUMPRODUCT(H45:L45,'Source Data'!D22:H22)</x:f>
        <x:v>35.46578931539814</x:v>
      </x:c>
      <x:c r="S45" s="27" t="n">
        <x:f>SUMPRODUCT(H45:L45,'Source Data'!D23:H23)</x:f>
        <x:v>35.471502460629985</x:v>
      </x:c>
      <x:c r="T45" s="27" t="n">
        <x:f>SUMPRODUCT(H45:L45,'Source Data'!D24:H24)</x:f>
        <x:v>35.779234547244165</x:v>
      </x:c>
      <x:c r="U45" s="3"/>
      <x:c r="V45" s="3"/>
      <x:c r="W45" s="28" t="n">
        <x:f>M45*F45</x:f>
        <x:v>1.9826785179752466</x:v>
      </x:c>
      <x:c r="X45" s="28" t="n">
        <x:f>N45*F45</x:f>
        <x:v>1.9973420998948979</x:v>
      </x:c>
      <x:c r="Y45" s="28" t="n">
        <x:f>O45*F45</x:f>
        <x:v>1.9599116024740784</x:v>
      </x:c>
      <x:c r="Z45" s="28" t="n">
        <x:f>P45*F45</x:f>
        <x:v>1.9064521575638838</x:v>
      </x:c>
      <x:c r="AA45" s="28" t="n">
        <x:f>Q45*F45</x:f>
        <x:v>1.852992712653689</x:v>
      </x:c>
      <x:c r="AB45" s="28" t="n">
        <x:f>R45*F45</x:f>
        <x:v>1.8033725497594153</x:v>
      </x:c>
      <x:c r="AC45" s="28" t="n">
        <x:f>S45*F45</x:f>
        <x:v>1.8036630530721225</x:v>
      </x:c>
      <x:c r="AD45" s="28" t="n">
        <x:f>T45*F45</x:f>
        <x:v>1.8193106844485163</x:v>
      </x:c>
    </x:row>
    <x:row r="46" ht="19" customHeight="1">
      <x:c r="A46" s="2"/>
      <x:c r="B46" s="2"/>
      <x:c r="C46" s="45" t="n">
        <x:f>'Source Data'!C69</x:f>
        <x:v>0</x:v>
      </x:c>
      <x:c r="D46" s="45" t="n">
        <x:f>'Source Data'!D69</x:f>
        <x:v>40</x:v>
      </x:c>
      <x:c r="E46" s="45" t="n">
        <x:f>'Source Data'!E69</x:f>
        <x:v>5</x:v>
      </x:c>
      <x:c r="F46" s="27" t="n">
        <x:f>IF(D46=0,0.5,1)*EXP(-'Assumptions'!$D$21*MAX(D46-6,0))</x:f>
        <x:v>0.04645923581547334</x:v>
      </x:c>
      <x:c r="G46" s="27" t="n">
        <x:f>IF(D46/'Assumptions'!$D$19&gt;=31,0,INDEX('Source Data'!$M$29:$M$60,INT(D46/'Assumptions'!$D$19)+1)+(D46/'Assumptions'!$D$19-INT(D46/'Assumptions'!$D$19))*(INDEX('Source Data'!$M$29:$M$60,MIN(32,INT(D46/'Assumptions'!$D$19)+2))-INDEX('Source Data'!$M$29:$M$60,INT(D46/'Assumptions'!$D$19)+1)))</x:f>
        <x:v>0</x:v>
      </x:c>
      <x:c r="H46" s="27" t="n">
        <x:f>'Source Data'!F69*G46*'Assumptions'!$F$55*'Assumptions'!$G$55</x:f>
        <x:v>0</x:v>
      </x:c>
      <x:c r="I46" s="27" t="n">
        <x:f>'Source Data'!G69*G46*'Assumptions'!$F$55*'Assumptions'!$G$55</x:f>
        <x:v>0</x:v>
      </x:c>
      <x:c r="J46" s="27" t="n">
        <x:f>'Source Data'!H69*G46*'Assumptions'!$F$55*'Assumptions'!$G$55</x:f>
        <x:v>0</x:v>
      </x:c>
      <x:c r="K46" s="27" t="n">
        <x:f>'Source Data'!I69*G46*'Assumptions'!$F$55*'Assumptions'!$G$55</x:f>
        <x:v>0</x:v>
      </x:c>
      <x:c r="L46" s="27" t="n">
        <x:f>'Source Data'!J69*G46*'Assumptions'!$F$55*'Assumptions'!$G$55</x:f>
        <x:v>0</x:v>
      </x:c>
      <x:c r="M46" s="27" t="n">
        <x:f>SUMPRODUCT(H46:L46,'Source Data'!D17:H17)</x:f>
        <x:v>0</x:v>
      </x:c>
      <x:c r="N46" s="27" t="n">
        <x:f>SUMPRODUCT(H46:L46,'Source Data'!D18:H18)</x:f>
        <x:v>0</x:v>
      </x:c>
      <x:c r="O46" s="27" t="n">
        <x:f>SUMPRODUCT(H46:L46,'Source Data'!D19:H19)</x:f>
        <x:v>0</x:v>
      </x:c>
      <x:c r="P46" s="27" t="n">
        <x:f>SUMPRODUCT(H46:L46,'Source Data'!D20:H20)</x:f>
        <x:v>0</x:v>
      </x:c>
      <x:c r="Q46" s="27" t="n">
        <x:f>SUMPRODUCT(H46:L46,'Source Data'!D21:H21)</x:f>
        <x:v>0</x:v>
      </x:c>
      <x:c r="R46" s="27" t="n">
        <x:f>SUMPRODUCT(H46:L46,'Source Data'!D22:H22)</x:f>
        <x:v>0</x:v>
      </x:c>
      <x:c r="S46" s="27" t="n">
        <x:f>SUMPRODUCT(H46:L46,'Source Data'!D23:H23)</x:f>
        <x:v>0</x:v>
      </x:c>
      <x:c r="T46" s="27" t="n">
        <x:f>SUMPRODUCT(H46:L46,'Source Data'!D24:H24)</x:f>
        <x:v>0</x:v>
      </x:c>
      <x:c r="U46" s="3"/>
      <x:c r="V46" s="3"/>
      <x:c r="W46" s="28" t="n">
        <x:f>M46*F46</x:f>
        <x:v>0</x:v>
      </x:c>
      <x:c r="X46" s="28" t="n">
        <x:f>N46*F46</x:f>
        <x:v>0</x:v>
      </x:c>
      <x:c r="Y46" s="28" t="n">
        <x:f>O46*F46</x:f>
        <x:v>0</x:v>
      </x:c>
      <x:c r="Z46" s="28" t="n">
        <x:f>P46*F46</x:f>
        <x:v>0</x:v>
      </x:c>
      <x:c r="AA46" s="28" t="n">
        <x:f>Q46*F46</x:f>
        <x:v>0</x:v>
      </x:c>
      <x:c r="AB46" s="28" t="n">
        <x:f>R46*F46</x:f>
        <x:v>0</x:v>
      </x:c>
      <x:c r="AC46" s="28" t="n">
        <x:f>S46*F46</x:f>
        <x:v>0</x:v>
      </x:c>
      <x:c r="AD46" s="28" t="n">
        <x:f>T46*F46</x:f>
        <x:v>0</x:v>
      </x:c>
    </x:row>
    <x:row r="47" ht="19" customHeight="1">
      <x:c r="A47" s="2"/>
      <x:c r="B47" s="2"/>
      <x:c r="C47" s="45" t="n">
        <x:f>'Source Data'!C70</x:f>
        <x:v>0</x:v>
      </x:c>
      <x:c r="D47" s="45" t="n">
        <x:f>'Source Data'!D70</x:f>
        <x:v>41</x:v>
      </x:c>
      <x:c r="E47" s="45" t="n">
        <x:f>'Source Data'!E70</x:f>
        <x:v>5</x:v>
      </x:c>
      <x:c r="F47" s="27" t="n">
        <x:f>IF(D47=0,0.5,1)*EXP(-'Assumptions'!$D$21*MAX(D47-6,0))</x:f>
        <x:v>0.0424490816561756</x:v>
      </x:c>
      <x:c r="G47" s="27" t="n">
        <x:f>IF(D47/'Assumptions'!$D$19&gt;=31,0,INDEX('Source Data'!$M$29:$M$60,INT(D47/'Assumptions'!$D$19)+1)+(D47/'Assumptions'!$D$19-INT(D47/'Assumptions'!$D$19))*(INDEX('Source Data'!$M$29:$M$60,MIN(32,INT(D47/'Assumptions'!$D$19)+2))-INDEX('Source Data'!$M$29:$M$60,INT(D47/'Assumptions'!$D$19)+1)))</x:f>
        <x:v>0</x:v>
      </x:c>
      <x:c r="H47" s="27" t="n">
        <x:f>'Source Data'!F70*G47*'Assumptions'!$F$55*'Assumptions'!$G$55</x:f>
        <x:v>0</x:v>
      </x:c>
      <x:c r="I47" s="27" t="n">
        <x:f>'Source Data'!G70*G47*'Assumptions'!$F$55*'Assumptions'!$G$55</x:f>
        <x:v>0</x:v>
      </x:c>
      <x:c r="J47" s="27" t="n">
        <x:f>'Source Data'!H70*G47*'Assumptions'!$F$55*'Assumptions'!$G$55</x:f>
        <x:v>0</x:v>
      </x:c>
      <x:c r="K47" s="27" t="n">
        <x:f>'Source Data'!I70*G47*'Assumptions'!$F$55*'Assumptions'!$G$55</x:f>
        <x:v>0</x:v>
      </x:c>
      <x:c r="L47" s="27" t="n">
        <x:f>'Source Data'!J70*G47*'Assumptions'!$F$55*'Assumptions'!$G$55</x:f>
        <x:v>0</x:v>
      </x:c>
      <x:c r="M47" s="27" t="n">
        <x:f>SUMPRODUCT(H47:L47,'Source Data'!D17:H17)</x:f>
        <x:v>0</x:v>
      </x:c>
      <x:c r="N47" s="27" t="n">
        <x:f>SUMPRODUCT(H47:L47,'Source Data'!D18:H18)</x:f>
        <x:v>0</x:v>
      </x:c>
      <x:c r="O47" s="27" t="n">
        <x:f>SUMPRODUCT(H47:L47,'Source Data'!D19:H19)</x:f>
        <x:v>0</x:v>
      </x:c>
      <x:c r="P47" s="27" t="n">
        <x:f>SUMPRODUCT(H47:L47,'Source Data'!D20:H20)</x:f>
        <x:v>0</x:v>
      </x:c>
      <x:c r="Q47" s="27" t="n">
        <x:f>SUMPRODUCT(H47:L47,'Source Data'!D21:H21)</x:f>
        <x:v>0</x:v>
      </x:c>
      <x:c r="R47" s="27" t="n">
        <x:f>SUMPRODUCT(H47:L47,'Source Data'!D22:H22)</x:f>
        <x:v>0</x:v>
      </x:c>
      <x:c r="S47" s="27" t="n">
        <x:f>SUMPRODUCT(H47:L47,'Source Data'!D23:H23)</x:f>
        <x:v>0</x:v>
      </x:c>
      <x:c r="T47" s="27" t="n">
        <x:f>SUMPRODUCT(H47:L47,'Source Data'!D24:H24)</x:f>
        <x:v>0</x:v>
      </x:c>
      <x:c r="U47" s="3"/>
      <x:c r="V47" s="3"/>
      <x:c r="W47" s="28" t="n">
        <x:f>M47*F47</x:f>
        <x:v>0</x:v>
      </x:c>
      <x:c r="X47" s="28" t="n">
        <x:f>N47*F47</x:f>
        <x:v>0</x:v>
      </x:c>
      <x:c r="Y47" s="28" t="n">
        <x:f>O47*F47</x:f>
        <x:v>0</x:v>
      </x:c>
      <x:c r="Z47" s="28" t="n">
        <x:f>P47*F47</x:f>
        <x:v>0</x:v>
      </x:c>
      <x:c r="AA47" s="28" t="n">
        <x:f>Q47*F47</x:f>
        <x:v>0</x:v>
      </x:c>
      <x:c r="AB47" s="28" t="n">
        <x:f>R47*F47</x:f>
        <x:v>0</x:v>
      </x:c>
      <x:c r="AC47" s="28" t="n">
        <x:f>S47*F47</x:f>
        <x:v>0</x:v>
      </x:c>
      <x:c r="AD47" s="28" t="n">
        <x:f>T47*F47</x:f>
        <x:v>0</x:v>
      </x:c>
    </x:row>
    <x:row r="48" ht="19" customHeight="1">
      <x:c r="A48" s="2"/>
      <x:c r="B48" s="2"/>
      <x:c r="C48" s="45" t="n">
        <x:f>'Source Data'!C71</x:f>
        <x:v>0</x:v>
      </x:c>
      <x:c r="D48" s="45" t="n">
        <x:f>'Source Data'!D71</x:f>
        <x:v>42</x:v>
      </x:c>
      <x:c r="E48" s="45" t="n">
        <x:f>'Source Data'!E71</x:f>
        <x:v>5</x:v>
      </x:c>
      <x:c r="F48" s="27" t="n">
        <x:f>IF(D48=0,0.5,1)*EXP(-'Assumptions'!$D$21*MAX(D48-6,0))</x:f>
        <x:v>0.038785066130005715</x:v>
      </x:c>
      <x:c r="G48" s="27" t="n">
        <x:f>IF(D48/'Assumptions'!$D$19&gt;=31,0,INDEX('Source Data'!$M$29:$M$60,INT(D48/'Assumptions'!$D$19)+1)+(D48/'Assumptions'!$D$19-INT(D48/'Assumptions'!$D$19))*(INDEX('Source Data'!$M$29:$M$60,MIN(32,INT(D48/'Assumptions'!$D$19)+2))-INDEX('Source Data'!$M$29:$M$60,INT(D48/'Assumptions'!$D$19)+1)))</x:f>
        <x:v>0</x:v>
      </x:c>
      <x:c r="H48" s="27" t="n">
        <x:f>'Source Data'!F71*G48*'Assumptions'!$F$55*'Assumptions'!$G$55</x:f>
        <x:v>0</x:v>
      </x:c>
      <x:c r="I48" s="27" t="n">
        <x:f>'Source Data'!G71*G48*'Assumptions'!$F$55*'Assumptions'!$G$55</x:f>
        <x:v>0</x:v>
      </x:c>
      <x:c r="J48" s="27" t="n">
        <x:f>'Source Data'!H71*G48*'Assumptions'!$F$55*'Assumptions'!$G$55</x:f>
        <x:v>0</x:v>
      </x:c>
      <x:c r="K48" s="27" t="n">
        <x:f>'Source Data'!I71*G48*'Assumptions'!$F$55*'Assumptions'!$G$55</x:f>
        <x:v>0</x:v>
      </x:c>
      <x:c r="L48" s="27" t="n">
        <x:f>'Source Data'!J71*G48*'Assumptions'!$F$55*'Assumptions'!$G$55</x:f>
        <x:v>0</x:v>
      </x:c>
      <x:c r="M48" s="27" t="n">
        <x:f>SUMPRODUCT(H48:L48,'Source Data'!D17:H17)</x:f>
        <x:v>0</x:v>
      </x:c>
      <x:c r="N48" s="27" t="n">
        <x:f>SUMPRODUCT(H48:L48,'Source Data'!D18:H18)</x:f>
        <x:v>0</x:v>
      </x:c>
      <x:c r="O48" s="27" t="n">
        <x:f>SUMPRODUCT(H48:L48,'Source Data'!D19:H19)</x:f>
        <x:v>0</x:v>
      </x:c>
      <x:c r="P48" s="27" t="n">
        <x:f>SUMPRODUCT(H48:L48,'Source Data'!D20:H20)</x:f>
        <x:v>0</x:v>
      </x:c>
      <x:c r="Q48" s="27" t="n">
        <x:f>SUMPRODUCT(H48:L48,'Source Data'!D21:H21)</x:f>
        <x:v>0</x:v>
      </x:c>
      <x:c r="R48" s="27" t="n">
        <x:f>SUMPRODUCT(H48:L48,'Source Data'!D22:H22)</x:f>
        <x:v>0</x:v>
      </x:c>
      <x:c r="S48" s="27" t="n">
        <x:f>SUMPRODUCT(H48:L48,'Source Data'!D23:H23)</x:f>
        <x:v>0</x:v>
      </x:c>
      <x:c r="T48" s="27" t="n">
        <x:f>SUMPRODUCT(H48:L48,'Source Data'!D24:H24)</x:f>
        <x:v>0</x:v>
      </x:c>
      <x:c r="U48" s="3"/>
      <x:c r="V48" s="3"/>
      <x:c r="W48" s="28" t="n">
        <x:f>M48*F48</x:f>
        <x:v>0</x:v>
      </x:c>
      <x:c r="X48" s="28" t="n">
        <x:f>N48*F48</x:f>
        <x:v>0</x:v>
      </x:c>
      <x:c r="Y48" s="28" t="n">
        <x:f>O48*F48</x:f>
        <x:v>0</x:v>
      </x:c>
      <x:c r="Z48" s="28" t="n">
        <x:f>P48*F48</x:f>
        <x:v>0</x:v>
      </x:c>
      <x:c r="AA48" s="28" t="n">
        <x:f>Q48*F48</x:f>
        <x:v>0</x:v>
      </x:c>
      <x:c r="AB48" s="28" t="n">
        <x:f>R48*F48</x:f>
        <x:v>0</x:v>
      </x:c>
      <x:c r="AC48" s="28" t="n">
        <x:f>S48*F48</x:f>
        <x:v>0</x:v>
      </x:c>
      <x:c r="AD48" s="28" t="n">
        <x:f>T48*F48</x:f>
        <x:v>0</x:v>
      </x:c>
    </x:row>
    <x:row r="49" ht="19" customHeight="1">
      <x:c r="A49" s="2"/>
      <x:c r="B49" s="2"/>
      <x:c r="C49" s="45" t="n">
        <x:f>'Source Data'!C72</x:f>
        <x:v>0</x:v>
      </x:c>
      <x:c r="D49" s="45" t="n">
        <x:f>'Source Data'!D72</x:f>
        <x:v>43</x:v>
      </x:c>
      <x:c r="E49" s="45" t="n">
        <x:f>'Source Data'!E72</x:f>
        <x:v>5</x:v>
      </x:c>
      <x:c r="F49" s="27" t="n">
        <x:f>IF(D49=0,0.5,1)*EXP(-'Assumptions'!$D$21*MAX(D49-6,0))</x:f>
        <x:v>0.0354373120929477</x:v>
      </x:c>
      <x:c r="G49" s="27" t="n">
        <x:f>IF(D49/'Assumptions'!$D$19&gt;=31,0,INDEX('Source Data'!$M$29:$M$60,INT(D49/'Assumptions'!$D$19)+1)+(D49/'Assumptions'!$D$19-INT(D49/'Assumptions'!$D$19))*(INDEX('Source Data'!$M$29:$M$60,MIN(32,INT(D49/'Assumptions'!$D$19)+2))-INDEX('Source Data'!$M$29:$M$60,INT(D49/'Assumptions'!$D$19)+1)))</x:f>
        <x:v>0</x:v>
      </x:c>
      <x:c r="H49" s="27" t="n">
        <x:f>'Source Data'!F72*G49*'Assumptions'!$F$55*'Assumptions'!$G$55</x:f>
        <x:v>0</x:v>
      </x:c>
      <x:c r="I49" s="27" t="n">
        <x:f>'Source Data'!G72*G49*'Assumptions'!$F$55*'Assumptions'!$G$55</x:f>
        <x:v>0</x:v>
      </x:c>
      <x:c r="J49" s="27" t="n">
        <x:f>'Source Data'!H72*G49*'Assumptions'!$F$55*'Assumptions'!$G$55</x:f>
        <x:v>0</x:v>
      </x:c>
      <x:c r="K49" s="27" t="n">
        <x:f>'Source Data'!I72*G49*'Assumptions'!$F$55*'Assumptions'!$G$55</x:f>
        <x:v>0</x:v>
      </x:c>
      <x:c r="L49" s="27" t="n">
        <x:f>'Source Data'!J72*G49*'Assumptions'!$F$55*'Assumptions'!$G$55</x:f>
        <x:v>0</x:v>
      </x:c>
      <x:c r="M49" s="27" t="n">
        <x:f>SUMPRODUCT(H49:L49,'Source Data'!D17:H17)</x:f>
        <x:v>0</x:v>
      </x:c>
      <x:c r="N49" s="27" t="n">
        <x:f>SUMPRODUCT(H49:L49,'Source Data'!D18:H18)</x:f>
        <x:v>0</x:v>
      </x:c>
      <x:c r="O49" s="27" t="n">
        <x:f>SUMPRODUCT(H49:L49,'Source Data'!D19:H19)</x:f>
        <x:v>0</x:v>
      </x:c>
      <x:c r="P49" s="27" t="n">
        <x:f>SUMPRODUCT(H49:L49,'Source Data'!D20:H20)</x:f>
        <x:v>0</x:v>
      </x:c>
      <x:c r="Q49" s="27" t="n">
        <x:f>SUMPRODUCT(H49:L49,'Source Data'!D21:H21)</x:f>
        <x:v>0</x:v>
      </x:c>
      <x:c r="R49" s="27" t="n">
        <x:f>SUMPRODUCT(H49:L49,'Source Data'!D22:H22)</x:f>
        <x:v>0</x:v>
      </x:c>
      <x:c r="S49" s="27" t="n">
        <x:f>SUMPRODUCT(H49:L49,'Source Data'!D23:H23)</x:f>
        <x:v>0</x:v>
      </x:c>
      <x:c r="T49" s="27" t="n">
        <x:f>SUMPRODUCT(H49:L49,'Source Data'!D24:H24)</x:f>
        <x:v>0</x:v>
      </x:c>
      <x:c r="U49" s="3"/>
      <x:c r="V49" s="3"/>
      <x:c r="W49" s="28" t="n">
        <x:f>M49*F49</x:f>
        <x:v>0</x:v>
      </x:c>
      <x:c r="X49" s="28" t="n">
        <x:f>N49*F49</x:f>
        <x:v>0</x:v>
      </x:c>
      <x:c r="Y49" s="28" t="n">
        <x:f>O49*F49</x:f>
        <x:v>0</x:v>
      </x:c>
      <x:c r="Z49" s="28" t="n">
        <x:f>P49*F49</x:f>
        <x:v>0</x:v>
      </x:c>
      <x:c r="AA49" s="28" t="n">
        <x:f>Q49*F49</x:f>
        <x:v>0</x:v>
      </x:c>
      <x:c r="AB49" s="28" t="n">
        <x:f>R49*F49</x:f>
        <x:v>0</x:v>
      </x:c>
      <x:c r="AC49" s="28" t="n">
        <x:f>S49*F49</x:f>
        <x:v>0</x:v>
      </x:c>
      <x:c r="AD49" s="28" t="n">
        <x:f>T49*F49</x:f>
        <x:v>0</x:v>
      </x:c>
    </x:row>
    <x:row r="50" ht="19" customHeight="1">
      <x:c r="A50" s="2"/>
      <x:c r="B50" s="2"/>
      <x:c r="C50" s="45" t="n">
        <x:f>'Source Data'!C73</x:f>
        <x:v>0</x:v>
      </x:c>
      <x:c r="D50" s="45" t="n">
        <x:f>'Source Data'!D73</x:f>
        <x:v>44</x:v>
      </x:c>
      <x:c r="E50" s="45" t="n">
        <x:f>'Source Data'!E73</x:f>
        <x:v>5</x:v>
      </x:c>
      <x:c r="F50" s="27" t="n">
        <x:f>IF(D50=0,0.5,1)*EXP(-'Assumptions'!$D$21*MAX(D50-6,0))</x:f>
        <x:v>0.032378521262889814</x:v>
      </x:c>
      <x:c r="G50" s="27" t="n">
        <x:f>IF(D50/'Assumptions'!$D$19&gt;=31,0,INDEX('Source Data'!$M$29:$M$60,INT(D50/'Assumptions'!$D$19)+1)+(D50/'Assumptions'!$D$19-INT(D50/'Assumptions'!$D$19))*(INDEX('Source Data'!$M$29:$M$60,MIN(32,INT(D50/'Assumptions'!$D$19)+2))-INDEX('Source Data'!$M$29:$M$60,INT(D50/'Assumptions'!$D$19)+1)))</x:f>
        <x:v>0</x:v>
      </x:c>
      <x:c r="H50" s="27" t="n">
        <x:f>'Source Data'!F73*G50*'Assumptions'!$F$55*'Assumptions'!$G$55</x:f>
        <x:v>0</x:v>
      </x:c>
      <x:c r="I50" s="27" t="n">
        <x:f>'Source Data'!G73*G50*'Assumptions'!$F$55*'Assumptions'!$G$55</x:f>
        <x:v>0</x:v>
      </x:c>
      <x:c r="J50" s="27" t="n">
        <x:f>'Source Data'!H73*G50*'Assumptions'!$F$55*'Assumptions'!$G$55</x:f>
        <x:v>0</x:v>
      </x:c>
      <x:c r="K50" s="27" t="n">
        <x:f>'Source Data'!I73*G50*'Assumptions'!$F$55*'Assumptions'!$G$55</x:f>
        <x:v>0</x:v>
      </x:c>
      <x:c r="L50" s="27" t="n">
        <x:f>'Source Data'!J73*G50*'Assumptions'!$F$55*'Assumptions'!$G$55</x:f>
        <x:v>0</x:v>
      </x:c>
      <x:c r="M50" s="27" t="n">
        <x:f>SUMPRODUCT(H50:L50,'Source Data'!D17:H17)</x:f>
        <x:v>0</x:v>
      </x:c>
      <x:c r="N50" s="27" t="n">
        <x:f>SUMPRODUCT(H50:L50,'Source Data'!D18:H18)</x:f>
        <x:v>0</x:v>
      </x:c>
      <x:c r="O50" s="27" t="n">
        <x:f>SUMPRODUCT(H50:L50,'Source Data'!D19:H19)</x:f>
        <x:v>0</x:v>
      </x:c>
      <x:c r="P50" s="27" t="n">
        <x:f>SUMPRODUCT(H50:L50,'Source Data'!D20:H20)</x:f>
        <x:v>0</x:v>
      </x:c>
      <x:c r="Q50" s="27" t="n">
        <x:f>SUMPRODUCT(H50:L50,'Source Data'!D21:H21)</x:f>
        <x:v>0</x:v>
      </x:c>
      <x:c r="R50" s="27" t="n">
        <x:f>SUMPRODUCT(H50:L50,'Source Data'!D22:H22)</x:f>
        <x:v>0</x:v>
      </x:c>
      <x:c r="S50" s="27" t="n">
        <x:f>SUMPRODUCT(H50:L50,'Source Data'!D23:H23)</x:f>
        <x:v>0</x:v>
      </x:c>
      <x:c r="T50" s="27" t="n">
        <x:f>SUMPRODUCT(H50:L50,'Source Data'!D24:H24)</x:f>
        <x:v>0</x:v>
      </x:c>
      <x:c r="U50" s="3"/>
      <x:c r="V50" s="3"/>
      <x:c r="W50" s="28" t="n">
        <x:f>M50*F50</x:f>
        <x:v>0</x:v>
      </x:c>
      <x:c r="X50" s="28" t="n">
        <x:f>N50*F50</x:f>
        <x:v>0</x:v>
      </x:c>
      <x:c r="Y50" s="28" t="n">
        <x:f>O50*F50</x:f>
        <x:v>0</x:v>
      </x:c>
      <x:c r="Z50" s="28" t="n">
        <x:f>P50*F50</x:f>
        <x:v>0</x:v>
      </x:c>
      <x:c r="AA50" s="28" t="n">
        <x:f>Q50*F50</x:f>
        <x:v>0</x:v>
      </x:c>
      <x:c r="AB50" s="28" t="n">
        <x:f>R50*F50</x:f>
        <x:v>0</x:v>
      </x:c>
      <x:c r="AC50" s="28" t="n">
        <x:f>S50*F50</x:f>
        <x:v>0</x:v>
      </x:c>
      <x:c r="AD50" s="28" t="n">
        <x:f>T50*F50</x:f>
        <x:v>0</x:v>
      </x:c>
    </x:row>
    <x:row r="51" ht="19" customHeight="1">
      <x:c r="A51" s="2"/>
      <x:c r="B51" s="2"/>
      <x:c r="C51" s="45" t="n">
        <x:f>'Source Data'!C74</x:f>
        <x:v>0</x:v>
      </x:c>
      <x:c r="D51" s="45" t="n">
        <x:f>'Source Data'!D74</x:f>
        <x:v>45</x:v>
      </x:c>
      <x:c r="E51" s="45" t="n">
        <x:f>'Source Data'!E74</x:f>
        <x:v>5</x:v>
      </x:c>
      <x:c r="F51" s="27" t="n">
        <x:f>IF(D51=0,0.5,1)*EXP(-'Assumptions'!$D$21*MAX(D51-6,0))</x:f>
        <x:v>0.02958375162375934</x:v>
      </x:c>
      <x:c r="G51" s="27" t="n">
        <x:f>IF(D51/'Assumptions'!$D$19&gt;=31,0,INDEX('Source Data'!$M$29:$M$60,INT(D51/'Assumptions'!$D$19)+1)+(D51/'Assumptions'!$D$19-INT(D51/'Assumptions'!$D$19))*(INDEX('Source Data'!$M$29:$M$60,MIN(32,INT(D51/'Assumptions'!$D$19)+2))-INDEX('Source Data'!$M$29:$M$60,INT(D51/'Assumptions'!$D$19)+1)))</x:f>
        <x:v>0</x:v>
      </x:c>
      <x:c r="H51" s="27" t="n">
        <x:f>'Source Data'!F74*G51*'Assumptions'!$F$55*'Assumptions'!$G$55</x:f>
        <x:v>0</x:v>
      </x:c>
      <x:c r="I51" s="27" t="n">
        <x:f>'Source Data'!G74*G51*'Assumptions'!$F$55*'Assumptions'!$G$55</x:f>
        <x:v>0</x:v>
      </x:c>
      <x:c r="J51" s="27" t="n">
        <x:f>'Source Data'!H74*G51*'Assumptions'!$F$55*'Assumptions'!$G$55</x:f>
        <x:v>0</x:v>
      </x:c>
      <x:c r="K51" s="27" t="n">
        <x:f>'Source Data'!I74*G51*'Assumptions'!$F$55*'Assumptions'!$G$55</x:f>
        <x:v>0</x:v>
      </x:c>
      <x:c r="L51" s="27" t="n">
        <x:f>'Source Data'!J74*G51*'Assumptions'!$F$55*'Assumptions'!$G$55</x:f>
        <x:v>0</x:v>
      </x:c>
      <x:c r="M51" s="27" t="n">
        <x:f>SUMPRODUCT(H51:L51,'Source Data'!D17:H17)</x:f>
        <x:v>0</x:v>
      </x:c>
      <x:c r="N51" s="27" t="n">
        <x:f>SUMPRODUCT(H51:L51,'Source Data'!D18:H18)</x:f>
        <x:v>0</x:v>
      </x:c>
      <x:c r="O51" s="27" t="n">
        <x:f>SUMPRODUCT(H51:L51,'Source Data'!D19:H19)</x:f>
        <x:v>0</x:v>
      </x:c>
      <x:c r="P51" s="27" t="n">
        <x:f>SUMPRODUCT(H51:L51,'Source Data'!D20:H20)</x:f>
        <x:v>0</x:v>
      </x:c>
      <x:c r="Q51" s="27" t="n">
        <x:f>SUMPRODUCT(H51:L51,'Source Data'!D21:H21)</x:f>
        <x:v>0</x:v>
      </x:c>
      <x:c r="R51" s="27" t="n">
        <x:f>SUMPRODUCT(H51:L51,'Source Data'!D22:H22)</x:f>
        <x:v>0</x:v>
      </x:c>
      <x:c r="S51" s="27" t="n">
        <x:f>SUMPRODUCT(H51:L51,'Source Data'!D23:H23)</x:f>
        <x:v>0</x:v>
      </x:c>
      <x:c r="T51" s="27" t="n">
        <x:f>SUMPRODUCT(H51:L51,'Source Data'!D24:H24)</x:f>
        <x:v>0</x:v>
      </x:c>
      <x:c r="U51" s="3"/>
      <x:c r="V51" s="3"/>
      <x:c r="W51" s="28" t="n">
        <x:f>M51*F51</x:f>
        <x:v>0</x:v>
      </x:c>
      <x:c r="X51" s="28" t="n">
        <x:f>N51*F51</x:f>
        <x:v>0</x:v>
      </x:c>
      <x:c r="Y51" s="28" t="n">
        <x:f>O51*F51</x:f>
        <x:v>0</x:v>
      </x:c>
      <x:c r="Z51" s="28" t="n">
        <x:f>P51*F51</x:f>
        <x:v>0</x:v>
      </x:c>
      <x:c r="AA51" s="28" t="n">
        <x:f>Q51*F51</x:f>
        <x:v>0</x:v>
      </x:c>
      <x:c r="AB51" s="28" t="n">
        <x:f>R51*F51</x:f>
        <x:v>0</x:v>
      </x:c>
      <x:c r="AC51" s="28" t="n">
        <x:f>S51*F51</x:f>
        <x:v>0</x:v>
      </x:c>
      <x:c r="AD51" s="28" t="n">
        <x:f>T51*F51</x:f>
        <x:v>0</x:v>
      </x:c>
    </x:row>
    <x:row r="52" ht="19" customHeight="1">
      <x:c r="A52" s="2"/>
      <x:c r="B52" s="2"/>
      <x:c r="C52" s="45" t="n">
        <x:f>'Source Data'!C75</x:f>
        <x:v>1</x:v>
      </x:c>
      <x:c r="D52" s="45" t="n">
        <x:f>'Source Data'!D75</x:f>
        <x:v>0</x:v>
      </x:c>
      <x:c r="E52" s="45" t="n">
        <x:f>'Source Data'!E75</x:f>
        <x:v>0</x:v>
      </x:c>
      <x:c r="F52" s="27" t="n">
        <x:f>IF(D52=0,0.5,1)*EXP(-'Assumptions'!$D$21*MAX(D52-6,0))</x:f>
        <x:v>0.5</x:v>
      </x:c>
      <x:c r="G52" s="27" t="n">
        <x:f>IF(D52/'Assumptions'!$D$20&gt;=31,0,INDEX('Source Data'!$N$29:$N$60,INT(D52/'Assumptions'!$D$20)+1)+(D52/'Assumptions'!$D$20-INT(D52/'Assumptions'!$D$20))*(INDEX('Source Data'!$N$29:$N$60,MIN(32,INT(D52/'Assumptions'!$D$20)+2))-INDEX('Source Data'!$N$29:$N$60,INT(D52/'Assumptions'!$D$20)+1)))</x:f>
        <x:v>1</x:v>
      </x:c>
      <x:c r="H52" s="27" t="n">
        <x:f>'Source Data'!F75*G52*'Assumptions'!$F$56*'Assumptions'!$G$56</x:f>
        <x:v>8674.709026548673</x:v>
      </x:c>
      <x:c r="I52" s="27" t="n">
        <x:f>'Source Data'!G75*G52*'Assumptions'!$F$56*'Assumptions'!$G$56</x:f>
        <x:v>9016.604070796462</x:v>
      </x:c>
      <x:c r="J52" s="27" t="n">
        <x:f>'Source Data'!H75*G52*'Assumptions'!$F$56*'Assumptions'!$G$56</x:f>
        <x:v>9476.13185840708</x:v>
      </x:c>
      <x:c r="K52" s="27" t="n">
        <x:f>'Source Data'!I75*G52*'Assumptions'!$F$56*'Assumptions'!$G$56</x:f>
        <x:v>9476.13185840708</x:v>
      </x:c>
      <x:c r="L52" s="27" t="n">
        <x:f>'Source Data'!J75*G52*'Assumptions'!$F$56*'Assumptions'!$G$56</x:f>
        <x:v>9476.13185840708</x:v>
      </x:c>
      <x:c r="M52" s="27" t="n">
        <x:f>SUMPRODUCT(H52:L52,'Source Data'!D17:H17)</x:f>
        <x:v>9342.102920353984</x:v>
      </x:c>
      <x:c r="N52" s="27" t="n">
        <x:f>SUMPRODUCT(H52:L52,'Source Data'!D18:H18)</x:f>
        <x:v>9450.602536873157</x:v>
      </x:c>
      <x:c r="O52" s="27" t="n">
        <x:f>SUMPRODUCT(H52:L52,'Source Data'!D19:H19)</x:f>
        <x:v>9476.13185840708</x:v>
      </x:c>
      <x:c r="P52" s="27" t="n">
        <x:f>SUMPRODUCT(H52:L52,'Source Data'!D20:H20)</x:f>
        <x:v>9476.131858407081</x:v>
      </x:c>
      <x:c r="Q52" s="27" t="n">
        <x:f>SUMPRODUCT(H52:L52,'Source Data'!D21:H21)</x:f>
        <x:v>9476.13185840708</x:v>
      </x:c>
      <x:c r="R52" s="27" t="n">
        <x:f>SUMPRODUCT(H52:L52,'Source Data'!D22:H22)</x:f>
        <x:v>9476.13185840708</x:v>
      </x:c>
      <x:c r="S52" s="27" t="n">
        <x:f>SUMPRODUCT(H52:L52,'Source Data'!D23:H23)</x:f>
        <x:v>9476.13185840708</x:v>
      </x:c>
      <x:c r="T52" s="27" t="n">
        <x:f>SUMPRODUCT(H52:L52,'Source Data'!D24:H24)</x:f>
        <x:v>9476.131858407081</x:v>
      </x:c>
      <x:c r="U52" s="3"/>
      <x:c r="V52" s="3"/>
      <x:c r="W52" s="28" t="n">
        <x:f>M52*F52</x:f>
        <x:v>4671.051460176992</x:v>
      </x:c>
      <x:c r="X52" s="28" t="n">
        <x:f>N52*F52</x:f>
        <x:v>4725.3012684365785</x:v>
      </x:c>
      <x:c r="Y52" s="28" t="n">
        <x:f>O52*F52</x:f>
        <x:v>4738.06592920354</x:v>
      </x:c>
      <x:c r="Z52" s="28" t="n">
        <x:f>P52*F52</x:f>
        <x:v>4738.065929203541</x:v>
      </x:c>
      <x:c r="AA52" s="28" t="n">
        <x:f>Q52*F52</x:f>
        <x:v>4738.06592920354</x:v>
      </x:c>
      <x:c r="AB52" s="28" t="n">
        <x:f>R52*F52</x:f>
        <x:v>4738.06592920354</x:v>
      </x:c>
      <x:c r="AC52" s="28" t="n">
        <x:f>S52*F52</x:f>
        <x:v>4738.06592920354</x:v>
      </x:c>
      <x:c r="AD52" s="28" t="n">
        <x:f>T52*F52</x:f>
        <x:v>4738.065929203541</x:v>
      </x:c>
    </x:row>
    <x:row r="53" ht="19" customHeight="1">
      <x:c r="A53" s="2"/>
      <x:c r="B53" s="2"/>
      <x:c r="C53" s="45" t="n">
        <x:f>'Source Data'!C76</x:f>
        <x:v>1</x:v>
      </x:c>
      <x:c r="D53" s="45" t="n">
        <x:f>'Source Data'!D76</x:f>
        <x:v>1</x:v>
      </x:c>
      <x:c r="E53" s="45" t="n">
        <x:f>'Source Data'!E76</x:f>
        <x:v>1</x:v>
      </x:c>
      <x:c r="F53" s="27" t="n">
        <x:f>IF(D53=0,0.5,1)*EXP(-'Assumptions'!$D$21*MAX(D53-6,0))</x:f>
        <x:v>1</x:v>
      </x:c>
      <x:c r="G53" s="27" t="n">
        <x:f>IF(D53/'Assumptions'!$D$20&gt;=31,0,INDEX('Source Data'!$N$29:$N$60,INT(D53/'Assumptions'!$D$20)+1)+(D53/'Assumptions'!$D$20-INT(D53/'Assumptions'!$D$20))*(INDEX('Source Data'!$N$29:$N$60,MIN(32,INT(D53/'Assumptions'!$D$20)+2))-INDEX('Source Data'!$N$29:$N$60,INT(D53/'Assumptions'!$D$20)+1)))</x:f>
        <x:v>0.991810737033667</x:v>
      </x:c>
      <x:c r="H53" s="27" t="n">
        <x:f>'Source Data'!F76*G53*'Assumptions'!$F$56*'Assumptions'!$G$56</x:f>
        <x:v>7568.578477618431</x:v>
      </x:c>
      <x:c r="I53" s="27" t="n">
        <x:f>'Source Data'!G76*G53*'Assumptions'!$F$56*'Assumptions'!$G$56</x:f>
        <x:v>8603.669553173842</x:v>
      </x:c>
      <x:c r="J53" s="27" t="n">
        <x:f>'Source Data'!H76*G53*'Assumptions'!$F$56*'Assumptions'!$G$56</x:f>
        <x:v>8942.764728997401</x:v>
      </x:c>
      <x:c r="K53" s="27" t="n">
        <x:f>'Source Data'!I76*G53*'Assumptions'!$F$56*'Assumptions'!$G$56</x:f>
        <x:v>9398.52932271494</x:v>
      </x:c>
      <x:c r="L53" s="27" t="n">
        <x:f>'Source Data'!J76*G53*'Assumptions'!$F$56*'Assumptions'!$G$56</x:f>
        <x:v>9398.52932271494</x:v>
      </x:c>
      <x:c r="M53" s="27" t="n">
        <x:f>SUMPRODUCT(H53:L53,'Source Data'!D17:H17)</x:f>
        <x:v>8843.861969382197</x:v>
      </x:c>
      <x:c r="N53" s="27" t="n">
        <x:f>SUMPRODUCT(H53:L53,'Source Data'!D18:H18)</x:f>
        <x:v>8930.256171919948</x:v>
      </x:c>
      <x:c r="O53" s="27" t="n">
        <x:f>SUMPRODUCT(H53:L53,'Source Data'!D19:H19)</x:f>
        <x:v>9037.715686021887</x:v>
      </x:c>
      <x:c r="P53" s="27" t="n">
        <x:f>SUMPRODUCT(H53:L53,'Source Data'!D20:H20)</x:f>
        <x:v>9151.656834451274</x:v>
      </x:c>
      <x:c r="Q53" s="27" t="n">
        <x:f>SUMPRODUCT(H53:L53,'Source Data'!D21:H21)</x:f>
        <x:v>9265.597982880658</x:v>
      </x:c>
      <x:c r="R53" s="27" t="n">
        <x:f>SUMPRODUCT(H53:L53,'Source Data'!D22:H22)</x:f>
        <x:v>9373.209067508411</x:v>
      </x:c>
      <x:c r="S53" s="27" t="n">
        <x:f>SUMPRODUCT(H53:L53,'Source Data'!D23:H23)</x:f>
        <x:v>9398.52932271494</x:v>
      </x:c>
      <x:c r="T53" s="27" t="n">
        <x:f>SUMPRODUCT(H53:L53,'Source Data'!D24:H24)</x:f>
        <x:v>9398.529322714941</x:v>
      </x:c>
      <x:c r="U53" s="3"/>
      <x:c r="V53" s="3"/>
      <x:c r="W53" s="28" t="n">
        <x:f>M53*F53</x:f>
        <x:v>8843.861969382197</x:v>
      </x:c>
      <x:c r="X53" s="28" t="n">
        <x:f>N53*F53</x:f>
        <x:v>8930.256171919948</x:v>
      </x:c>
      <x:c r="Y53" s="28" t="n">
        <x:f>O53*F53</x:f>
        <x:v>9037.715686021887</x:v>
      </x:c>
      <x:c r="Z53" s="28" t="n">
        <x:f>P53*F53</x:f>
        <x:v>9151.656834451274</x:v>
      </x:c>
      <x:c r="AA53" s="28" t="n">
        <x:f>Q53*F53</x:f>
        <x:v>9265.597982880658</x:v>
      </x:c>
      <x:c r="AB53" s="28" t="n">
        <x:f>R53*F53</x:f>
        <x:v>9373.209067508411</x:v>
      </x:c>
      <x:c r="AC53" s="28" t="n">
        <x:f>S53*F53</x:f>
        <x:v>9398.52932271494</x:v>
      </x:c>
      <x:c r="AD53" s="28" t="n">
        <x:f>T53*F53</x:f>
        <x:v>9398.529322714941</x:v>
      </x:c>
    </x:row>
    <x:row r="54" ht="19" customHeight="1">
      <x:c r="A54" s="2"/>
      <x:c r="B54" s="2"/>
      <x:c r="C54" s="45" t="n">
        <x:f>'Source Data'!C77</x:f>
        <x:v>1</x:v>
      </x:c>
      <x:c r="D54" s="45" t="n">
        <x:f>'Source Data'!D77</x:f>
        <x:v>2</x:v>
      </x:c>
      <x:c r="E54" s="45" t="n">
        <x:f>'Source Data'!E77</x:f>
        <x:v>1</x:v>
      </x:c>
      <x:c r="F54" s="27" t="n">
        <x:f>IF(D54=0,0.5,1)*EXP(-'Assumptions'!$D$21*MAX(D54-6,0))</x:f>
        <x:v>1</x:v>
      </x:c>
      <x:c r="G54" s="27" t="n">
        <x:f>IF(D54/'Assumptions'!$D$20&gt;=31,0,INDEX('Source Data'!$N$29:$N$60,INT(D54/'Assumptions'!$D$20)+1)+(D54/'Assumptions'!$D$20-INT(D54/'Assumptions'!$D$20))*(INDEX('Source Data'!$N$29:$N$60,MIN(32,INT(D54/'Assumptions'!$D$20)+2))-INDEX('Source Data'!$N$29:$N$60,INT(D54/'Assumptions'!$D$20)+1)))</x:f>
        <x:v>0.9836214740673339</x:v>
      </x:c>
      <x:c r="H54" s="27" t="n">
        <x:f>'Source Data'!F77*G54*'Assumptions'!$F$56*'Assumptions'!$G$56</x:f>
        <x:v>7989.131862272219</x:v>
      </x:c>
      <x:c r="I54" s="27" t="n">
        <x:f>'Source Data'!G77*G54*'Assumptions'!$F$56*'Assumptions'!$G$56</x:f>
        <x:v>7506.085627803233</x:v>
      </x:c>
      <x:c r="J54" s="27" t="n">
        <x:f>'Source Data'!H77*G54*'Assumptions'!$F$56*'Assumptions'!$G$56</x:f>
        <x:v>8532.630079799013</x:v>
      </x:c>
      <x:c r="K54" s="27" t="n">
        <x:f>'Source Data'!I77*G54*'Assumptions'!$F$56*'Assumptions'!$G$56</x:f>
        <x:v>8868.925387198338</x:v>
      </x:c>
      <x:c r="L54" s="27" t="n">
        <x:f>'Source Data'!J77*G54*'Assumptions'!$F$56*'Assumptions'!$G$56</x:f>
        <x:v>9320.926787022798</x:v>
      </x:c>
      <x:c r="M54" s="27" t="n">
        <x:f>SUMPRODUCT(H54:L54,'Source Data'!D17:H17)</x:f>
        <x:v>8233.221281300244</x:v>
      </x:c>
      <x:c r="N54" s="27" t="n">
        <x:f>SUMPRODUCT(H54:L54,'Source Data'!D18:H18)</x:f>
        <x:v>8480.270600624237</x:v>
      </x:c>
      <x:c r="O54" s="27" t="n">
        <x:f>SUMPRODUCT(H54:L54,'Source Data'!D19:H19)</x:f>
        <x:v>8602.691602173873</x:v>
      </x:c>
      <x:c r="P54" s="27" t="n">
        <x:f>SUMPRODUCT(H54:L54,'Source Data'!D20:H20)</x:f>
        <x:v>8686.765429023704</x:v>
      </x:c>
      <x:c r="Q54" s="27" t="n">
        <x:f>SUMPRODUCT(H54:L54,'Source Data'!D21:H21)</x:f>
        <x:v>8770.839255873536</x:v>
      </x:c>
      <x:c r="R54" s="27" t="n">
        <x:f>SUMPRODUCT(H54:L54,'Source Data'!D22:H22)</x:f>
        <x:v>8856.520111784826</x:v>
      </x:c>
      <x:c r="S54" s="27" t="n">
        <x:f>SUMPRODUCT(H54:L54,'Source Data'!D23:H23)</x:f>
        <x:v>8963.0923454951</x:v>
      </x:c>
      <x:c r="T54" s="27" t="n">
        <x:f>SUMPRODUCT(H54:L54,'Source Data'!D24:H24)</x:f>
        <x:v>9076.092695451216</x:v>
      </x:c>
      <x:c r="U54" s="3"/>
      <x:c r="V54" s="3"/>
      <x:c r="W54" s="28" t="n">
        <x:f>M54*F54</x:f>
        <x:v>8233.221281300244</x:v>
      </x:c>
      <x:c r="X54" s="28" t="n">
        <x:f>N54*F54</x:f>
        <x:v>8480.270600624237</x:v>
      </x:c>
      <x:c r="Y54" s="28" t="n">
        <x:f>O54*F54</x:f>
        <x:v>8602.691602173873</x:v>
      </x:c>
      <x:c r="Z54" s="28" t="n">
        <x:f>P54*F54</x:f>
        <x:v>8686.765429023704</x:v>
      </x:c>
      <x:c r="AA54" s="28" t="n">
        <x:f>Q54*F54</x:f>
        <x:v>8770.839255873536</x:v>
      </x:c>
      <x:c r="AB54" s="28" t="n">
        <x:f>R54*F54</x:f>
        <x:v>8856.520111784826</x:v>
      </x:c>
      <x:c r="AC54" s="28" t="n">
        <x:f>S54*F54</x:f>
        <x:v>8963.0923454951</x:v>
      </x:c>
      <x:c r="AD54" s="28" t="n">
        <x:f>T54*F54</x:f>
        <x:v>9076.092695451216</x:v>
      </x:c>
    </x:row>
    <x:row r="55" ht="19" customHeight="1">
      <x:c r="A55" s="2"/>
      <x:c r="B55" s="2"/>
      <x:c r="C55" s="45" t="n">
        <x:f>'Source Data'!C78</x:f>
        <x:v>1</x:v>
      </x:c>
      <x:c r="D55" s="45" t="n">
        <x:f>'Source Data'!D78</x:f>
        <x:v>3</x:v>
      </x:c>
      <x:c r="E55" s="45" t="n">
        <x:f>'Source Data'!E78</x:f>
        <x:v>1</x:v>
      </x:c>
      <x:c r="F55" s="27" t="n">
        <x:f>IF(D55=0,0.5,1)*EXP(-'Assumptions'!$D$21*MAX(D55-6,0))</x:f>
        <x:v>1</x:v>
      </x:c>
      <x:c r="G55" s="27" t="n">
        <x:f>IF(D55/'Assumptions'!$D$20&gt;=31,0,INDEX('Source Data'!$N$29:$N$60,INT(D55/'Assumptions'!$D$20)+1)+(D55/'Assumptions'!$D$20-INT(D55/'Assumptions'!$D$20))*(INDEX('Source Data'!$N$29:$N$60,MIN(32,INT(D55/'Assumptions'!$D$20)+2))-INDEX('Source Data'!$N$29:$N$60,INT(D55/'Assumptions'!$D$20)+1)))</x:f>
        <x:v>0.9754322111010009</x:v>
      </x:c>
      <x:c r="H55" s="27" t="n">
        <x:f>'Source Data'!F78*G55*'Assumptions'!$F$56*'Assumptions'!$G$56</x:f>
        <x:v>7570.339403641284</x:v>
      </x:c>
      <x:c r="I55" s="27" t="n">
        <x:f>'Source Data'!G78*G55*'Assumptions'!$F$56*'Assumptions'!$G$56</x:f>
        <x:v>7922.617350930452</x:v>
      </x:c>
      <x:c r="J55" s="27" t="n">
        <x:f>'Source Data'!H78*G55*'Assumptions'!$F$56*'Assumptions'!$G$56</x:f>
        <x:v>7443.592777988035</x:v>
      </x:c>
      <x:c r="K55" s="27" t="n">
        <x:f>'Source Data'!I78*G55*'Assumptions'!$F$56*'Assumptions'!$G$56</x:f>
        <x:v>8461.590606424183</x:v>
      </x:c>
      <x:c r="L55" s="27" t="n">
        <x:f>'Source Data'!J78*G55*'Assumptions'!$F$56*'Assumptions'!$G$56</x:f>
        <x:v>8795.086045399277</x:v>
      </x:c>
      <x:c r="M55" s="27" t="n">
        <x:f>SUMPRODUCT(H55:L55,'Source Data'!D17:H17)</x:f>
        <x:v>7583.308278429574</x:v>
      </x:c>
      <x:c r="N55" s="27" t="n">
        <x:f>SUMPRODUCT(H55:L55,'Source Data'!D18:H18)</x:f>
        <x:v>7484.344112990893</x:v>
      </x:c>
      <x:c r="O55" s="27" t="n">
        <x:f>SUMPRODUCT(H55:L55,'Source Data'!D19:H19)</x:f>
        <x:v>7655.6756589122315</x:v>
      </x:c>
      <x:c r="P55" s="27" t="n">
        <x:f>SUMPRODUCT(H55:L55,'Source Data'!D20:H20)</x:f>
        <x:v>7910.17511602127</x:v>
      </x:c>
      <x:c r="Q55" s="27" t="n">
        <x:f>SUMPRODUCT(H55:L55,'Source Data'!D21:H21)</x:f>
        <x:v>8164.674573130307</x:v>
      </x:c>
      <x:c r="R55" s="27" t="n">
        <x:f>SUMPRODUCT(H55:L55,'Source Data'!D22:H22)</x:f>
        <x:v>8409.66705260794</x:v>
      </x:c>
      <x:c r="S55" s="27" t="n">
        <x:f>SUMPRODUCT(H55:L55,'Source Data'!D23:H23)</x:f>
        <x:v>8531.068822877327</x:v>
      </x:c>
      <x:c r="T55" s="27" t="n">
        <x:f>SUMPRODUCT(H55:L55,'Source Data'!D24:H24)</x:f>
        <x:v>8614.442682621102</x:v>
      </x:c>
      <x:c r="U55" s="3"/>
      <x:c r="V55" s="3"/>
      <x:c r="W55" s="28" t="n">
        <x:f>M55*F55</x:f>
        <x:v>7583.308278429574</x:v>
      </x:c>
      <x:c r="X55" s="28" t="n">
        <x:f>N55*F55</x:f>
        <x:v>7484.344112990893</x:v>
      </x:c>
      <x:c r="Y55" s="28" t="n">
        <x:f>O55*F55</x:f>
        <x:v>7655.6756589122315</x:v>
      </x:c>
      <x:c r="Z55" s="28" t="n">
        <x:f>P55*F55</x:f>
        <x:v>7910.17511602127</x:v>
      </x:c>
      <x:c r="AA55" s="28" t="n">
        <x:f>Q55*F55</x:f>
        <x:v>8164.674573130307</x:v>
      </x:c>
      <x:c r="AB55" s="28" t="n">
        <x:f>R55*F55</x:f>
        <x:v>8409.66705260794</x:v>
      </x:c>
      <x:c r="AC55" s="28" t="n">
        <x:f>S55*F55</x:f>
        <x:v>8531.068822877327</x:v>
      </x:c>
      <x:c r="AD55" s="28" t="n">
        <x:f>T55*F55</x:f>
        <x:v>8614.442682621102</x:v>
      </x:c>
    </x:row>
    <x:row r="56" ht="19" customHeight="1">
      <x:c r="A56" s="2"/>
      <x:c r="B56" s="2"/>
      <x:c r="C56" s="45" t="n">
        <x:f>'Source Data'!C79</x:f>
        <x:v>1</x:v>
      </x:c>
      <x:c r="D56" s="45" t="n">
        <x:f>'Source Data'!D79</x:f>
        <x:v>4</x:v>
      </x:c>
      <x:c r="E56" s="45" t="n">
        <x:f>'Source Data'!E79</x:f>
        <x:v>2</x:v>
      </x:c>
      <x:c r="F56" s="27" t="n">
        <x:f>IF(D56=0,0.5,1)*EXP(-'Assumptions'!$D$21*MAX(D56-6,0))</x:f>
        <x:v>1</x:v>
      </x:c>
      <x:c r="G56" s="27" t="n">
        <x:f>IF(D56/'Assumptions'!$D$20&gt;=31,0,INDEX('Source Data'!$N$29:$N$60,INT(D56/'Assumptions'!$D$20)+1)+(D56/'Assumptions'!$D$20-INT(D56/'Assumptions'!$D$20))*(INDEX('Source Data'!$N$29:$N$60,MIN(32,INT(D56/'Assumptions'!$D$20)+2))-INDEX('Source Data'!$N$29:$N$60,INT(D56/'Assumptions'!$D$20)+1)))</x:f>
        <x:v>0.9646842584167424</x:v>
      </x:c>
      <x:c r="H56" s="27" t="n">
        <x:f>'Source Data'!F79*G56*'Assumptions'!$F$56*'Assumptions'!$G$56</x:f>
        <x:v>8317.447063164422</x:v>
      </x:c>
      <x:c r="I56" s="27" t="n">
        <x:f>'Source Data'!G79*G56*'Assumptions'!$F$56*'Assumptions'!$G$56</x:f>
        <x:v>7486.924432525788</x:v>
      </x:c>
      <x:c r="J56" s="27" t="n">
        <x:f>'Source Data'!H79*G56*'Assumptions'!$F$56*'Assumptions'!$G$56</x:f>
        <x:v>7835.3207500450135</x:v>
      </x:c>
      <x:c r="K56" s="27" t="n">
        <x:f>'Source Data'!I79*G56*'Assumptions'!$F$56*'Assumptions'!$G$56</x:f>
        <x:v>7361.574384430577</x:v>
      </x:c>
      <x:c r="L56" s="27" t="n">
        <x:f>'Source Data'!J79*G56*'Assumptions'!$F$56*'Assumptions'!$G$56</x:f>
        <x:v>8368.355244257127</x:v>
      </x:c>
      <x:c r="M56" s="27" t="n">
        <x:f>SUMPRODUCT(H56:L56,'Source Data'!D17:H17)</x:f>
        <x:v>7733.70515743524</x:v>
      </x:c>
      <x:c r="N56" s="27" t="n">
        <x:f>SUMPRODUCT(H56:L56,'Source Data'!D18:H18)</x:f>
        <x:v>7809.38558843819</x:v>
      </x:c>
      <x:c r="O56" s="27" t="n">
        <x:f>SUMPRODUCT(H56:L56,'Source Data'!D19:H19)</x:f>
        <x:v>7736.623590542005</x:v>
      </x:c>
      <x:c r="P56" s="27" t="n">
        <x:f>SUMPRODUCT(H56:L56,'Source Data'!D20:H20)</x:f>
        <x:v>7618.186999138398</x:v>
      </x:c>
      <x:c r="Q56" s="27" t="n">
        <x:f>SUMPRODUCT(H56:L56,'Source Data'!D21:H21)</x:f>
        <x:v>7499.750407734788</x:v>
      </x:c>
      <x:c r="R56" s="27" t="n">
        <x:f>SUMPRODUCT(H56:L56,'Source Data'!D22:H22)</x:f>
        <x:v>7401.876694462304</x:v>
      </x:c>
      <x:c r="S56" s="27" t="n">
        <x:f>SUMPRODUCT(H56:L56,'Source Data'!D23:H23)</x:f>
        <x:v>7571.320396894441</x:v>
      </x:c>
      <x:c r="T56" s="27" t="n">
        <x:f>SUMPRODUCT(H56:L56,'Source Data'!D24:H24)</x:f>
        <x:v>7823.01561185108</x:v>
      </x:c>
      <x:c r="U56" s="3"/>
      <x:c r="V56" s="3"/>
      <x:c r="W56" s="28" t="n">
        <x:f>M56*F56</x:f>
        <x:v>7733.70515743524</x:v>
      </x:c>
      <x:c r="X56" s="28" t="n">
        <x:f>N56*F56</x:f>
        <x:v>7809.38558843819</x:v>
      </x:c>
      <x:c r="Y56" s="28" t="n">
        <x:f>O56*F56</x:f>
        <x:v>7736.623590542005</x:v>
      </x:c>
      <x:c r="Z56" s="28" t="n">
        <x:f>P56*F56</x:f>
        <x:v>7618.186999138398</x:v>
      </x:c>
      <x:c r="AA56" s="28" t="n">
        <x:f>Q56*F56</x:f>
        <x:v>7499.750407734788</x:v>
      </x:c>
      <x:c r="AB56" s="28" t="n">
        <x:f>R56*F56</x:f>
        <x:v>7401.876694462304</x:v>
      </x:c>
      <x:c r="AC56" s="28" t="n">
        <x:f>S56*F56</x:f>
        <x:v>7571.320396894441</x:v>
      </x:c>
      <x:c r="AD56" s="28" t="n">
        <x:f>T56*F56</x:f>
        <x:v>7823.01561185108</x:v>
      </x:c>
    </x:row>
    <x:row r="57" ht="19" customHeight="1">
      <x:c r="A57" s="2"/>
      <x:c r="B57" s="2"/>
      <x:c r="C57" s="45" t="n">
        <x:f>'Source Data'!C80</x:f>
        <x:v>1</x:v>
      </x:c>
      <x:c r="D57" s="45" t="n">
        <x:f>'Source Data'!D80</x:f>
        <x:v>5</x:v>
      </x:c>
      <x:c r="E57" s="45" t="n">
        <x:f>'Source Data'!E80</x:f>
        <x:v>2</x:v>
      </x:c>
      <x:c r="F57" s="27" t="n">
        <x:f>IF(D57=0,0.5,1)*EXP(-'Assumptions'!$D$21*MAX(D57-6,0))</x:f>
        <x:v>1</x:v>
      </x:c>
      <x:c r="G57" s="27" t="n">
        <x:f>IF(D57/'Assumptions'!$D$20&gt;=31,0,INDEX('Source Data'!$N$29:$N$60,INT(D57/'Assumptions'!$D$20)+1)+(D57/'Assumptions'!$D$20-INT(D57/'Assumptions'!$D$20))*(INDEX('Source Data'!$N$29:$N$60,MIN(32,INT(D57/'Assumptions'!$D$20)+2))-INDEX('Source Data'!$N$29:$N$60,INT(D57/'Assumptions'!$D$20)+1)))</x:f>
        <x:v>0.9495577797998179</x:v>
      </x:c>
      <x:c r="H57" s="27" t="n">
        <x:f>'Source Data'!F80*G57*'Assumptions'!$F$56*'Assumptions'!$G$56</x:f>
        <x:v>7979.92022388688</x:v>
      </x:c>
      <x:c r="I57" s="27" t="n">
        <x:f>'Source Data'!G80*G57*'Assumptions'!$F$56*'Assumptions'!$G$56</x:f>
        <x:v>8187.027514954061</x:v>
      </x:c>
      <x:c r="J57" s="27" t="n">
        <x:f>'Source Data'!H80*G57*'Assumptions'!$F$56*'Assumptions'!$G$56</x:f>
        <x:v>7369.527676699172</x:v>
      </x:c>
      <x:c r="K57" s="27" t="n">
        <x:f>'Source Data'!I80*G57*'Assumptions'!$F$56*'Assumptions'!$G$56</x:f>
        <x:v>7712.461057095509</x:v>
      </x:c>
      <x:c r="L57" s="27" t="n">
        <x:f>'Source Data'!J80*G57*'Assumptions'!$F$56*'Assumptions'!$G$56</x:f>
        <x:v>7246.143147171927</x:v>
      </x:c>
      <x:c r="M57" s="27" t="n">
        <x:f>SUMPRODUCT(H57:L57,'Source Data'!D17:H17)</x:f>
        <x:v>7607.965129523515</x:v>
      </x:c>
      <x:c r="N57" s="27" t="n">
        <x:f>SUMPRODUCT(H57:L57,'Source Data'!D18:H18)</x:f>
        <x:v>7419.707297996615</x:v>
      </x:c>
      <x:c r="O57" s="27" t="n">
        <x:f>SUMPRODUCT(H57:L57,'Source Data'!D19:H19)</x:f>
        <x:v>7440.972130948408</x:v>
      </x:c>
      <x:c r="P57" s="27" t="n">
        <x:f>SUMPRODUCT(H57:L57,'Source Data'!D20:H20)</x:f>
        <x:v>7526.705476047494</x:v>
      </x:c>
      <x:c r="Q57" s="27" t="n">
        <x:f>SUMPRODUCT(H57:L57,'Source Data'!D21:H21)</x:f>
        <x:v>7612.4388211465775</x:v>
      </x:c>
      <x:c r="R57" s="27" t="n">
        <x:f>SUMPRODUCT(H57:L57,'Source Data'!D22:H22)</x:f>
        <x:v>7686.932564991219</x:v>
      </x:c>
      <x:c r="S57" s="27" t="n">
        <x:f>SUMPRODUCT(H57:L57,'Source Data'!D23:H23)</x:f>
        <x:v>7615.311492528096</x:v>
      </x:c>
      <x:c r="T57" s="27" t="n">
        <x:f>SUMPRODUCT(H57:L57,'Source Data'!D24:H24)</x:f>
        <x:v>7498.7320150472015</x:v>
      </x:c>
      <x:c r="U57" s="3"/>
      <x:c r="V57" s="3"/>
      <x:c r="W57" s="28" t="n">
        <x:f>M57*F57</x:f>
        <x:v>7607.965129523515</x:v>
      </x:c>
      <x:c r="X57" s="28" t="n">
        <x:f>N57*F57</x:f>
        <x:v>7419.707297996615</x:v>
      </x:c>
      <x:c r="Y57" s="28" t="n">
        <x:f>O57*F57</x:f>
        <x:v>7440.972130948408</x:v>
      </x:c>
      <x:c r="Z57" s="28" t="n">
        <x:f>P57*F57</x:f>
        <x:v>7526.705476047494</x:v>
      </x:c>
      <x:c r="AA57" s="28" t="n">
        <x:f>Q57*F57</x:f>
        <x:v>7612.4388211465775</x:v>
      </x:c>
      <x:c r="AB57" s="28" t="n">
        <x:f>R57*F57</x:f>
        <x:v>7686.932564991219</x:v>
      </x:c>
      <x:c r="AC57" s="28" t="n">
        <x:f>S57*F57</x:f>
        <x:v>7615.311492528096</x:v>
      </x:c>
      <x:c r="AD57" s="28" t="n">
        <x:f>T57*F57</x:f>
        <x:v>7498.7320150472015</x:v>
      </x:c>
    </x:row>
    <x:row r="58" ht="19" customHeight="1">
      <x:c r="A58" s="2"/>
      <x:c r="B58" s="2"/>
      <x:c r="C58" s="45" t="n">
        <x:f>'Source Data'!C81</x:f>
        <x:v>1</x:v>
      </x:c>
      <x:c r="D58" s="45" t="n">
        <x:f>'Source Data'!D81</x:f>
        <x:v>6</x:v>
      </x:c>
      <x:c r="E58" s="45" t="n">
        <x:f>'Source Data'!E81</x:f>
        <x:v>2</x:v>
      </x:c>
      <x:c r="F58" s="27" t="n">
        <x:f>IF(D58=0,0.5,1)*EXP(-'Assumptions'!$D$21*MAX(D58-6,0))</x:f>
        <x:v>1</x:v>
      </x:c>
      <x:c r="G58" s="27" t="n">
        <x:f>IF(D58/'Assumptions'!$D$20&gt;=31,0,INDEX('Source Data'!$N$29:$N$60,INT(D58/'Assumptions'!$D$20)+1)+(D58/'Assumptions'!$D$20-INT(D58/'Assumptions'!$D$20))*(INDEX('Source Data'!$N$29:$N$60,MIN(32,INT(D58/'Assumptions'!$D$20)+2))-INDEX('Source Data'!$N$29:$N$60,INT(D58/'Assumptions'!$D$20)+1)))</x:f>
        <x:v>0.9308908098271156</x:v>
      </x:c>
      <x:c r="H58" s="27" t="n">
        <x:f>'Source Data'!F81*G58*'Assumptions'!$F$56*'Assumptions'!$G$56</x:f>
        <x:v>7235.974081438477</x:v>
      </x:c>
      <x:c r="I58" s="27" t="n">
        <x:f>'Source Data'!G81*G58*'Assumptions'!$F$56*'Assumptions'!$G$56</x:f>
        <x:v>7823.046219615902</x:v>
      </x:c>
      <x:c r="J58" s="27" t="n">
        <x:f>'Source Data'!H81*G58*'Assumptions'!$F$56*'Assumptions'!$G$56</x:f>
        <x:v>8026.082072729836</x:v>
      </x:c>
      <x:c r="K58" s="27" t="n">
        <x:f>'Source Data'!I81*G58*'Assumptions'!$F$56*'Assumptions'!$G$56</x:f>
        <x:v>7224.653131115497</x:v>
      </x:c>
      <x:c r="L58" s="27" t="n">
        <x:f>'Source Data'!J81*G58*'Assumptions'!$F$56*'Assumptions'!$G$56</x:f>
        <x:v>7560.844923742582</x:v>
      </x:c>
      <x:c r="M58" s="27" t="n">
        <x:f>SUMPRODUCT(H58:L58,'Source Data'!D17:H17)</x:f>
        <x:v>7966.863282238272</x:v>
      </x:c>
      <x:c r="N58" s="27" t="n">
        <x:f>SUMPRODUCT(H58:L58,'Source Data'!D18:H18)</x:f>
        <x:v>8003.671345589974</x:v>
      </x:c>
      <x:c r="O58" s="27" t="n">
        <x:f>SUMPRODUCT(H58:L58,'Source Data'!D19:H19)</x:f>
        <x:v>7859.117709893515</x:v>
      </x:c>
      <x:c r="P58" s="27" t="n">
        <x:f>SUMPRODUCT(H58:L58,'Source Data'!D20:H20)</x:f>
        <x:v>7658.760474489931</x:v>
      </x:c>
      <x:c r="Q58" s="27" t="n">
        <x:f>SUMPRODUCT(H58:L58,'Source Data'!D21:H21)</x:f>
        <x:v>7458.403239086347</x:v>
      </x:c>
      <x:c r="R58" s="27" t="n">
        <x:f>SUMPRODUCT(H58:L58,'Source Data'!D22:H22)</x:f>
        <x:v>7273.846291658336</x:v>
      </x:c>
      <x:c r="S58" s="27" t="n">
        <x:f>SUMPRODUCT(H58:L58,'Source Data'!D23:H23)</x:f>
        <x:v>7294.693087912807</x:v>
      </x:c>
      <x:c r="T58" s="27" t="n">
        <x:f>SUMPRODUCT(H58:L58,'Source Data'!D24:H24)</x:f>
        <x:v>7378.741036069578</x:v>
      </x:c>
      <x:c r="U58" s="3"/>
      <x:c r="V58" s="3"/>
      <x:c r="W58" s="28" t="n">
        <x:f>M58*F58</x:f>
        <x:v>7966.863282238272</x:v>
      </x:c>
      <x:c r="X58" s="28" t="n">
        <x:f>N58*F58</x:f>
        <x:v>8003.671345589974</x:v>
      </x:c>
      <x:c r="Y58" s="28" t="n">
        <x:f>O58*F58</x:f>
        <x:v>7859.117709893515</x:v>
      </x:c>
      <x:c r="Z58" s="28" t="n">
        <x:f>P58*F58</x:f>
        <x:v>7658.760474489931</x:v>
      </x:c>
      <x:c r="AA58" s="28" t="n">
        <x:f>Q58*F58</x:f>
        <x:v>7458.403239086347</x:v>
      </x:c>
      <x:c r="AB58" s="28" t="n">
        <x:f>R58*F58</x:f>
        <x:v>7273.846291658336</x:v>
      </x:c>
      <x:c r="AC58" s="28" t="n">
        <x:f>S58*F58</x:f>
        <x:v>7294.693087912807</x:v>
      </x:c>
      <x:c r="AD58" s="28" t="n">
        <x:f>T58*F58</x:f>
        <x:v>7378.741036069578</x:v>
      </x:c>
    </x:row>
    <x:row r="59" ht="19" customHeight="1">
      <x:c r="A59" s="2"/>
      <x:c r="B59" s="2"/>
      <x:c r="C59" s="45" t="n">
        <x:f>'Source Data'!C82</x:f>
        <x:v>1</x:v>
      </x:c>
      <x:c r="D59" s="45" t="n">
        <x:f>'Source Data'!D82</x:f>
        <x:v>7</x:v>
      </x:c>
      <x:c r="E59" s="45" t="n">
        <x:f>'Source Data'!E82</x:f>
        <x:v>3</x:v>
      </x:c>
      <x:c r="F59" s="27" t="n">
        <x:f>IF(D59=0,0.5,1)*EXP(-'Assumptions'!$D$21*MAX(D59-6,0))</x:f>
        <x:v>0.9136844571609987</x:v>
      </x:c>
      <x:c r="G59" s="27" t="n">
        <x:f>IF(D59/'Assumptions'!$D$20&gt;=31,0,INDEX('Source Data'!$N$29:$N$60,INT(D59/'Assumptions'!$D$20)+1)+(D59/'Assumptions'!$D$20-INT(D59/'Assumptions'!$D$20))*(INDEX('Source Data'!$N$29:$N$60,MIN(32,INT(D59/'Assumptions'!$D$20)+2))-INDEX('Source Data'!$N$29:$N$60,INT(D59/'Assumptions'!$D$20)+1)))</x:f>
        <x:v>0.908656050955414</x:v>
      </x:c>
      <x:c r="H59" s="27" t="n">
        <x:f>'Source Data'!F82*G59*'Assumptions'!$F$56*'Assumptions'!$G$56</x:f>
        <x:v>6772.404928425681</x:v>
      </x:c>
      <x:c r="I59" s="27" t="n">
        <x:f>'Source Data'!G82*G59*'Assumptions'!$F$56*'Assumptions'!$G$56</x:f>
        <x:v>7063.139483433855</x:v>
      </x:c>
      <x:c r="J59" s="27" t="n">
        <x:f>'Source Data'!H82*G59*'Assumptions'!$F$56*'Assumptions'!$G$56</x:f>
        <x:v>7636.18913122372</x:v>
      </x:c>
      <x:c r="K59" s="27" t="n">
        <x:f>'Source Data'!I82*G59*'Assumptions'!$F$56*'Assumptions'!$G$56</x:f>
        <x:v>7834.3753787892465</x:v>
      </x:c>
      <x:c r="L59" s="27" t="n">
        <x:f>'Source Data'!J82*G59*'Assumptions'!$F$56*'Assumptions'!$G$56</x:f>
        <x:v>7052.088939261598</x:v>
      </x:c>
      <x:c r="M59" s="27" t="n">
        <x:f>SUMPRODUCT(H59:L59,'Source Data'!D17:H17)</x:f>
        <x:v>7469.049650618344</x:v>
      </x:c>
      <x:c r="N59" s="27" t="n">
        <x:f>SUMPRODUCT(H59:L59,'Source Data'!D18:H18)</x:f>
        <x:v>7607.105626451582</x:v>
      </x:c>
      <x:c r="O59" s="27" t="n">
        <x:f>SUMPRODUCT(H59:L59,'Source Data'!D19:H19)</x:f>
        <x:v>7677.477932799871</x:v>
      </x:c>
      <x:c r="P59" s="27" t="n">
        <x:f>SUMPRODUCT(H59:L59,'Source Data'!D20:H20)</x:f>
        <x:v>7727.0244946912535</x:v>
      </x:c>
      <x:c r="Q59" s="27" t="n">
        <x:f>SUMPRODUCT(H59:L59,'Source Data'!D21:H21)</x:f>
        <x:v>7776.571056582636</x:v>
      </x:c>
      <x:c r="R59" s="27" t="n">
        <x:f>SUMPRODUCT(H59:L59,'Source Data'!D22:H22)</x:f>
        <x:v>7812.499942264389</x:v>
      </x:c>
      <x:c r="S59" s="27" t="n">
        <x:f>SUMPRODUCT(H59:L59,'Source Data'!D23:H23)</x:f>
        <x:v>7671.399037220986</x:v>
      </x:c>
      <x:c r="T59" s="27" t="n">
        <x:f>SUMPRODUCT(H59:L59,'Source Data'!D24:H24)</x:f>
        <x:v>7475.827427339075</x:v>
      </x:c>
      <x:c r="U59" s="3"/>
      <x:c r="V59" s="3"/>
      <x:c r="W59" s="28" t="n">
        <x:f>M59*F59</x:f>
        <x:v>6824.354575533768</x:v>
      </x:c>
      <x:c r="X59" s="28" t="n">
        <x:f>N59*F59</x:f>
        <x:v>6950.494174870792</x:v>
      </x:c>
      <x:c r="Y59" s="28" t="n">
        <x:f>O59*F59</x:f>
        <x:v>7014.792257395797</x:v>
      </x:c>
      <x:c r="Z59" s="28" t="n">
        <x:f>P59*F59</x:f>
        <x:v>7060.0621809017175</x:v>
      </x:c>
      <x:c r="AA59" s="28" t="n">
        <x:f>Q59*F59</x:f>
        <x:v>7105.332104407639</x:v>
      </x:c>
      <x:c r="AB59" s="28" t="n">
        <x:f>R59*F59</x:f>
        <x:v>7138.159768818171</x:v>
      </x:c>
      <x:c r="AC59" s="28" t="n">
        <x:f>S59*F59</x:f>
        <x:v>7009.2380649886645</x:v>
      </x:c>
      <x:c r="AD59" s="28" t="n">
        <x:f>T59*F59</x:f>
        <x:v>6830.547324777608</x:v>
      </x:c>
    </x:row>
    <x:row r="60" ht="19" customHeight="1">
      <x:c r="A60" s="2"/>
      <x:c r="B60" s="2"/>
      <x:c r="C60" s="45" t="n">
        <x:f>'Source Data'!C83</x:f>
        <x:v>1</x:v>
      </x:c>
      <x:c r="D60" s="45" t="n">
        <x:f>'Source Data'!D83</x:f>
        <x:v>8</x:v>
      </x:c>
      <x:c r="E60" s="45" t="n">
        <x:f>'Source Data'!E83</x:f>
        <x:v>3</x:v>
      </x:c>
      <x:c r="F60" s="27" t="n">
        <x:f>IF(D60=0,0.5,1)*EXP(-'Assumptions'!$D$21*MAX(D60-6,0))</x:f>
        <x:v>0.8348192872575889</x:v>
      </x:c>
      <x:c r="G60" s="27" t="n">
        <x:f>IF(D60/'Assumptions'!$D$20&gt;=31,0,INDEX('Source Data'!$N$29:$N$60,INT(D60/'Assumptions'!$D$20)+1)+(D60/'Assumptions'!$D$20-INT(D60/'Assumptions'!$D$20))*(INDEX('Source Data'!$N$29:$N$60,MIN(32,INT(D60/'Assumptions'!$D$20)+2))-INDEX('Source Data'!$N$29:$N$60,INT(D60/'Assumptions'!$D$20)+1)))</x:f>
        <x:v>0.8820609645131938</x:v>
      </x:c>
      <x:c r="H60" s="27" t="n">
        <x:f>'Source Data'!F83*G60*'Assumptions'!$F$56*'Assumptions'!$G$56</x:f>
        <x:v>6115.985295008335</x:v>
      </x:c>
      <x:c r="I60" s="27" t="n">
        <x:f>'Source Data'!G83*G60*'Assumptions'!$F$56*'Assumptions'!$G$56</x:f>
        <x:v>6574.186147728829</x:v>
      </x:c>
      <x:c r="J60" s="27" t="n">
        <x:f>'Source Data'!H83*G60*'Assumptions'!$F$56*'Assumptions'!$G$56</x:f>
        <x:v>6856.411310636379</x:v>
      </x:c>
      <x:c r="K60" s="27" t="n">
        <x:f>'Source Data'!I83*G60*'Assumptions'!$F$56*'Assumptions'!$G$56</x:f>
        <x:v>7412.688600059589</x:v>
      </x:c>
      <x:c r="L60" s="27" t="n">
        <x:f>'Source Data'!J83*G60*'Assumptions'!$F$56*'Assumptions'!$G$56</x:f>
        <x:v>7605.07421450313</x:v>
      </x:c>
      <x:c r="M60" s="27" t="n">
        <x:f>SUMPRODUCT(H60:L60,'Source Data'!D17:H17)</x:f>
        <x:v>6774.095638121678</x:v>
      </x:c>
      <x:c r="N60" s="27" t="n">
        <x:f>SUMPRODUCT(H60:L60,'Source Data'!D18:H18)</x:f>
        <x:v>6848.458208383505</x:v>
      </x:c>
      <x:c r="O60" s="27" t="n">
        <x:f>SUMPRODUCT(H60:L60,'Source Data'!D19:H19)</x:f>
        <x:v>6972.302412599547</x:v>
      </x:c>
      <x:c r="P60" s="27" t="n">
        <x:f>SUMPRODUCT(H60:L60,'Source Data'!D20:H20)</x:f>
        <x:v>7111.371734955352</x:v>
      </x:c>
      <x:c r="Q60" s="27" t="n">
        <x:f>SUMPRODUCT(H60:L60,'Source Data'!D21:H21)</x:f>
        <x:v>7250.441057311154</x:v>
      </x:c>
      <x:c r="R60" s="27" t="n">
        <x:f>SUMPRODUCT(H60:L60,'Source Data'!D22:H22)</x:f>
        <x:v>7384.456328625571</x:v>
      </x:c>
      <x:c r="S60" s="27" t="n">
        <x:f>SUMPRODUCT(H60:L60,'Source Data'!D23:H23)</x:f>
        <x:v>7452.7689364019925</x:v>
      </x:c>
      <x:c r="T60" s="27" t="n">
        <x:f>SUMPRODUCT(H60:L60,'Source Data'!D24:H24)</x:f>
        <x:v>7500.865340012879</x:v>
      </x:c>
      <x:c r="U60" s="3"/>
      <x:c r="V60" s="3"/>
      <x:c r="W60" s="28" t="n">
        <x:f>M60*F60</x:f>
        <x:v>5655.145692431482</x:v>
      </x:c>
      <x:c r="X60" s="28" t="n">
        <x:f>N60*F60</x:f>
        <x:v>5717.225000336101</x:v>
      </x:c>
      <x:c r="Y60" s="28" t="n">
        <x:f>O60*F60</x:f>
        <x:v>5820.612530630721</x:v>
      </x:c>
      <x:c r="Z60" s="28" t="n">
        <x:f>P60*F60</x:f>
        <x:v>5936.710283199191</x:v>
      </x:c>
      <x:c r="AA60" s="28" t="n">
        <x:f>Q60*F60</x:f>
        <x:v>6052.808035767656</x:v>
      </x:c>
      <x:c r="AB60" s="28" t="n">
        <x:f>R60*F60</x:f>
        <x:v>6164.686569047991</x:v>
      </x:c>
      <x:c r="AC60" s="28" t="n">
        <x:f>S60*F60</x:f>
        <x:v>6221.71525158261</x:v>
      </x:c>
      <x:c r="AD60" s="28" t="n">
        <x:f>T60*F60</x:f>
        <x:v>6261.867056964704</x:v>
      </x:c>
    </x:row>
    <x:row r="61" ht="19" customHeight="1">
      <x:c r="A61" s="2"/>
      <x:c r="B61" s="2"/>
      <x:c r="C61" s="45" t="n">
        <x:f>'Source Data'!C84</x:f>
        <x:v>1</x:v>
      </x:c>
      <x:c r="D61" s="45" t="n">
        <x:f>'Source Data'!D84</x:f>
        <x:v>9</x:v>
      </x:c>
      <x:c r="E61" s="45" t="n">
        <x:f>'Source Data'!E84</x:f>
        <x:v>3</x:v>
      </x:c>
      <x:c r="F61" s="27" t="n">
        <x:f>IF(D61=0,0.5,1)*EXP(-'Assumptions'!$D$21*MAX(D61-6,0))</x:f>
        <x:v>0.7627614073054819</x:v>
      </x:c>
      <x:c r="G61" s="27" t="n">
        <x:f>IF(D61/'Assumptions'!$D$20&gt;=31,0,INDEX('Source Data'!$N$29:$N$60,INT(D61/'Assumptions'!$D$20)+1)+(D61/'Assumptions'!$D$20-INT(D61/'Assumptions'!$D$20))*(INDEX('Source Data'!$N$29:$N$60,MIN(32,INT(D61/'Assumptions'!$D$20)+2))-INDEX('Source Data'!$N$29:$N$60,INT(D61/'Assumptions'!$D$20)+1)))</x:f>
        <x:v>0.8521865332120109</x:v>
      </x:c>
      <x:c r="H61" s="27" t="n">
        <x:f>'Source Data'!F84*G61*'Assumptions'!$F$56*'Assumptions'!$G$56</x:f>
        <x:v>5233.59303571646</x:v>
      </x:c>
      <x:c r="I61" s="27" t="n">
        <x:f>'Source Data'!G84*G61*'Assumptions'!$F$56*'Assumptions'!$G$56</x:f>
        <x:v>5908.843623530322</x:v>
      </x:c>
      <x:c r="J61" s="27" t="n">
        <x:f>'Source Data'!H84*G61*'Assumptions'!$F$56*'Assumptions'!$G$56</x:f>
        <x:v>6351.525719104255</x:v>
      </x:c>
      <x:c r="K61" s="27" t="n">
        <x:f>'Source Data'!I84*G61*'Assumptions'!$F$56*'Assumptions'!$G$56</x:f>
        <x:v>6624.192227247619</x:v>
      </x:c>
      <x:c r="L61" s="27" t="n">
        <x:f>'Source Data'!J84*G61*'Assumptions'!$F$56*'Assumptions'!$G$56</x:f>
        <x:v>7161.629018864133</x:v>
      </x:c>
      <x:c r="M61" s="27" t="n">
        <x:f>SUMPRODUCT(H61:L61,'Source Data'!D17:H17)</x:f>
        <x:v>6222.410107895192</x:v>
      </x:c>
      <x:c r="N61" s="27" t="n">
        <x:f>SUMPRODUCT(H61:L61,'Source Data'!D18:H18)</x:f>
        <x:v>6330.719304185472</x:v>
      </x:c>
      <x:c r="O61" s="27" t="n">
        <x:f>SUMPRODUCT(H61:L61,'Source Data'!D19:H19)</x:f>
        <x:v>6408.331241634121</x:v>
      </x:c>
      <x:c r="P61" s="27" t="n">
        <x:f>SUMPRODUCT(H61:L61,'Source Data'!D20:H20)</x:f>
        <x:v>6476.497868669963</x:v>
      </x:c>
      <x:c r="Q61" s="27" t="n">
        <x:f>SUMPRODUCT(H61:L61,'Source Data'!D21:H21)</x:f>
        <x:v>6544.664495705804</x:v>
      </x:c>
      <x:c r="R61" s="27" t="n">
        <x:f>SUMPRODUCT(H61:L61,'Source Data'!D22:H22)</x:f>
        <x:v>6616.5084877898835</x:v>
      </x:c>
      <x:c r="S61" s="27" t="n">
        <x:f>SUMPRODUCT(H61:L61,'Source Data'!D23:H23)</x:f>
        <x:v>6736.158225501059</x:v>
      </x:c>
      <x:c r="T61" s="27" t="n">
        <x:f>SUMPRODUCT(H61:L61,'Source Data'!D24:H24)</x:f>
        <x:v>6870.517423405188</x:v>
      </x:c>
      <x:c r="U61" s="3"/>
      <x:c r="V61" s="3"/>
      <x:c r="W61" s="28" t="n">
        <x:f>M61*F61</x:f>
        <x:v>4746.214290729992</x:v>
      </x:c>
      <x:c r="X61" s="28" t="n">
        <x:f>N61*F61</x:f>
        <x:v>4828.828365716492</x:v>
      </x:c>
      <x:c r="Y61" s="28" t="n">
        <x:f>O61*F61</x:f>
        <x:v>4888.027756348529</x:v>
      </x:c>
      <x:c r="Z61" s="28" t="n">
        <x:f>P61*F61</x:f>
        <x:v>4940.022628717656</x:v>
      </x:c>
      <x:c r="AA61" s="28" t="n">
        <x:f>Q61*F61</x:f>
        <x:v>4992.0175010867815</x:v>
      </x:c>
      <x:c r="AB61" s="28" t="n">
        <x:f>R61*F61</x:f>
        <x:v>5046.817325595278</x:v>
      </x:c>
      <x:c r="AC61" s="28" t="n">
        <x:f>S61*F61</x:f>
        <x:v>5138.081527915586</x:v>
      </x:c>
      <x:c r="AD61" s="28" t="n">
        <x:f>T61*F61</x:f>
        <x:v>5240.565538793375</x:v>
      </x:c>
    </x:row>
    <x:row r="62" ht="19" customHeight="1">
      <x:c r="A62" s="2"/>
      <x:c r="B62" s="2"/>
      <x:c r="C62" s="45" t="n">
        <x:f>'Source Data'!C85</x:f>
        <x:v>1</x:v>
      </x:c>
      <x:c r="D62" s="45" t="n">
        <x:f>'Source Data'!D85</x:f>
        <x:v>10</x:v>
      </x:c>
      <x:c r="E62" s="45" t="n">
        <x:f>'Source Data'!E85</x:f>
        <x:v>4</x:v>
      </x:c>
      <x:c r="F62" s="27" t="n">
        <x:f>IF(D62=0,0.5,1)*EXP(-'Assumptions'!$D$21*MAX(D62-6,0))</x:f>
        <x:v>0.6969232423772687</x:v>
      </x:c>
      <x:c r="G62" s="27" t="n">
        <x:f>IF(D62/'Assumptions'!$D$20&gt;=31,0,INDEX('Source Data'!$N$29:$N$60,INT(D62/'Assumptions'!$D$20)+1)+(D62/'Assumptions'!$D$20-INT(D62/'Assumptions'!$D$20))*(INDEX('Source Data'!$N$29:$N$60,MIN(32,INT(D62/'Assumptions'!$D$20)+2))-INDEX('Source Data'!$N$29:$N$60,INT(D62/'Assumptions'!$D$20)+1)))</x:f>
        <x:v>0.8191319381255686</x:v>
      </x:c>
      <x:c r="H62" s="27" t="n">
        <x:f>'Source Data'!F85*G62*'Assumptions'!$F$56*'Assumptions'!$G$56</x:f>
        <x:v>4561.4389876370315</x:v>
      </x:c>
      <x:c r="I62" s="27" t="n">
        <x:f>'Source Data'!G85*G62*'Assumptions'!$F$56*'Assumptions'!$G$56</x:f>
        <x:v>5030.592528314879</x:v>
      </x:c>
      <x:c r="J62" s="27" t="n">
        <x:f>'Source Data'!H85*G62*'Assumptions'!$F$56*'Assumptions'!$G$56</x:f>
        <x:v>5679.651509136383</x:v>
      </x:c>
      <x:c r="K62" s="27" t="n">
        <x:f>'Source Data'!I85*G62*'Assumptions'!$F$56*'Assumptions'!$G$56</x:f>
        <x:v>6105.162859983734</x:v>
      </x:c>
      <x:c r="L62" s="27" t="n">
        <x:f>'Source Data'!J85*G62*'Assumptions'!$F$56*'Assumptions'!$G$56</x:f>
        <x:v>6367.253184781015</x:v>
      </x:c>
      <x:c r="M62" s="27" t="n">
        <x:f>SUMPRODUCT(H62:L62,'Source Data'!D17:H17)</x:f>
        <x:v>5490.342639730111</x:v>
      </x:c>
      <x:c r="N62" s="27" t="n">
        <x:f>SUMPRODUCT(H62:L62,'Source Data'!D18:H18)</x:f>
        <x:v>5649.5025567414</x:v>
      </x:c>
      <x:c r="O62" s="27" t="n">
        <x:f>SUMPRODUCT(H62:L62,'Source Data'!D19:H19)</x:f>
        <x:v>5768.299707229581</x:v>
      </x:c>
      <x:c r="P62" s="27" t="n">
        <x:f>SUMPRODUCT(H62:L62,'Source Data'!D20:H20)</x:f>
        <x:v>5874.67754494142</x:v>
      </x:c>
      <x:c r="Q62" s="27" t="n">
        <x:f>SUMPRODUCT(H62:L62,'Source Data'!D21:H21)</x:f>
        <x:v>5981.055382653258</x:v>
      </x:c>
      <x:c r="R62" s="27" t="n">
        <x:f>SUMPRODUCT(H62:L62,'Source Data'!D22:H22)</x:f>
        <x:v>6085.163483892177</x:v>
      </x:c>
      <x:c r="S62" s="27" t="n">
        <x:f>SUMPRODUCT(H62:L62,'Source Data'!D23:H23)</x:f>
        <x:v>6159.7650109831675</x:v>
      </x:c>
      <x:c r="T62" s="27" t="n">
        <x:f>SUMPRODUCT(H62:L62,'Source Data'!D24:H24)</x:f>
        <x:v>6225.287592182489</x:v>
      </x:c>
      <x:c r="U62" s="3"/>
      <x:c r="V62" s="3"/>
      <x:c r="W62" s="28" t="n">
        <x:f>M62*F62</x:f>
        <x:v>3826.347394242881</x:v>
      </x:c>
      <x:c r="X62" s="28" t="n">
        <x:f>N62*F62</x:f>
        <x:v>3937.269639662886</x:v>
      </x:c>
      <x:c r="Y62" s="28" t="n">
        <x:f>O62*F62</x:f>
        <x:v>4020.0621349662892</x:v>
      </x:c>
      <x:c r="Z62" s="28" t="n">
        <x:f>P62*F62</x:f>
        <x:v>4094.1993225415067</x:v>
      </x:c>
      <x:c r="AA62" s="28" t="n">
        <x:f>Q62*F62</x:f>
        <x:v>4168.336510116724</x:v>
      </x:c>
      <x:c r="AB62" s="28" t="n">
        <x:f>R62*F62</x:f>
        <x:v>4240.891865589892</x:v>
      </x:c>
      <x:c r="AC62" s="28" t="n">
        <x:f>S62*F62</x:f>
        <x:v>4292.883403736441</x:v>
      </x:c>
      <x:c r="AD62" s="28" t="n">
        <x:f>T62*F62</x:f>
        <x:v>4338.5476134748</x:v>
      </x:c>
    </x:row>
    <x:row r="63" ht="19" customHeight="1">
      <x:c r="A63" s="2"/>
      <x:c r="B63" s="2"/>
      <x:c r="C63" s="45" t="n">
        <x:f>'Source Data'!C86</x:f>
        <x:v>1</x:v>
      </x:c>
      <x:c r="D63" s="45" t="n">
        <x:f>'Source Data'!D86</x:f>
        <x:v>11</x:v>
      </x:c>
      <x:c r="E63" s="45" t="n">
        <x:f>'Source Data'!E86</x:f>
        <x:v>4</x:v>
      </x:c>
      <x:c r="F63" s="27" t="n">
        <x:f>IF(D63=0,0.5,1)*EXP(-'Assumptions'!$D$21*MAX(D63-6,0))</x:f>
        <x:v>0.6367679343943579</x:v>
      </x:c>
      <x:c r="G63" s="27" t="n">
        <x:f>IF(D63/'Assumptions'!$D$20&gt;=31,0,INDEX('Source Data'!$N$29:$N$60,INT(D63/'Assumptions'!$D$20)+1)+(D63/'Assumptions'!$D$20-INT(D63/'Assumptions'!$D$20))*(INDEX('Source Data'!$N$29:$N$60,MIN(32,INT(D63/'Assumptions'!$D$20)+2))-INDEX('Source Data'!$N$29:$N$60,INT(D63/'Assumptions'!$D$20)+1)))</x:f>
        <x:v>0.7836087352138308</x:v>
      </x:c>
      <x:c r="H63" s="27" t="n">
        <x:f>'Source Data'!F86*G63*'Assumptions'!$F$56*'Assumptions'!$G$56</x:f>
        <x:v>3956.4518768231787</x:v>
      </x:c>
      <x:c r="I63" s="27" t="n">
        <x:f>'Source Data'!G86*G63*'Assumptions'!$F$56*'Assumptions'!$G$56</x:f>
        <x:v>4363.6235745326</x:v>
      </x:c>
      <x:c r="J63" s="27" t="n">
        <x:f>'Source Data'!H86*G63*'Assumptions'!$F$56*'Assumptions'!$G$56</x:f>
        <x:v>4812.4313862178815</x:v>
      </x:c>
      <x:c r="K63" s="27" t="n">
        <x:f>'Source Data'!I86*G63*'Assumptions'!$F$56*'Assumptions'!$G$56</x:f>
        <x:v>5433.342698996836</x:v>
      </x:c>
      <x:c r="L63" s="27" t="n">
        <x:f>'Source Data'!J86*G63*'Assumptions'!$F$56*'Assumptions'!$G$56</x:f>
        <x:v>5840.400946804417</x:v>
      </x:c>
      <x:c r="M63" s="27" t="n">
        <x:f>SUMPRODUCT(H63:L63,'Source Data'!D17:H17)</x:f>
        <x:v>4681.529107809674</x:v>
      </x:c>
      <x:c r="N63" s="27" t="n">
        <x:f>SUMPRODUCT(H63:L63,'Source Data'!D18:H18)</x:f>
        <x:v>4796.121387135074</x:v>
      </x:c>
      <x:c r="O63" s="27" t="n">
        <x:f>SUMPRODUCT(H63:L63,'Source Data'!D19:H19)</x:f>
        <x:v>4941.787909713497</x:v>
      </x:c>
      <x:c r="P63" s="27" t="n">
        <x:f>SUMPRODUCT(H63:L63,'Source Data'!D20:H20)</x:f>
        <x:v>5097.015737908236</x:v>
      </x:c>
      <x:c r="Q63" s="27" t="n">
        <x:f>SUMPRODUCT(H63:L63,'Source Data'!D21:H21)</x:f>
        <x:v>5252.243566102974</x:v>
      </x:c>
      <x:c r="R63" s="27" t="n">
        <x:f>SUMPRODUCT(H63:L63,'Source Data'!D22:H22)</x:f>
        <x:v>5404.501212839777</x:v>
      </x:c>
      <x:c r="S63" s="27" t="n">
        <x:f>SUMPRODUCT(H63:L63,'Source Data'!D23:H23)</x:f>
        <x:v>5518.146500623415</x:v>
      </x:c>
      <x:c r="T63" s="27" t="n">
        <x:f>SUMPRODUCT(H63:L63,'Source Data'!D24:H24)</x:f>
        <x:v>5619.911062575311</x:v>
      </x:c>
      <x:c r="U63" s="3"/>
      <x:c r="V63" s="3"/>
      <x:c r="W63" s="28" t="n">
        <x:f>M63*F63</x:f>
        <x:v>2981.0476197870275</x:v>
      </x:c>
      <x:c r="X63" s="28" t="n">
        <x:f>N63*F63</x:f>
        <x:v>3054.016308790603</x:v>
      </x:c>
      <x:c r="Y63" s="28" t="n">
        <x:f>O63*F63</x:f>
        <x:v>3146.7720794832753</x:v>
      </x:c>
      <x:c r="Z63" s="28" t="n">
        <x:f>P63*F63</x:f>
        <x:v>3245.616183003361</x:v>
      </x:c>
      <x:c r="AA63" s="28" t="n">
        <x:f>Q63*F63</x:f>
        <x:v>3344.460286523447</x:v>
      </x:c>
      <x:c r="AB63" s="28" t="n">
        <x:f>R63*F63</x:f>
        <x:v>3441.4130737317864</x:v>
      </x:c>
      <x:c r="AC63" s="28" t="n">
        <x:f>S63*F63</x:f>
        <x:v>3513.778748887426</x:v>
      </x:c>
      <x:c r="AD63" s="28" t="n">
        <x:f>T63*F63</x:f>
        <x:v>3578.5791587960816</x:v>
      </x:c>
    </x:row>
    <x:row r="64" ht="19" customHeight="1">
      <x:c r="A64" s="2"/>
      <x:c r="B64" s="2"/>
      <x:c r="C64" s="45" t="n">
        <x:f>'Source Data'!C87</x:f>
        <x:v>1</x:v>
      </x:c>
      <x:c r="D64" s="45" t="n">
        <x:f>'Source Data'!D87</x:f>
        <x:v>12</x:v>
      </x:c>
      <x:c r="E64" s="45" t="n">
        <x:f>'Source Data'!E87</x:f>
        <x:v>4</x:v>
      </x:c>
      <x:c r="F64" s="27" t="n">
        <x:f>IF(D64=0,0.5,1)*EXP(-'Assumptions'!$D$21*MAX(D64-6,0))</x:f>
        <x:v>0.5818049644746394</x:v>
      </x:c>
      <x:c r="G64" s="27" t="n">
        <x:f>IF(D64/'Assumptions'!$D$20&gt;=31,0,INDEX('Source Data'!$N$29:$N$60,INT(D64/'Assumptions'!$D$20)+1)+(D64/'Assumptions'!$D$20-INT(D64/'Assumptions'!$D$20))*(INDEX('Source Data'!$N$29:$N$60,MIN(32,INT(D64/'Assumptions'!$D$20)+2))-INDEX('Source Data'!$N$29:$N$60,INT(D64/'Assumptions'!$D$20)+1)))</x:f>
        <x:v>0.7444822565969063</x:v>
      </x:c>
      <x:c r="H64" s="27" t="n">
        <x:f>'Source Data'!F87*G64*'Assumptions'!$F$56*'Assumptions'!$G$56</x:f>
        <x:v>3475.5343783584435</x:v>
      </x:c>
      <x:c r="I64" s="27" t="n">
        <x:f>'Source Data'!G87*G64*'Assumptions'!$F$56*'Assumptions'!$G$56</x:f>
        <x:v>3758.901718433008</x:v>
      </x:c>
      <x:c r="J64" s="27" t="n">
        <x:f>'Source Data'!H87*G64*'Assumptions'!$F$56*'Assumptions'!$G$56</x:f>
        <x:v>4145.742868500568</x:v>
      </x:c>
      <x:c r="K64" s="27" t="n">
        <x:f>'Source Data'!I87*G64*'Assumptions'!$F$56*'Assumptions'!$G$56</x:f>
        <x:v>4572.141193846699</x:v>
      </x:c>
      <x:c r="L64" s="27" t="n">
        <x:f>'Source Data'!J87*G64*'Assumptions'!$F$56*'Assumptions'!$G$56</x:f>
        <x:v>5162.0496960255105</x:v>
      </x:c>
      <x:c r="M64" s="27" t="n">
        <x:f>SUMPRODUCT(H64:L64,'Source Data'!D17:H17)</x:f>
        <x:v>4032.9141997308634</x:v>
      </x:c>
      <x:c r="N64" s="27" t="n">
        <x:f>SUMPRODUCT(H64:L64,'Source Data'!D18:H18)</x:f>
        <x:v>4130.173892459956</x:v>
      </x:c>
      <x:c r="O64" s="27" t="n">
        <x:f>SUMPRODUCT(H64:L64,'Source Data'!D19:H19)</x:f>
        <x:v>4234.575852947678</x:v>
      </x:c>
      <x:c r="P64" s="27" t="n">
        <x:f>SUMPRODUCT(H64:L64,'Source Data'!D20:H20)</x:f>
        <x:v>4341.175434284212</x:v>
      </x:c>
      <x:c r="Q64" s="27" t="n">
        <x:f>SUMPRODUCT(H64:L64,'Source Data'!D21:H21)</x:f>
        <x:v>4447.775015620744</x:v>
      </x:c>
      <x:c r="R64" s="27" t="n">
        <x:f>SUMPRODUCT(H64:L64,'Source Data'!D22:H22)</x:f>
        <x:v>4556.6455716355085</x:v>
      </x:c>
      <x:c r="S64" s="27" t="n">
        <x:f>SUMPRODUCT(H64:L64,'Source Data'!D23:H23)</x:f>
        <x:v>4695.038798467284</x:v>
      </x:c>
      <x:c r="T64" s="27" t="n">
        <x:f>SUMPRODUCT(H64:L64,'Source Data'!D24:H24)</x:f>
        <x:v>4842.515924011988</x:v>
      </x:c>
      <x:c r="U64" s="3"/>
      <x:c r="V64" s="3"/>
      <x:c r="W64" s="28" t="n">
        <x:f>M64*F64</x:f>
        <x:v>2346.369502703684</x:v>
      </x:c>
      <x:c r="X64" s="28" t="n">
        <x:f>N64*F64</x:f>
        <x:v>2402.9556747767474</x:v>
      </x:c>
      <x:c r="Y64" s="28" t="n">
        <x:f>O64*F64</x:f>
        <x:v>2463.6972536893895</x:v>
      </x:c>
      <x:c r="Z64" s="28" t="n">
        <x:f>P64*F64</x:f>
        <x:v>2525.7174193219034</x:v>
      </x:c>
      <x:c r="AA64" s="28" t="n">
        <x:f>Q64*F64</x:f>
        <x:v>2587.7375849544155</x:v>
      </x:c>
      <x:c r="AB64" s="28" t="n">
        <x:f>R64*F64</x:f>
        <x:v>2651.0790149289196</x:v>
      </x:c>
      <x:c r="AC64" s="28" t="n">
        <x:f>S64*F64</x:f>
        <x:v>2731.596881349312</x:v>
      </x:c>
      <x:c r="AD64" s="28" t="n">
        <x:f>T64*F64</x:f>
        <x:v>2817.3998051376702</x:v>
      </x:c>
    </x:row>
    <x:row r="65" ht="19" customHeight="1">
      <x:c r="A65" s="2"/>
      <x:c r="B65" s="2"/>
      <x:c r="C65" s="45" t="n">
        <x:f>'Source Data'!C88</x:f>
        <x:v>1</x:v>
      </x:c>
      <x:c r="D65" s="45" t="n">
        <x:f>'Source Data'!D88</x:f>
        <x:v>13</x:v>
      </x:c>
      <x:c r="E65" s="45" t="n">
        <x:f>'Source Data'!E88</x:f>
        <x:v>5</x:v>
      </x:c>
      <x:c r="F65" s="27" t="n">
        <x:f>IF(D65=0,0.5,1)*EXP(-'Assumptions'!$D$21*MAX(D65-6,0))</x:f>
        <x:v>0.5315861531395849</x:v>
      </x:c>
      <x:c r="G65" s="27" t="n">
        <x:f>IF(D65/'Assumptions'!$D$20&gt;=31,0,INDEX('Source Data'!$N$29:$N$60,INT(D65/'Assumptions'!$D$20)+1)+(D65/'Assumptions'!$D$20-INT(D65/'Assumptions'!$D$20))*(INDEX('Source Data'!$N$29:$N$60,MIN(32,INT(D65/'Assumptions'!$D$20)+2))-INDEX('Source Data'!$N$29:$N$60,INT(D65/'Assumptions'!$D$20)+1)))</x:f>
        <x:v>0.7045268425841674</x:v>
      </x:c>
      <x:c r="H65" s="27" t="n">
        <x:f>'Source Data'!F88*G65*'Assumptions'!$F$56*'Assumptions'!$G$56</x:f>
        <x:v>2936.595068807524</x:v>
      </x:c>
      <x:c r="I65" s="27" t="n">
        <x:f>'Source Data'!G88*G65*'Assumptions'!$F$56*'Assumptions'!$G$56</x:f>
        <x:v>3289.006877169108</x:v>
      </x:c>
      <x:c r="J65" s="27" t="n">
        <x:f>'Source Data'!H88*G65*'Assumptions'!$F$56*'Assumptions'!$G$56</x:f>
        <x:v>3557.1662531988054</x:v>
      </x:c>
      <x:c r="K65" s="27" t="n">
        <x:f>'Source Data'!I88*G65*'Assumptions'!$F$56*'Assumptions'!$G$56</x:f>
        <x:v>3923.2461316965546</x:v>
      </x:c>
      <x:c r="L65" s="27" t="n">
        <x:f>'Source Data'!J88*G65*'Assumptions'!$F$56*'Assumptions'!$G$56</x:f>
        <x:v>4326.760202283653</x:v>
      </x:c>
      <x:c r="M65" s="27" t="n">
        <x:f>SUMPRODUCT(H65:L65,'Source Data'!D17:H17)</x:f>
        <x:v>3478.9531018568105</x:v>
      </x:c>
      <x:c r="N65" s="27" t="n">
        <x:f>SUMPRODUCT(H65:L65,'Source Data'!D18:H18)</x:f>
        <x:v>3547.3529528429576</x:v>
      </x:c>
      <x:c r="O65" s="27" t="n">
        <x:f>SUMPRODUCT(H65:L65,'Source Data'!D19:H19)</x:f>
        <x:v>3633.4328945525026</x:v>
      </x:c>
      <x:c r="P65" s="27" t="n">
        <x:f>SUMPRODUCT(H65:L65,'Source Data'!D20:H20)</x:f>
        <x:v>3724.952864176941</x:v>
      </x:c>
      <x:c r="Q65" s="27" t="n">
        <x:f>SUMPRODUCT(H65:L65,'Source Data'!D21:H21)</x:f>
        <x:v>3816.4728338013783</x:v>
      </x:c>
      <x:c r="R65" s="27" t="n">
        <x:f>SUMPRODUCT(H65:L65,'Source Data'!D22:H22)</x:f>
        <x:v>3908.5127227603894</x:v>
      </x:c>
      <x:c r="S65" s="27" t="n">
        <x:f>SUMPRODUCT(H65:L65,'Source Data'!D23:H23)</x:f>
        <x:v>4007.3115630688662</x:v>
      </x:c>
      <x:c r="T65" s="27" t="n">
        <x:f>SUMPRODUCT(H65:L65,'Source Data'!D24:H24)</x:f>
        <x:v>4108.190080715642</x:v>
      </x:c>
      <x:c r="U65" s="3"/>
      <x:c r="V65" s="3"/>
      <x:c r="W65" s="28" t="n">
        <x:f>M65*F65</x:f>
        <x:v>1849.3632963690884</x:v>
      </x:c>
      <x:c r="X65" s="28" t="n">
        <x:f>N65*F65</x:f>
        <x:v>1885.7237100301352</x:v>
      </x:c>
      <x:c r="Y65" s="28" t="n">
        <x:f>O65*F65</x:f>
        <x:v>1931.482615105992</x:v>
      </x:c>
      <x:c r="Z65" s="28" t="n">
        <x:f>P65*F65</x:f>
        <x:v>1980.1333636940988</x:v>
      </x:c>
      <x:c r="AA65" s="28" t="n">
        <x:f>Q65*F65</x:f>
        <x:v>2028.7841122822051</x:v>
      </x:c>
      <x:c r="AB65" s="28" t="n">
        <x:f>R65*F65</x:f>
        <x:v>2077.7112427893203</x:v>
      </x:c>
      <x:c r="AC65" s="28" t="n">
        <x:f>S65*F65</x:f>
        <x:v>2130.2313382435555</x:v>
      </x:c>
      <x:c r="AD65" s="28" t="n">
        <x:f>T65*F65</x:f>
        <x:v>2183.8569613738287</x:v>
      </x:c>
    </x:row>
    <x:row r="66" ht="19" customHeight="1">
      <x:c r="A66" s="2"/>
      <x:c r="B66" s="2"/>
      <x:c r="C66" s="45" t="n">
        <x:f>'Source Data'!C89</x:f>
        <x:v>1</x:v>
      </x:c>
      <x:c r="D66" s="45" t="n">
        <x:f>'Source Data'!D89</x:f>
        <x:v>14</x:v>
      </x:c>
      <x:c r="E66" s="45" t="n">
        <x:f>'Source Data'!E89</x:f>
        <x:v>5</x:v>
      </x:c>
      <x:c r="F66" s="27" t="n">
        <x:f>IF(D66=0,0.5,1)*EXP(-'Assumptions'!$D$21*MAX(D66-6,0))</x:f>
        <x:v>0.4857020057656452</x:v>
      </x:c>
      <x:c r="G66" s="27" t="n">
        <x:f>IF(D66/'Assumptions'!$D$20&gt;=31,0,INDEX('Source Data'!$N$29:$N$60,INT(D66/'Assumptions'!$D$20)+1)+(D66/'Assumptions'!$D$20-INT(D66/'Assumptions'!$D$20))*(INDEX('Source Data'!$N$29:$N$60,MIN(32,INT(D66/'Assumptions'!$D$20)+2))-INDEX('Source Data'!$N$29:$N$60,INT(D66/'Assumptions'!$D$20)+1)))</x:f>
        <x:v>0.6630127388535032</x:v>
      </x:c>
      <x:c r="H66" s="27" t="n">
        <x:f>'Source Data'!F89*G66*'Assumptions'!$F$56*'Assumptions'!$G$56</x:f>
        <x:v>2320.0822372808752</x:v>
      </x:c>
      <x:c r="I66" s="27" t="n">
        <x:f>'Source Data'!G89*G66*'Assumptions'!$F$56*'Assumptions'!$G$56</x:f>
        <x:v>2763.5567898765576</x:v>
      </x:c>
      <x:c r="J66" s="27" t="n">
        <x:f>'Source Data'!H89*G66*'Assumptions'!$F$56*'Assumptions'!$G$56</x:f>
        <x:v>3095.202802694324</x:v>
      </x:c>
      <x:c r="K66" s="27" t="n">
        <x:f>'Source Data'!I89*G66*'Assumptions'!$F$56*'Assumptions'!$G$56</x:f>
        <x:v>3347.5609409571057</x:v>
      </x:c>
      <x:c r="L66" s="27" t="n">
        <x:f>'Source Data'!J89*G66*'Assumptions'!$F$56*'Assumptions'!$G$56</x:f>
        <x:v>3692.069635603405</x:v>
      </x:c>
      <x:c r="M66" s="27" t="n">
        <x:f>SUMPRODUCT(H66:L66,'Source Data'!D17:H17)</x:f>
        <x:v>2998.4727156224753</x:v>
      </x:c>
      <x:c r="N66" s="27" t="n">
        <x:f>SUMPRODUCT(H66:L66,'Source Data'!D18:H18)</x:f>
        <x:v>3080.282998346987</x:v>
      </x:c>
      <x:c r="O66" s="27" t="n">
        <x:f>SUMPRODUCT(H66:L66,'Source Data'!D19:H19)</x:f>
        <x:v>3147.7774148324033</x:v>
      </x:c>
      <x:c r="P66" s="27" t="n">
        <x:f>SUMPRODUCT(H66:L66,'Source Data'!D20:H20)</x:f>
        <x:v>3210.866949398099</x:v>
      </x:c>
      <x:c r="Q66" s="27" t="n">
        <x:f>SUMPRODUCT(H66:L66,'Source Data'!D21:H21)</x:f>
        <x:v>3273.9564839637947</x:v>
      </x:c>
      <x:c r="R66" s="27" t="n">
        <x:f>SUMPRODUCT(H66:L66,'Source Data'!D22:H22)</x:f>
        <x:v>3338.32588736815</x:v>
      </x:c>
      <x:c r="S66" s="27" t="n">
        <x:f>SUMPRODUCT(H66:L66,'Source Data'!D23:H23)</x:f>
        <x:v>3419.3335856750846</x:v>
      </x:c>
      <x:c r="T66" s="27" t="n">
        <x:f>SUMPRODUCT(H66:L66,'Source Data'!D24:H24)</x:f>
        <x:v>3505.46075933666</x:v>
      </x:c>
      <x:c r="U66" s="3"/>
      <x:c r="V66" s="3"/>
      <x:c r="W66" s="28" t="n">
        <x:f>M66*F66</x:f>
        <x:v>1456.3642122113974</x:v>
      </x:c>
      <x:c r="X66" s="28" t="n">
        <x:f>N66*F66</x:f>
        <x:v>1496.0996306229472</x:v>
      </x:c>
      <x:c r="Y66" s="28" t="n">
        <x:f>O66*F66</x:f>
        <x:v>1528.8818040878957</x:v>
      </x:c>
      <x:c r="Z66" s="28" t="n">
        <x:f>P66*F66</x:f>
        <x:v>1559.5245175692753</x:v>
      </x:c>
      <x:c r="AA66" s="28" t="n">
        <x:f>Q66*F66</x:f>
        <x:v>1590.1672310506544</x:v>
      </x:c>
      <x:c r="AB66" s="28" t="n">
        <x:f>R66*F66</x:f>
        <x:v>1621.4315793940877</x:v>
      </x:c>
      <x:c r="AC66" s="28" t="n">
        <x:f>S66*F66</x:f>
        <x:v>1660.7771809442243</x:v>
      </x:c>
      <x:c r="AD66" s="28" t="n">
        <x:f>T66*F66</x:f>
        <x:v>1702.6093219425775</x:v>
      </x:c>
    </x:row>
    <x:row r="67" ht="19" customHeight="1">
      <x:c r="A67" s="2"/>
      <x:c r="B67" s="2"/>
      <x:c r="C67" s="45" t="n">
        <x:f>'Source Data'!C90</x:f>
        <x:v>1</x:v>
      </x:c>
      <x:c r="D67" s="45" t="n">
        <x:f>'Source Data'!D90</x:f>
        <x:v>15</x:v>
      </x:c>
      <x:c r="E67" s="45" t="n">
        <x:f>'Source Data'!E90</x:f>
        <x:v>5</x:v>
      </x:c>
      <x:c r="F67" s="27" t="n">
        <x:f>IF(D67=0,0.5,1)*EXP(-'Assumptions'!$D$21*MAX(D67-6,0))</x:f>
        <x:v>0.44377837347999183</x:v>
      </x:c>
      <x:c r="G67" s="27" t="n">
        <x:f>IF(D67/'Assumptions'!$D$20&gt;=31,0,INDEX('Source Data'!$N$29:$N$60,INT(D67/'Assumptions'!$D$20)+1)+(D67/'Assumptions'!$D$20-INT(D67/'Assumptions'!$D$20))*(INDEX('Source Data'!$N$29:$N$60,MIN(32,INT(D67/'Assumptions'!$D$20)+2))-INDEX('Source Data'!$N$29:$N$60,INT(D67/'Assumptions'!$D$20)+1)))</x:f>
        <x:v>0.6211565059144677</x:v>
      </x:c>
      <x:c r="H67" s="27" t="n">
        <x:f>'Source Data'!F90*G67*'Assumptions'!$F$56*'Assumptions'!$G$56</x:f>
        <x:v>2808.522311858729</x:v>
      </x:c>
      <x:c r="I67" s="27" t="n">
        <x:f>'Source Data'!G90*G67*'Assumptions'!$F$56*'Assumptions'!$G$56</x:f>
        <x:v>2173.6146102345656</x:v>
      </x:c>
      <x:c r="J67" s="27" t="n">
        <x:f>'Source Data'!H90*G67*'Assumptions'!$F$56*'Assumptions'!$G$56</x:f>
        <x:v>2589.09245464018</x:v>
      </x:c>
      <x:c r="K67" s="27" t="n">
        <x:f>'Source Data'!I90*G67*'Assumptions'!$F$56*'Assumptions'!$G$56</x:f>
        <x:v>2899.801535250872</x:v>
      </x:c>
      <x:c r="L67" s="27" t="n">
        <x:f>'Source Data'!J90*G67*'Assumptions'!$F$56*'Assumptions'!$G$56</x:f>
        <x:v>3136.228213376924</x:v>
      </x:c>
      <x:c r="M67" s="27" t="n">
        <x:f>SUMPRODUCT(H67:L67,'Source Data'!D17:H17)</x:f>
        <x:v>2467.911416688543</x:v>
      </x:c>
      <x:c r="N67" s="27" t="n">
        <x:f>SUMPRODUCT(H67:L67,'Source Data'!D18:H18)</x:f>
        <x:v>2570.3257560705724</x:v>
      </x:c>
      <x:c r="O67" s="27" t="n">
        <x:f>SUMPRODUCT(H67:L67,'Source Data'!D19:H19)</x:f>
        <x:v>2653.823513100741</x:v>
      </x:c>
      <x:c r="P67" s="27" t="n">
        <x:f>SUMPRODUCT(H67:L67,'Source Data'!D20:H20)</x:f>
        <x:v>2731.5007832534143</x:v>
      </x:c>
      <x:c r="Q67" s="27" t="n">
        <x:f>SUMPRODUCT(H67:L67,'Source Data'!D21:H21)</x:f>
        <x:v>2809.178053406087</x:v>
      </x:c>
      <x:c r="R67" s="27" t="n">
        <x:f>SUMPRODUCT(H67:L67,'Source Data'!D22:H22)</x:f>
        <x:v>2885.8236235242507</x:v>
      </x:c>
      <x:c r="S67" s="27" t="n">
        <x:f>SUMPRODUCT(H67:L67,'Source Data'!D23:H23)</x:f>
        <x:v>2949.057093193799</x:v>
      </x:c>
      <x:c r="T67" s="27" t="n">
        <x:f>SUMPRODUCT(H67:L67,'Source Data'!D24:H24)</x:f>
        <x:v>3008.163762725313</x:v>
      </x:c>
      <x:c r="U67" s="3"/>
      <x:c r="V67" s="3"/>
      <x:c r="W67" s="28" t="n">
        <x:f>M67*F67</x:f>
        <x:v>1095.2057143907439</x:v>
      </x:c>
      <x:c r="X67" s="28" t="n">
        <x:f>N67*F67</x:f>
        <x:v>1140.6549833427289</x:v>
      </x:c>
      <x:c r="Y67" s="28" t="n">
        <x:f>O67*F67</x:f>
        <x:v>1177.7094821468045</x:v>
      </x:c>
      <x:c r="Z67" s="28" t="n">
        <x:f>P67*F67</x:f>
        <x:v>1212.180974751524</x:v>
      </x:c>
      <x:c r="AA67" s="28" t="n">
        <x:f>Q67*F67</x:f>
        <x:v>1246.652467356243</x:v>
      </x:c>
      <x:c r="AB67" s="28" t="n">
        <x:f>R67*F67</x:f>
        <x:v>1280.6661137977283</x:v>
      </x:c>
      <x:c r="AC67" s="28" t="n">
        <x:f>S67*F67</x:f>
        <x:v>1308.7277601171768</x:v>
      </x:c>
      <x:c r="AD67" s="28" t="n">
        <x:f>T67*F67</x:f>
        <x:v>1334.9580217836915</x:v>
      </x:c>
    </x:row>
    <x:row r="68" ht="19" customHeight="1">
      <x:c r="A68" s="2"/>
      <x:c r="B68" s="2"/>
      <x:c r="C68" s="45" t="n">
        <x:f>'Source Data'!C91</x:f>
        <x:v>1</x:v>
      </x:c>
      <x:c r="D68" s="45" t="n">
        <x:f>'Source Data'!D91</x:f>
        <x:v>16</x:v>
      </x:c>
      <x:c r="E68" s="45" t="n">
        <x:f>'Source Data'!E91</x:f>
        <x:v>5</x:v>
      </x:c>
      <x:c r="F68" s="27" t="n">
        <x:f>IF(D68=0,0.5,1)*EXP(-'Assumptions'!$D$21*MAX(D68-6,0))</x:f>
        <x:v>0.4054734022728572</x:v>
      </x:c>
      <x:c r="G68" s="27" t="n">
        <x:f>IF(D68/'Assumptions'!$D$20&gt;=31,0,INDEX('Source Data'!$N$29:$N$60,INT(D68/'Assumptions'!$D$20)+1)+(D68/'Assumptions'!$D$20-INT(D68/'Assumptions'!$D$20))*(INDEX('Source Data'!$N$29:$N$60,MIN(32,INT(D68/'Assumptions'!$D$20)+2))-INDEX('Source Data'!$N$29:$N$60,INT(D68/'Assumptions'!$D$20)+1)))</x:f>
        <x:v>0.5759481346678799</x:v>
      </x:c>
      <x:c r="H68" s="27" t="n">
        <x:f>'Source Data'!F91*G68*'Assumptions'!$F$56*'Assumptions'!$G$56</x:f>
        <x:v>3462.564507420261</x:v>
      </x:c>
      <x:c r="I68" s="27" t="n">
        <x:f>'Source Data'!G91*G68*'Assumptions'!$F$56*'Assumptions'!$G$56</x:f>
        <x:v>2604.1153417636306</x:v>
      </x:c>
      <x:c r="J68" s="27" t="n">
        <x:f>'Source Data'!H91*G68*'Assumptions'!$F$56*'Assumptions'!$G$56</x:f>
        <x:v>2015.4168367091565</x:v>
      </x:c>
      <x:c r="K68" s="27" t="n">
        <x:f>'Source Data'!I91*G68*'Assumptions'!$F$56*'Assumptions'!$G$56</x:f>
        <x:v>2400.655801773132</x:v>
      </x:c>
      <x:c r="L68" s="27" t="n">
        <x:f>'Source Data'!J91*G68*'Assumptions'!$F$56*'Assumptions'!$G$56</x:f>
        <x:v>2688.751174997383</x:v>
      </x:c>
      <x:c r="M68" s="27" t="n">
        <x:f>SUMPRODUCT(H68:L68,'Source Data'!D17:H17)</x:f>
        <x:v>2187.120567350045</x:v>
      </x:c>
      <x:c r="N68" s="27" t="n">
        <x:f>SUMPRODUCT(H68:L68,'Source Data'!D18:H18)</x:f>
        <x:v>2053.4728503936267</x:v>
      </x:c>
      <x:c r="O68" s="27" t="n">
        <x:f>SUMPRODUCT(H68:L68,'Source Data'!D19:H19)</x:f>
        <x:v>2095.6749544308177</x:v>
      </x:c>
      <x:c r="P68" s="27" t="n">
        <x:f>SUMPRODUCT(H68:L68,'Source Data'!D20:H20)</x:f>
        <x:v>2191.984695696812</x:v>
      </x:c>
      <x:c r="Q68" s="27" t="n">
        <x:f>SUMPRODUCT(H68:L68,'Source Data'!D21:H21)</x:f>
        <x:v>2288.2944369628062</x:v>
      </x:c>
      <x:c r="R68" s="27" t="n">
        <x:f>SUMPRODUCT(H68:L68,'Source Data'!D22:H22)</x:f>
        <x:v>2383.2549616754704</x:v>
      </x:c>
      <x:c r="S68" s="27" t="n">
        <x:f>SUMPRODUCT(H68:L68,'Source Data'!D23:H23)</x:f>
        <x:v>2460.675671194851</x:v>
      </x:c>
      <x:c r="T68" s="27" t="n">
        <x:f>SUMPRODUCT(H68:L68,'Source Data'!D24:H24)</x:f>
        <x:v>2532.699514500914</x:v>
      </x:c>
      <x:c r="U68" s="3"/>
      <x:c r="V68" s="3"/>
      <x:c r="W68" s="28" t="n">
        <x:f>M68*F68</x:f>
        <x:v>886.8192176243645</x:v>
      </x:c>
      <x:c r="X68" s="28" t="n">
        <x:f>N68*F68</x:f>
        <x:v>832.6286231240457</x:v>
      </x:c>
      <x:c r="Y68" s="28" t="n">
        <x:f>O68*F68</x:f>
        <x:v>849.7404538310786</x:v>
      </x:c>
      <x:c r="Z68" s="28" t="n">
        <x:f>P68*F68</x:f>
        <x:v>888.79149229422</x:v>
      </x:c>
      <x:c r="AA68" s="28" t="n">
        <x:f>Q68*F68</x:f>
        <x:v>927.8425307573613</x:v>
      </x:c>
      <x:c r="AB68" s="28" t="n">
        <x:f>R68*F68</x:f>
        <x:v>966.3464977942209</x:v>
      </x:c>
      <x:c r="AC68" s="28" t="n">
        <x:f>S68*F68</x:f>
        <x:v>997.7385362894228</x:v>
      </x:c>
      <x:c r="AD68" s="28" t="n">
        <x:f>T68*F68</x:f>
        <x:v>1026.9422890794992</x:v>
      </x:c>
    </x:row>
    <x:row r="69" ht="19" customHeight="1">
      <x:c r="A69" s="2"/>
      <x:c r="B69" s="2"/>
      <x:c r="C69" s="45" t="n">
        <x:f>'Source Data'!C92</x:f>
        <x:v>1</x:v>
      </x:c>
      <x:c r="D69" s="45" t="n">
        <x:f>'Source Data'!D92</x:f>
        <x:v>17</x:v>
      </x:c>
      <x:c r="E69" s="45" t="n">
        <x:f>'Source Data'!E92</x:f>
        <x:v>5</x:v>
      </x:c>
      <x:c r="F69" s="27" t="n">
        <x:f>IF(D69=0,0.5,1)*EXP(-'Assumptions'!$D$21*MAX(D69-6,0))</x:f>
        <x:v>0.37047474544889886</x:v>
      </x:c>
      <x:c r="G69" s="27" t="n">
        <x:f>IF(D69/'Assumptions'!$D$20&gt;=31,0,INDEX('Source Data'!$N$29:$N$60,INT(D69/'Assumptions'!$D$20)+1)+(D69/'Assumptions'!$D$20-INT(D69/'Assumptions'!$D$20))*(INDEX('Source Data'!$N$29:$N$60,MIN(32,INT(D69/'Assumptions'!$D$20)+2))-INDEX('Source Data'!$N$29:$N$60,INT(D69/'Assumptions'!$D$20)+1)))</x:f>
        <x:v>0.5291010009099181</x:v>
      </x:c>
      <x:c r="H69" s="27" t="n">
        <x:f>'Source Data'!F92*G69*'Assumptions'!$F$56*'Assumptions'!$G$56</x:f>
        <x:v>3283.9529213395926</x:v>
      </x:c>
      <x:c r="I69" s="27" t="n">
        <x:f>'Source Data'!G92*G69*'Assumptions'!$F$56*'Assumptions'!$G$56</x:f>
        <x:v>3180.9224413022293</x:v>
      </x:c>
      <x:c r="J69" s="27" t="n">
        <x:f>'Source Data'!H92*G69*'Assumptions'!$F$56*'Assumptions'!$G$56</x:f>
        <x:v>2392.2988041389194</x:v>
      </x:c>
      <x:c r="K69" s="27" t="n">
        <x:f>'Source Data'!I92*G69*'Assumptions'!$F$56*'Assumptions'!$G$56</x:f>
        <x:v>1851.484537176999</x:v>
      </x:c>
      <x:c r="L69" s="27" t="n">
        <x:f>'Source Data'!J92*G69*'Assumptions'!$F$56*'Assumptions'!$G$56</x:f>
        <x:v>2205.388490911287</x:v>
      </x:c>
      <x:c r="M69" s="27" t="n">
        <x:f>SUMPRODUCT(H69:L69,'Source Data'!D17:H17)</x:f>
        <x:v>2622.314031644885</x:v>
      </x:c>
      <x:c r="N69" s="27" t="n">
        <x:f>SUMPRODUCT(H69:L69,'Source Data'!D18:H18)</x:f>
        <x:v>2428.59991916241</x:v>
      </x:c>
      <x:c r="O69" s="27" t="n">
        <x:f>SUMPRODUCT(H69:L69,'Source Data'!D19:H19)</x:f>
        <x:v>2279.6291651885194</x:v>
      </x:c>
      <x:c r="P69" s="27" t="n">
        <x:f>SUMPRODUCT(H69:L69,'Source Data'!D20:H20)</x:f>
        <x:v>2144.4255984480396</x:v>
      </x:c>
      <x:c r="Q69" s="27" t="n">
        <x:f>SUMPRODUCT(H69:L69,'Source Data'!D21:H21)</x:f>
        <x:v>2009.2220317075594</x:v>
      </x:c>
      <x:c r="R69" s="27" t="n">
        <x:f>SUMPRODUCT(H69:L69,'Source Data'!D22:H22)</x:f>
        <x:v>1886.445106921193</x:v>
      </x:c>
      <x:c r="S69" s="27" t="n">
        <x:f>SUMPRODUCT(H69:L69,'Source Data'!D23:H23)</x:f>
        <x:v>1925.2145275383089</x:v>
      </x:c>
      <x:c r="T69" s="27" t="n">
        <x:f>SUMPRODUCT(H69:L69,'Source Data'!D24:H24)</x:f>
        <x:v>2013.6905159718813</x:v>
      </x:c>
      <x:c r="U69" s="3"/>
      <x:c r="V69" s="3"/>
      <x:c r="W69" s="28" t="n">
        <x:f>M69*F69</x:f>
        <x:v>971.5011233607144</x:v>
      </x:c>
      <x:c r="X69" s="28" t="n">
        <x:f>N69*F69</x:f>
        <x:v>899.7349368489103</x:v>
      </x:c>
      <x:c r="Y69" s="28" t="n">
        <x:f>O69*F69</x:f>
        <x:v>844.5450346911025</x:v>
      </x:c>
      <x:c r="Z69" s="28" t="n">
        <x:f>P69*F69</x:f>
        <x:v>794.45552771914</x:v>
      </x:c>
      <x:c r="AA69" s="28" t="n">
        <x:f>Q69*F69</x:f>
        <x:v>744.3660207471775</x:v>
      </x:c>
      <x:c r="AB69" s="28" t="n">
        <x:f>R69*F69</x:f>
        <x:v>698.8802707899498</x:v>
      </x:c>
      <x:c r="AC69" s="28" t="n">
        <x:f>S69*F69</x:f>
        <x:v>713.2433620242771</x:v>
      </x:c>
      <x:c r="AD69" s="28" t="n">
        <x:f>T69*F69</x:f>
        <x:v>746.0214813175445</x:v>
      </x:c>
    </x:row>
    <x:row r="70" ht="19" customHeight="1">
      <x:c r="A70" s="2"/>
      <x:c r="B70" s="2"/>
      <x:c r="C70" s="45" t="n">
        <x:f>'Source Data'!C93</x:f>
        <x:v>1</x:v>
      </x:c>
      <x:c r="D70" s="45" t="n">
        <x:f>'Source Data'!D93</x:f>
        <x:v>18</x:v>
      </x:c>
      <x:c r="E70" s="45" t="n">
        <x:f>'Source Data'!E93</x:f>
        <x:v>5</x:v>
      </x:c>
      <x:c r="F70" s="27" t="n">
        <x:f>IF(D70=0,0.5,1)*EXP(-'Assumptions'!$D$21*MAX(D70-6,0))</x:f>
        <x:v>0.33849701668733634</x:v>
      </x:c>
      <x:c r="G70" s="27" t="n">
        <x:f>IF(D70/'Assumptions'!$D$20&gt;=31,0,INDEX('Source Data'!$N$29:$N$60,INT(D70/'Assumptions'!$D$20)+1)+(D70/'Assumptions'!$D$20-INT(D70/'Assumptions'!$D$20))*(INDEX('Source Data'!$N$29:$N$60,MIN(32,INT(D70/'Assumptions'!$D$20)+2))-INDEX('Source Data'!$N$29:$N$60,INT(D70/'Assumptions'!$D$20)+1)))</x:f>
        <x:v>0.483452229299363</x:v>
      </x:c>
      <x:c r="H70" s="27" t="n">
        <x:f>'Source Data'!F93*G70*'Assumptions'!$F$56*'Assumptions'!$G$56</x:f>
        <x:v>3189.6090260075534</x:v>
      </x:c>
      <x:c r="I70" s="27" t="n">
        <x:f>'Source Data'!G93*G70*'Assumptions'!$F$56*'Assumptions'!$G$56</x:f>
        <x:v>3000.626266072938</x:v>
      </x:c>
      <x:c r="J70" s="27" t="n">
        <x:f>'Source Data'!H93*G70*'Assumptions'!$F$56*'Assumptions'!$G$56</x:f>
        <x:v>2906.484854179584</x:v>
      </x:c>
      <x:c r="K70" s="27" t="n">
        <x:f>'Source Data'!I93*G70*'Assumptions'!$F$56*'Assumptions'!$G$56</x:f>
        <x:v>2185.9005899103768</x:v>
      </x:c>
      <x:c r="L70" s="27" t="n">
        <x:f>'Source Data'!J93*G70*'Assumptions'!$F$56*'Assumptions'!$G$56</x:f>
        <x:v>1691.7456694887546</x:v>
      </x:c>
      <x:c r="M70" s="27" t="n">
        <x:f>SUMPRODUCT(H70:L70,'Source Data'!D17:H17)</x:f>
        <x:v>2933.9427659818125</x:v>
      </x:c>
      <x:c r="N70" s="27" t="n">
        <x:f>SUMPRODUCT(H70:L70,'Source Data'!D18:H18)</x:f>
        <x:v>2901.706817836587</x:v>
      </x:c>
      <x:c r="O70" s="27" t="n">
        <x:f>SUMPRODUCT(H70:L70,'Source Data'!D19:H19)</x:f>
        <x:v>2756.3631324568323</x:v>
      </x:c>
      <x:c r="P70" s="27" t="n">
        <x:f>SUMPRODUCT(H70:L70,'Source Data'!D20:H20)</x:f>
        <x:v>2576.217066389531</x:v>
      </x:c>
      <x:c r="Q70" s="27" t="n">
        <x:f>SUMPRODUCT(H70:L70,'Source Data'!D21:H21)</x:f>
        <x:v>2396.0710003222293</x:v>
      </x:c>
      <x:c r="R70" s="27" t="n">
        <x:f>SUMPRODUCT(H70:L70,'Source Data'!D22:H22)</x:f>
        <x:v>2219.06978625281</x:v>
      </x:c>
      <x:c r="S70" s="27" t="n">
        <x:f>SUMPRODUCT(H70:L70,'Source Data'!D23:H23)</x:f>
        <x:v>2082.951648155872</x:v>
      </x:c>
      <x:c r="T70" s="27" t="n">
        <x:f>SUMPRODUCT(H70:L70,'Source Data'!D24:H24)</x:f>
        <x:v>1959.412918050467</x:v>
      </x:c>
      <x:c r="U70" s="3"/>
      <x:c r="V70" s="3"/>
      <x:c r="W70" s="28" t="n">
        <x:f>M70*F70</x:f>
        <x:v>993.1308734162353</x:v>
      </x:c>
      <x:c r="X70" s="28" t="n">
        <x:f>N70*F70</x:f>
        <x:v>982.2191011389889</x:v>
      </x:c>
      <x:c r="Y70" s="28" t="n">
        <x:f>O70*F70</x:f>
        <x:v>933.020697243599</x:v>
      </x:c>
      <x:c r="Z70" s="28" t="n">
        <x:f>P70*F70</x:f>
        <x:v>872.0417913118577</x:v>
      </x:c>
      <x:c r="AA70" s="28" t="n">
        <x:f>Q70*F70</x:f>
        <x:v>811.0628853801163</x:v>
      </x:c>
      <x:c r="AB70" s="28" t="n">
        <x:f>R70*F70</x:f>
        <x:v>751.1485024675814</x:v>
      </x:c>
      <x:c r="AC70" s="28" t="n">
        <x:f>S70*F70</x:f>
        <x:v>705.072918804733</x:v>
      </x:c>
      <x:c r="AD70" s="28" t="n">
        <x:f>T70*F70</x:f>
        <x:v>663.2554272187112</x:v>
      </x:c>
    </x:row>
    <x:row r="71" ht="19" customHeight="1">
      <x:c r="A71" s="2"/>
      <x:c r="B71" s="2"/>
      <x:c r="C71" s="45" t="n">
        <x:f>'Source Data'!C94</x:f>
        <x:v>1</x:v>
      </x:c>
      <x:c r="D71" s="45" t="n">
        <x:f>'Source Data'!D94</x:f>
        <x:v>19</x:v>
      </x:c>
      <x:c r="E71" s="45" t="n">
        <x:f>'Source Data'!E94</x:f>
        <x:v>5</x:v>
      </x:c>
      <x:c r="F71" s="27" t="n">
        <x:f>IF(D71=0,0.5,1)*EXP(-'Assumptions'!$D$21*MAX(D71-6,0))</x:f>
        <x:v>0.3092794629425864</x:v>
      </x:c>
      <x:c r="G71" s="27" t="n">
        <x:f>IF(D71/'Assumptions'!$D$20&gt;=31,0,INDEX('Source Data'!$N$29:$N$60,INT(D71/'Assumptions'!$D$20)+1)+(D71/'Assumptions'!$D$20-INT(D71/'Assumptions'!$D$20))*(INDEX('Source Data'!$N$29:$N$60,MIN(32,INT(D71/'Assumptions'!$D$20)+2))-INDEX('Source Data'!$N$29:$N$60,INT(D71/'Assumptions'!$D$20)+1)))</x:f>
        <x:v>0.4397315741583258</x:v>
      </x:c>
      <x:c r="H71" s="27" t="n">
        <x:f>'Source Data'!F94*G71*'Assumptions'!$F$56*'Assumptions'!$G$56</x:f>
        <x:v>2945.7236792739986</x:v>
      </x:c>
      <x:c r="I71" s="27" t="n">
        <x:f>'Source Data'!G94*G71*'Assumptions'!$F$56*'Assumptions'!$G$56</x:f>
        <x:v>2901.159024519475</x:v>
      </x:c>
      <x:c r="J71" s="27" t="n">
        <x:f>'Source Data'!H94*G71*'Assumptions'!$F$56*'Assumptions'!$G$56</x:f>
        <x:v>2729.266784752028</x:v>
      </x:c>
      <x:c r="K71" s="27" t="n">
        <x:f>'Source Data'!I94*G71*'Assumptions'!$F$56*'Assumptions'!$G$56</x:f>
        <x:v>2643.6389838308364</x:v>
      </x:c>
      <x:c r="L71" s="27" t="n">
        <x:f>'Source Data'!J94*G71*'Assumptions'!$F$56*'Assumptions'!$G$56</x:f>
        <x:v>1988.2202399768096</x:v>
      </x:c>
      <x:c r="M71" s="27" t="n">
        <x:f>SUMPRODUCT(H71:L71,'Source Data'!D17:H17)</x:f>
        <x:v>2779.4020213508666</x:v>
      </x:c>
      <x:c r="N71" s="27" t="n">
        <x:f>SUMPRODUCT(H71:L71,'Source Data'!D18:H18)</x:f>
        <x:v>2737.627078615203</x:v>
      </x:c>
      <x:c r="O71" s="27" t="n">
        <x:f>SUMPRODUCT(H71:L71,'Source Data'!D19:H19)</x:f>
        <x:v>2711.4276595601127</x:v>
      </x:c>
      <x:c r="P71" s="27" t="n">
        <x:f>SUMPRODUCT(H71:L71,'Source Data'!D20:H20)</x:f>
        <x:v>2690.0207093298154</x:v>
      </x:c>
      <x:c r="Q71" s="27" t="n">
        <x:f>SUMPRODUCT(H71:L71,'Source Data'!D21:H21)</x:f>
        <x:v>2668.613759099517</x:v>
      </x:c>
      <x:c r="R71" s="27" t="n">
        <x:f>SUMPRODUCT(H71:L71,'Source Data'!D22:H22)</x:f>
        <x:v>2639.29304577293</x:v>
      </x:c>
      <x:c r="S71" s="27" t="n">
        <x:f>SUMPRODUCT(H71:L71,'Source Data'!D23:H23)</x:f>
        <x:v>2507.0934121945807</x:v>
      </x:c>
      <x:c r="T71" s="27" t="n">
        <x:f>SUMPRODUCT(H71:L71,'Source Data'!D24:H24)</x:f>
        <x:v>2343.2387262310745</x:v>
      </x:c>
      <x:c r="U71" s="3"/>
      <x:c r="V71" s="3"/>
      <x:c r="W71" s="28" t="n">
        <x:f>M71*F71</x:f>
        <x:v>859.6119644649351</x:v>
      </x:c>
      <x:c r="X71" s="28" t="n">
        <x:f>N71*F71</x:f>
        <x:v>846.6918326111918</x:v>
      </x:c>
      <x:c r="Y71" s="28" t="n">
        <x:f>O71*F71</x:f>
        <x:v>838.5888903564256</x:v>
      </x:c>
      <x:c r="Z71" s="28" t="n">
        <x:f>P71*F71</x:f>
        <x:v>831.9681602859606</x:v>
      </x:c>
      <x:c r="AA71" s="28" t="n">
        <x:f>Q71*F71</x:f>
        <x:v>825.3474302154954</x:v>
      </x:c>
      <x:c r="AB71" s="28" t="n">
        <x:f>R71*F71</x:f>
        <x:v>816.2791357447549</x:v>
      </x:c>
      <x:c r="AC71" s="28" t="n">
        <x:f>S71*F71</x:f>
        <x:v>775.3925040704363</x:v>
      </x:c>
      <x:c r="AD71" s="28" t="n">
        <x:f>T71*F71</x:f>
        <x:v>724.7156147950169</x:v>
      </x:c>
    </x:row>
    <x:row r="72" ht="19" customHeight="1">
      <x:c r="A72" s="2"/>
      <x:c r="B72" s="2"/>
      <x:c r="C72" s="45" t="n">
        <x:f>'Source Data'!C95</x:f>
        <x:v>1</x:v>
      </x:c>
      <x:c r="D72" s="45" t="n">
        <x:f>'Source Data'!D95</x:f>
        <x:v>20</x:v>
      </x:c>
      <x:c r="E72" s="45" t="n">
        <x:f>'Source Data'!E95</x:f>
        <x:v>5</x:v>
      </x:c>
      <x:c r="F72" s="27" t="n">
        <x:f>IF(D72=0,0.5,1)*EXP(-'Assumptions'!$D$21*MAX(D72-6,0))</x:f>
        <x:v>0.28258383820974226</x:v>
      </x:c>
      <x:c r="G72" s="27" t="n">
        <x:f>IF(D72/'Assumptions'!$D$20&gt;=31,0,INDEX('Source Data'!$N$29:$N$60,INT(D72/'Assumptions'!$D$20)+1)+(D72/'Assumptions'!$D$20-INT(D72/'Assumptions'!$D$20))*(INDEX('Source Data'!$N$29:$N$60,MIN(32,INT(D72/'Assumptions'!$D$20)+2))-INDEX('Source Data'!$N$29:$N$60,INT(D72/'Assumptions'!$D$20)+1)))</x:f>
        <x:v>0.3984704276615104</x:v>
      </x:c>
      <x:c r="H72" s="27" t="n">
        <x:f>'Source Data'!F95*G72*'Assumptions'!$F$56*'Assumptions'!$G$56</x:f>
        <x:v>2578.168550650229</x:v>
      </x:c>
      <x:c r="I72" s="27" t="n">
        <x:f>'Source Data'!G95*G72*'Assumptions'!$F$56*'Assumptions'!$G$56</x:f>
        <x:v>2669.318837292148</x:v>
      </x:c>
      <x:c r="J72" s="27" t="n">
        <x:f>'Source Data'!H95*G72*'Assumptions'!$F$56*'Assumptions'!$G$56</x:f>
        <x:v>2628.9357989064874</x:v>
      </x:c>
      <x:c r="K72" s="27" t="n">
        <x:f>'Source Data'!I95*G72*'Assumptions'!$F$56*'Assumptions'!$G$56</x:f>
        <x:v>2473.172650847512</x:v>
      </x:c>
      <x:c r="L72" s="27" t="n">
        <x:f>'Source Data'!J95*G72*'Assumptions'!$F$56*'Assumptions'!$G$56</x:f>
        <x:v>2395.5795270922076</x:v>
      </x:c>
      <x:c r="M72" s="27" t="n">
        <x:f>SUMPRODUCT(H72:L72,'Source Data'!D17:H17)</x:f>
        <x:v>2640.7141851023052</x:v>
      </x:c>
      <x:c r="N72" s="27" t="n">
        <x:f>SUMPRODUCT(H72:L72,'Source Data'!D18:H18)</x:f>
        <x:v>2629.0159239826494</x:v>
      </x:c>
      <x:c r="O72" s="27" t="n">
        <x:f>SUMPRODUCT(H72:L72,'Source Data'!D19:H19)</x:f>
        <x:v>2596.4851430608674</x:v>
      </x:c>
      <x:c r="P72" s="27" t="n">
        <x:f>SUMPRODUCT(H72:L72,'Source Data'!D20:H20)</x:f>
        <x:v>2557.544356046124</x:v>
      </x:c>
      <x:c r="Q72" s="27" t="n">
        <x:f>SUMPRODUCT(H72:L72,'Source Data'!D21:H21)</x:f>
        <x:v>2518.60356903138</x:v>
      </x:c>
      <x:c r="R72" s="27" t="n">
        <x:f>SUMPRODUCT(H72:L72,'Source Data'!D22:H22)</x:f>
        <x:v>2480.748476798632</x:v>
      </x:c>
      <x:c r="S72" s="27" t="n">
        <x:f>SUMPRODUCT(H72:L72,'Source Data'!D23:H23)</x:f>
        <x:v>2457.0074167318235</x:v>
      </x:c>
      <x:c r="T72" s="27" t="n">
        <x:f>SUMPRODUCT(H72:L72,'Source Data'!D24:H24)</x:f>
        <x:v>2437.609135792998</x:v>
      </x:c>
      <x:c r="U72" s="3"/>
      <x:c r="V72" s="3"/>
      <x:c r="W72" s="28" t="n">
        <x:f>M72*F72</x:f>
        <x:v>746.2231500411211</x:v>
      </x:c>
      <x:c r="X72" s="28" t="n">
        <x:f>N72*F72</x:f>
        <x:v>742.917410513549</x:v>
      </x:c>
      <x:c r="Y72" s="28" t="n">
        <x:f>O72*F72</x:f>
        <x:v>733.7247375807116</x:v>
      </x:c>
      <x:c r="Z72" s="28" t="n">
        <x:f>P72*F72</x:f>
        <x:v>722.7207005231774</x:v>
      </x:c>
      <x:c r="AA72" s="28" t="n">
        <x:f>Q72*F72</x:f>
        <x:v>711.7166634656429</x:v>
      </x:c>
      <x:c r="AB72" s="28" t="n">
        <x:f>R72*F72</x:f>
        <x:v>701.0194262067292</x:v>
      </x:c>
      <x:c r="AC72" s="28" t="n">
        <x:f>S72*F72</x:f>
        <x:v>694.3105863298823</x:v>
      </x:c>
      <x:c r="AD72" s="28" t="n">
        <x:f>T72*F72</x:f>
        <x:v>688.8289456475183</x:v>
      </x:c>
    </x:row>
    <x:row r="73" ht="19" customHeight="1">
      <x:c r="A73" s="2"/>
      <x:c r="B73" s="2"/>
      <x:c r="C73" s="45" t="n">
        <x:f>'Source Data'!C96</x:f>
        <x:v>1</x:v>
      </x:c>
      <x:c r="D73" s="45" t="n">
        <x:f>'Source Data'!D96</x:f>
        <x:v>21</x:v>
      </x:c>
      <x:c r="E73" s="45" t="n">
        <x:f>'Source Data'!E96</x:f>
        <x:v>5</x:v>
      </x:c>
      <x:c r="F73" s="27" t="n">
        <x:f>IF(D73=0,0.5,1)*EXP(-'Assumptions'!$D$21*MAX(D73-6,0))</x:f>
        <x:v>0.25819246081713987</x:v>
      </x:c>
      <x:c r="G73" s="27" t="n">
        <x:f>IF(D73/'Assumptions'!$D$20&gt;=31,0,INDEX('Source Data'!$N$29:$N$60,INT(D73/'Assumptions'!$D$20)+1)+(D73/'Assumptions'!$D$20-INT(D73/'Assumptions'!$D$20))*(INDEX('Source Data'!$N$29:$N$60,MIN(32,INT(D73/'Assumptions'!$D$20)+2))-INDEX('Source Data'!$N$29:$N$60,INT(D73/'Assumptions'!$D$20)+1)))</x:f>
        <x:v>0.35966878980891714</x:v>
      </x:c>
      <x:c r="H73" s="27" t="n">
        <x:f>'Source Data'!F96*G73*'Assumptions'!$F$56*'Assumptions'!$G$56</x:f>
        <x:v>2247.705222884843</x:v>
      </x:c>
      <x:c r="I73" s="27" t="n">
        <x:f>'Source Data'!G96*G73*'Assumptions'!$F$56*'Assumptions'!$G$56</x:f>
        <x:v>2327.1156356011497</x:v>
      </x:c>
      <x:c r="J73" s="27" t="n">
        <x:f>'Source Data'!H96*G73*'Assumptions'!$F$56*'Assumptions'!$G$56</x:f>
        <x:v>2409.3900304154217</x:v>
      </x:c>
      <x:c r="K73" s="27" t="n">
        <x:f>'Source Data'!I96*G73*'Assumptions'!$F$56*'Assumptions'!$G$56</x:f>
        <x:v>2372.9393491685923</x:v>
      </x:c>
      <x:c r="L73" s="27" t="n">
        <x:f>'Source Data'!J96*G73*'Assumptions'!$F$56*'Assumptions'!$G$56</x:f>
        <x:v>2232.343864359393</x:v>
      </x:c>
      <x:c r="M73" s="27" t="n">
        <x:f>SUMPRODUCT(H73:L73,'Source Data'!D17:H17)</x:f>
        <x:v>2385.393331927926</x:v>
      </x:c>
      <x:c r="N73" s="27" t="n">
        <x:f>SUMPRODUCT(H73:L73,'Source Data'!D18:H18)</x:f>
        <x:v>2404.3129712417563</x:v>
      </x:c>
      <x:c r="O73" s="27" t="n">
        <x:f>SUMPRODUCT(H73:L73,'Source Data'!D19:H19)</x:f>
        <x:v>2401.796138488999</x:v>
      </x:c>
      <x:c r="P73" s="27" t="n">
        <x:f>SUMPRODUCT(H73:L73,'Source Data'!D20:H20)</x:f>
        <x:v>2392.6834681772916</x:v>
      </x:c>
      <x:c r="Q73" s="27" t="n">
        <x:f>SUMPRODUCT(H73:L73,'Source Data'!D21:H21)</x:f>
        <x:v>2383.5707978655846</x:v>
      </x:c>
      <x:c r="R73" s="27" t="n">
        <x:f>SUMPRODUCT(H73:L73,'Source Data'!D22:H22)</x:f>
        <x:v>2373.011671948844</x:v>
      </x:c>
      <x:c r="S73" s="27" t="n">
        <x:f>SUMPRODUCT(H73:L73,'Source Data'!D23:H23)</x:f>
        <x:v>2343.648623166676</x:v>
      </x:c>
      <x:c r="T73" s="27" t="n">
        <x:f>SUMPRODUCT(H73:L73,'Source Data'!D24:H24)</x:f>
        <x:v>2308.499751964376</x:v>
      </x:c>
      <x:c r="U73" s="3"/>
      <x:c r="V73" s="3"/>
      <x:c r="W73" s="28" t="n">
        <x:f>M73*F73</x:f>
        <x:v>615.8905743872677</x:v>
      </x:c>
      <x:c r="X73" s="28" t="n">
        <x:f>N73*F73</x:f>
        <x:v>620.7754826194783</x:v>
      </x:c>
      <x:c r="Y73" s="28" t="n">
        <x:f>O73*F73</x:f>
        <x:v>620.1256553775787</x:v>
      </x:c>
      <x:c r="Z73" s="28" t="n">
        <x:f>P73*F73</x:f>
        <x:v>617.7728326051837</x:v>
      </x:c>
      <x:c r="AA73" s="28" t="n">
        <x:f>Q73*F73</x:f>
        <x:v>615.4200098327888</x:v>
      </x:c>
      <x:c r="AB73" s="28" t="n">
        <x:f>R73*F73</x:f>
        <x:v>612.6937231282675</x:v>
      </x:c>
      <x:c r="AC73" s="28" t="n">
        <x:f>S73*F73</x:f>
        <x:v>605.1124053061058</x:v>
      </x:c>
      <x:c r="AD73" s="28" t="n">
        <x:f>T73*F73</x:f>
        <x:v>596.0372317554393</x:v>
      </x:c>
    </x:row>
    <x:row r="74" ht="19" customHeight="1">
      <x:c r="A74" s="2"/>
      <x:c r="B74" s="2"/>
      <x:c r="C74" s="45" t="n">
        <x:f>'Source Data'!C97</x:f>
        <x:v>1</x:v>
      </x:c>
      <x:c r="D74" s="45" t="n">
        <x:f>'Source Data'!D97</x:f>
        <x:v>22</x:v>
      </x:c>
      <x:c r="E74" s="45" t="n">
        <x:f>'Source Data'!E97</x:f>
        <x:v>5</x:v>
      </x:c>
      <x:c r="F74" s="27" t="n">
        <x:f>IF(D74=0,0.5,1)*EXP(-'Assumptions'!$D$21*MAX(D74-6,0))</x:f>
        <x:v>0.23590643840477085</x:v>
      </x:c>
      <x:c r="G74" s="27" t="n">
        <x:f>IF(D74/'Assumptions'!$D$20&gt;=31,0,INDEX('Source Data'!$N$29:$N$60,INT(D74/'Assumptions'!$D$20)+1)+(D74/'Assumptions'!$D$20-INT(D74/'Assumptions'!$D$20))*(INDEX('Source Data'!$N$29:$N$60,MIN(32,INT(D74/'Assumptions'!$D$20)+2))-INDEX('Source Data'!$N$29:$N$60,INT(D74/'Assumptions'!$D$20)+1)))</x:f>
        <x:v>0.32334485896269327</x:v>
      </x:c>
      <x:c r="H74" s="27" t="n">
        <x:f>'Source Data'!F97*G74*'Assumptions'!$F$56*'Assumptions'!$G$56</x:f>
        <x:v>2012.51099260309</x:v>
      </x:c>
      <x:c r="I74" s="27" t="n">
        <x:f>'Source Data'!G97*G74*'Assumptions'!$F$56*'Assumptions'!$G$56</x:f>
        <x:v>2020.7033495164549</x:v>
      </x:c>
      <x:c r="J74" s="27" t="n">
        <x:f>'Source Data'!H97*G74*'Assumptions'!$F$56*'Assumptions'!$G$56</x:f>
        <x:v>2092.093888332917</x:v>
      </x:c>
      <x:c r="K74" s="27" t="n">
        <x:f>'Source Data'!I97*G74*'Assumptions'!$F$56*'Assumptions'!$G$56</x:f>
        <x:v>2166.0591678935793</x:v>
      </x:c>
      <x:c r="L74" s="27" t="n">
        <x:f>'Source Data'!J97*G74*'Assumptions'!$F$56*'Assumptions'!$G$56</x:f>
        <x:v>2133.2897402401213</x:v>
      </x:c>
      <x:c r="M74" s="27" t="n">
        <x:f>SUMPRODUCT(H74:L74,'Source Data'!D17:H17)</x:f>
        <x:v>2071.271647844782</x:v>
      </x:c>
      <x:c r="N74" s="27" t="n">
        <x:f>SUMPRODUCT(H74:L74,'Source Data'!D18:H18)</x:f>
        <x:v>2089.1550428370115</x:v>
      </x:c>
      <x:c r="O74" s="27" t="n">
        <x:f>SUMPRODUCT(H74:L74,'Source Data'!D19:H19)</x:f>
        <x:v>2107.503321574721</x:v>
      </x:c>
      <x:c r="P74" s="27" t="n">
        <x:f>SUMPRODUCT(H74:L74,'Source Data'!D20:H20)</x:f>
        <x:v>2125.9946414648875</x:v>
      </x:c>
      <x:c r="Q74" s="27" t="n">
        <x:f>SUMPRODUCT(H74:L74,'Source Data'!D21:H21)</x:f>
        <x:v>2144.485961355053</x:v>
      </x:c>
      <x:c r="R74" s="27" t="n">
        <x:f>SUMPRODUCT(H74:L74,'Source Data'!D22:H22)</x:f>
        <x:v>2161.4948547561335</x:v>
      </x:c>
      <x:c r="S74" s="27" t="n">
        <x:f>SUMPRODUCT(H74:L74,'Source Data'!D23:H23)</x:f>
        <x:v>2159.232203799109</x:v>
      </x:c>
      <x:c r="T74" s="27" t="n">
        <x:f>SUMPRODUCT(H74:L74,'Source Data'!D24:H24)</x:f>
        <x:v>2151.0398468857447</x:v>
      </x:c>
      <x:c r="U74" s="3"/>
      <x:c r="V74" s="3"/>
      <x:c r="W74" s="28" t="n">
        <x:f>M74*F74</x:f>
        <x:v>488.6263174118433</x:v>
      </x:c>
      <x:c r="X74" s="28" t="n">
        <x:f>N74*F74</x:f>
        <x:v>492.84512543104586</x:v>
      </x:c>
      <x:c r="Y74" s="28" t="n">
        <x:f>O74*F74</x:f>
        <x:v>497.17360251891694</x:v>
      </x:c>
      <x:c r="Z74" s="28" t="n">
        <x:f>P74*F74</x:f>
        <x:v>501.53582393560936</x:v>
      </x:c>
      <x:c r="AA74" s="28" t="n">
        <x:f>Q74*F74</x:f>
        <x:v>505.8980453523016</x:v>
      </x:c>
      <x:c r="AB74" s="28" t="n">
        <x:f>R74*F74</x:f>
        <x:v>509.91055281575694</x:v>
      </x:c>
      <x:c r="AC74" s="28" t="n">
        <x:f>S74*F74</x:f>
        <x:v>509.3767788871321</x:v>
      </x:c>
      <x:c r="AD74" s="28" t="n">
        <x:f>T74*F74</x:f>
        <x:v>507.44414914555966</x:v>
      </x:c>
    </x:row>
    <x:row r="75" ht="19" customHeight="1">
      <x:c r="A75" s="2"/>
      <x:c r="B75" s="2"/>
      <x:c r="C75" s="45" t="n">
        <x:f>'Source Data'!C98</x:f>
        <x:v>1</x:v>
      </x:c>
      <x:c r="D75" s="45" t="n">
        <x:f>'Source Data'!D98</x:f>
        <x:v>23</x:v>
      </x:c>
      <x:c r="E75" s="45" t="n">
        <x:f>'Source Data'!E98</x:f>
        <x:v>5</x:v>
      </x:c>
      <x:c r="F75" s="27" t="n">
        <x:f>IF(D75=0,0.5,1)*EXP(-'Assumptions'!$D$21*MAX(D75-6,0))</x:f>
        <x:v>0.2155440461146476</x:v>
      </x:c>
      <x:c r="G75" s="27" t="n">
        <x:f>IF(D75/'Assumptions'!$D$20&gt;=31,0,INDEX('Source Data'!$N$29:$N$60,INT(D75/'Assumptions'!$D$20)+1)+(D75/'Assumptions'!$D$20-INT(D75/'Assumptions'!$D$20))*(INDEX('Source Data'!$N$29:$N$60,MIN(32,INT(D75/'Assumptions'!$D$20)+2))-INDEX('Source Data'!$N$29:$N$60,INT(D75/'Assumptions'!$D$20)+1)))</x:f>
        <x:v>0.2905878070973612</x:v>
      </x:c>
      <x:c r="H75" s="27" t="n">
        <x:f>'Source Data'!F98*G75*'Assumptions'!$F$56*'Assumptions'!$G$56</x:f>
        <x:v>1764.0346270446985</x:v>
      </x:c>
      <x:c r="I75" s="27" t="n">
        <x:f>'Source Data'!G98*G75*'Assumptions'!$F$56*'Assumptions'!$G$56</x:f>
        <x:v>1808.6298262974385</x:v>
      </x:c>
      <x:c r="J75" s="27" t="n">
        <x:f>'Source Data'!H98*G75*'Assumptions'!$F$56*'Assumptions'!$G$56</x:f>
        <x:v>1815.9922412684098</x:v>
      </x:c>
      <x:c r="K75" s="27" t="n">
        <x:f>'Source Data'!I98*G75*'Assumptions'!$F$56*'Assumptions'!$G$56</x:f>
        <x:v>1880.1504288725873</x:v>
      </x:c>
      <x:c r="L75" s="27" t="n">
        <x:f>'Source Data'!J98*G75*'Assumptions'!$F$56*'Assumptions'!$G$56</x:f>
        <x:v>1946.6225183247843</x:v>
      </x:c>
      <x:c r="M75" s="27" t="n">
        <x:f>SUMPRODUCT(H75:L75,'Source Data'!D17:H17)</x:f>
        <x:v>1813.8448702352098</x:v>
      </x:c>
      <x:c r="N75" s="27" t="n">
        <x:f>SUMPRODUCT(H75:L75,'Source Data'!D18:H18)</x:f>
        <x:v>1816.4743041534139</x:v>
      </x:c>
      <x:c r="O75" s="27" t="n">
        <x:f>SUMPRODUCT(H75:L75,'Source Data'!D19:H19)</x:f>
        <x:v>1829.3585303526133</x:v>
      </x:c>
      <x:c r="P75" s="27" t="n">
        <x:f>SUMPRODUCT(H75:L75,'Source Data'!D20:H20)</x:f>
        <x:v>1845.398077253658</x:v>
      </x:c>
      <x:c r="Q75" s="27" t="n">
        <x:f>SUMPRODUCT(H75:L75,'Source Data'!D21:H21)</x:f>
        <x:v>1861.4376241547025</x:v>
      </x:c>
      <x:c r="R75" s="27" t="n">
        <x:f>SUMPRODUCT(H75:L75,'Source Data'!D22:H22)</x:f>
        <x:v>1877.5093085814137</x:v>
      </x:c>
      <x:c r="S75" s="27" t="n">
        <x:f>SUMPRODUCT(H75:L75,'Source Data'!D23:H23)</x:f>
        <x:v>1893.998780841795</x:v>
      </x:c>
      <x:c r="T75" s="27" t="n">
        <x:f>SUMPRODUCT(H75:L75,'Source Data'!D24:H24)</x:f>
        <x:v>1910.6168032048445</x:v>
      </x:c>
      <x:c r="U75" s="3"/>
      <x:c r="V75" s="3"/>
      <x:c r="W75" s="28" t="n">
        <x:f>M75*F75</x:f>
        <x:v>390.96346235479507</x:v>
      </x:c>
      <x:c r="X75" s="28" t="n">
        <x:f>N75*F75</x:f>
        <x:v>391.53022118051587</x:v>
      </x:c>
      <x:c r="Y75" s="28" t="n">
        <x:f>O75*F75</x:f>
        <x:v>394.3073394265477</x:v>
      </x:c>
      <x:c r="Z75" s="28" t="n">
        <x:f>P75*F75</x:f>
        <x:v>397.76456826344446</x:v>
      </x:c>
      <x:c r="AA75" s="28" t="n">
        <x:f>Q75*F75</x:f>
        <x:v>401.2217971003413</x:v>
      </x:c>
      <x:c r="AB75" s="28" t="n">
        <x:f>R75*F75</x:f>
        <x:v>404.6859529895524</x:v>
      </x:c>
      <x:c r="AC75" s="28" t="n">
        <x:f>S75*F75</x:f>
        <x:v>408.2401605588502</x:v>
      </x:c>
      <x:c r="AD75" s="28" t="n">
        <x:f>T75*F75</x:f>
        <x:v>411.8220763374056</x:v>
      </x:c>
    </x:row>
    <x:row r="76" ht="19" customHeight="1">
      <x:c r="A76" s="2"/>
      <x:c r="B76" s="2"/>
      <x:c r="C76" s="45" t="n">
        <x:f>'Source Data'!C99</x:f>
        <x:v>1</x:v>
      </x:c>
      <x:c r="D76" s="45" t="n">
        <x:f>'Source Data'!D99</x:f>
        <x:v>24</x:v>
      </x:c>
      <x:c r="E76" s="45" t="n">
        <x:f>'Source Data'!E99</x:f>
        <x:v>5</x:v>
      </x:c>
      <x:c r="F76" s="27" t="n">
        <x:f>IF(D76=0,0.5,1)*EXP(-'Assumptions'!$D$21*MAX(D76-6,0))</x:f>
        <x:v>0.19693924476854713</x:v>
      </x:c>
      <x:c r="G76" s="27" t="n">
        <x:f>IF(D76/'Assumptions'!$D$20&gt;=31,0,INDEX('Source Data'!$N$29:$N$60,INT(D76/'Assumptions'!$D$20)+1)+(D76/'Assumptions'!$D$20-INT(D76/'Assumptions'!$D$20))*(INDEX('Source Data'!$N$29:$N$60,MIN(32,INT(D76/'Assumptions'!$D$20)+2))-INDEX('Source Data'!$N$29:$N$60,INT(D76/'Assumptions'!$D$20)+1)))</x:f>
        <x:v>0.2603448589626933</x:v>
      </x:c>
      <x:c r="H76" s="27" t="n">
        <x:f>'Source Data'!F99*G76*'Assumptions'!$F$56*'Assumptions'!$G$56</x:f>
        <x:v>1521.4539734158968</x:v>
      </x:c>
      <x:c r="I76" s="27" t="n">
        <x:f>'Source Data'!G99*G76*'Assumptions'!$F$56*'Assumptions'!$G$56</x:f>
        <x:v>1580.442589008511</x:v>
      </x:c>
      <x:c r="J76" s="27" t="n">
        <x:f>'Source Data'!H99*G76*'Assumptions'!$F$56*'Assumptions'!$G$56</x:f>
        <x:v>1620.396539505745</x:v>
      </x:c>
      <x:c r="K76" s="27" t="n">
        <x:f>'Source Data'!I99*G76*'Assumptions'!$F$56*'Assumptions'!$G$56</x:f>
        <x:v>1626.9927105784018</x:v>
      </x:c>
      <x:c r="L76" s="27" t="n">
        <x:f>'Source Data'!J99*G76*'Assumptions'!$F$56*'Assumptions'!$G$56</x:f>
        <x:v>1684.4736299258377</x:v>
      </x:c>
      <x:c r="M76" s="27" t="n">
        <x:f>SUMPRODUCT(H76:L76,'Source Data'!D17:H17)</x:f>
        <x:v>1608.7433039440518</x:v>
      </x:c>
      <x:c r="N76" s="27" t="n">
        <x:f>SUMPRODUCT(H76:L76,'Source Data'!D18:H18)</x:f>
        <x:v>1618.2684890763524</x:v>
      </x:c>
      <x:c r="O76" s="27" t="n">
        <x:f>SUMPRODUCT(H76:L76,'Source Data'!D19:H19)</x:f>
        <x:v>1621.7707418125485</x:v>
      </x:c>
      <x:c r="P76" s="27" t="n">
        <x:f>SUMPRODUCT(H76:L76,'Source Data'!D20:H20)</x:f>
        <x:v>1623.419784580713</x:v>
      </x:c>
      <x:c r="Q76" s="27" t="n">
        <x:f>SUMPRODUCT(H76:L76,'Source Data'!D21:H21)</x:f>
        <x:v>1625.068827348877</x:v>
      </x:c>
      <x:c r="R76" s="27" t="n">
        <x:f>SUMPRODUCT(H76:L76,'Source Data'!D22:H22)</x:f>
        <x:v>1627.4246027319687</x:v>
      </x:c>
      <x:c r="S76" s="27" t="n">
        <x:f>SUMPRODUCT(H76:L76,'Source Data'!D23:H23)</x:f>
        <x:v>1638.9679021091174</x:v>
      </x:c>
      <x:c r="T76" s="27" t="n">
        <x:f>SUMPRODUCT(H76:L76,'Source Data'!D24:H24)</x:f>
        <x:v>1653.3381319459768</x:v>
      </x:c>
      <x:c r="U76" s="3"/>
      <x:c r="V76" s="3"/>
      <x:c r="W76" s="28" t="n">
        <x:f>M76*F76</x:f>
        <x:v>316.8246913051988</x:v>
      </x:c>
      <x:c r="X76" s="28" t="n">
        <x:f>N76*F76</x:f>
        <x:v>318.7005740714347</x:v>
      </x:c>
      <x:c r="Y76" s="28" t="n">
        <x:f>O76*F76</x:f>
        <x:v>319.39030508028975</x:v>
      </x:c>
      <x:c r="Z76" s="28" t="n">
        <x:f>P76*F76</x:f>
        <x:v>319.7150663176431</x:v>
      </x:c>
      <x:c r="AA76" s="28" t="n">
        <x:f>Q76*F76</x:f>
        <x:v>320.03982755499635</x:v>
      </x:c>
      <x:c r="AB76" s="28" t="n">
        <x:f>R76*F76</x:f>
        <x:v>320.5037721797867</x:v>
      </x:c>
      <x:c r="AC76" s="28" t="n">
        <x:f>S76*F76</x:f>
        <x:v>322.77710084125965</x:v>
      </x:c>
      <x:c r="AD76" s="28" t="n">
        <x:f>T76*F76</x:f>
        <x:v>325.6071630524812</x:v>
      </x:c>
    </x:row>
    <x:row r="77" ht="19" customHeight="1">
      <x:c r="A77" s="2"/>
      <x:c r="B77" s="2"/>
      <x:c r="C77" s="45" t="n">
        <x:f>'Source Data'!C100</x:f>
        <x:v>1</x:v>
      </x:c>
      <x:c r="D77" s="45" t="n">
        <x:f>'Source Data'!D100</x:f>
        <x:v>25</x:v>
      </x:c>
      <x:c r="E77" s="45" t="n">
        <x:f>'Source Data'!E100</x:f>
        <x:v>5</x:v>
      </x:c>
      <x:c r="F77" s="27" t="n">
        <x:f>IF(D77=0,0.5,1)*EXP(-'Assumptions'!$D$21*MAX(D77-6,0))</x:f>
        <x:v>0.17994032695004702</x:v>
      </x:c>
      <x:c r="G77" s="27" t="n">
        <x:f>IF(D77/'Assumptions'!$D$20&gt;=31,0,INDEX('Source Data'!$N$29:$N$60,INT(D77/'Assumptions'!$D$20)+1)+(D77/'Assumptions'!$D$20-INT(D77/'Assumptions'!$D$20))*(INDEX('Source Data'!$N$29:$N$60,MIN(32,INT(D77/'Assumptions'!$D$20)+2))-INDEX('Source Data'!$N$29:$N$60,INT(D77/'Assumptions'!$D$20)+1)))</x:f>
        <x:v>0.23256141947224745</x:v>
      </x:c>
      <x:c r="H77" s="27" t="n">
        <x:f>'Source Data'!F100*G77*'Assumptions'!$F$56*'Assumptions'!$G$56</x:f>
        <x:v>1228.78497787208</x:v>
      </x:c>
      <x:c r="I77" s="27" t="n">
        <x:f>'Source Data'!G100*G77*'Assumptions'!$F$56*'Assumptions'!$G$56</x:f>
        <x:v>1359.087700556419</x:v>
      </x:c>
      <x:c r="J77" s="27" t="n">
        <x:f>'Source Data'!H100*G77*'Assumptions'!$F$56*'Assumptions'!$G$56</x:f>
        <x:v>1411.7811788512483</x:v>
      </x:c>
      <x:c r="K77" s="27" t="n">
        <x:f>'Source Data'!I100*G77*'Assumptions'!$F$56*'Assumptions'!$G$56</x:f>
        <x:v>1447.471330284168</x:v>
      </x:c>
      <x:c r="L77" s="27" t="n">
        <x:f>'Source Data'!J100*G77*'Assumptions'!$F$56*'Assumptions'!$G$56</x:f>
        <x:v>1453.3635722660179</x:v>
      </x:c>
      <x:c r="M77" s="27" t="n">
        <x:f>SUMPRODUCT(H77:L77,'Source Data'!D17:H17)</x:f>
        <x:v>1396.4122476819232</x:v>
      </x:c>
      <x:c r="N77" s="27" t="n">
        <x:f>SUMPRODUCT(H77:L77,'Source Data'!D18:H18)</x:f>
        <x:v>1409.349459938104</x:v>
      </x:c>
      <x:c r="O77" s="27" t="n">
        <x:f>SUMPRODUCT(H77:L77,'Source Data'!D19:H19)</x:f>
        <x:v>1419.21662706644</x:v>
      </x:c>
      <x:c r="P77" s="27" t="n">
        <x:f>SUMPRODUCT(H77:L77,'Source Data'!D20:H20)</x:f>
        <x:v>1428.1391649246702</x:v>
      </x:c>
      <x:c r="Q77" s="27" t="n">
        <x:f>SUMPRODUCT(H77:L77,'Source Data'!D21:H21)</x:f>
        <x:v>1437.0617027829</x:v>
      </x:c>
      <x:c r="R77" s="27" t="n">
        <x:f>SUMPRODUCT(H77:L77,'Source Data'!D22:H22)</x:f>
        <x:v>1445.5703807876428</x:v>
      </x:c>
      <x:c r="S77" s="27" t="n">
        <x:f>SUMPRODUCT(H77:L77,'Source Data'!D23:H23)</x:f>
        <x:v>1448.6988806970535</x:v>
      </x:c>
      <x:c r="T77" s="27" t="n">
        <x:f>SUMPRODUCT(H77:L77,'Source Data'!D24:H24)</x:f>
        <x:v>1450.171941192516</x:v>
      </x:c>
      <x:c r="U77" s="3"/>
      <x:c r="V77" s="3"/>
      <x:c r="W77" s="28" t="n">
        <x:f>M77*F77</x:f>
        <x:v>251.2708764049353</x:v>
      </x:c>
      <x:c r="X77" s="28" t="n">
        <x:f>N77*F77</x:f>
        <x:v>253.59880260813463</x:v>
      </x:c>
      <x:c r="Y77" s="28" t="n">
        <x:f>O77*F77</x:f>
        <x:v>255.37430388727816</x:v>
      </x:c>
      <x:c r="Z77" s="28" t="n">
        <x:f>P77*F77</x:f>
        <x:v>256.9798282667123</x:v>
      </x:c>
      <x:c r="AA77" s="28" t="n">
        <x:f>Q77*F77</x:f>
        <x:v>258.58535264614636</x:v>
      </x:c>
      <x:c r="AB77" s="28" t="n">
        <x:f>R77*F77</x:f>
        <x:v>260.1164069482324</x:v>
      </x:c>
      <x:c r="AC77" s="28" t="n">
        <x:f>S77*F77</x:f>
        <x:v>260.679350244795</x:v>
      </x:c>
      <x:c r="AD77" s="28" t="n">
        <x:f>T77*F77</x:f>
        <x:v>260.9444132319657</x:v>
      </x:c>
    </x:row>
    <x:row r="78" ht="19" customHeight="1">
      <x:c r="A78" s="2"/>
      <x:c r="B78" s="2"/>
      <x:c r="C78" s="45" t="n">
        <x:f>'Source Data'!C101</x:f>
        <x:v>1</x:v>
      </x:c>
      <x:c r="D78" s="45" t="n">
        <x:f>'Source Data'!D101</x:f>
        <x:v>26</x:v>
      </x:c>
      <x:c r="E78" s="45" t="n">
        <x:f>'Source Data'!E101</x:f>
        <x:v>5</x:v>
      </x:c>
      <x:c r="F78" s="27" t="n">
        <x:f>IF(D78=0,0.5,1)*EXP(-'Assumptions'!$D$21*MAX(D78-6,0))</x:f>
        <x:v>0.16440867995072633</x:v>
      </x:c>
      <x:c r="G78" s="27" t="n">
        <x:f>IF(D78/'Assumptions'!$D$20&gt;=31,0,INDEX('Source Data'!$N$29:$N$60,INT(D78/'Assumptions'!$D$20)+1)+(D78/'Assumptions'!$D$20-INT(D78/'Assumptions'!$D$20))*(INDEX('Source Data'!$N$29:$N$60,MIN(32,INT(D78/'Assumptions'!$D$20)+2))-INDEX('Source Data'!$N$29:$N$60,INT(D78/'Assumptions'!$D$20)+1)))</x:f>
        <x:v>0.20723748862602367</x:v>
      </x:c>
      <x:c r="H78" s="27" t="n">
        <x:f>'Source Data'!F101*G78*'Assumptions'!$F$56*'Assumptions'!$G$56</x:f>
        <x:v>1019.6718990586779</x:v>
      </x:c>
      <x:c r="I78" s="27" t="n">
        <x:f>'Source Data'!G101*G78*'Assumptions'!$F$56*'Assumptions'!$G$56</x:f>
        <x:v>1094.980902049329</x:v>
      </x:c>
      <x:c r="J78" s="27" t="n">
        <x:f>'Source Data'!H101*G78*'Assumptions'!$F$56*'Assumptions'!$G$56</x:f>
        <x:v>1211.0947831544368</x:v>
      </x:c>
      <x:c r="K78" s="27" t="n">
        <x:f>'Source Data'!I101*G78*'Assumptions'!$F$56*'Assumptions'!$G$56</x:f>
        <x:v>1258.0503965729104</x:v>
      </x:c>
      <x:c r="L78" s="27" t="n">
        <x:f>'Source Data'!J101*G78*'Assumptions'!$F$56*'Assumptions'!$G$56</x:f>
        <x:v>1289.8541986327073</x:v>
      </x:c>
      <x:c r="M78" s="27" t="n">
        <x:f>SUMPRODUCT(H78:L78,'Source Data'!D17:H17)</x:f>
        <x:v>1177.2282344987802</x:v>
      </x:c>
      <x:c r="N78" s="27" t="n">
        <x:f>SUMPRODUCT(H78:L78,'Source Data'!D18:H18)</x:f>
        <x:v>1205.2961732794097</x:v>
      </x:c>
      <x:c r="O78" s="27" t="n">
        <x:f>SUMPRODUCT(H78:L78,'Source Data'!D19:H19)</x:f>
        <x:v>1220.8772026166187</x:v>
      </x:c>
      <x:c r="P78" s="27" t="n">
        <x:f>SUMPRODUCT(H78:L78,'Source Data'!D20:H20)</x:f>
        <x:v>1232.6161059712372</x:v>
      </x:c>
      <x:c r="Q78" s="27" t="n">
        <x:f>SUMPRODUCT(H78:L78,'Source Data'!D21:H21)</x:f>
        <x:v>1244.3550093258557</x:v>
      </x:c>
      <x:c r="R78" s="27" t="n">
        <x:f>SUMPRODUCT(H78:L78,'Source Data'!D22:H22)</x:f>
        <x:v>1255.883470856048</x:v>
      </x:c>
      <x:c r="S78" s="27" t="n">
        <x:f>SUMPRODUCT(H78:L78,'Source Data'!D23:H23)</x:f>
        <x:v>1264.6761886687013</x:v>
      </x:c>
      <x:c r="T78" s="27" t="n">
        <x:f>SUMPRODUCT(H78:L78,'Source Data'!D24:H24)</x:f>
        <x:v>1272.6271391836508</x:v>
      </x:c>
      <x:c r="U78" s="3"/>
      <x:c r="V78" s="3"/>
      <x:c r="W78" s="28" t="n">
        <x:f>M78*F78</x:f>
        <x:v>193.54654003466857</x:v>
      </x:c>
      <x:c r="X78" s="28" t="n">
        <x:f>N78*F78</x:f>
        <x:v>198.16115279852966</x:v>
      </x:c>
      <x:c r="Y78" s="28" t="n">
        <x:f>O78*F78</x:f>
        <x:v>200.72280926413373</x:v>
      </x:c>
      <x:c r="Z78" s="28" t="n">
        <x:f>P78*F78</x:f>
        <x:v>202.65278686873572</x:v>
      </x:c>
      <x:c r="AA78" s="28" t="n">
        <x:f>Q78*F78</x:f>
        <x:v>204.58276447333768</x:v>
      </x:c>
      <x:c r="AB78" s="28" t="n">
        <x:f>R78*F78</x:f>
        <x:v>206.47814361537934</x:v>
      </x:c>
      <x:c r="AC78" s="28" t="n">
        <x:f>S78*F78</x:f>
        <x:v>207.92374274413692</x:v>
      </x:c>
      <x:c r="AD78" s="28" t="n">
        <x:f>T78*F78</x:f>
        <x:v>209.2309480226533</x:v>
      </x:c>
    </x:row>
    <x:row r="79" ht="19" customHeight="1">
      <x:c r="A79" s="2"/>
      <x:c r="B79" s="2"/>
      <x:c r="C79" s="45" t="n">
        <x:f>'Source Data'!C102</x:f>
        <x:v>1</x:v>
      </x:c>
      <x:c r="D79" s="45" t="n">
        <x:f>'Source Data'!D102</x:f>
        <x:v>27</x:v>
      </x:c>
      <x:c r="E79" s="45" t="n">
        <x:f>'Source Data'!E102</x:f>
        <x:v>5</x:v>
      </x:c>
      <x:c r="F79" s="27" t="n">
        <x:f>IF(D79=0,0.5,1)*EXP(-'Assumptions'!$D$21*MAX(D79-6,0))</x:f>
        <x:v>0.15021765549333577</x:v>
      </x:c>
      <x:c r="G79" s="27" t="n">
        <x:f>IF(D79/'Assumptions'!$D$20&gt;=31,0,INDEX('Source Data'!$N$29:$N$60,INT(D79/'Assumptions'!$D$20)+1)+(D79/'Assumptions'!$D$20-INT(D79/'Assumptions'!$D$20))*(INDEX('Source Data'!$N$29:$N$60,MIN(32,INT(D79/'Assumptions'!$D$20)+2))-INDEX('Source Data'!$N$29:$N$60,INT(D79/'Assumptions'!$D$20)+1)))</x:f>
        <x:v>0.18437306642402182</x:v>
      </x:c>
      <x:c r="H79" s="27" t="n">
        <x:f>'Source Data'!F102*G79*'Assumptions'!$F$56*'Assumptions'!$G$56</x:f>
        <x:v>870.0682481193683</x:v>
      </x:c>
      <x:c r="I79" s="27" t="n">
        <x:f>'Source Data'!G102*G79*'Assumptions'!$F$56*'Assumptions'!$G$56</x:f>
        <x:v>907.1719408601543</x:v>
      </x:c>
      <x:c r="J79" s="27" t="n">
        <x:f>'Source Data'!H102*G79*'Assumptions'!$F$56*'Assumptions'!$G$56</x:f>
        <x:v>974.1721342266098</x:v>
      </x:c>
      <x:c r="K79" s="27" t="n">
        <x:f>'Source Data'!I102*G79*'Assumptions'!$F$56*'Assumptions'!$G$56</x:f>
        <x:v>1077.4752212099495</x:v>
      </x:c>
      <x:c r="L79" s="27" t="n">
        <x:f>'Source Data'!J102*G79*'Assumptions'!$F$56*'Assumptions'!$G$56</x:f>
        <x:v>1119.2502421734964</x:v>
      </x:c>
      <x:c r="M79" s="27" t="n">
        <x:f>SUMPRODUCT(H79:L79,'Source Data'!D17:H17)</x:f>
        <x:v>954.6304111613937</x:v>
      </x:c>
      <x:c r="N79" s="27" t="n">
        <x:f>SUMPRODUCT(H79:L79,'Source Data'!D18:H18)</x:f>
        <x:v>971.8846663587975</x:v>
      </x:c>
      <x:c r="O79" s="27" t="n">
        <x:f>SUMPRODUCT(H79:L79,'Source Data'!D19:H19)</x:f>
        <x:v>995.6936106814723</x:v>
      </x:c>
      <x:c r="P79" s="27" t="n">
        <x:f>SUMPRODUCT(H79:L79,'Source Data'!D20:H20)</x:f>
        <x:v>1021.5193824273073</x:v>
      </x:c>
      <x:c r="Q79" s="27" t="n">
        <x:f>SUMPRODUCT(H79:L79,'Source Data'!D21:H21)</x:f>
        <x:v>1047.345154173142</x:v>
      </x:c>
      <x:c r="R79" s="27" t="n">
        <x:f>SUMPRODUCT(H79:L79,'Source Data'!D22:H22)</x:f>
        <x:v>1072.31636944648</x:v>
      </x:c>
      <x:c r="S79" s="27" t="n">
        <x:f>SUMPRODUCT(H79:L79,'Source Data'!D23:H23)</x:f>
        <x:v>1086.178350577355</x:v>
      </x:c>
      <x:c r="T79" s="27" t="n">
        <x:f>SUMPRODUCT(H79:L79,'Source Data'!D24:H24)</x:f>
        <x:v>1096.6221058182418</x:v>
      </x:c>
      <x:c r="U79" s="3"/>
      <x:c r="V79" s="3"/>
      <x:c r="W79" s="28" t="n">
        <x:f>M79*F79</x:f>
        <x:v>143.4023422273037</x:v>
      </x:c>
      <x:c r="X79" s="28" t="n">
        <x:f>N79*F79</x:f>
        <x:v>145.99423599034142</x:v>
      </x:c>
      <x:c r="Y79" s="28" t="n">
        <x:f>O79*F79</x:f>
        <x:v>149.57075978626497</x:v>
      </x:c>
      <x:c r="Z79" s="28" t="n">
        <x:f>P79*F79</x:f>
        <x:v>153.45024666923035</x:v>
      </x:c>
      <x:c r="AA79" s="28" t="n">
        <x:f>Q79*F79</x:f>
        <x:v>157.32973355219568</x:v>
      </x:c>
      <x:c r="AB79" s="28" t="n">
        <x:f>R79*F79</x:f>
        <x:v>161.08085096537587</x:v>
      </x:c>
      <x:c r="AC79" s="28" t="n">
        <x:f>S79*F79</x:f>
        <x:v>163.16316527134882</x:v>
      </x:c>
      <x:c r="AD79" s="28" t="n">
        <x:f>T79*F79</x:f>
        <x:v>164.73200169818105</x:v>
      </x:c>
    </x:row>
    <x:row r="80" ht="19" customHeight="1">
      <x:c r="A80" s="2"/>
      <x:c r="B80" s="2"/>
      <x:c r="C80" s="45" t="n">
        <x:f>'Source Data'!C103</x:f>
        <x:v>1</x:v>
      </x:c>
      <x:c r="D80" s="45" t="n">
        <x:f>'Source Data'!D103</x:f>
        <x:v>28</x:v>
      </x:c>
      <x:c r="E80" s="45" t="n">
        <x:f>'Source Data'!E103</x:f>
        <x:v>5</x:v>
      </x:c>
      <x:c r="F80" s="27" t="n">
        <x:f>IF(D80=0,0.5,1)*EXP(-'Assumptions'!$D$21*MAX(D80-6,0))</x:f>
        <x:v>0.1372515370154264</x:v>
      </x:c>
      <x:c r="G80" s="27" t="n">
        <x:f>IF(D80/'Assumptions'!$D$20&gt;=31,0,INDEX('Source Data'!$N$29:$N$60,INT(D80/'Assumptions'!$D$20)+1)+(D80/'Assumptions'!$D$20-INT(D80/'Assumptions'!$D$20))*(INDEX('Source Data'!$N$29:$N$60,MIN(32,INT(D80/'Assumptions'!$D$20)+2))-INDEX('Source Data'!$N$29:$N$60,INT(D80/'Assumptions'!$D$20)+1)))</x:f>
        <x:v>0.163968152866242</x:v>
      </x:c>
      <x:c r="H80" s="27" t="n">
        <x:f>'Source Data'!F103*G80*'Assumptions'!$F$56*'Assumptions'!$G$56</x:f>
        <x:v>718.4640438644946</x:v>
      </x:c>
      <x:c r="I80" s="27" t="n">
        <x:f>'Source Data'!G103*G80*'Assumptions'!$F$56*'Assumptions'!$G$56</x:f>
        <x:v>773.7761609041204</x:v>
      </x:c>
      <x:c r="J80" s="27" t="n">
        <x:f>'Source Data'!H103*G80*'Assumptions'!$F$56*'Assumptions'!$G$56</x:f>
        <x:v>806.7735182796911</x:v>
      </x:c>
      <x:c r="K80" s="27" t="n">
        <x:f>'Source Data'!I103*G80*'Assumptions'!$F$56*'Assumptions'!$G$56</x:f>
        <x:v>866.3586744039229</x:v>
      </x:c>
      <x:c r="L80" s="27" t="n">
        <x:f>'Source Data'!J103*G80*'Assumptions'!$F$56*'Assumptions'!$G$56</x:f>
        <x:v>958.2290147229579</x:v>
      </x:c>
      <x:c r="M80" s="27" t="n">
        <x:f>SUMPRODUCT(H80:L80,'Source Data'!D17:H17)</x:f>
        <x:v>797.1492890451497</x:v>
      </x:c>
      <x:c r="N80" s="27" t="n">
        <x:f>SUMPRODUCT(H80:L80,'Source Data'!D18:H18)</x:f>
        <x:v>805.7679033716627</x:v>
      </x:c>
      <x:c r="O80" s="27" t="n">
        <x:f>SUMPRODUCT(H80:L80,'Source Data'!D19:H19)</x:f>
        <x:v>819.1870924722393</x:v>
      </x:c>
      <x:c r="P80" s="27" t="n">
        <x:f>SUMPRODUCT(H80:L80,'Source Data'!D20:H20)</x:f>
        <x:v>834.0833815032975</x:v>
      </x:c>
      <x:c r="Q80" s="27" t="n">
        <x:f>SUMPRODUCT(H80:L80,'Source Data'!D21:H21)</x:f>
        <x:v>848.9796705343554</x:v>
      </x:c>
      <x:c r="R80" s="27" t="n">
        <x:f>SUMPRODUCT(H80:L80,'Source Data'!D22:H22)</x:f>
        <x:v>864.3243649014522</x:v>
      </x:c>
      <x:c r="S80" s="27" t="n">
        <x:f>SUMPRODUCT(H80:L80,'Source Data'!D23:H23)</x:f>
        <x:v>885.4983286370552</x:v>
      </x:c>
      <x:c r="T80" s="27" t="n">
        <x:f>SUMPRODUCT(H80:L80,'Source Data'!D24:H24)</x:f>
        <x:v>908.465913716814</x:v>
      </x:c>
      <x:c r="U80" s="3"/>
      <x:c r="V80" s="3"/>
      <x:c r="W80" s="28" t="n">
        <x:f>M80*F80</x:f>
        <x:v>109.40996515220118</x:v>
      </x:c>
      <x:c r="X80" s="28" t="n">
        <x:f>N80*F80</x:f>
        <x:v>110.59288321545827</x:v>
      </x:c>
      <x:c r="Y80" s="28" t="n">
        <x:f>O80*F80</x:f>
        <x:v>112.43468754501308</x:v>
      </x:c>
      <x:c r="Z80" s="28" t="n">
        <x:f>P80*F80</x:f>
        <x:v>114.47922611035185</x:v>
      </x:c>
      <x:c r="AA80" s="28" t="n">
        <x:f>Q80*F80</x:f>
        <x:v>116.52376467569057</x:v>
      </x:c>
      <x:c r="AB80" s="28" t="n">
        <x:f>R80*F80</x:f>
        <x:v>118.62984756260657</x:v>
      </x:c>
      <x:c r="AC80" s="28" t="n">
        <x:f>S80*F80</x:f>
        <x:v>121.53600663002699</x:v>
      </x:c>
      <x:c r="AD80" s="28" t="n">
        <x:f>T80*F80</x:f>
        <x:v>124.68834298375646</x:v>
      </x:c>
    </x:row>
    <x:row r="81" ht="19" customHeight="1">
      <x:c r="A81" s="2"/>
      <x:c r="B81" s="2"/>
      <x:c r="C81" s="45" t="n">
        <x:f>'Source Data'!C104</x:f>
        <x:v>1</x:v>
      </x:c>
      <x:c r="D81" s="45" t="n">
        <x:f>'Source Data'!D104</x:f>
        <x:v>29</x:v>
      </x:c>
      <x:c r="E81" s="45" t="n">
        <x:f>'Source Data'!E104</x:f>
        <x:v>5</x:v>
      </x:c>
      <x:c r="F81" s="27" t="n">
        <x:f>IF(D81=0,0.5,1)*EXP(-'Assumptions'!$D$21*MAX(D81-6,0))</x:f>
        <x:v>0.12540459609245258</x:v>
      </x:c>
      <x:c r="G81" s="27" t="n">
        <x:f>IF(D81/'Assumptions'!$D$20&gt;=31,0,INDEX('Source Data'!$N$29:$N$60,INT(D81/'Assumptions'!$D$20)+1)+(D81/'Assumptions'!$D$20-INT(D81/'Assumptions'!$D$20))*(INDEX('Source Data'!$N$29:$N$60,MIN(32,INT(D81/'Assumptions'!$D$20)+2))-INDEX('Source Data'!$N$29:$N$60,INT(D81/'Assumptions'!$D$20)+1)))</x:f>
        <x:v>0.14524749772520476</x:v>
      </x:c>
      <x:c r="H81" s="27" t="n">
        <x:f>'Source Data'!F104*G81*'Assumptions'!$F$56*'Assumptions'!$G$56</x:f>
        <x:v>634.3323272468135</x:v>
      </x:c>
      <x:c r="I81" s="27" t="n">
        <x:f>'Source Data'!G104*G81*'Assumptions'!$F$56*'Assumptions'!$G$56</x:f>
        <x:v>636.4352025236138</x:v>
      </x:c>
      <x:c r="J81" s="27" t="n">
        <x:f>'Source Data'!H104*G81*'Assumptions'!$F$56*'Assumptions'!$G$56</x:f>
        <x:v>685.432196473061</x:v>
      </x:c>
      <x:c r="K81" s="27" t="n">
        <x:f>'Source Data'!I104*G81*'Assumptions'!$F$56*'Assumptions'!$G$56</x:f>
        <x:v>714.6621628205853</x:v>
      </x:c>
      <x:c r="L81" s="27" t="n">
        <x:f>'Source Data'!J104*G81*'Assumptions'!$F$56*'Assumptions'!$G$56</x:f>
        <x:v>767.4443322682731</x:v>
      </x:c>
      <x:c r="M81" s="27" t="n">
        <x:f>SUMPRODUCT(H81:L81,'Source Data'!D17:H17)</x:f>
        <x:v>671.141406571139</x:v>
      </x:c>
      <x:c r="N81" s="27" t="n">
        <x:f>SUMPRODUCT(H81:L81,'Source Data'!D18:H18)</x:f>
        <x:v>683.116113008474</x:v>
      </x:c>
      <x:c r="O81" s="27" t="n">
        <x:f>SUMPRODUCT(H81:L81,'Source Data'!D19:H19)</x:f>
        <x:v>691.5217727954619</x:v>
      </x:c>
      <x:c r="P81" s="27" t="n">
        <x:f>SUMPRODUCT(H81:L81,'Source Data'!D20:H20)</x:f>
        <x:v>698.8292643823431</x:v>
      </x:c>
      <x:c r="Q81" s="27" t="n">
        <x:f>SUMPRODUCT(H81:L81,'Source Data'!D21:H21)</x:f>
        <x:v>706.136755969224</x:v>
      </x:c>
      <x:c r="R81" s="27" t="n">
        <x:f>SUMPRODUCT(H81:L81,'Source Data'!D22:H22)</x:f>
        <x:v>713.7713614880519</x:v>
      </x:c>
      <x:c r="S81" s="27" t="n">
        <x:f>SUMPRODUCT(H81:L81,'Source Data'!D23:H23)</x:f>
        <x:v>725.6584481221869</x:v>
      </x:c>
      <x:c r="T81" s="27" t="n">
        <x:f>SUMPRODUCT(H81:L81,'Source Data'!D24:H24)</x:f>
        <x:v>738.853990484109</x:v>
      </x:c>
      <x:c r="U81" s="3"/>
      <x:c r="V81" s="3"/>
      <x:c r="W81" s="28" t="n">
        <x:f>M81*F81</x:f>
        <x:v>84.16421701197419</x:v>
      </x:c>
      <x:c r="X81" s="28" t="n">
        <x:f>N81*F81</x:f>
        <x:v>85.66590023607388</x:v>
      </x:c>
      <x:c r="Y81" s="28" t="n">
        <x:f>O81*F81</x:f>
        <x:v>86.72000860655166</x:v>
      </x:c>
      <x:c r="Z81" s="28" t="n">
        <x:f>P81*F81</x:f>
        <x:v>87.6364016374535</x:v>
      </x:c>
      <x:c r="AA81" s="28" t="n">
        <x:f>Q81*F81</x:f>
        <x:v>88.55279466835529</x:v>
      </x:c>
      <x:c r="AB81" s="28" t="n">
        <x:f>R81*F81</x:f>
        <x:v>89.51020928976911</x:v>
      </x:c>
      <x:c r="AC81" s="28" t="n">
        <x:f>S81*F81</x:f>
        <x:v>91.0009045878388</x:v>
      </x:c>
      <x:c r="AD81" s="28" t="n">
        <x:f>T81*F81</x:f>
        <x:v>92.6556862479565</x:v>
      </x:c>
    </x:row>
    <x:row r="82" ht="19" customHeight="1">
      <x:c r="A82" s="2"/>
      <x:c r="B82" s="2"/>
      <x:c r="C82" s="45" t="n">
        <x:f>'Source Data'!C105</x:f>
        <x:v>1</x:v>
      </x:c>
      <x:c r="D82" s="45" t="n">
        <x:f>'Source Data'!D105</x:f>
        <x:v>30</x:v>
      </x:c>
      <x:c r="E82" s="45" t="n">
        <x:f>'Source Data'!E105</x:f>
        <x:v>5</x:v>
      </x:c>
      <x:c r="F82" s="27" t="n">
        <x:f>IF(D82=0,0.5,1)*EXP(-'Assumptions'!$D$21*MAX(D82-6,0))</x:f>
        <x:v>0.11458023030622685</x:v>
      </x:c>
      <x:c r="G82" s="27" t="n">
        <x:f>IF(D82/'Assumptions'!$D$20&gt;=31,0,INDEX('Source Data'!$N$29:$N$60,INT(D82/'Assumptions'!$D$20)+1)+(D82/'Assumptions'!$D$20-INT(D82/'Assumptions'!$D$20))*(INDEX('Source Data'!$N$29:$N$60,MIN(32,INT(D82/'Assumptions'!$D$20)+2))-INDEX('Source Data'!$N$29:$N$60,INT(D82/'Assumptions'!$D$20)+1)))</x:f>
        <x:v>0.1282393084622384</x:v>
      </x:c>
      <x:c r="H82" s="27" t="n">
        <x:f>'Source Data'!F105*G82*'Assumptions'!$F$56*'Assumptions'!$G$56</x:f>
        <x:v>496.7421109536426</x:v>
      </x:c>
      <x:c r="I82" s="27" t="n">
        <x:f>'Source Data'!G105*G82*'Assumptions'!$F$56*'Assumptions'!$G$56</x:f>
        <x:v>560.0532901108812</x:v>
      </x:c>
      <x:c r="J82" s="27" t="n">
        <x:f>'Source Data'!H105*G82*'Assumptions'!$F$56*'Assumptions'!$G$56</x:f>
        <x:v>561.9099229307417</x:v>
      </x:c>
      <x:c r="K82" s="27" t="n">
        <x:f>'Source Data'!I105*G82*'Assumptions'!$F$56*'Assumptions'!$G$56</x:f>
        <x:v>605.1694676334884</x:v>
      </x:c>
      <x:c r="L82" s="27" t="n">
        <x:f>'Source Data'!J105*G82*'Assumptions'!$F$56*'Assumptions'!$G$56</x:f>
        <x:v>630.9766638295475</x:v>
      </x:c>
      <x:c r="M82" s="27" t="n">
        <x:f>SUMPRODUCT(H82:L82,'Source Data'!D17:H17)</x:f>
        <x:v>561.3684050249491</x:v>
      </x:c>
      <x:c r="N82" s="27" t="n">
        <x:f>SUMPRODUCT(H82:L82,'Source Data'!D18:H18)</x:f>
        <x:v>562.4076036727321</x:v>
      </x:c>
      <x:c r="O82" s="27" t="n">
        <x:f>SUMPRODUCT(H82:L82,'Source Data'!D19:H19)</x:f>
        <x:v>570.9223280771472</x:v>
      </x:c>
      <x:c r="P82" s="27" t="n">
        <x:f>SUMPRODUCT(H82:L82,'Source Data'!D20:H20)</x:f>
        <x:v>581.737214252834</x:v>
      </x:c>
      <x:c r="Q82" s="27" t="n">
        <x:f>SUMPRODUCT(H82:L82,'Source Data'!D21:H21)</x:f>
        <x:v>592.5521004285206</x:v>
      </x:c>
      <x:c r="R82" s="27" t="n">
        <x:f>SUMPRODUCT(H82:L82,'Source Data'!D22:H22)</x:f>
        <x:v>603.1245928749477</x:v>
      </x:c>
      <x:c r="S82" s="27" t="n">
        <x:f>SUMPRODUCT(H82:L82,'Source Data'!D23:H23)</x:f>
        <x:v>610.5459668410007</x:v>
      </x:c>
      <x:c r="T82" s="27" t="n">
        <x:f>SUMPRODUCT(H82:L82,'Source Data'!D24:H24)</x:f>
        <x:v>616.9977658900156</x:v>
      </x:c>
      <x:c r="U82" s="3"/>
      <x:c r="V82" s="3"/>
      <x:c r="W82" s="28" t="n">
        <x:f>M82*F82</x:f>
        <x:v>64.3217211343979</x:v>
      </x:c>
      <x:c r="X82" s="28" t="n">
        <x:f>N82*F82</x:f>
        <x:v>64.4407927547948</x:v>
      </x:c>
      <x:c r="Y82" s="28" t="n">
        <x:f>O82*F82</x:f>
        <x:v>65.41641183804673</x:v>
      </x:c>
      <x:c r="Z82" s="28" t="n">
        <x:f>P82*F82</x:f>
        <x:v>66.65558398679255</x:v>
      </x:c>
      <x:c r="AA82" s="28" t="n">
        <x:f>Q82*F82</x:f>
        <x:v>67.89475613553836</x:v>
      </x:c>
      <x:c r="AB82" s="28" t="n">
        <x:f>R82*F82</x:f>
        <x:v>69.10615475496081</x:v>
      </x:c>
      <x:c r="AC82" s="28" t="n">
        <x:f>S82*F82</x:f>
        <x:v>69.9564974931798</x:v>
      </x:c>
      <x:c r="AD82" s="28" t="n">
        <x:f>T82*F82</x:f>
        <x:v>70.69574611410542</x:v>
      </x:c>
    </x:row>
    <x:row r="83" ht="19" customHeight="1">
      <x:c r="A83" s="2"/>
      <x:c r="B83" s="2"/>
      <x:c r="C83" s="45" t="n">
        <x:f>'Source Data'!C106</x:f>
        <x:v>1</x:v>
      </x:c>
      <x:c r="D83" s="45" t="n">
        <x:f>'Source Data'!D106</x:f>
        <x:v>31</x:v>
      </x:c>
      <x:c r="E83" s="45" t="n">
        <x:f>'Source Data'!E106</x:f>
        <x:v>5</x:v>
      </x:c>
      <x:c r="F83" s="27" t="n">
        <x:f>IF(D83=0,0.5,1)*EXP(-'Assumptions'!$D$21*MAX(D83-6,0))</x:f>
        <x:v>0.10469017552872706</x:v>
      </x:c>
      <x:c r="G83" s="27" t="n">
        <x:f>IF(D83/'Assumptions'!$D$20&gt;=31,0,INDEX('Source Data'!$N$29:$N$60,INT(D83/'Assumptions'!$D$20)+1)+(D83/'Assumptions'!$D$20-INT(D83/'Assumptions'!$D$20))*(INDEX('Source Data'!$N$29:$N$60,MIN(32,INT(D83/'Assumptions'!$D$20)+2))-INDEX('Source Data'!$N$29:$N$60,INT(D83/'Assumptions'!$D$20)+1)))</x:f>
        <x:v>0.11388808007279344</x:v>
      </x:c>
      <x:c r="H83" s="27" t="n">
        <x:f>'Source Data'!F106*G83*'Assumptions'!$F$56*'Assumptions'!$G$56</x:f>
        <x:v>381.6280714454814</x:v>
      </x:c>
      <x:c r="I83" s="27" t="n">
        <x:f>'Source Data'!G106*G83*'Assumptions'!$F$56*'Assumptions'!$G$56</x:f>
        <x:v>441.15182767439427</x:v>
      </x:c>
      <x:c r="J83" s="27" t="n">
        <x:f>'Source Data'!H106*G83*'Assumptions'!$F$56*'Assumptions'!$G$56</x:f>
        <x:v>497.3778688767745</x:v>
      </x:c>
      <x:c r="K83" s="27" t="n">
        <x:f>'Source Data'!I106*G83*'Assumptions'!$F$56*'Assumptions'!$G$56</x:f>
        <x:v>499.02672639004084</x:v>
      </x:c>
      <x:c r="L83" s="27" t="n">
        <x:f>'Source Data'!J106*G83*'Assumptions'!$F$56*'Assumptions'!$G$56</x:f>
        <x:v>537.4451064491453</x:v>
      </x:c>
      <x:c r="M83" s="27" t="n">
        <x:f>SUMPRODUCT(H83:L83,'Source Data'!D17:H17)</x:f>
        <x:v>480.9786068594136</x:v>
      </x:c>
      <x:c r="N83" s="27" t="n">
        <x:f>SUMPRODUCT(H83:L83,'Source Data'!D18:H18)</x:f>
        <x:v>494.2771007198822</x:v>
      </x:c>
      <x:c r="O83" s="27" t="n">
        <x:f>SUMPRODUCT(H83:L83,'Source Data'!D19:H19)</x:f>
        <x:v>497.721380858705</x:v>
      </x:c>
      <x:c r="P83" s="27" t="n">
        <x:f>SUMPRODUCT(H83:L83,'Source Data'!D20:H20)</x:f>
        <x:v>498.1335952370216</x:v>
      </x:c>
      <x:c r="Q83" s="27" t="n">
        <x:f>SUMPRODUCT(H83:L83,'Source Data'!D21:H21)</x:f>
        <x:v>498.54580961533816</x:v>
      </x:c>
      <x:c r="R83" s="27" t="n">
        <x:f>SUMPRODUCT(H83:L83,'Source Data'!D22:H22)</x:f>
        <x:v>499.4687118067914</x:v>
      </x:c>
      <x:c r="S83" s="27" t="n">
        <x:f>SUMPRODUCT(H83:L83,'Source Data'!D23:H23)</x:f>
        <x:v>507.0305555690209</x:v>
      </x:c>
      <x:c r="T83" s="27" t="n">
        <x:f>SUMPRODUCT(H83:L83,'Source Data'!D24:H24)</x:f>
        <x:v>516.6351505837971</x:v>
      </x:c>
      <x:c r="U83" s="3"/>
      <x:c r="V83" s="3"/>
      <x:c r="W83" s="28" t="n">
        <x:f>M83*F83</x:f>
        <x:v>50.35373477767462</x:v>
      </x:c>
      <x:c r="X83" s="28" t="n">
        <x:f>N83*F83</x:f>
        <x:v>51.74595643419477</x:v>
      </x:c>
      <x:c r="Y83" s="28" t="n">
        <x:f>O83*F83</x:f>
        <x:v>52.106538726498236</x:v>
      </x:c>
      <x:c r="Z83" s="28" t="n">
        <x:f>P83*F83</x:f>
        <x:v>52.14969352211967</x:v>
      </x:c>
      <x:c r="AA83" s="28" t="n">
        <x:f>Q83*F83</x:f>
        <x:v>52.192848317741095</x:v>
      </x:c>
      <x:c r="AB83" s="28" t="n">
        <x:f>R83*F83</x:f>
        <x:v>52.28946711016018</x:v>
      </x:c>
      <x:c r="AC83" s="28" t="n">
        <x:f>S83*F83</x:f>
        <x:v>53.0811178609488</x:v>
      </x:c>
      <x:c r="AD83" s="28" t="n">
        <x:f>T83*F83</x:f>
        <x:v>54.086624598928054</x:v>
      </x:c>
    </x:row>
    <x:row r="84" ht="19" customHeight="1">
      <x:c r="A84" s="2"/>
      <x:c r="B84" s="2"/>
      <x:c r="C84" s="45" t="n">
        <x:f>'Source Data'!C107</x:f>
        <x:v>1</x:v>
      </x:c>
      <x:c r="D84" s="45" t="n">
        <x:f>'Source Data'!D107</x:f>
        <x:v>32</x:v>
      </x:c>
      <x:c r="E84" s="45" t="n">
        <x:f>'Source Data'!E107</x:f>
        <x:v>5</x:v>
      </x:c>
      <x:c r="F84" s="27" t="n">
        <x:f>IF(D84=0,0.5,1)*EXP(-'Assumptions'!$D$21*MAX(D84-6,0))</x:f>
        <x:v>0.09565378619805467</x:v>
      </x:c>
      <x:c r="G84" s="27" t="n">
        <x:f>IF(D84/'Assumptions'!$D$20&gt;=31,0,INDEX('Source Data'!$N$29:$N$60,INT(D84/'Assumptions'!$D$20)+1)+(D84/'Assumptions'!$D$20-INT(D84/'Assumptions'!$D$20))*(INDEX('Source Data'!$N$29:$N$60,MIN(32,INT(D84/'Assumptions'!$D$20)+2))-INDEX('Source Data'!$N$29:$N$60,INT(D84/'Assumptions'!$D$20)+1)))</x:f>
        <x:v>0.10047406733393992</x:v>
      </x:c>
      <x:c r="H84" s="27" t="n">
        <x:f>'Source Data'!F107*G84*'Assumptions'!$F$56*'Assumptions'!$G$56</x:f>
        <x:v>299.80359145160116</x:v>
      </x:c>
      <x:c r="I84" s="27" t="n">
        <x:f>'Source Data'!G107*G84*'Assumptions'!$F$56*'Assumptions'!$G$56</x:f>
        <x:v>336.6789968048185</x:v>
      </x:c>
      <x:c r="J84" s="27" t="n">
        <x:f>'Source Data'!H107*G84*'Assumptions'!$F$56*'Assumptions'!$G$56</x:f>
        <x:v>389.19190146955793</x:v>
      </x:c>
      <x:c r="K84" s="27" t="n">
        <x:f>'Source Data'!I107*G84*'Assumptions'!$F$56*'Assumptions'!$G$56</x:f>
        <x:v>438.79550393680495</x:v>
      </x:c>
      <x:c r="L84" s="27" t="n">
        <x:f>'Source Data'!J107*G84*'Assumptions'!$F$56*'Assumptions'!$G$56</x:f>
        <x:v>440.25015503555113</x:v>
      </x:c>
      <x:c r="M84" s="27" t="n">
        <x:f>SUMPRODUCT(H84:L84,'Source Data'!D17:H17)</x:f>
        <x:v>373.87563760900895</x:v>
      </x:c>
      <x:c r="N84" s="27" t="n">
        <x:f>SUMPRODUCT(H84:L84,'Source Data'!D18:H18)</x:f>
        <x:v>386.9634568002286</x:v>
      </x:c>
      <x:c r="O84" s="27" t="n">
        <x:f>SUMPRODUCT(H84:L84,'Source Data'!D19:H19)</x:f>
        <x:v>399.52598531690103</x:v>
      </x:c>
      <x:c r="P84" s="27" t="n">
        <x:f>SUMPRODUCT(H84:L84,'Source Data'!D20:H20)</x:f>
        <x:v>411.92688593371287</x:v>
      </x:c>
      <x:c r="Q84" s="27" t="n">
        <x:f>SUMPRODUCT(H84:L84,'Source Data'!D21:H21)</x:f>
        <x:v>424.3277865505246</x:v>
      </x:c>
      <x:c r="R84" s="27" t="n">
        <x:f>SUMPRODUCT(H84:L84,'Source Data'!D22:H22)</x:f>
        <x:v>436.0599517316627</x:v>
      </x:c>
      <x:c r="S84" s="27" t="n">
        <x:f>SUMPRODUCT(H84:L84,'Source Data'!D23:H23)</x:f>
        <x:v>439.0985562490437</x:v>
      </x:c>
      <x:c r="T84" s="27" t="n">
        <x:f>SUMPRODUCT(H84:L84,'Source Data'!D24:H24)</x:f>
        <x:v>439.4622190237303</x:v>
      </x:c>
      <x:c r="U84" s="3"/>
      <x:c r="V84" s="3"/>
      <x:c r="W84" s="28" t="n">
        <x:f>M84*F84</x:f>
        <x:v>35.76262030451351</x:v>
      </x:c>
      <x:c r="X84" s="28" t="n">
        <x:f>N84*F84</x:f>
        <x:v>37.01451976322923</x:v>
      </x:c>
      <x:c r="Y84" s="28" t="n">
        <x:f>O84*F84</x:f>
        <x:v>38.21617318006998</x:v>
      </x:c>
      <x:c r="Z84" s="28" t="n">
        <x:f>P84*F84</x:f>
        <x:v>39.40236627633383</x:v>
      </x:c>
      <x:c r="AA84" s="28" t="n">
        <x:f>Q84*F84</x:f>
        <x:v>40.58855937259766</x:v>
      </x:c>
      <x:c r="AB84" s="28" t="n">
        <x:f>R84*F84</x:f>
        <x:v>41.710785392474506</x:v>
      </x:c>
      <x:c r="AC84" s="28" t="n">
        <x:f>S84*F84</x:f>
        <x:v>42.00143941932051</x:v>
      </x:c>
      <x:c r="AD84" s="28" t="n">
        <x:f>T84*F84</x:f>
        <x:v>42.036225140618576</x:v>
      </x:c>
    </x:row>
    <x:row r="85" ht="19" customHeight="1">
      <x:c r="A85" s="2"/>
      <x:c r="B85" s="2"/>
      <x:c r="C85" s="45" t="n">
        <x:f>'Source Data'!C108</x:f>
        <x:v>1</x:v>
      </x:c>
      <x:c r="D85" s="45" t="n">
        <x:f>'Source Data'!D108</x:f>
        <x:v>33</x:v>
      </x:c>
      <x:c r="E85" s="45" t="n">
        <x:f>'Source Data'!E108</x:f>
        <x:v>5</x:v>
      </x:c>
      <x:c r="F85" s="27" t="n">
        <x:f>IF(D85=0,0.5,1)*EXP(-'Assumptions'!$D$21*MAX(D85-6,0))</x:f>
        <x:v>0.08739737771776383</x:v>
      </x:c>
      <x:c r="G85" s="27" t="n">
        <x:f>IF(D85/'Assumptions'!$D$20&gt;=31,0,INDEX('Source Data'!$N$29:$N$60,INT(D85/'Assumptions'!$D$20)+1)+(D85/'Assumptions'!$D$20-INT(D85/'Assumptions'!$D$20))*(INDEX('Source Data'!$N$29:$N$60,MIN(32,INT(D85/'Assumptions'!$D$20)+2))-INDEX('Source Data'!$N$29:$N$60,INT(D85/'Assumptions'!$D$20)+1)))</x:f>
        <x:v>0.08730755232029119</x:v>
      </x:c>
      <x:c r="H85" s="27" t="n">
        <x:f>'Source Data'!F108*G85*'Assumptions'!$F$56*'Assumptions'!$G$56</x:f>
        <x:v>287.4399502878724</x:v>
      </x:c>
      <x:c r="I85" s="27" t="n">
        <x:f>'Source Data'!G108*G85*'Assumptions'!$F$56*'Assumptions'!$G$56</x:f>
        <x:v>260.5161554719899</x:v>
      </x:c>
      <x:c r="J85" s="27" t="n">
        <x:f>'Source Data'!H108*G85*'Assumptions'!$F$56*'Assumptions'!$G$56</x:f>
        <x:v>292.55926338666694</x:v>
      </x:c>
      <x:c r="K85" s="27" t="n">
        <x:f>'Source Data'!I108*G85*'Assumptions'!$F$56*'Assumptions'!$G$56</x:f>
        <x:v>338.1906715018481</x:v>
      </x:c>
      <x:c r="L85" s="27" t="n">
        <x:f>'Source Data'!J108*G85*'Assumptions'!$F$56*'Assumptions'!$G$56</x:f>
        <x:v>381.2940237657727</x:v>
      </x:c>
      <x:c r="M85" s="27" t="n">
        <x:f>SUMPRODUCT(H85:L85,'Source Data'!D17:H17)</x:f>
        <x:v>283.2133569115528</x:v>
      </x:c>
      <x:c r="N85" s="27" t="n">
        <x:f>SUMPRODUCT(H85:L85,'Source Data'!D18:H18)</x:f>
        <x:v>291.41286028189575</x:v>
      </x:c>
      <x:c r="O85" s="27" t="n">
        <x:f>SUMPRODUCT(H85:L85,'Source Data'!D19:H19)</x:f>
        <x:v>302.06580674399635</x:v>
      </x:c>
      <x:c r="P85" s="27" t="n">
        <x:f>SUMPRODUCT(H85:L85,'Source Data'!D20:H20)</x:f>
        <x:v>313.4736587727916</x:v>
      </x:c>
      <x:c r="Q85" s="27" t="n">
        <x:f>SUMPRODUCT(H85:L85,'Source Data'!D21:H21)</x:f>
        <x:v>324.88151080158696</x:v>
      </x:c>
      <x:c r="R85" s="27" t="n">
        <x:f>SUMPRODUCT(H85:L85,'Source Data'!D22:H22)</x:f>
        <x:v>336.2542509435592</x:v>
      </x:c>
      <x:c r="S85" s="27" t="n">
        <x:f>SUMPRODUCT(H85:L85,'Source Data'!D23:H23)</x:f>
        <x:v>347.1705365568324</x:v>
      </x:c>
      <x:c r="T85" s="27" t="n">
        <x:f>SUMPRODUCT(H85:L85,'Source Data'!D24:H24)</x:f>
        <x:v>357.94637462281355</x:v>
      </x:c>
      <x:c r="U85" s="3"/>
      <x:c r="V85" s="3"/>
      <x:c r="W85" s="28" t="n">
        <x:f>M85*F85</x:f>
        <x:v>24.75210472871484</x:v>
      </x:c>
      <x:c r="X85" s="28" t="n">
        <x:f>N85*F85</x:f>
        <x:v>25.46871982187078</x:v>
      </x:c>
      <x:c r="Y85" s="28" t="n">
        <x:f>O85*F85</x:f>
        <x:v>26.399759407626103</x:v>
      </x:c>
      <x:c r="Z85" s="28" t="n">
        <x:f>P85*F85</x:f>
        <x:v>27.396775760335082</x:v>
      </x:c>
      <x:c r="AA85" s="28" t="n">
        <x:f>Q85*F85</x:f>
        <x:v>28.393792113044064</x:v>
      </x:c>
      <x:c r="AB85" s="28" t="n">
        <x:f>R85*F85</x:f>
        <x:v>29.38773977891799</x:v>
      </x:c>
      <x:c r="AC85" s="28" t="n">
        <x:f>S85*F85</x:f>
        <x:v>30.34179451593622</x:v>
      </x:c>
      <x:c r="AD85" s="28" t="n">
        <x:f>T85*F85</x:f>
        <x:v>31.28357450561423</x:v>
      </x:c>
    </x:row>
    <x:row r="86" ht="19" customHeight="1">
      <x:c r="A86" s="2"/>
      <x:c r="B86" s="2"/>
      <x:c r="C86" s="45" t="n">
        <x:f>'Source Data'!C109</x:f>
        <x:v>1</x:v>
      </x:c>
      <x:c r="D86" s="45" t="n">
        <x:f>'Source Data'!D109</x:f>
        <x:v>34</x:v>
      </x:c>
      <x:c r="E86" s="45" t="n">
        <x:f>'Source Data'!E109</x:f>
        <x:v>5</x:v>
      </x:c>
      <x:c r="F86" s="27" t="n">
        <x:f>IF(D86=0,0.5,1)*EXP(-'Assumptions'!$D$21*MAX(D86-6,0))</x:f>
        <x:v>0.0798536256173498</x:v>
      </x:c>
      <x:c r="G86" s="27" t="n">
        <x:f>IF(D86/'Assumptions'!$D$20&gt;=31,0,INDEX('Source Data'!$N$29:$N$60,INT(D86/'Assumptions'!$D$20)+1)+(D86/'Assumptions'!$D$20-INT(D86/'Assumptions'!$D$20))*(INDEX('Source Data'!$N$29:$N$60,MIN(32,INT(D86/'Assumptions'!$D$20)+2))-INDEX('Source Data'!$N$29:$N$60,INT(D86/'Assumptions'!$D$20)+1)))</x:f>
        <x:v>0.03089262966333025</x:v>
      </x:c>
      <x:c r="H86" s="27" t="n">
        <x:f>'Source Data'!F109*G86*'Assumptions'!$F$56*'Assumptions'!$G$56</x:f>
        <x:v>103.09335275028772</x:v>
      </x:c>
      <x:c r="I86" s="27" t="n">
        <x:f>'Source Data'!G109*G86*'Assumptions'!$F$56*'Assumptions'!$G$56</x:f>
        <x:v>101.70684778922093</x:v>
      </x:c>
      <x:c r="J86" s="27" t="n">
        <x:f>'Source Data'!H109*G86*'Assumptions'!$F$56*'Assumptions'!$G$56</x:f>
        <x:v>92.1802169276976</x:v>
      </x:c>
      <x:c r="K86" s="27" t="n">
        <x:f>'Source Data'!I109*G86*'Assumptions'!$F$56*'Assumptions'!$G$56</x:f>
        <x:v>103.51824943190493</x:v>
      </x:c>
      <x:c r="L86" s="27" t="n">
        <x:f>'Source Data'!J109*G86*'Assumptions'!$F$56*'Assumptions'!$G$56</x:f>
        <x:v>119.66432333335999</x:v>
      </x:c>
      <x:c r="M86" s="27" t="n">
        <x:f>SUMPRODUCT(H86:L86,'Source Data'!D17:H17)</x:f>
        <x:v>94.9588175956419</x:v>
      </x:c>
      <x:c r="N86" s="27" t="n">
        <x:f>SUMPRODUCT(H86:L86,'Source Data'!D18:H18)</x:f>
        <x:v>92.86694687145179</x:v>
      </x:c>
      <x:c r="O86" s="27" t="n">
        <x:f>SUMPRODUCT(H86:L86,'Source Data'!D19:H19)</x:f>
        <x:v>94.54230703274078</x:v>
      </x:c>
      <x:c r="P86" s="27" t="n">
        <x:f>SUMPRODUCT(H86:L86,'Source Data'!D20:H20)</x:f>
        <x:v>97.37681515879264</x:v>
      </x:c>
      <x:c r="Q86" s="27" t="n">
        <x:f>SUMPRODUCT(H86:L86,'Source Data'!D21:H21)</x:f>
        <x:v>100.21132328484447</x:v>
      </x:c>
      <x:c r="R86" s="27" t="n">
        <x:f>SUMPRODUCT(H86:L86,'Source Data'!D22:H22)</x:f>
        <x:v>103.11260976363585</x:v>
      </x:c>
      <x:c r="S86" s="27" t="n">
        <x:f>SUMPRODUCT(H86:L86,'Source Data'!D23:H23)</x:f>
        <x:v>106.8820148280414</x:v>
      </x:c>
      <x:c r="T86" s="27" t="n">
        <x:f>SUMPRODUCT(H86:L86,'Source Data'!D24:H24)</x:f>
        <x:v>110.91853330340518</x:v>
      </x:c>
      <x:c r="U86" s="3"/>
      <x:c r="V86" s="3"/>
      <x:c r="W86" s="28" t="n">
        <x:f>M86*F86</x:f>
        <x:v>7.582805869348596</x:v>
      </x:c>
      <x:c r="X86" s="28" t="n">
        <x:f>N86*F86</x:f>
        <x:v>7.415762407699225</x:v>
      </x:c>
      <x:c r="Y86" s="28" t="n">
        <x:f>O86*F86</x:f>
        <x:v>7.5495459907930185</x:v>
      </x:c>
      <x:c r="Z86" s="28" t="n">
        <x:f>P86*F86</x:f>
        <x:v>7.775891741500099</x:v>
      </x:c>
      <x:c r="AA86" s="28" t="n">
        <x:f>Q86*F86</x:f>
        <x:v>8.002237492207177</x:v>
      </x:c>
      <x:c r="AB86" s="28" t="n">
        <x:f>R86*F86</x:f>
        <x:v>8.233915736493264</x:v>
      </x:c>
      <x:c r="AC86" s="28" t="n">
        <x:f>S86*F86</x:f>
        <x:v>8.534916397306448</x:v>
      </x:c>
      <x:c r="AD86" s="28" t="n">
        <x:f>T86*F86</x:f>
        <x:v>8.857247032435662</x:v>
      </x:c>
    </x:row>
    <x:row r="87" ht="19" customHeight="1">
      <x:c r="A87" s="2"/>
      <x:c r="B87" s="2"/>
      <x:c r="C87" s="45" t="n">
        <x:f>'Source Data'!C110</x:f>
        <x:v>1</x:v>
      </x:c>
      <x:c r="D87" s="45" t="n">
        <x:f>'Source Data'!D110</x:f>
        <x:v>35</x:v>
      </x:c>
      <x:c r="E87" s="45" t="n">
        <x:f>'Source Data'!E110</x:f>
        <x:v>5</x:v>
      </x:c>
      <x:c r="F87" s="27" t="n">
        <x:f>IF(D87=0,0.5,1)*EXP(-'Assumptions'!$D$21*MAX(D87-6,0))</x:f>
        <x:v>0.07296101657452587</x:v>
      </x:c>
      <x:c r="G87" s="27" t="n">
        <x:f>IF(D87/'Assumptions'!$D$20&gt;=31,0,INDEX('Source Data'!$N$29:$N$60,INT(D87/'Assumptions'!$D$20)+1)+(D87/'Assumptions'!$D$20-INT(D87/'Assumptions'!$D$20))*(INDEX('Source Data'!$N$29:$N$60,MIN(32,INT(D87/'Assumptions'!$D$20)+2))-INDEX('Source Data'!$N$29:$N$60,INT(D87/'Assumptions'!$D$20)+1)))</x:f>
        <x:v>0</x:v>
      </x:c>
      <x:c r="H87" s="27" t="n">
        <x:f>'Source Data'!F110*G87*'Assumptions'!$F$56*'Assumptions'!$G$56</x:f>
        <x:v>0</x:v>
      </x:c>
      <x:c r="I87" s="27" t="n">
        <x:f>'Source Data'!G110*G87*'Assumptions'!$F$56*'Assumptions'!$G$56</x:f>
        <x:v>0</x:v>
      </x:c>
      <x:c r="J87" s="27" t="n">
        <x:f>'Source Data'!H110*G87*'Assumptions'!$F$56*'Assumptions'!$G$56</x:f>
        <x:v>0</x:v>
      </x:c>
      <x:c r="K87" s="27" t="n">
        <x:f>'Source Data'!I110*G87*'Assumptions'!$F$56*'Assumptions'!$G$56</x:f>
        <x:v>0</x:v>
      </x:c>
      <x:c r="L87" s="27" t="n">
        <x:f>'Source Data'!J110*G87*'Assumptions'!$F$56*'Assumptions'!$G$56</x:f>
        <x:v>0</x:v>
      </x:c>
      <x:c r="M87" s="27" t="n">
        <x:f>SUMPRODUCT(H87:L87,'Source Data'!D17:H17)</x:f>
        <x:v>0</x:v>
      </x:c>
      <x:c r="N87" s="27" t="n">
        <x:f>SUMPRODUCT(H87:L87,'Source Data'!D18:H18)</x:f>
        <x:v>0</x:v>
      </x:c>
      <x:c r="O87" s="27" t="n">
        <x:f>SUMPRODUCT(H87:L87,'Source Data'!D19:H19)</x:f>
        <x:v>0</x:v>
      </x:c>
      <x:c r="P87" s="27" t="n">
        <x:f>SUMPRODUCT(H87:L87,'Source Data'!D20:H20)</x:f>
        <x:v>0</x:v>
      </x:c>
      <x:c r="Q87" s="27" t="n">
        <x:f>SUMPRODUCT(H87:L87,'Source Data'!D21:H21)</x:f>
        <x:v>0</x:v>
      </x:c>
      <x:c r="R87" s="27" t="n">
        <x:f>SUMPRODUCT(H87:L87,'Source Data'!D22:H22)</x:f>
        <x:v>0</x:v>
      </x:c>
      <x:c r="S87" s="27" t="n">
        <x:f>SUMPRODUCT(H87:L87,'Source Data'!D23:H23)</x:f>
        <x:v>0</x:v>
      </x:c>
      <x:c r="T87" s="27" t="n">
        <x:f>SUMPRODUCT(H87:L87,'Source Data'!D24:H24)</x:f>
        <x:v>0</x:v>
      </x:c>
      <x:c r="U87" s="3"/>
      <x:c r="V87" s="3"/>
      <x:c r="W87" s="28" t="n">
        <x:f>M87*F87</x:f>
        <x:v>0</x:v>
      </x:c>
      <x:c r="X87" s="28" t="n">
        <x:f>N87*F87</x:f>
        <x:v>0</x:v>
      </x:c>
      <x:c r="Y87" s="28" t="n">
        <x:f>O87*F87</x:f>
        <x:v>0</x:v>
      </x:c>
      <x:c r="Z87" s="28" t="n">
        <x:f>P87*F87</x:f>
        <x:v>0</x:v>
      </x:c>
      <x:c r="AA87" s="28" t="n">
        <x:f>Q87*F87</x:f>
        <x:v>0</x:v>
      </x:c>
      <x:c r="AB87" s="28" t="n">
        <x:f>R87*F87</x:f>
        <x:v>0</x:v>
      </x:c>
      <x:c r="AC87" s="28" t="n">
        <x:f>S87*F87</x:f>
        <x:v>0</x:v>
      </x:c>
      <x:c r="AD87" s="28" t="n">
        <x:f>T87*F87</x:f>
        <x:v>0</x:v>
      </x:c>
    </x:row>
    <x:row r="88" ht="19" customHeight="1">
      <x:c r="A88" s="2"/>
      <x:c r="B88" s="2"/>
      <x:c r="C88" s="45" t="n">
        <x:f>'Source Data'!C111</x:f>
        <x:v>1</x:v>
      </x:c>
      <x:c r="D88" s="45" t="n">
        <x:f>'Source Data'!D111</x:f>
        <x:v>36</x:v>
      </x:c>
      <x:c r="E88" s="45" t="n">
        <x:f>'Source Data'!E111</x:f>
        <x:v>5</x:v>
      </x:c>
      <x:c r="F88" s="27" t="n">
        <x:f>IF(D88=0,0.5,1)*EXP(-'Assumptions'!$D$21*MAX(D88-6,0))</x:f>
        <x:v>0.0666633468228103</x:v>
      </x:c>
      <x:c r="G88" s="27" t="n">
        <x:f>IF(D88/'Assumptions'!$D$20&gt;=31,0,INDEX('Source Data'!$N$29:$N$60,INT(D88/'Assumptions'!$D$20)+1)+(D88/'Assumptions'!$D$20-INT(D88/'Assumptions'!$D$20))*(INDEX('Source Data'!$N$29:$N$60,MIN(32,INT(D88/'Assumptions'!$D$20)+2))-INDEX('Source Data'!$N$29:$N$60,INT(D88/'Assumptions'!$D$20)+1)))</x:f>
        <x:v>0</x:v>
      </x:c>
      <x:c r="H88" s="27" t="n">
        <x:f>'Source Data'!F111*G88*'Assumptions'!$F$56*'Assumptions'!$G$56</x:f>
        <x:v>0</x:v>
      </x:c>
      <x:c r="I88" s="27" t="n">
        <x:f>'Source Data'!G111*G88*'Assumptions'!$F$56*'Assumptions'!$G$56</x:f>
        <x:v>0</x:v>
      </x:c>
      <x:c r="J88" s="27" t="n">
        <x:f>'Source Data'!H111*G88*'Assumptions'!$F$56*'Assumptions'!$G$56</x:f>
        <x:v>0</x:v>
      </x:c>
      <x:c r="K88" s="27" t="n">
        <x:f>'Source Data'!I111*G88*'Assumptions'!$F$56*'Assumptions'!$G$56</x:f>
        <x:v>0</x:v>
      </x:c>
      <x:c r="L88" s="27" t="n">
        <x:f>'Source Data'!J111*G88*'Assumptions'!$F$56*'Assumptions'!$G$56</x:f>
        <x:v>0</x:v>
      </x:c>
      <x:c r="M88" s="27" t="n">
        <x:f>SUMPRODUCT(H88:L88,'Source Data'!D17:H17)</x:f>
        <x:v>0</x:v>
      </x:c>
      <x:c r="N88" s="27" t="n">
        <x:f>SUMPRODUCT(H88:L88,'Source Data'!D18:H18)</x:f>
        <x:v>0</x:v>
      </x:c>
      <x:c r="O88" s="27" t="n">
        <x:f>SUMPRODUCT(H88:L88,'Source Data'!D19:H19)</x:f>
        <x:v>0</x:v>
      </x:c>
      <x:c r="P88" s="27" t="n">
        <x:f>SUMPRODUCT(H88:L88,'Source Data'!D20:H20)</x:f>
        <x:v>0</x:v>
      </x:c>
      <x:c r="Q88" s="27" t="n">
        <x:f>SUMPRODUCT(H88:L88,'Source Data'!D21:H21)</x:f>
        <x:v>0</x:v>
      </x:c>
      <x:c r="R88" s="27" t="n">
        <x:f>SUMPRODUCT(H88:L88,'Source Data'!D22:H22)</x:f>
        <x:v>0</x:v>
      </x:c>
      <x:c r="S88" s="27" t="n">
        <x:f>SUMPRODUCT(H88:L88,'Source Data'!D23:H23)</x:f>
        <x:v>0</x:v>
      </x:c>
      <x:c r="T88" s="27" t="n">
        <x:f>SUMPRODUCT(H88:L88,'Source Data'!D24:H24)</x:f>
        <x:v>0</x:v>
      </x:c>
      <x:c r="U88" s="3"/>
      <x:c r="V88" s="3"/>
      <x:c r="W88" s="28" t="n">
        <x:f>M88*F88</x:f>
        <x:v>0</x:v>
      </x:c>
      <x:c r="X88" s="28" t="n">
        <x:f>N88*F88</x:f>
        <x:v>0</x:v>
      </x:c>
      <x:c r="Y88" s="28" t="n">
        <x:f>O88*F88</x:f>
        <x:v>0</x:v>
      </x:c>
      <x:c r="Z88" s="28" t="n">
        <x:f>P88*F88</x:f>
        <x:v>0</x:v>
      </x:c>
      <x:c r="AA88" s="28" t="n">
        <x:f>Q88*F88</x:f>
        <x:v>0</x:v>
      </x:c>
      <x:c r="AB88" s="28" t="n">
        <x:f>R88*F88</x:f>
        <x:v>0</x:v>
      </x:c>
      <x:c r="AC88" s="28" t="n">
        <x:f>S88*F88</x:f>
        <x:v>0</x:v>
      </x:c>
      <x:c r="AD88" s="28" t="n">
        <x:f>T88*F88</x:f>
        <x:v>0</x:v>
      </x:c>
    </x:row>
    <x:row r="89" ht="19" customHeight="1">
      <x:c r="A89" s="2"/>
      <x:c r="B89" s="2"/>
      <x:c r="C89" s="45" t="n">
        <x:f>'Source Data'!C112</x:f>
        <x:v>1</x:v>
      </x:c>
      <x:c r="D89" s="45" t="n">
        <x:f>'Source Data'!D112</x:f>
        <x:v>37</x:v>
      </x:c>
      <x:c r="E89" s="45" t="n">
        <x:f>'Source Data'!E112</x:f>
        <x:v>5</x:v>
      </x:c>
      <x:c r="F89" s="27" t="n">
        <x:f>IF(D89=0,0.5,1)*EXP(-'Assumptions'!$D$21*MAX(D89-6,0))</x:f>
        <x:v>0.06090926385433481</x:v>
      </x:c>
      <x:c r="G89" s="27" t="n">
        <x:f>IF(D89/'Assumptions'!$D$20&gt;=31,0,INDEX('Source Data'!$N$29:$N$60,INT(D89/'Assumptions'!$D$20)+1)+(D89/'Assumptions'!$D$20-INT(D89/'Assumptions'!$D$20))*(INDEX('Source Data'!$N$29:$N$60,MIN(32,INT(D89/'Assumptions'!$D$20)+2))-INDEX('Source Data'!$N$29:$N$60,INT(D89/'Assumptions'!$D$20)+1)))</x:f>
        <x:v>0</x:v>
      </x:c>
      <x:c r="H89" s="27" t="n">
        <x:f>'Source Data'!F112*G89*'Assumptions'!$F$56*'Assumptions'!$G$56</x:f>
        <x:v>0</x:v>
      </x:c>
      <x:c r="I89" s="27" t="n">
        <x:f>'Source Data'!G112*G89*'Assumptions'!$F$56*'Assumptions'!$G$56</x:f>
        <x:v>0</x:v>
      </x:c>
      <x:c r="J89" s="27" t="n">
        <x:f>'Source Data'!H112*G89*'Assumptions'!$F$56*'Assumptions'!$G$56</x:f>
        <x:v>0</x:v>
      </x:c>
      <x:c r="K89" s="27" t="n">
        <x:f>'Source Data'!I112*G89*'Assumptions'!$F$56*'Assumptions'!$G$56</x:f>
        <x:v>0</x:v>
      </x:c>
      <x:c r="L89" s="27" t="n">
        <x:f>'Source Data'!J112*G89*'Assumptions'!$F$56*'Assumptions'!$G$56</x:f>
        <x:v>0</x:v>
      </x:c>
      <x:c r="M89" s="27" t="n">
        <x:f>SUMPRODUCT(H89:L89,'Source Data'!D17:H17)</x:f>
        <x:v>0</x:v>
      </x:c>
      <x:c r="N89" s="27" t="n">
        <x:f>SUMPRODUCT(H89:L89,'Source Data'!D18:H18)</x:f>
        <x:v>0</x:v>
      </x:c>
      <x:c r="O89" s="27" t="n">
        <x:f>SUMPRODUCT(H89:L89,'Source Data'!D19:H19)</x:f>
        <x:v>0</x:v>
      </x:c>
      <x:c r="P89" s="27" t="n">
        <x:f>SUMPRODUCT(H89:L89,'Source Data'!D20:H20)</x:f>
        <x:v>0</x:v>
      </x:c>
      <x:c r="Q89" s="27" t="n">
        <x:f>SUMPRODUCT(H89:L89,'Source Data'!D21:H21)</x:f>
        <x:v>0</x:v>
      </x:c>
      <x:c r="R89" s="27" t="n">
        <x:f>SUMPRODUCT(H89:L89,'Source Data'!D22:H22)</x:f>
        <x:v>0</x:v>
      </x:c>
      <x:c r="S89" s="27" t="n">
        <x:f>SUMPRODUCT(H89:L89,'Source Data'!D23:H23)</x:f>
        <x:v>0</x:v>
      </x:c>
      <x:c r="T89" s="27" t="n">
        <x:f>SUMPRODUCT(H89:L89,'Source Data'!D24:H24)</x:f>
        <x:v>0</x:v>
      </x:c>
      <x:c r="U89" s="3"/>
      <x:c r="V89" s="3"/>
      <x:c r="W89" s="28" t="n">
        <x:f>M89*F89</x:f>
        <x:v>0</x:v>
      </x:c>
      <x:c r="X89" s="28" t="n">
        <x:f>N89*F89</x:f>
        <x:v>0</x:v>
      </x:c>
      <x:c r="Y89" s="28" t="n">
        <x:f>O89*F89</x:f>
        <x:v>0</x:v>
      </x:c>
      <x:c r="Z89" s="28" t="n">
        <x:f>P89*F89</x:f>
        <x:v>0</x:v>
      </x:c>
      <x:c r="AA89" s="28" t="n">
        <x:f>Q89*F89</x:f>
        <x:v>0</x:v>
      </x:c>
      <x:c r="AB89" s="28" t="n">
        <x:f>R89*F89</x:f>
        <x:v>0</x:v>
      </x:c>
      <x:c r="AC89" s="28" t="n">
        <x:f>S89*F89</x:f>
        <x:v>0</x:v>
      </x:c>
      <x:c r="AD89" s="28" t="n">
        <x:f>T89*F89</x:f>
        <x:v>0</x:v>
      </x:c>
    </x:row>
    <x:row r="90" ht="19" customHeight="1">
      <x:c r="A90" s="2"/>
      <x:c r="B90" s="2"/>
      <x:c r="C90" s="45" t="n">
        <x:f>'Source Data'!C113</x:f>
        <x:v>1</x:v>
      </x:c>
      <x:c r="D90" s="45" t="n">
        <x:f>'Source Data'!D113</x:f>
        <x:v>38</x:v>
      </x:c>
      <x:c r="E90" s="45" t="n">
        <x:f>'Source Data'!E113</x:f>
        <x:v>5</x:v>
      </x:c>
      <x:c r="F90" s="27" t="n">
        <x:f>IF(D90=0,0.5,1)*EXP(-'Assumptions'!$D$21*MAX(D90-6,0))</x:f>
        <x:v>0.05565184768082394</x:v>
      </x:c>
      <x:c r="G90" s="27" t="n">
        <x:f>IF(D90/'Assumptions'!$D$20&gt;=31,0,INDEX('Source Data'!$N$29:$N$60,INT(D90/'Assumptions'!$D$20)+1)+(D90/'Assumptions'!$D$20-INT(D90/'Assumptions'!$D$20))*(INDEX('Source Data'!$N$29:$N$60,MIN(32,INT(D90/'Assumptions'!$D$20)+2))-INDEX('Source Data'!$N$29:$N$60,INT(D90/'Assumptions'!$D$20)+1)))</x:f>
        <x:v>0</x:v>
      </x:c>
      <x:c r="H90" s="27" t="n">
        <x:f>'Source Data'!F113*G90*'Assumptions'!$F$56*'Assumptions'!$G$56</x:f>
        <x:v>0</x:v>
      </x:c>
      <x:c r="I90" s="27" t="n">
        <x:f>'Source Data'!G113*G90*'Assumptions'!$F$56*'Assumptions'!$G$56</x:f>
        <x:v>0</x:v>
      </x:c>
      <x:c r="J90" s="27" t="n">
        <x:f>'Source Data'!H113*G90*'Assumptions'!$F$56*'Assumptions'!$G$56</x:f>
        <x:v>0</x:v>
      </x:c>
      <x:c r="K90" s="27" t="n">
        <x:f>'Source Data'!I113*G90*'Assumptions'!$F$56*'Assumptions'!$G$56</x:f>
        <x:v>0</x:v>
      </x:c>
      <x:c r="L90" s="27" t="n">
        <x:f>'Source Data'!J113*G90*'Assumptions'!$F$56*'Assumptions'!$G$56</x:f>
        <x:v>0</x:v>
      </x:c>
      <x:c r="M90" s="27" t="n">
        <x:f>SUMPRODUCT(H90:L90,'Source Data'!D17:H17)</x:f>
        <x:v>0</x:v>
      </x:c>
      <x:c r="N90" s="27" t="n">
        <x:f>SUMPRODUCT(H90:L90,'Source Data'!D18:H18)</x:f>
        <x:v>0</x:v>
      </x:c>
      <x:c r="O90" s="27" t="n">
        <x:f>SUMPRODUCT(H90:L90,'Source Data'!D19:H19)</x:f>
        <x:v>0</x:v>
      </x:c>
      <x:c r="P90" s="27" t="n">
        <x:f>SUMPRODUCT(H90:L90,'Source Data'!D20:H20)</x:f>
        <x:v>0</x:v>
      </x:c>
      <x:c r="Q90" s="27" t="n">
        <x:f>SUMPRODUCT(H90:L90,'Source Data'!D21:H21)</x:f>
        <x:v>0</x:v>
      </x:c>
      <x:c r="R90" s="27" t="n">
        <x:f>SUMPRODUCT(H90:L90,'Source Data'!D22:H22)</x:f>
        <x:v>0</x:v>
      </x:c>
      <x:c r="S90" s="27" t="n">
        <x:f>SUMPRODUCT(H90:L90,'Source Data'!D23:H23)</x:f>
        <x:v>0</x:v>
      </x:c>
      <x:c r="T90" s="27" t="n">
        <x:f>SUMPRODUCT(H90:L90,'Source Data'!D24:H24)</x:f>
        <x:v>0</x:v>
      </x:c>
      <x:c r="U90" s="3"/>
      <x:c r="V90" s="3"/>
      <x:c r="W90" s="28" t="n">
        <x:f>M90*F90</x:f>
        <x:v>0</x:v>
      </x:c>
      <x:c r="X90" s="28" t="n">
        <x:f>N90*F90</x:f>
        <x:v>0</x:v>
      </x:c>
      <x:c r="Y90" s="28" t="n">
        <x:f>O90*F90</x:f>
        <x:v>0</x:v>
      </x:c>
      <x:c r="Z90" s="28" t="n">
        <x:f>P90*F90</x:f>
        <x:v>0</x:v>
      </x:c>
      <x:c r="AA90" s="28" t="n">
        <x:f>Q90*F90</x:f>
        <x:v>0</x:v>
      </x:c>
      <x:c r="AB90" s="28" t="n">
        <x:f>R90*F90</x:f>
        <x:v>0</x:v>
      </x:c>
      <x:c r="AC90" s="28" t="n">
        <x:f>S90*F90</x:f>
        <x:v>0</x:v>
      </x:c>
      <x:c r="AD90" s="28" t="n">
        <x:f>T90*F90</x:f>
        <x:v>0</x:v>
      </x:c>
    </x:row>
    <x:row r="91" ht="19" customHeight="1">
      <x:c r="A91" s="2"/>
      <x:c r="B91" s="2"/>
      <x:c r="C91" s="45" t="n">
        <x:f>'Source Data'!C114</x:f>
        <x:v>1</x:v>
      </x:c>
      <x:c r="D91" s="45" t="n">
        <x:f>'Source Data'!D114</x:f>
        <x:v>39</x:v>
      </x:c>
      <x:c r="E91" s="45" t="n">
        <x:f>'Source Data'!E114</x:f>
        <x:v>5</x:v>
      </x:c>
      <x:c r="F91" s="27" t="n">
        <x:f>IF(D91=0,0.5,1)*EXP(-'Assumptions'!$D$21*MAX(D91-6,0))</x:f>
        <x:v>0.05084822823826022</x:v>
      </x:c>
      <x:c r="G91" s="27" t="n">
        <x:f>IF(D91/'Assumptions'!$D$20&gt;=31,0,INDEX('Source Data'!$N$29:$N$60,INT(D91/'Assumptions'!$D$20)+1)+(D91/'Assumptions'!$D$20-INT(D91/'Assumptions'!$D$20))*(INDEX('Source Data'!$N$29:$N$60,MIN(32,INT(D91/'Assumptions'!$D$20)+2))-INDEX('Source Data'!$N$29:$N$60,INT(D91/'Assumptions'!$D$20)+1)))</x:f>
        <x:v>0</x:v>
      </x:c>
      <x:c r="H91" s="27" t="n">
        <x:f>'Source Data'!F114*G91*'Assumptions'!$F$56*'Assumptions'!$G$56</x:f>
        <x:v>0</x:v>
      </x:c>
      <x:c r="I91" s="27" t="n">
        <x:f>'Source Data'!G114*G91*'Assumptions'!$F$56*'Assumptions'!$G$56</x:f>
        <x:v>0</x:v>
      </x:c>
      <x:c r="J91" s="27" t="n">
        <x:f>'Source Data'!H114*G91*'Assumptions'!$F$56*'Assumptions'!$G$56</x:f>
        <x:v>0</x:v>
      </x:c>
      <x:c r="K91" s="27" t="n">
        <x:f>'Source Data'!I114*G91*'Assumptions'!$F$56*'Assumptions'!$G$56</x:f>
        <x:v>0</x:v>
      </x:c>
      <x:c r="L91" s="27" t="n">
        <x:f>'Source Data'!J114*G91*'Assumptions'!$F$56*'Assumptions'!$G$56</x:f>
        <x:v>0</x:v>
      </x:c>
      <x:c r="M91" s="27" t="n">
        <x:f>SUMPRODUCT(H91:L91,'Source Data'!D17:H17)</x:f>
        <x:v>0</x:v>
      </x:c>
      <x:c r="N91" s="27" t="n">
        <x:f>SUMPRODUCT(H91:L91,'Source Data'!D18:H18)</x:f>
        <x:v>0</x:v>
      </x:c>
      <x:c r="O91" s="27" t="n">
        <x:f>SUMPRODUCT(H91:L91,'Source Data'!D19:H19)</x:f>
        <x:v>0</x:v>
      </x:c>
      <x:c r="P91" s="27" t="n">
        <x:f>SUMPRODUCT(H91:L91,'Source Data'!D20:H20)</x:f>
        <x:v>0</x:v>
      </x:c>
      <x:c r="Q91" s="27" t="n">
        <x:f>SUMPRODUCT(H91:L91,'Source Data'!D21:H21)</x:f>
        <x:v>0</x:v>
      </x:c>
      <x:c r="R91" s="27" t="n">
        <x:f>SUMPRODUCT(H91:L91,'Source Data'!D22:H22)</x:f>
        <x:v>0</x:v>
      </x:c>
      <x:c r="S91" s="27" t="n">
        <x:f>SUMPRODUCT(H91:L91,'Source Data'!D23:H23)</x:f>
        <x:v>0</x:v>
      </x:c>
      <x:c r="T91" s="27" t="n">
        <x:f>SUMPRODUCT(H91:L91,'Source Data'!D24:H24)</x:f>
        <x:v>0</x:v>
      </x:c>
      <x:c r="U91" s="3"/>
      <x:c r="V91" s="3"/>
      <x:c r="W91" s="28" t="n">
        <x:f>M91*F91</x:f>
        <x:v>0</x:v>
      </x:c>
      <x:c r="X91" s="28" t="n">
        <x:f>N91*F91</x:f>
        <x:v>0</x:v>
      </x:c>
      <x:c r="Y91" s="28" t="n">
        <x:f>O91*F91</x:f>
        <x:v>0</x:v>
      </x:c>
      <x:c r="Z91" s="28" t="n">
        <x:f>P91*F91</x:f>
        <x:v>0</x:v>
      </x:c>
      <x:c r="AA91" s="28" t="n">
        <x:f>Q91*F91</x:f>
        <x:v>0</x:v>
      </x:c>
      <x:c r="AB91" s="28" t="n">
        <x:f>R91*F91</x:f>
        <x:v>0</x:v>
      </x:c>
      <x:c r="AC91" s="28" t="n">
        <x:f>S91*F91</x:f>
        <x:v>0</x:v>
      </x:c>
      <x:c r="AD91" s="28" t="n">
        <x:f>T91*F91</x:f>
        <x:v>0</x:v>
      </x:c>
    </x:row>
    <x:row r="92" ht="19" customHeight="1">
      <x:c r="A92" s="2"/>
      <x:c r="B92" s="2"/>
      <x:c r="C92" s="45" t="n">
        <x:f>'Source Data'!C115</x:f>
        <x:v>1</x:v>
      </x:c>
      <x:c r="D92" s="45" t="n">
        <x:f>'Source Data'!D115</x:f>
        <x:v>40</x:v>
      </x:c>
      <x:c r="E92" s="45" t="n">
        <x:f>'Source Data'!E115</x:f>
        <x:v>5</x:v>
      </x:c>
      <x:c r="F92" s="27" t="n">
        <x:f>IF(D92=0,0.5,1)*EXP(-'Assumptions'!$D$21*MAX(D92-6,0))</x:f>
        <x:v>0.04645923581547334</x:v>
      </x:c>
      <x:c r="G92" s="27" t="n">
        <x:f>IF(D92/'Assumptions'!$D$20&gt;=31,0,INDEX('Source Data'!$N$29:$N$60,INT(D92/'Assumptions'!$D$20)+1)+(D92/'Assumptions'!$D$20-INT(D92/'Assumptions'!$D$20))*(INDEX('Source Data'!$N$29:$N$60,MIN(32,INT(D92/'Assumptions'!$D$20)+2))-INDEX('Source Data'!$N$29:$N$60,INT(D92/'Assumptions'!$D$20)+1)))</x:f>
        <x:v>0</x:v>
      </x:c>
      <x:c r="H92" s="27" t="n">
        <x:f>'Source Data'!F115*G92*'Assumptions'!$F$56*'Assumptions'!$G$56</x:f>
        <x:v>0</x:v>
      </x:c>
      <x:c r="I92" s="27" t="n">
        <x:f>'Source Data'!G115*G92*'Assumptions'!$F$56*'Assumptions'!$G$56</x:f>
        <x:v>0</x:v>
      </x:c>
      <x:c r="J92" s="27" t="n">
        <x:f>'Source Data'!H115*G92*'Assumptions'!$F$56*'Assumptions'!$G$56</x:f>
        <x:v>0</x:v>
      </x:c>
      <x:c r="K92" s="27" t="n">
        <x:f>'Source Data'!I115*G92*'Assumptions'!$F$56*'Assumptions'!$G$56</x:f>
        <x:v>0</x:v>
      </x:c>
      <x:c r="L92" s="27" t="n">
        <x:f>'Source Data'!J115*G92*'Assumptions'!$F$56*'Assumptions'!$G$56</x:f>
        <x:v>0</x:v>
      </x:c>
      <x:c r="M92" s="27" t="n">
        <x:f>SUMPRODUCT(H92:L92,'Source Data'!D17:H17)</x:f>
        <x:v>0</x:v>
      </x:c>
      <x:c r="N92" s="27" t="n">
        <x:f>SUMPRODUCT(H92:L92,'Source Data'!D18:H18)</x:f>
        <x:v>0</x:v>
      </x:c>
      <x:c r="O92" s="27" t="n">
        <x:f>SUMPRODUCT(H92:L92,'Source Data'!D19:H19)</x:f>
        <x:v>0</x:v>
      </x:c>
      <x:c r="P92" s="27" t="n">
        <x:f>SUMPRODUCT(H92:L92,'Source Data'!D20:H20)</x:f>
        <x:v>0</x:v>
      </x:c>
      <x:c r="Q92" s="27" t="n">
        <x:f>SUMPRODUCT(H92:L92,'Source Data'!D21:H21)</x:f>
        <x:v>0</x:v>
      </x:c>
      <x:c r="R92" s="27" t="n">
        <x:f>SUMPRODUCT(H92:L92,'Source Data'!D22:H22)</x:f>
        <x:v>0</x:v>
      </x:c>
      <x:c r="S92" s="27" t="n">
        <x:f>SUMPRODUCT(H92:L92,'Source Data'!D23:H23)</x:f>
        <x:v>0</x:v>
      </x:c>
      <x:c r="T92" s="27" t="n">
        <x:f>SUMPRODUCT(H92:L92,'Source Data'!D24:H24)</x:f>
        <x:v>0</x:v>
      </x:c>
      <x:c r="U92" s="3"/>
      <x:c r="V92" s="3"/>
      <x:c r="W92" s="28" t="n">
        <x:f>M92*F92</x:f>
        <x:v>0</x:v>
      </x:c>
      <x:c r="X92" s="28" t="n">
        <x:f>N92*F92</x:f>
        <x:v>0</x:v>
      </x:c>
      <x:c r="Y92" s="28" t="n">
        <x:f>O92*F92</x:f>
        <x:v>0</x:v>
      </x:c>
      <x:c r="Z92" s="28" t="n">
        <x:f>P92*F92</x:f>
        <x:v>0</x:v>
      </x:c>
      <x:c r="AA92" s="28" t="n">
        <x:f>Q92*F92</x:f>
        <x:v>0</x:v>
      </x:c>
      <x:c r="AB92" s="28" t="n">
        <x:f>R92*F92</x:f>
        <x:v>0</x:v>
      </x:c>
      <x:c r="AC92" s="28" t="n">
        <x:f>S92*F92</x:f>
        <x:v>0</x:v>
      </x:c>
      <x:c r="AD92" s="28" t="n">
        <x:f>T92*F92</x:f>
        <x:v>0</x:v>
      </x:c>
    </x:row>
    <x:row r="93" ht="19" customHeight="1">
      <x:c r="A93" s="2"/>
      <x:c r="B93" s="2"/>
      <x:c r="C93" s="45" t="n">
        <x:f>'Source Data'!C116</x:f>
        <x:v>1</x:v>
      </x:c>
      <x:c r="D93" s="45" t="n">
        <x:f>'Source Data'!D116</x:f>
        <x:v>41</x:v>
      </x:c>
      <x:c r="E93" s="45" t="n">
        <x:f>'Source Data'!E116</x:f>
        <x:v>5</x:v>
      </x:c>
      <x:c r="F93" s="27" t="n">
        <x:f>IF(D93=0,0.5,1)*EXP(-'Assumptions'!$D$21*MAX(D93-6,0))</x:f>
        <x:v>0.0424490816561756</x:v>
      </x:c>
      <x:c r="G93" s="27" t="n">
        <x:f>IF(D93/'Assumptions'!$D$20&gt;=31,0,INDEX('Source Data'!$N$29:$N$60,INT(D93/'Assumptions'!$D$20)+1)+(D93/'Assumptions'!$D$20-INT(D93/'Assumptions'!$D$20))*(INDEX('Source Data'!$N$29:$N$60,MIN(32,INT(D93/'Assumptions'!$D$20)+2))-INDEX('Source Data'!$N$29:$N$60,INT(D93/'Assumptions'!$D$20)+1)))</x:f>
        <x:v>0</x:v>
      </x:c>
      <x:c r="H93" s="27" t="n">
        <x:f>'Source Data'!F116*G93*'Assumptions'!$F$56*'Assumptions'!$G$56</x:f>
        <x:v>0</x:v>
      </x:c>
      <x:c r="I93" s="27" t="n">
        <x:f>'Source Data'!G116*G93*'Assumptions'!$F$56*'Assumptions'!$G$56</x:f>
        <x:v>0</x:v>
      </x:c>
      <x:c r="J93" s="27" t="n">
        <x:f>'Source Data'!H116*G93*'Assumptions'!$F$56*'Assumptions'!$G$56</x:f>
        <x:v>0</x:v>
      </x:c>
      <x:c r="K93" s="27" t="n">
        <x:f>'Source Data'!I116*G93*'Assumptions'!$F$56*'Assumptions'!$G$56</x:f>
        <x:v>0</x:v>
      </x:c>
      <x:c r="L93" s="27" t="n">
        <x:f>'Source Data'!J116*G93*'Assumptions'!$F$56*'Assumptions'!$G$56</x:f>
        <x:v>0</x:v>
      </x:c>
      <x:c r="M93" s="27" t="n">
        <x:f>SUMPRODUCT(H93:L93,'Source Data'!D17:H17)</x:f>
        <x:v>0</x:v>
      </x:c>
      <x:c r="N93" s="27" t="n">
        <x:f>SUMPRODUCT(H93:L93,'Source Data'!D18:H18)</x:f>
        <x:v>0</x:v>
      </x:c>
      <x:c r="O93" s="27" t="n">
        <x:f>SUMPRODUCT(H93:L93,'Source Data'!D19:H19)</x:f>
        <x:v>0</x:v>
      </x:c>
      <x:c r="P93" s="27" t="n">
        <x:f>SUMPRODUCT(H93:L93,'Source Data'!D20:H20)</x:f>
        <x:v>0</x:v>
      </x:c>
      <x:c r="Q93" s="27" t="n">
        <x:f>SUMPRODUCT(H93:L93,'Source Data'!D21:H21)</x:f>
        <x:v>0</x:v>
      </x:c>
      <x:c r="R93" s="27" t="n">
        <x:f>SUMPRODUCT(H93:L93,'Source Data'!D22:H22)</x:f>
        <x:v>0</x:v>
      </x:c>
      <x:c r="S93" s="27" t="n">
        <x:f>SUMPRODUCT(H93:L93,'Source Data'!D23:H23)</x:f>
        <x:v>0</x:v>
      </x:c>
      <x:c r="T93" s="27" t="n">
        <x:f>SUMPRODUCT(H93:L93,'Source Data'!D24:H24)</x:f>
        <x:v>0</x:v>
      </x:c>
      <x:c r="U93" s="3"/>
      <x:c r="V93" s="3"/>
      <x:c r="W93" s="28" t="n">
        <x:f>M93*F93</x:f>
        <x:v>0</x:v>
      </x:c>
      <x:c r="X93" s="28" t="n">
        <x:f>N93*F93</x:f>
        <x:v>0</x:v>
      </x:c>
      <x:c r="Y93" s="28" t="n">
        <x:f>O93*F93</x:f>
        <x:v>0</x:v>
      </x:c>
      <x:c r="Z93" s="28" t="n">
        <x:f>P93*F93</x:f>
        <x:v>0</x:v>
      </x:c>
      <x:c r="AA93" s="28" t="n">
        <x:f>Q93*F93</x:f>
        <x:v>0</x:v>
      </x:c>
      <x:c r="AB93" s="28" t="n">
        <x:f>R93*F93</x:f>
        <x:v>0</x:v>
      </x:c>
      <x:c r="AC93" s="28" t="n">
        <x:f>S93*F93</x:f>
        <x:v>0</x:v>
      </x:c>
      <x:c r="AD93" s="28" t="n">
        <x:f>T93*F93</x:f>
        <x:v>0</x:v>
      </x:c>
    </x:row>
    <x:row r="94" ht="19" customHeight="1">
      <x:c r="A94" s="2"/>
      <x:c r="B94" s="2"/>
      <x:c r="C94" s="45" t="n">
        <x:f>'Source Data'!C117</x:f>
        <x:v>1</x:v>
      </x:c>
      <x:c r="D94" s="45" t="n">
        <x:f>'Source Data'!D117</x:f>
        <x:v>42</x:v>
      </x:c>
      <x:c r="E94" s="45" t="n">
        <x:f>'Source Data'!E117</x:f>
        <x:v>5</x:v>
      </x:c>
      <x:c r="F94" s="27" t="n">
        <x:f>IF(D94=0,0.5,1)*EXP(-'Assumptions'!$D$21*MAX(D94-6,0))</x:f>
        <x:v>0.038785066130005715</x:v>
      </x:c>
      <x:c r="G94" s="27" t="n">
        <x:f>IF(D94/'Assumptions'!$D$20&gt;=31,0,INDEX('Source Data'!$N$29:$N$60,INT(D94/'Assumptions'!$D$20)+1)+(D94/'Assumptions'!$D$20-INT(D94/'Assumptions'!$D$20))*(INDEX('Source Data'!$N$29:$N$60,MIN(32,INT(D94/'Assumptions'!$D$20)+2))-INDEX('Source Data'!$N$29:$N$60,INT(D94/'Assumptions'!$D$20)+1)))</x:f>
        <x:v>0</x:v>
      </x:c>
      <x:c r="H94" s="27" t="n">
        <x:f>'Source Data'!F117*G94*'Assumptions'!$F$56*'Assumptions'!$G$56</x:f>
        <x:v>0</x:v>
      </x:c>
      <x:c r="I94" s="27" t="n">
        <x:f>'Source Data'!G117*G94*'Assumptions'!$F$56*'Assumptions'!$G$56</x:f>
        <x:v>0</x:v>
      </x:c>
      <x:c r="J94" s="27" t="n">
        <x:f>'Source Data'!H117*G94*'Assumptions'!$F$56*'Assumptions'!$G$56</x:f>
        <x:v>0</x:v>
      </x:c>
      <x:c r="K94" s="27" t="n">
        <x:f>'Source Data'!I117*G94*'Assumptions'!$F$56*'Assumptions'!$G$56</x:f>
        <x:v>0</x:v>
      </x:c>
      <x:c r="L94" s="27" t="n">
        <x:f>'Source Data'!J117*G94*'Assumptions'!$F$56*'Assumptions'!$G$56</x:f>
        <x:v>0</x:v>
      </x:c>
      <x:c r="M94" s="27" t="n">
        <x:f>SUMPRODUCT(H94:L94,'Source Data'!D17:H17)</x:f>
        <x:v>0</x:v>
      </x:c>
      <x:c r="N94" s="27" t="n">
        <x:f>SUMPRODUCT(H94:L94,'Source Data'!D18:H18)</x:f>
        <x:v>0</x:v>
      </x:c>
      <x:c r="O94" s="27" t="n">
        <x:f>SUMPRODUCT(H94:L94,'Source Data'!D19:H19)</x:f>
        <x:v>0</x:v>
      </x:c>
      <x:c r="P94" s="27" t="n">
        <x:f>SUMPRODUCT(H94:L94,'Source Data'!D20:H20)</x:f>
        <x:v>0</x:v>
      </x:c>
      <x:c r="Q94" s="27" t="n">
        <x:f>SUMPRODUCT(H94:L94,'Source Data'!D21:H21)</x:f>
        <x:v>0</x:v>
      </x:c>
      <x:c r="R94" s="27" t="n">
        <x:f>SUMPRODUCT(H94:L94,'Source Data'!D22:H22)</x:f>
        <x:v>0</x:v>
      </x:c>
      <x:c r="S94" s="27" t="n">
        <x:f>SUMPRODUCT(H94:L94,'Source Data'!D23:H23)</x:f>
        <x:v>0</x:v>
      </x:c>
      <x:c r="T94" s="27" t="n">
        <x:f>SUMPRODUCT(H94:L94,'Source Data'!D24:H24)</x:f>
        <x:v>0</x:v>
      </x:c>
      <x:c r="U94" s="3"/>
      <x:c r="V94" s="3"/>
      <x:c r="W94" s="28" t="n">
        <x:f>M94*F94</x:f>
        <x:v>0</x:v>
      </x:c>
      <x:c r="X94" s="28" t="n">
        <x:f>N94*F94</x:f>
        <x:v>0</x:v>
      </x:c>
      <x:c r="Y94" s="28" t="n">
        <x:f>O94*F94</x:f>
        <x:v>0</x:v>
      </x:c>
      <x:c r="Z94" s="28" t="n">
        <x:f>P94*F94</x:f>
        <x:v>0</x:v>
      </x:c>
      <x:c r="AA94" s="28" t="n">
        <x:f>Q94*F94</x:f>
        <x:v>0</x:v>
      </x:c>
      <x:c r="AB94" s="28" t="n">
        <x:f>R94*F94</x:f>
        <x:v>0</x:v>
      </x:c>
      <x:c r="AC94" s="28" t="n">
        <x:f>S94*F94</x:f>
        <x:v>0</x:v>
      </x:c>
      <x:c r="AD94" s="28" t="n">
        <x:f>T94*F94</x:f>
        <x:v>0</x:v>
      </x:c>
    </x:row>
    <x:row r="95" ht="19" customHeight="1">
      <x:c r="A95" s="2"/>
      <x:c r="B95" s="2"/>
      <x:c r="C95" s="45" t="n">
        <x:f>'Source Data'!C118</x:f>
        <x:v>1</x:v>
      </x:c>
      <x:c r="D95" s="45" t="n">
        <x:f>'Source Data'!D118</x:f>
        <x:v>43</x:v>
      </x:c>
      <x:c r="E95" s="45" t="n">
        <x:f>'Source Data'!E118</x:f>
        <x:v>5</x:v>
      </x:c>
      <x:c r="F95" s="27" t="n">
        <x:f>IF(D95=0,0.5,1)*EXP(-'Assumptions'!$D$21*MAX(D95-6,0))</x:f>
        <x:v>0.0354373120929477</x:v>
      </x:c>
      <x:c r="G95" s="27" t="n">
        <x:f>IF(D95/'Assumptions'!$D$20&gt;=31,0,INDEX('Source Data'!$N$29:$N$60,INT(D95/'Assumptions'!$D$20)+1)+(D95/'Assumptions'!$D$20-INT(D95/'Assumptions'!$D$20))*(INDEX('Source Data'!$N$29:$N$60,MIN(32,INT(D95/'Assumptions'!$D$20)+2))-INDEX('Source Data'!$N$29:$N$60,INT(D95/'Assumptions'!$D$20)+1)))</x:f>
        <x:v>0</x:v>
      </x:c>
      <x:c r="H95" s="27" t="n">
        <x:f>'Source Data'!F118*G95*'Assumptions'!$F$56*'Assumptions'!$G$56</x:f>
        <x:v>0</x:v>
      </x:c>
      <x:c r="I95" s="27" t="n">
        <x:f>'Source Data'!G118*G95*'Assumptions'!$F$56*'Assumptions'!$G$56</x:f>
        <x:v>0</x:v>
      </x:c>
      <x:c r="J95" s="27" t="n">
        <x:f>'Source Data'!H118*G95*'Assumptions'!$F$56*'Assumptions'!$G$56</x:f>
        <x:v>0</x:v>
      </x:c>
      <x:c r="K95" s="27" t="n">
        <x:f>'Source Data'!I118*G95*'Assumptions'!$F$56*'Assumptions'!$G$56</x:f>
        <x:v>0</x:v>
      </x:c>
      <x:c r="L95" s="27" t="n">
        <x:f>'Source Data'!J118*G95*'Assumptions'!$F$56*'Assumptions'!$G$56</x:f>
        <x:v>0</x:v>
      </x:c>
      <x:c r="M95" s="27" t="n">
        <x:f>SUMPRODUCT(H95:L95,'Source Data'!D17:H17)</x:f>
        <x:v>0</x:v>
      </x:c>
      <x:c r="N95" s="27" t="n">
        <x:f>SUMPRODUCT(H95:L95,'Source Data'!D18:H18)</x:f>
        <x:v>0</x:v>
      </x:c>
      <x:c r="O95" s="27" t="n">
        <x:f>SUMPRODUCT(H95:L95,'Source Data'!D19:H19)</x:f>
        <x:v>0</x:v>
      </x:c>
      <x:c r="P95" s="27" t="n">
        <x:f>SUMPRODUCT(H95:L95,'Source Data'!D20:H20)</x:f>
        <x:v>0</x:v>
      </x:c>
      <x:c r="Q95" s="27" t="n">
        <x:f>SUMPRODUCT(H95:L95,'Source Data'!D21:H21)</x:f>
        <x:v>0</x:v>
      </x:c>
      <x:c r="R95" s="27" t="n">
        <x:f>SUMPRODUCT(H95:L95,'Source Data'!D22:H22)</x:f>
        <x:v>0</x:v>
      </x:c>
      <x:c r="S95" s="27" t="n">
        <x:f>SUMPRODUCT(H95:L95,'Source Data'!D23:H23)</x:f>
        <x:v>0</x:v>
      </x:c>
      <x:c r="T95" s="27" t="n">
        <x:f>SUMPRODUCT(H95:L95,'Source Data'!D24:H24)</x:f>
        <x:v>0</x:v>
      </x:c>
      <x:c r="U95" s="3"/>
      <x:c r="V95" s="3"/>
      <x:c r="W95" s="28" t="n">
        <x:f>M95*F95</x:f>
        <x:v>0</x:v>
      </x:c>
      <x:c r="X95" s="28" t="n">
        <x:f>N95*F95</x:f>
        <x:v>0</x:v>
      </x:c>
      <x:c r="Y95" s="28" t="n">
        <x:f>O95*F95</x:f>
        <x:v>0</x:v>
      </x:c>
      <x:c r="Z95" s="28" t="n">
        <x:f>P95*F95</x:f>
        <x:v>0</x:v>
      </x:c>
      <x:c r="AA95" s="28" t="n">
        <x:f>Q95*F95</x:f>
        <x:v>0</x:v>
      </x:c>
      <x:c r="AB95" s="28" t="n">
        <x:f>R95*F95</x:f>
        <x:v>0</x:v>
      </x:c>
      <x:c r="AC95" s="28" t="n">
        <x:f>S95*F95</x:f>
        <x:v>0</x:v>
      </x:c>
      <x:c r="AD95" s="28" t="n">
        <x:f>T95*F95</x:f>
        <x:v>0</x:v>
      </x:c>
    </x:row>
    <x:row r="96" ht="19" customHeight="1">
      <x:c r="A96" s="2"/>
      <x:c r="B96" s="2"/>
      <x:c r="C96" s="45" t="n">
        <x:f>'Source Data'!C119</x:f>
        <x:v>1</x:v>
      </x:c>
      <x:c r="D96" s="45" t="n">
        <x:f>'Source Data'!D119</x:f>
        <x:v>44</x:v>
      </x:c>
      <x:c r="E96" s="45" t="n">
        <x:f>'Source Data'!E119</x:f>
        <x:v>5</x:v>
      </x:c>
      <x:c r="F96" s="27" t="n">
        <x:f>IF(D96=0,0.5,1)*EXP(-'Assumptions'!$D$21*MAX(D96-6,0))</x:f>
        <x:v>0.032378521262889814</x:v>
      </x:c>
      <x:c r="G96" s="27" t="n">
        <x:f>IF(D96/'Assumptions'!$D$20&gt;=31,0,INDEX('Source Data'!$N$29:$N$60,INT(D96/'Assumptions'!$D$20)+1)+(D96/'Assumptions'!$D$20-INT(D96/'Assumptions'!$D$20))*(INDEX('Source Data'!$N$29:$N$60,MIN(32,INT(D96/'Assumptions'!$D$20)+2))-INDEX('Source Data'!$N$29:$N$60,INT(D96/'Assumptions'!$D$20)+1)))</x:f>
        <x:v>0</x:v>
      </x:c>
      <x:c r="H96" s="27" t="n">
        <x:f>'Source Data'!F119*G96*'Assumptions'!$F$56*'Assumptions'!$G$56</x:f>
        <x:v>0</x:v>
      </x:c>
      <x:c r="I96" s="27" t="n">
        <x:f>'Source Data'!G119*G96*'Assumptions'!$F$56*'Assumptions'!$G$56</x:f>
        <x:v>0</x:v>
      </x:c>
      <x:c r="J96" s="27" t="n">
        <x:f>'Source Data'!H119*G96*'Assumptions'!$F$56*'Assumptions'!$G$56</x:f>
        <x:v>0</x:v>
      </x:c>
      <x:c r="K96" s="27" t="n">
        <x:f>'Source Data'!I119*G96*'Assumptions'!$F$56*'Assumptions'!$G$56</x:f>
        <x:v>0</x:v>
      </x:c>
      <x:c r="L96" s="27" t="n">
        <x:f>'Source Data'!J119*G96*'Assumptions'!$F$56*'Assumptions'!$G$56</x:f>
        <x:v>0</x:v>
      </x:c>
      <x:c r="M96" s="27" t="n">
        <x:f>SUMPRODUCT(H96:L96,'Source Data'!D17:H17)</x:f>
        <x:v>0</x:v>
      </x:c>
      <x:c r="N96" s="27" t="n">
        <x:f>SUMPRODUCT(H96:L96,'Source Data'!D18:H18)</x:f>
        <x:v>0</x:v>
      </x:c>
      <x:c r="O96" s="27" t="n">
        <x:f>SUMPRODUCT(H96:L96,'Source Data'!D19:H19)</x:f>
        <x:v>0</x:v>
      </x:c>
      <x:c r="P96" s="27" t="n">
        <x:f>SUMPRODUCT(H96:L96,'Source Data'!D20:H20)</x:f>
        <x:v>0</x:v>
      </x:c>
      <x:c r="Q96" s="27" t="n">
        <x:f>SUMPRODUCT(H96:L96,'Source Data'!D21:H21)</x:f>
        <x:v>0</x:v>
      </x:c>
      <x:c r="R96" s="27" t="n">
        <x:f>SUMPRODUCT(H96:L96,'Source Data'!D22:H22)</x:f>
        <x:v>0</x:v>
      </x:c>
      <x:c r="S96" s="27" t="n">
        <x:f>SUMPRODUCT(H96:L96,'Source Data'!D23:H23)</x:f>
        <x:v>0</x:v>
      </x:c>
      <x:c r="T96" s="27" t="n">
        <x:f>SUMPRODUCT(H96:L96,'Source Data'!D24:H24)</x:f>
        <x:v>0</x:v>
      </x:c>
      <x:c r="U96" s="3"/>
      <x:c r="V96" s="3"/>
      <x:c r="W96" s="28" t="n">
        <x:f>M96*F96</x:f>
        <x:v>0</x:v>
      </x:c>
      <x:c r="X96" s="28" t="n">
        <x:f>N96*F96</x:f>
        <x:v>0</x:v>
      </x:c>
      <x:c r="Y96" s="28" t="n">
        <x:f>O96*F96</x:f>
        <x:v>0</x:v>
      </x:c>
      <x:c r="Z96" s="28" t="n">
        <x:f>P96*F96</x:f>
        <x:v>0</x:v>
      </x:c>
      <x:c r="AA96" s="28" t="n">
        <x:f>Q96*F96</x:f>
        <x:v>0</x:v>
      </x:c>
      <x:c r="AB96" s="28" t="n">
        <x:f>R96*F96</x:f>
        <x:v>0</x:v>
      </x:c>
      <x:c r="AC96" s="28" t="n">
        <x:f>S96*F96</x:f>
        <x:v>0</x:v>
      </x:c>
      <x:c r="AD96" s="28" t="n">
        <x:f>T96*F96</x:f>
        <x:v>0</x:v>
      </x:c>
    </x:row>
    <x:row r="97" ht="19" customHeight="1">
      <x:c r="A97" s="2"/>
      <x:c r="B97" s="2"/>
      <x:c r="C97" s="45" t="n">
        <x:f>'Source Data'!C120</x:f>
        <x:v>1</x:v>
      </x:c>
      <x:c r="D97" s="45" t="n">
        <x:f>'Source Data'!D120</x:f>
        <x:v>45</x:v>
      </x:c>
      <x:c r="E97" s="45" t="n">
        <x:f>'Source Data'!E120</x:f>
        <x:v>5</x:v>
      </x:c>
      <x:c r="F97" s="27" t="n">
        <x:f>IF(D97=0,0.5,1)*EXP(-'Assumptions'!$D$21*MAX(D97-6,0))</x:f>
        <x:v>0.02958375162375934</x:v>
      </x:c>
      <x:c r="G97" s="27" t="n">
        <x:f>IF(D97/'Assumptions'!$D$20&gt;=31,0,INDEX('Source Data'!$N$29:$N$60,INT(D97/'Assumptions'!$D$20)+1)+(D97/'Assumptions'!$D$20-INT(D97/'Assumptions'!$D$20))*(INDEX('Source Data'!$N$29:$N$60,MIN(32,INT(D97/'Assumptions'!$D$20)+2))-INDEX('Source Data'!$N$29:$N$60,INT(D97/'Assumptions'!$D$20)+1)))</x:f>
        <x:v>0</x:v>
      </x:c>
      <x:c r="H97" s="27" t="n">
        <x:f>'Source Data'!F120*G97*'Assumptions'!$F$56*'Assumptions'!$G$56</x:f>
        <x:v>0</x:v>
      </x:c>
      <x:c r="I97" s="27" t="n">
        <x:f>'Source Data'!G120*G97*'Assumptions'!$F$56*'Assumptions'!$G$56</x:f>
        <x:v>0</x:v>
      </x:c>
      <x:c r="J97" s="27" t="n">
        <x:f>'Source Data'!H120*G97*'Assumptions'!$F$56*'Assumptions'!$G$56</x:f>
        <x:v>0</x:v>
      </x:c>
      <x:c r="K97" s="27" t="n">
        <x:f>'Source Data'!I120*G97*'Assumptions'!$F$56*'Assumptions'!$G$56</x:f>
        <x:v>0</x:v>
      </x:c>
      <x:c r="L97" s="27" t="n">
        <x:f>'Source Data'!J120*G97*'Assumptions'!$F$56*'Assumptions'!$G$56</x:f>
        <x:v>0</x:v>
      </x:c>
      <x:c r="M97" s="27" t="n">
        <x:f>SUMPRODUCT(H97:L97,'Source Data'!D17:H17)</x:f>
        <x:v>0</x:v>
      </x:c>
      <x:c r="N97" s="27" t="n">
        <x:f>SUMPRODUCT(H97:L97,'Source Data'!D18:H18)</x:f>
        <x:v>0</x:v>
      </x:c>
      <x:c r="O97" s="27" t="n">
        <x:f>SUMPRODUCT(H97:L97,'Source Data'!D19:H19)</x:f>
        <x:v>0</x:v>
      </x:c>
      <x:c r="P97" s="27" t="n">
        <x:f>SUMPRODUCT(H97:L97,'Source Data'!D20:H20)</x:f>
        <x:v>0</x:v>
      </x:c>
      <x:c r="Q97" s="27" t="n">
        <x:f>SUMPRODUCT(H97:L97,'Source Data'!D21:H21)</x:f>
        <x:v>0</x:v>
      </x:c>
      <x:c r="R97" s="27" t="n">
        <x:f>SUMPRODUCT(H97:L97,'Source Data'!D22:H22)</x:f>
        <x:v>0</x:v>
      </x:c>
      <x:c r="S97" s="27" t="n">
        <x:f>SUMPRODUCT(H97:L97,'Source Data'!D23:H23)</x:f>
        <x:v>0</x:v>
      </x:c>
      <x:c r="T97" s="27" t="n">
        <x:f>SUMPRODUCT(H97:L97,'Source Data'!D24:H24)</x:f>
        <x:v>0</x:v>
      </x:c>
      <x:c r="U97" s="3"/>
      <x:c r="V97" s="3"/>
      <x:c r="W97" s="28" t="n">
        <x:f>M97*F97</x:f>
        <x:v>0</x:v>
      </x:c>
      <x:c r="X97" s="28" t="n">
        <x:f>N97*F97</x:f>
        <x:v>0</x:v>
      </x:c>
      <x:c r="Y97" s="28" t="n">
        <x:f>O97*F97</x:f>
        <x:v>0</x:v>
      </x:c>
      <x:c r="Z97" s="28" t="n">
        <x:f>P97*F97</x:f>
        <x:v>0</x:v>
      </x:c>
      <x:c r="AA97" s="28" t="n">
        <x:f>Q97*F97</x:f>
        <x:v>0</x:v>
      </x:c>
      <x:c r="AB97" s="28" t="n">
        <x:f>R97*F97</x:f>
        <x:v>0</x:v>
      </x:c>
      <x:c r="AC97" s="28" t="n">
        <x:f>S97*F97</x:f>
        <x:v>0</x:v>
      </x:c>
      <x:c r="AD97" s="28" t="n">
        <x:f>T97*F97</x:f>
        <x:v>0</x:v>
      </x:c>
    </x:row>
    <x:row r="98" ht="19" customHeight="1">
      <x:c r="A98" s="2"/>
      <x:c r="B98" s="2"/>
      <x:c r="C98" s="45" t="n">
        <x:f>'Source Data'!C121</x:f>
        <x:v>2</x:v>
      </x:c>
      <x:c r="D98" s="45" t="n">
        <x:f>'Source Data'!D121</x:f>
        <x:v>0</x:v>
      </x:c>
      <x:c r="E98" s="45" t="n">
        <x:f>'Source Data'!E121</x:f>
        <x:v>0</x:v>
      </x:c>
      <x:c r="F98" s="27" t="n">
        <x:f>IF(D98=0,0.5,1)*EXP(-'Assumptions'!$D$21*MAX(D98-6,0))</x:f>
        <x:v>0.5</x:v>
      </x:c>
      <x:c r="G98" s="27" t="n">
        <x:f>IF(D98/'Assumptions'!$D$20&gt;=31,0,INDEX('Source Data'!$N$29:$N$60,INT(D98/'Assumptions'!$D$20)+1)+(D98/'Assumptions'!$D$20-INT(D98/'Assumptions'!$D$20))*(INDEX('Source Data'!$N$29:$N$60,MIN(32,INT(D98/'Assumptions'!$D$20)+2))-INDEX('Source Data'!$N$29:$N$60,INT(D98/'Assumptions'!$D$20)+1)))</x:f>
        <x:v>1</x:v>
      </x:c>
      <x:c r="H98" s="27" t="n">
        <x:f>'Source Data'!F121*G98*'Assumptions'!$F$57*'Assumptions'!$G$57</x:f>
        <x:v>2311.8417699115043</x:v>
      </x:c>
      <x:c r="I98" s="27" t="n">
        <x:f>'Source Data'!G121*G98*'Assumptions'!$F$57*'Assumptions'!$G$57</x:f>
        <x:v>2402.9580530973453</x:v>
      </x:c>
      <x:c r="J98" s="27" t="n">
        <x:f>'Source Data'!H121*G98*'Assumptions'!$F$57*'Assumptions'!$G$57</x:f>
        <x:v>2525.42389380531</x:v>
      </x:c>
      <x:c r="K98" s="27" t="n">
        <x:f>'Source Data'!I121*G98*'Assumptions'!$F$57*'Assumptions'!$G$57</x:f>
        <x:v>2525.42389380531</x:v>
      </x:c>
      <x:c r="L98" s="27" t="n">
        <x:f>'Source Data'!J121*G98*'Assumptions'!$F$57*'Assumptions'!$G$57</x:f>
        <x:v>2525.42389380531</x:v>
      </x:c>
      <x:c r="M98" s="27" t="n">
        <x:f>SUMPRODUCT(H98:L98,'Source Data'!D17:H17)</x:f>
        <x:v>2489.704690265487</x:v>
      </x:c>
      <x:c r="N98" s="27" t="n">
        <x:f>SUMPRODUCT(H98:L98,'Source Data'!D18:H18)</x:f>
        <x:v>2518.620235988201</x:v>
      </x:c>
      <x:c r="O98" s="27" t="n">
        <x:f>SUMPRODUCT(H98:L98,'Source Data'!D19:H19)</x:f>
        <x:v>2525.42389380531</x:v>
      </x:c>
      <x:c r="P98" s="27" t="n">
        <x:f>SUMPRODUCT(H98:L98,'Source Data'!D20:H20)</x:f>
        <x:v>2525.4238938053104</x:v>
      </x:c>
      <x:c r="Q98" s="27" t="n">
        <x:f>SUMPRODUCT(H98:L98,'Source Data'!D21:H21)</x:f>
        <x:v>2525.42389380531</x:v>
      </x:c>
      <x:c r="R98" s="27" t="n">
        <x:f>SUMPRODUCT(H98:L98,'Source Data'!D22:H22)</x:f>
        <x:v>2525.42389380531</x:v>
      </x:c>
      <x:c r="S98" s="27" t="n">
        <x:f>SUMPRODUCT(H98:L98,'Source Data'!D23:H23)</x:f>
        <x:v>2525.42389380531</x:v>
      </x:c>
      <x:c r="T98" s="27" t="n">
        <x:f>SUMPRODUCT(H98:L98,'Source Data'!D24:H24)</x:f>
        <x:v>2525.4238938053104</x:v>
      </x:c>
      <x:c r="U98" s="3"/>
      <x:c r="V98" s="3"/>
      <x:c r="W98" s="28" t="n">
        <x:f>M98*F98</x:f>
        <x:v>1244.8523451327435</x:v>
      </x:c>
      <x:c r="X98" s="28" t="n">
        <x:f>N98*F98</x:f>
        <x:v>1259.3101179941004</x:v>
      </x:c>
      <x:c r="Y98" s="28" t="n">
        <x:f>O98*F98</x:f>
        <x:v>1262.711946902655</x:v>
      </x:c>
      <x:c r="Z98" s="28" t="n">
        <x:f>P98*F98</x:f>
        <x:v>1262.7119469026552</x:v>
      </x:c>
      <x:c r="AA98" s="28" t="n">
        <x:f>Q98*F98</x:f>
        <x:v>1262.711946902655</x:v>
      </x:c>
      <x:c r="AB98" s="28" t="n">
        <x:f>R98*F98</x:f>
        <x:v>1262.711946902655</x:v>
      </x:c>
      <x:c r="AC98" s="28" t="n">
        <x:f>S98*F98</x:f>
        <x:v>1262.711946902655</x:v>
      </x:c>
      <x:c r="AD98" s="28" t="n">
        <x:f>T98*F98</x:f>
        <x:v>1262.7119469026552</x:v>
      </x:c>
    </x:row>
    <x:row r="99" ht="19" customHeight="1">
      <x:c r="A99" s="2"/>
      <x:c r="B99" s="2"/>
      <x:c r="C99" s="45" t="n">
        <x:f>'Source Data'!C122</x:f>
        <x:v>2</x:v>
      </x:c>
      <x:c r="D99" s="45" t="n">
        <x:f>'Source Data'!D122</x:f>
        <x:v>1</x:v>
      </x:c>
      <x:c r="E99" s="45" t="n">
        <x:f>'Source Data'!E122</x:f>
        <x:v>1</x:v>
      </x:c>
      <x:c r="F99" s="27" t="n">
        <x:f>IF(D99=0,0.5,1)*EXP(-'Assumptions'!$D$21*MAX(D99-6,0))</x:f>
        <x:v>1</x:v>
      </x:c>
      <x:c r="G99" s="27" t="n">
        <x:f>IF(D99/'Assumptions'!$D$20&gt;=31,0,INDEX('Source Data'!$N$29:$N$60,INT(D99/'Assumptions'!$D$20)+1)+(D99/'Assumptions'!$D$20-INT(D99/'Assumptions'!$D$20))*(INDEX('Source Data'!$N$29:$N$60,MIN(32,INT(D99/'Assumptions'!$D$20)+2))-INDEX('Source Data'!$N$29:$N$60,INT(D99/'Assumptions'!$D$20)+1)))</x:f>
        <x:v>0.991810737033667</x:v>
      </x:c>
      <x:c r="H99" s="27" t="n">
        <x:f>'Source Data'!F122*G99*'Assumptions'!$F$57*'Assumptions'!$G$57</x:f>
        <x:v>2017.0539219080904</x:v>
      </x:c>
      <x:c r="I99" s="27" t="n">
        <x:f>'Source Data'!G122*G99*'Assumptions'!$F$57*'Assumptions'!$G$57</x:f>
        <x:v>2292.909489721146</x:v>
      </x:c>
      <x:c r="J99" s="27" t="n">
        <x:f>'Source Data'!H122*G99*'Assumptions'!$F$57*'Assumptions'!$G$57</x:f>
        <x:v>2383.2795977034634</x:v>
      </x:c>
      <x:c r="K99" s="27" t="n">
        <x:f>'Source Data'!I122*G99*'Assumptions'!$F$57*'Assumptions'!$G$57</x:f>
        <x:v>2504.7425334374775</x:v>
      </x:c>
      <x:c r="L99" s="27" t="n">
        <x:f>'Source Data'!J122*G99*'Assumptions'!$F$57*'Assumptions'!$G$57</x:f>
        <x:v>2504.7425334374775</x:v>
      </x:c>
      <x:c r="M99" s="27" t="n">
        <x:f>SUMPRODUCT(H99:L99,'Source Data'!D17:H17)</x:f>
        <x:v>2356.9216495419546</x:v>
      </x:c>
      <x:c r="N99" s="27" t="n">
        <x:f>SUMPRODUCT(H99:L99,'Source Data'!D18:H18)</x:f>
        <x:v>2379.9460213674183</x:v>
      </x:c>
      <x:c r="O99" s="27" t="n">
        <x:f>SUMPRODUCT(H99:L99,'Source Data'!D19:H19)</x:f>
        <x:v>2408.584375981383</x:v>
      </x:c>
      <x:c r="P99" s="27" t="n">
        <x:f>SUMPRODUCT(H99:L99,'Source Data'!D20:H20)</x:f>
        <x:v>2438.9501099148865</x:v>
      </x:c>
      <x:c r="Q99" s="27" t="n">
        <x:f>SUMPRODUCT(H99:L99,'Source Data'!D21:H21)</x:f>
        <x:v>2469.31584384839</x:v>
      </x:c>
      <x:c r="R99" s="27" t="n">
        <x:f>SUMPRODUCT(H99:L99,'Source Data'!D22:H22)</x:f>
        <x:v>2497.9945925633656</x:v>
      </x:c>
      <x:c r="S99" s="27" t="n">
        <x:f>SUMPRODUCT(H99:L99,'Source Data'!D23:H23)</x:f>
        <x:v>2504.7425334374775</x:v>
      </x:c>
      <x:c r="T99" s="27" t="n">
        <x:f>SUMPRODUCT(H99:L99,'Source Data'!D24:H24)</x:f>
        <x:v>2504.7425334374775</x:v>
      </x:c>
      <x:c r="U99" s="3"/>
      <x:c r="V99" s="3"/>
      <x:c r="W99" s="28" t="n">
        <x:f>M99*F99</x:f>
        <x:v>2356.9216495419546</x:v>
      </x:c>
      <x:c r="X99" s="28" t="n">
        <x:f>N99*F99</x:f>
        <x:v>2379.9460213674183</x:v>
      </x:c>
      <x:c r="Y99" s="28" t="n">
        <x:f>O99*F99</x:f>
        <x:v>2408.584375981383</x:v>
      </x:c>
      <x:c r="Z99" s="28" t="n">
        <x:f>P99*F99</x:f>
        <x:v>2438.9501099148865</x:v>
      </x:c>
      <x:c r="AA99" s="28" t="n">
        <x:f>Q99*F99</x:f>
        <x:v>2469.31584384839</x:v>
      </x:c>
      <x:c r="AB99" s="28" t="n">
        <x:f>R99*F99</x:f>
        <x:v>2497.9945925633656</x:v>
      </x:c>
      <x:c r="AC99" s="28" t="n">
        <x:f>S99*F99</x:f>
        <x:v>2504.7425334374775</x:v>
      </x:c>
      <x:c r="AD99" s="28" t="n">
        <x:f>T99*F99</x:f>
        <x:v>2504.7425334374775</x:v>
      </x:c>
    </x:row>
    <x:row r="100" ht="19" customHeight="1">
      <x:c r="A100" s="2"/>
      <x:c r="B100" s="2"/>
      <x:c r="C100" s="45" t="n">
        <x:f>'Source Data'!C123</x:f>
        <x:v>2</x:v>
      </x:c>
      <x:c r="D100" s="45" t="n">
        <x:f>'Source Data'!D123</x:f>
        <x:v>2</x:v>
      </x:c>
      <x:c r="E100" s="45" t="n">
        <x:f>'Source Data'!E123</x:f>
        <x:v>1</x:v>
      </x:c>
      <x:c r="F100" s="27" t="n">
        <x:f>IF(D100=0,0.5,1)*EXP(-'Assumptions'!$D$21*MAX(D100-6,0))</x:f>
        <x:v>1</x:v>
      </x:c>
      <x:c r="G100" s="27" t="n">
        <x:f>IF(D100/'Assumptions'!$D$20&gt;=31,0,INDEX('Source Data'!$N$29:$N$60,INT(D100/'Assumptions'!$D$20)+1)+(D100/'Assumptions'!$D$20-INT(D100/'Assumptions'!$D$20))*(INDEX('Source Data'!$N$29:$N$60,MIN(32,INT(D100/'Assumptions'!$D$20)+2))-INDEX('Source Data'!$N$29:$N$60,INT(D100/'Assumptions'!$D$20)+1)))</x:f>
        <x:v>0.9836214740673339</x:v>
      </x:c>
      <x:c r="H100" s="27" t="n">
        <x:f>'Source Data'!F123*G100*'Assumptions'!$F$57*'Assumptions'!$G$57</x:f>
        <x:v>2129.1329412901514</x:v>
      </x:c>
      <x:c r="I100" s="27" t="n">
        <x:f>'Source Data'!G123*G100*'Assumptions'!$F$57*'Assumptions'!$G$57</x:f>
        <x:v>2000.3993482409594</x:v>
      </x:c>
      <x:c r="J100" s="27" t="n">
        <x:f>'Source Data'!H123*G100*'Assumptions'!$F$57*'Assumptions'!$G$57</x:f>
        <x:v>2273.977209530788</x:v>
      </x:c>
      <x:c r="K100" s="27" t="n">
        <x:f>'Source Data'!I123*G100*'Assumptions'!$F$57*'Assumptions'!$G$57</x:f>
        <x:v>2363.601142309582</x:v>
      </x:c>
      <x:c r="L100" s="27" t="n">
        <x:f>'Source Data'!J123*G100*'Assumptions'!$F$57*'Assumptions'!$G$57</x:f>
        <x:v>2484.061173069645</x:v>
      </x:c>
      <x:c r="M100" s="27" t="n">
        <x:f>SUMPRODUCT(H100:L100,'Source Data'!D17:H17)</x:f>
        <x:v>2194.1836666545883</x:v>
      </x:c>
      <x:c r="N100" s="27" t="n">
        <x:f>SUMPRODUCT(H100:L100,'Source Data'!D18:H18)</x:f>
        <x:v>2260.023216303281</x:v>
      </x:c>
      <x:c r="O100" s="27" t="n">
        <x:f>SUMPRODUCT(H100:L100,'Source Data'!D19:H19)</x:f>
        <x:v>2292.6488621930366</x:v>
      </x:c>
      <x:c r="P100" s="27" t="n">
        <x:f>SUMPRODUCT(H100:L100,'Source Data'!D20:H20)</x:f>
        <x:v>2315.0548453877354</x:v>
      </x:c>
      <x:c r="Q100" s="27" t="n">
        <x:f>SUMPRODUCT(H100:L100,'Source Data'!D21:H21)</x:f>
        <x:v>2337.460828582434</x:v>
      </x:c>
      <x:c r="R100" s="27" t="n">
        <x:f>SUMPRODUCT(H100:L100,'Source Data'!D22:H22)</x:f>
        <x:v>2360.2950909157607</x:v>
      </x:c>
      <x:c r="S100" s="27" t="n">
        <x:f>SUMPRODUCT(H100:L100,'Source Data'!D23:H23)</x:f>
        <x:v>2388.696982051262</x:v>
      </x:c>
      <x:c r="T100" s="27" t="n">
        <x:f>SUMPRODUCT(H100:L100,'Source Data'!D24:H24)</x:f>
        <x:v>2418.811989741278</x:v>
      </x:c>
      <x:c r="U100" s="3"/>
      <x:c r="V100" s="3"/>
      <x:c r="W100" s="28" t="n">
        <x:f>M100*F100</x:f>
        <x:v>2194.1836666545883</x:v>
      </x:c>
      <x:c r="X100" s="28" t="n">
        <x:f>N100*F100</x:f>
        <x:v>2260.023216303281</x:v>
      </x:c>
      <x:c r="Y100" s="28" t="n">
        <x:f>O100*F100</x:f>
        <x:v>2292.6488621930366</x:v>
      </x:c>
      <x:c r="Z100" s="28" t="n">
        <x:f>P100*F100</x:f>
        <x:v>2315.0548453877354</x:v>
      </x:c>
      <x:c r="AA100" s="28" t="n">
        <x:f>Q100*F100</x:f>
        <x:v>2337.460828582434</x:v>
      </x:c>
      <x:c r="AB100" s="28" t="n">
        <x:f>R100*F100</x:f>
        <x:v>2360.2950909157607</x:v>
      </x:c>
      <x:c r="AC100" s="28" t="n">
        <x:f>S100*F100</x:f>
        <x:v>2388.696982051262</x:v>
      </x:c>
      <x:c r="AD100" s="28" t="n">
        <x:f>T100*F100</x:f>
        <x:v>2418.811989741278</x:v>
      </x:c>
    </x:row>
    <x:row r="101" ht="19" customHeight="1">
      <x:c r="A101" s="2"/>
      <x:c r="B101" s="2"/>
      <x:c r="C101" s="45" t="n">
        <x:f>'Source Data'!C124</x:f>
        <x:v>2</x:v>
      </x:c>
      <x:c r="D101" s="45" t="n">
        <x:f>'Source Data'!D124</x:f>
        <x:v>3</x:v>
      </x:c>
      <x:c r="E101" s="45" t="n">
        <x:f>'Source Data'!E124</x:f>
        <x:v>1</x:v>
      </x:c>
      <x:c r="F101" s="27" t="n">
        <x:f>IF(D101=0,0.5,1)*EXP(-'Assumptions'!$D$21*MAX(D101-6,0))</x:f>
        <x:v>1</x:v>
      </x:c>
      <x:c r="G101" s="27" t="n">
        <x:f>IF(D101/'Assumptions'!$D$20&gt;=31,0,INDEX('Source Data'!$N$29:$N$60,INT(D101/'Assumptions'!$D$20)+1)+(D101/'Assumptions'!$D$20-INT(D101/'Assumptions'!$D$20))*(INDEX('Source Data'!$N$29:$N$60,MIN(32,INT(D101/'Assumptions'!$D$20)+2))-INDEX('Source Data'!$N$29:$N$60,INT(D101/'Assumptions'!$D$20)+1)))</x:f>
        <x:v>0.9754322111010009</x:v>
      </x:c>
      <x:c r="H101" s="27" t="n">
        <x:f>'Source Data'!F124*G101*'Assumptions'!$F$57*'Assumptions'!$G$57</x:f>
        <x:v>2017.5232151513444</x:v>
      </x:c>
      <x:c r="I101" s="27" t="n">
        <x:f>'Source Data'!G124*G101*'Assumptions'!$F$57*'Assumptions'!$G$57</x:f>
        <x:v>2111.40658007682</x:v>
      </x:c>
      <x:c r="J101" s="27" t="n">
        <x:f>'Source Data'!H124*G101*'Assumptions'!$F$57*'Assumptions'!$G$57</x:f>
        <x:v>1983.7447745738284</x:v>
      </x:c>
      <x:c r="K101" s="27" t="n">
        <x:f>'Source Data'!I124*G101*'Assumptions'!$F$57*'Assumptions'!$G$57</x:f>
        <x:v>2255.04492934043</x:v>
      </x:c>
      <x:c r="L101" s="27" t="n">
        <x:f>'Source Data'!J124*G101*'Assumptions'!$F$57*'Assumptions'!$G$57</x:f>
        <x:v>2343.9226869157</x:v>
      </x:c>
      <x:c r="M101" s="27" t="n">
        <x:f>SUMPRODUCT(H101:L101,'Source Data'!D17:H17)</x:f>
        <x:v>2020.9794678455346</x:v>
      </x:c>
      <x:c r="N101" s="27" t="n">
        <x:f>SUMPRODUCT(H101:L101,'Source Data'!D18:H18)</x:f>
        <x:v>1994.6051548068642</x:v>
      </x:c>
      <x:c r="O101" s="27" t="n">
        <x:f>SUMPRODUCT(H101:L101,'Source Data'!D19:H19)</x:f>
        <x:v>2040.2656401502036</x:v>
      </x:c>
      <x:c r="P101" s="27" t="n">
        <x:f>SUMPRODUCT(H101:L101,'Source Data'!D20:H20)</x:f>
        <x:v>2108.0906788418542</x:v>
      </x:c>
      <x:c r="Q101" s="27" t="n">
        <x:f>SUMPRODUCT(H101:L101,'Source Data'!D21:H21)</x:f>
        <x:v>2175.915717533505</x:v>
      </x:c>
      <x:c r="R101" s="27" t="n">
        <x:f>SUMPRODUCT(H101:L101,'Source Data'!D22:H22)</x:f>
        <x:v>2241.2071118197196</x:v>
      </x:c>
      <x:c r="S101" s="27" t="n">
        <x:f>SUMPRODUCT(H101:L101,'Source Data'!D23:H23)</x:f>
        <x:v>2273.5611288352775</x:v>
      </x:c>
      <x:c r="T101" s="27" t="n">
        <x:f>SUMPRODUCT(H101:L101,'Source Data'!D24:H24)</x:f>
        <x:v>2295.7805682290955</x:v>
      </x:c>
      <x:c r="U101" s="3"/>
      <x:c r="V101" s="3"/>
      <x:c r="W101" s="28" t="n">
        <x:f>M101*F101</x:f>
        <x:v>2020.9794678455346</x:v>
      </x:c>
      <x:c r="X101" s="28" t="n">
        <x:f>N101*F101</x:f>
        <x:v>1994.6051548068642</x:v>
      </x:c>
      <x:c r="Y101" s="28" t="n">
        <x:f>O101*F101</x:f>
        <x:v>2040.2656401502036</x:v>
      </x:c>
      <x:c r="Z101" s="28" t="n">
        <x:f>P101*F101</x:f>
        <x:v>2108.0906788418542</x:v>
      </x:c>
      <x:c r="AA101" s="28" t="n">
        <x:f>Q101*F101</x:f>
        <x:v>2175.915717533505</x:v>
      </x:c>
      <x:c r="AB101" s="28" t="n">
        <x:f>R101*F101</x:f>
        <x:v>2241.2071118197196</x:v>
      </x:c>
      <x:c r="AC101" s="28" t="n">
        <x:f>S101*F101</x:f>
        <x:v>2273.5611288352775</x:v>
      </x:c>
      <x:c r="AD101" s="28" t="n">
        <x:f>T101*F101</x:f>
        <x:v>2295.7805682290955</x:v>
      </x:c>
    </x:row>
    <x:row r="102" ht="19" customHeight="1">
      <x:c r="A102" s="2"/>
      <x:c r="B102" s="2"/>
      <x:c r="C102" s="45" t="n">
        <x:f>'Source Data'!C125</x:f>
        <x:v>2</x:v>
      </x:c>
      <x:c r="D102" s="45" t="n">
        <x:f>'Source Data'!D125</x:f>
        <x:v>4</x:v>
      </x:c>
      <x:c r="E102" s="45" t="n">
        <x:f>'Source Data'!E125</x:f>
        <x:v>2</x:v>
      </x:c>
      <x:c r="F102" s="27" t="n">
        <x:f>IF(D102=0,0.5,1)*EXP(-'Assumptions'!$D$21*MAX(D102-6,0))</x:f>
        <x:v>1</x:v>
      </x:c>
      <x:c r="G102" s="27" t="n">
        <x:f>IF(D102/'Assumptions'!$D$20&gt;=31,0,INDEX('Source Data'!$N$29:$N$60,INT(D102/'Assumptions'!$D$20)+1)+(D102/'Assumptions'!$D$20-INT(D102/'Assumptions'!$D$20))*(INDEX('Source Data'!$N$29:$N$60,MIN(32,INT(D102/'Assumptions'!$D$20)+2))-INDEX('Source Data'!$N$29:$N$60,INT(D102/'Assumptions'!$D$20)+1)))</x:f>
        <x:v>0.9646842584167424</x:v>
      </x:c>
      <x:c r="H102" s="27" t="n">
        <x:f>'Source Data'!F125*G102*'Assumptions'!$F$57*'Assumptions'!$G$57</x:f>
        <x:v>2216.630146417902</x:v>
      </x:c>
      <x:c r="I102" s="27" t="n">
        <x:f>'Source Data'!G125*G102*'Assumptions'!$F$57*'Assumptions'!$G$57</x:f>
        <x:v>1995.292819426188</x:v>
      </x:c>
      <x:c r="J102" s="27" t="n">
        <x:f>'Source Data'!H125*G102*'Assumptions'!$F$57*'Assumptions'!$G$57</x:f>
        <x:v>2088.1417157821675</x:v>
      </x:c>
      <x:c r="K102" s="27" t="n">
        <x:f>'Source Data'!I125*G102*'Assumptions'!$F$57*'Assumptions'!$G$57</x:f>
        <x:v>1961.8865718898114</x:v>
      </x:c>
      <x:c r="L102" s="27" t="n">
        <x:f>'Source Data'!J125*G102*'Assumptions'!$F$57*'Assumptions'!$G$57</x:f>
        <x:v>2230.197363383929</x:v>
      </x:c>
      <x:c r="M102" s="27" t="n">
        <x:f>SUMPRODUCT(H102:L102,'Source Data'!D17:H17)</x:f>
        <x:v>2061.06078767834</x:v>
      </x:c>
      <x:c r="N102" s="27" t="n">
        <x:f>SUMPRODUCT(H102:L102,'Source Data'!D18:H18)</x:f>
        <x:v>2081.229900097219</x:v>
      </x:c>
      <x:c r="O102" s="27" t="n">
        <x:f>SUMPRODUCT(H102:L102,'Source Data'!D19:H19)</x:f>
        <x:v>2061.8385608045933</x:v>
      </x:c>
      <x:c r="P102" s="27" t="n">
        <x:f>SUMPRODUCT(H102:L102,'Source Data'!D20:H20)</x:f>
        <x:v>2030.2747748315046</x:v>
      </x:c>
      <x:c r="Q102" s="27" t="n">
        <x:f>SUMPRODUCT(H102:L102,'Source Data'!D21:H21)</x:f>
        <x:v>1998.7109888584155</x:v>
      </x:c>
      <x:c r="R102" s="27" t="n">
        <x:f>SUMPRODUCT(H102:L102,'Source Data'!D22:H22)</x:f>
        <x:v>1972.6272853212495</x:v>
      </x:c>
      <x:c r="S102" s="27" t="n">
        <x:f>SUMPRODUCT(H102:L102,'Source Data'!D23:H23)</x:f>
        <x:v>2017.7846534510857</x:v>
      </x:c>
      <x:c r="T102" s="27" t="n">
        <x:f>SUMPRODUCT(H102:L102,'Source Data'!D24:H24)</x:f>
        <x:v>2084.8623513246157</x:v>
      </x:c>
      <x:c r="U102" s="3"/>
      <x:c r="V102" s="3"/>
      <x:c r="W102" s="28" t="n">
        <x:f>M102*F102</x:f>
        <x:v>2061.06078767834</x:v>
      </x:c>
      <x:c r="X102" s="28" t="n">
        <x:f>N102*F102</x:f>
        <x:v>2081.229900097219</x:v>
      </x:c>
      <x:c r="Y102" s="28" t="n">
        <x:f>O102*F102</x:f>
        <x:v>2061.8385608045933</x:v>
      </x:c>
      <x:c r="Z102" s="28" t="n">
        <x:f>P102*F102</x:f>
        <x:v>2030.2747748315046</x:v>
      </x:c>
      <x:c r="AA102" s="28" t="n">
        <x:f>Q102*F102</x:f>
        <x:v>1998.7109888584155</x:v>
      </x:c>
      <x:c r="AB102" s="28" t="n">
        <x:f>R102*F102</x:f>
        <x:v>1972.6272853212495</x:v>
      </x:c>
      <x:c r="AC102" s="28" t="n">
        <x:f>S102*F102</x:f>
        <x:v>2017.7846534510857</x:v>
      </x:c>
      <x:c r="AD102" s="28" t="n">
        <x:f>T102*F102</x:f>
        <x:v>2084.8623513246157</x:v>
      </x:c>
    </x:row>
    <x:row r="103" ht="19" customHeight="1">
      <x:c r="A103" s="2"/>
      <x:c r="B103" s="2"/>
      <x:c r="C103" s="45" t="n">
        <x:f>'Source Data'!C126</x:f>
        <x:v>2</x:v>
      </x:c>
      <x:c r="D103" s="45" t="n">
        <x:f>'Source Data'!D126</x:f>
        <x:v>5</x:v>
      </x:c>
      <x:c r="E103" s="45" t="n">
        <x:f>'Source Data'!E126</x:f>
        <x:v>2</x:v>
      </x:c>
      <x:c r="F103" s="27" t="n">
        <x:f>IF(D103=0,0.5,1)*EXP(-'Assumptions'!$D$21*MAX(D103-6,0))</x:f>
        <x:v>1</x:v>
      </x:c>
      <x:c r="G103" s="27" t="n">
        <x:f>IF(D103/'Assumptions'!$D$20&gt;=31,0,INDEX('Source Data'!$N$29:$N$60,INT(D103/'Assumptions'!$D$20)+1)+(D103/'Assumptions'!$D$20-INT(D103/'Assumptions'!$D$20))*(INDEX('Source Data'!$N$29:$N$60,MIN(32,INT(D103/'Assumptions'!$D$20)+2))-INDEX('Source Data'!$N$29:$N$60,INT(D103/'Assumptions'!$D$20)+1)))</x:f>
        <x:v>0.9495577797998179</x:v>
      </x:c>
      <x:c r="H103" s="27" t="n">
        <x:f>'Source Data'!F126*G103*'Assumptions'!$F$57*'Assumptions'!$G$57</x:f>
        <x:v>2126.6780058769436</x:v>
      </x:c>
      <x:c r="I103" s="27" t="n">
        <x:f>'Source Data'!G126*G103*'Assumptions'!$F$57*'Assumptions'!$G$57</x:f>
        <x:v>2181.8728585085396</x:v>
      </x:c>
      <x:c r="J103" s="27" t="n">
        <x:f>'Source Data'!H126*G103*'Assumptions'!$F$57*'Assumptions'!$G$57</x:f>
        <x:v>1964.0061534479455</x:v>
      </x:c>
      <x:c r="K103" s="27" t="n">
        <x:f>'Source Data'!I126*G103*'Assumptions'!$F$57*'Assumptions'!$G$57</x:f>
        <x:v>2055.3991570254534</x:v>
      </x:c>
      <x:c r="L103" s="27" t="n">
        <x:f>'Source Data'!J126*G103*'Assumptions'!$F$57*'Assumptions'!$G$57</x:f>
        <x:v>1931.123723818435</x:v>
      </x:c>
      <x:c r="M103" s="27" t="n">
        <x:f>SUMPRODUCT(H103:L103,'Source Data'!D17:H17)</x:f>
        <x:v>2027.550609090619</x:v>
      </x:c>
      <x:c r="N103" s="27" t="n">
        <x:f>SUMPRODUCT(H103:L103,'Source Data'!D18:H18)</x:f>
        <x:v>1977.379206556555</x:v>
      </x:c>
      <x:c r="O103" s="27" t="n">
        <x:f>SUMPRODUCT(H103:L103,'Source Data'!D19:H19)</x:f>
        <x:v>1983.046362526593</x:v>
      </x:c>
      <x:c r="P103" s="27" t="n">
        <x:f>SUMPRODUCT(H103:L103,'Source Data'!D20:H20)</x:f>
        <x:v>2005.89461342097</x:v>
      </x:c>
      <x:c r="Q103" s="27" t="n">
        <x:f>SUMPRODUCT(H103:L103,'Source Data'!D21:H21)</x:f>
        <x:v>2028.742864315347</x:v>
      </x:c>
      <x:c r="R103" s="27" t="n">
        <x:f>SUMPRODUCT(H103:L103,'Source Data'!D22:H22)</x:f>
        <x:v>2048.595720254383</x:v>
      </x:c>
      <x:c r="S103" s="27" t="n">
        <x:f>SUMPRODUCT(H103:L103,'Source Data'!D23:H23)</x:f>
        <x:v>2029.5084417739913</x:v>
      </x:c>
      <x:c r="T103" s="27" t="n">
        <x:f>SUMPRODUCT(H103:L103,'Source Data'!D24:H24)</x:f>
        <x:v>1998.4395834722368</x:v>
      </x:c>
      <x:c r="U103" s="3"/>
      <x:c r="V103" s="3"/>
      <x:c r="W103" s="28" t="n">
        <x:f>M103*F103</x:f>
        <x:v>2027.550609090619</x:v>
      </x:c>
      <x:c r="X103" s="28" t="n">
        <x:f>N103*F103</x:f>
        <x:v>1977.379206556555</x:v>
      </x:c>
      <x:c r="Y103" s="28" t="n">
        <x:f>O103*F103</x:f>
        <x:v>1983.046362526593</x:v>
      </x:c>
      <x:c r="Z103" s="28" t="n">
        <x:f>P103*F103</x:f>
        <x:v>2005.89461342097</x:v>
      </x:c>
      <x:c r="AA103" s="28" t="n">
        <x:f>Q103*F103</x:f>
        <x:v>2028.742864315347</x:v>
      </x:c>
      <x:c r="AB103" s="28" t="n">
        <x:f>R103*F103</x:f>
        <x:v>2048.595720254383</x:v>
      </x:c>
      <x:c r="AC103" s="28" t="n">
        <x:f>S103*F103</x:f>
        <x:v>2029.5084417739913</x:v>
      </x:c>
      <x:c r="AD103" s="28" t="n">
        <x:f>T103*F103</x:f>
        <x:v>1998.4395834722368</x:v>
      </x:c>
    </x:row>
    <x:row r="104" ht="19" customHeight="1">
      <x:c r="A104" s="2"/>
      <x:c r="B104" s="2"/>
      <x:c r="C104" s="45" t="n">
        <x:f>'Source Data'!C127</x:f>
        <x:v>2</x:v>
      </x:c>
      <x:c r="D104" s="45" t="n">
        <x:f>'Source Data'!D127</x:f>
        <x:v>6</x:v>
      </x:c>
      <x:c r="E104" s="45" t="n">
        <x:f>'Source Data'!E127</x:f>
        <x:v>2</x:v>
      </x:c>
      <x:c r="F104" s="27" t="n">
        <x:f>IF(D104=0,0.5,1)*EXP(-'Assumptions'!$D$21*MAX(D104-6,0))</x:f>
        <x:v>1</x:v>
      </x:c>
      <x:c r="G104" s="27" t="n">
        <x:f>IF(D104/'Assumptions'!$D$20&gt;=31,0,INDEX('Source Data'!$N$29:$N$60,INT(D104/'Assumptions'!$D$20)+1)+(D104/'Assumptions'!$D$20-INT(D104/'Assumptions'!$D$20))*(INDEX('Source Data'!$N$29:$N$60,MIN(32,INT(D104/'Assumptions'!$D$20)+2))-INDEX('Source Data'!$N$29:$N$60,INT(D104/'Assumptions'!$D$20)+1)))</x:f>
        <x:v>0.9308908098271156</x:v>
      </x:c>
      <x:c r="H104" s="27" t="n">
        <x:f>'Source Data'!F127*G104*'Assumptions'!$F$57*'Assumptions'!$G$57</x:f>
        <x:v>1928.4136305056086</x:v>
      </x:c>
      <x:c r="I104" s="27" t="n">
        <x:f>'Source Data'!G127*G104*'Assumptions'!$F$57*'Assumptions'!$G$57</x:f>
        <x:v>2084.870508406194</x:v>
      </x:c>
      <x:c r="J104" s="27" t="n">
        <x:f>'Source Data'!H127*G104*'Assumptions'!$F$57*'Assumptions'!$G$57</x:f>
        <x:v>2138.9803078913255</x:v>
      </x:c>
      <x:c r="K104" s="27" t="n">
        <x:f>'Source Data'!I127*G104*'Assumptions'!$F$57*'Assumptions'!$G$57</x:f>
        <x:v>1925.3965557251568</x:v>
      </x:c>
      <x:c r="L104" s="27" t="n">
        <x:f>'Source Data'!J127*G104*'Assumptions'!$F$57*'Assumptions'!$G$57</x:f>
        <x:v>2014.9929014375098</x:v>
      </x:c>
      <x:c r="M104" s="27" t="n">
        <x:f>SUMPRODUCT(H104:L104,'Source Data'!D17:H17)</x:f>
        <x:v>2123.198283041496</x:v>
      </x:c>
      <x:c r="N104" s="27" t="n">
        <x:f>SUMPRODUCT(H104:L104,'Source Data'!D18:H18)</x:f>
        <x:v>2133.0077669176217</x:v>
      </x:c>
      <x:c r="O104" s="27" t="n">
        <x:f>SUMPRODUCT(H104:L104,'Source Data'!D19:H19)</x:f>
        <x:v>2094.483692856707</x:v>
      </x:c>
      <x:c r="P104" s="27" t="n">
        <x:f>SUMPRODUCT(H104:L104,'Source Data'!D20:H20)</x:f>
        <x:v>2041.0877548151652</x:v>
      </x:c>
      <x:c r="Q104" s="27" t="n">
        <x:f>SUMPRODUCT(H104:L104,'Source Data'!D21:H21)</x:f>
        <x:v>1987.6918167736228</x:v>
      </x:c>
      <x:c r="R104" s="27" t="n">
        <x:f>SUMPRODUCT(H104:L104,'Source Data'!D22:H22)</x:f>
        <x:v>1938.5067134248377</x:v>
      </x:c>
      <x:c r="S104" s="27" t="n">
        <x:f>SUMPRODUCT(H104:L104,'Source Data'!D23:H23)</x:f>
        <x:v>1944.0624610818968</x:v>
      </x:c>
      <x:c r="T104" s="27" t="n">
        <x:f>SUMPRODUCT(H104:L104,'Source Data'!D24:H24)</x:f>
        <x:v>1966.4615475099854</x:v>
      </x:c>
      <x:c r="U104" s="3"/>
      <x:c r="V104" s="3"/>
      <x:c r="W104" s="28" t="n">
        <x:f>M104*F104</x:f>
        <x:v>2123.198283041496</x:v>
      </x:c>
      <x:c r="X104" s="28" t="n">
        <x:f>N104*F104</x:f>
        <x:v>2133.0077669176217</x:v>
      </x:c>
      <x:c r="Y104" s="28" t="n">
        <x:f>O104*F104</x:f>
        <x:v>2094.483692856707</x:v>
      </x:c>
      <x:c r="Z104" s="28" t="n">
        <x:f>P104*F104</x:f>
        <x:v>2041.0877548151652</x:v>
      </x:c>
      <x:c r="AA104" s="28" t="n">
        <x:f>Q104*F104</x:f>
        <x:v>1987.6918167736228</x:v>
      </x:c>
      <x:c r="AB104" s="28" t="n">
        <x:f>R104*F104</x:f>
        <x:v>1938.5067134248377</x:v>
      </x:c>
      <x:c r="AC104" s="28" t="n">
        <x:f>S104*F104</x:f>
        <x:v>1944.0624610818968</x:v>
      </x:c>
      <x:c r="AD104" s="28" t="n">
        <x:f>T104*F104</x:f>
        <x:v>1966.4615475099854</x:v>
      </x:c>
    </x:row>
    <x:row r="105" ht="19" customHeight="1">
      <x:c r="A105" s="2"/>
      <x:c r="B105" s="2"/>
      <x:c r="C105" s="45" t="n">
        <x:f>'Source Data'!C128</x:f>
        <x:v>2</x:v>
      </x:c>
      <x:c r="D105" s="45" t="n">
        <x:f>'Source Data'!D128</x:f>
        <x:v>7</x:v>
      </x:c>
      <x:c r="E105" s="45" t="n">
        <x:f>'Source Data'!E128</x:f>
        <x:v>3</x:v>
      </x:c>
      <x:c r="F105" s="27" t="n">
        <x:f>IF(D105=0,0.5,1)*EXP(-'Assumptions'!$D$21*MAX(D105-6,0))</x:f>
        <x:v>0.9136844571609987</x:v>
      </x:c>
      <x:c r="G105" s="27" t="n">
        <x:f>IF(D105/'Assumptions'!$D$20&gt;=31,0,INDEX('Source Data'!$N$29:$N$60,INT(D105/'Assumptions'!$D$20)+1)+(D105/'Assumptions'!$D$20-INT(D105/'Assumptions'!$D$20))*(INDEX('Source Data'!$N$29:$N$60,MIN(32,INT(D105/'Assumptions'!$D$20)+2))-INDEX('Source Data'!$N$29:$N$60,INT(D105/'Assumptions'!$D$20)+1)))</x:f>
        <x:v>0.908656050955414</x:v>
      </x:c>
      <x:c r="H105" s="27" t="n">
        <x:f>'Source Data'!F128*G105*'Assumptions'!$F$57*'Assumptions'!$G$57</x:f>
        <x:v>1804.8707510963307</x:v>
      </x:c>
      <x:c r="I105" s="27" t="n">
        <x:f>'Source Data'!G128*G105*'Assumptions'!$F$57*'Assumptions'!$G$57</x:f>
        <x:v>1882.3525762696581</x:v>
      </x:c>
      <x:c r="J105" s="27" t="n">
        <x:f>'Source Data'!H128*G105*'Assumptions'!$F$57*'Assumptions'!$G$57</x:f>
        <x:v>2035.0724090547324</x:v>
      </x:c>
      <x:c r="K105" s="27" t="n">
        <x:f>'Source Data'!I128*G105*'Assumptions'!$F$57*'Assumptions'!$G$57</x:f>
        <x:v>2087.889770875374</x:v>
      </x:c>
      <x:c r="L105" s="27" t="n">
        <x:f>'Source Data'!J128*G105*'Assumptions'!$F$57*'Assumptions'!$G$57</x:f>
        <x:v>1879.4075657200835</x:v>
      </x:c>
      <x:c r="M105" s="27" t="n">
        <x:f>SUMPRODUCT(H105:L105,'Source Data'!D17:H17)</x:f>
        <x:v>1990.5291244924192</x:v>
      </x:c>
      <x:c r="N105" s="27" t="n">
        <x:f>SUMPRODUCT(H105:L105,'Source Data'!D18:H18)</x:f>
        <x:v>2027.3215483697372</x:v>
      </x:c>
      <x:c r="O105" s="27" t="n">
        <x:f>SUMPRODUCT(H105:L105,'Source Data'!D19:H19)</x:f>
        <x:v>2046.0760261006994</x:v>
      </x:c>
      <x:c r="P105" s="27" t="n">
        <x:f>SUMPRODUCT(H105:L105,'Source Data'!D20:H20)</x:f>
        <x:v>2059.28036655586</x:v>
      </x:c>
      <x:c r="Q105" s="27" t="n">
        <x:f>SUMPRODUCT(H105:L105,'Source Data'!D21:H21)</x:f>
        <x:v>2072.48470701102</x:v>
      </x:c>
      <x:c r="R105" s="27" t="n">
        <x:f>SUMPRODUCT(H105:L105,'Source Data'!D22:H22)</x:f>
        <x:v>2082.059886813737</x:v>
      </x:c>
      <x:c r="S105" s="27" t="n">
        <x:f>SUMPRODUCT(H105:L105,'Source Data'!D23:H23)</x:f>
        <x:v>2044.4559781346884</x:v>
      </x:c>
      <x:c r="T105" s="27" t="n">
        <x:f>SUMPRODUCT(H105:L105,'Source Data'!D24:H24)</x:f>
        <x:v>1992.335426845866</x:v>
      </x:c>
      <x:c r="U105" s="3"/>
      <x:c r="V105" s="3"/>
      <x:c r="W105" s="28" t="n">
        <x:f>M105*F105</x:f>
        <x:v>1818.715522575014</x:v>
      </x:c>
      <x:c r="X105" s="28" t="n">
        <x:f>N105*F105</x:f>
        <x:v>1852.3321884129987</x:v>
      </x:c>
      <x:c r="Y105" s="28" t="n">
        <x:f>O105*F105</x:f>
        <x:v>1869.467863217951</x:v>
      </x:c>
      <x:c r="Z105" s="28" t="n">
        <x:f>P105*F105</x:f>
        <x:v>1881.5324638588932</x:v>
      </x:c>
      <x:c r="AA105" s="28" t="n">
        <x:f>Q105*F105</x:f>
        <x:v>1893.5970644998351</x:v>
      </x:c>
      <x:c r="AB105" s="28" t="n">
        <x:f>R105*F105</x:f>
        <x:v>1902.3457574600998</x:v>
      </x:c>
      <x:c r="AC105" s="28" t="n">
        <x:f>S105*F105</x:f>
        <x:v>1867.9876505715513</x:v>
      </x:c>
      <x:c r="AD105" s="28" t="n">
        <x:f>T105*F105</x:f>
        <x:v>1820.3659129602918</x:v>
      </x:c>
    </x:row>
    <x:row r="106" ht="19" customHeight="1">
      <x:c r="A106" s="2"/>
      <x:c r="B106" s="2"/>
      <x:c r="C106" s="45" t="n">
        <x:f>'Source Data'!C129</x:f>
        <x:v>2</x:v>
      </x:c>
      <x:c r="D106" s="45" t="n">
        <x:f>'Source Data'!D129</x:f>
        <x:v>8</x:v>
      </x:c>
      <x:c r="E106" s="45" t="n">
        <x:f>'Source Data'!E129</x:f>
        <x:v>3</x:v>
      </x:c>
      <x:c r="F106" s="27" t="n">
        <x:f>IF(D106=0,0.5,1)*EXP(-'Assumptions'!$D$21*MAX(D106-6,0))</x:f>
        <x:v>0.8348192872575889</x:v>
      </x:c>
      <x:c r="G106" s="27" t="n">
        <x:f>IF(D106/'Assumptions'!$D$20&gt;=31,0,INDEX('Source Data'!$N$29:$N$60,INT(D106/'Assumptions'!$D$20)+1)+(D106/'Assumptions'!$D$20-INT(D106/'Assumptions'!$D$20))*(INDEX('Source Data'!$N$29:$N$60,MIN(32,INT(D106/'Assumptions'!$D$20)+2))-INDEX('Source Data'!$N$29:$N$60,INT(D106/'Assumptions'!$D$20)+1)))</x:f>
        <x:v>0.8820609645131938</x:v>
      </x:c>
      <x:c r="H106" s="27" t="n">
        <x:f>'Source Data'!F129*G106*'Assumptions'!$F$57*'Assumptions'!$G$57</x:f>
        <x:v>1629.9325113836392</x:v>
      </x:c>
      <x:c r="I106" s="27" t="n">
        <x:f>'Source Data'!G129*G106*'Assumptions'!$F$57*'Assumptions'!$G$57</x:f>
        <x:v>1752.0447190768762</x:v>
      </x:c>
      <x:c r="J106" s="27" t="n">
        <x:f>'Source Data'!H129*G106*'Assumptions'!$F$57*'Assumptions'!$G$57</x:f>
        <x:v>1827.258760047348</x:v>
      </x:c>
      <x:c r="K106" s="27" t="n">
        <x:f>'Source Data'!I129*G106*'Assumptions'!$F$57*'Assumptions'!$G$57</x:f>
        <x:v>1975.5086978153915</x:v>
      </x:c>
      <x:c r="L106" s="27" t="n">
        <x:f>'Source Data'!J129*G106*'Assumptions'!$F$57*'Assumptions'!$G$57</x:f>
        <x:v>2026.7801696353083</x:v>
      </x:c>
      <x:c r="M106" s="27" t="n">
        <x:f>SUMPRODUCT(H106:L106,'Source Data'!D17:H17)</x:f>
        <x:v>1805.3213314309603</x:v>
      </x:c>
      <x:c r="N106" s="27" t="n">
        <x:f>SUMPRODUCT(H106:L106,'Source Data'!D18:H18)</x:f>
        <x:v>1825.1392291291004</x:v>
      </x:c>
      <x:c r="O106" s="27" t="n">
        <x:f>SUMPRODUCT(H106:L106,'Source Data'!D19:H19)</x:f>
        <x:v>1858.1441637490238</x:v>
      </x:c>
      <x:c r="P106" s="27" t="n">
        <x:f>SUMPRODUCT(H106:L106,'Source Data'!D20:H20)</x:f>
        <x:v>1895.206648191035</x:v>
      </x:c>
      <x:c r="Q106" s="27" t="n">
        <x:f>SUMPRODUCT(H106:L106,'Source Data'!D21:H21)</x:f>
        <x:v>1932.2691326330457</x:v>
      </x:c>
      <x:c r="R106" s="27" t="n">
        <x:f>SUMPRODUCT(H106:L106,'Source Data'!D22:H22)</x:f>
        <x:v>1967.984693936888</x:v>
      </x:c>
      <x:c r="S106" s="27" t="n">
        <x:f>SUMPRODUCT(H106:L106,'Source Data'!D23:H23)</x:f>
        <x:v>1986.1902544445406</x:v>
      </x:c>
      <x:c r="T106" s="27" t="n">
        <x:f>SUMPRODUCT(H106:L106,'Source Data'!D24:H24)</x:f>
        <x:v>1999.0081223995203</x:v>
      </x:c>
      <x:c r="U106" s="3"/>
      <x:c r="V106" s="3"/>
      <x:c r="W106" s="28" t="n">
        <x:f>M106*F106</x:f>
        <x:v>1507.1170671761158</x:v>
      </x:c>
      <x:c r="X106" s="28" t="n">
        <x:f>N106*F106</x:f>
        <x:v>1523.6614304074208</x:v>
      </x:c>
      <x:c r="Y106" s="28" t="n">
        <x:f>O106*F106</x:f>
        <x:v>1551.2145864028087</x:v>
      </x:c>
      <x:c r="Z106" s="28" t="n">
        <x:f>P106*F106</x:f>
        <x:v>1582.1550632486837</x:v>
      </x:c>
      <x:c r="AA106" s="28" t="n">
        <x:f>Q106*F106</x:f>
        <x:v>1613.0955400945588</x:v>
      </x:c>
      <x:c r="AB106" s="28" t="n">
        <x:f>R106*F106</x:f>
        <x:v>1642.9115795262371</x:v>
      </x:c>
      <x:c r="AC106" s="28" t="n">
        <x:f>S106*F106</x:f>
        <x:v>1658.1099325733605</x:v>
      </x:c>
      <x:c r="AD106" s="28" t="n">
        <x:f>T106*F106</x:f>
        <x:v>1668.8105359636986</x:v>
      </x:c>
    </x:row>
    <x:row r="107" ht="19" customHeight="1">
      <x:c r="A107" s="2"/>
      <x:c r="B107" s="2"/>
      <x:c r="C107" s="45" t="n">
        <x:f>'Source Data'!C130</x:f>
        <x:v>2</x:v>
      </x:c>
      <x:c r="D107" s="45" t="n">
        <x:f>'Source Data'!D130</x:f>
        <x:v>9</x:v>
      </x:c>
      <x:c r="E107" s="45" t="n">
        <x:f>'Source Data'!E130</x:f>
        <x:v>3</x:v>
      </x:c>
      <x:c r="F107" s="27" t="n">
        <x:f>IF(D107=0,0.5,1)*EXP(-'Assumptions'!$D$21*MAX(D107-6,0))</x:f>
        <x:v>0.7627614073054819</x:v>
      </x:c>
      <x:c r="G107" s="27" t="n">
        <x:f>IF(D107/'Assumptions'!$D$20&gt;=31,0,INDEX('Source Data'!$N$29:$N$60,INT(D107/'Assumptions'!$D$20)+1)+(D107/'Assumptions'!$D$20-INT(D107/'Assumptions'!$D$20))*(INDEX('Source Data'!$N$29:$N$60,MIN(32,INT(D107/'Assumptions'!$D$20)+2))-INDEX('Source Data'!$N$29:$N$60,INT(D107/'Assumptions'!$D$20)+1)))</x:f>
        <x:v>0.8521865332120109</x:v>
      </x:c>
      <x:c r="H107" s="27" t="n">
        <x:f>'Source Data'!F130*G107*'Assumptions'!$F$57*'Assumptions'!$G$57</x:f>
        <x:v>1394.7717381249245</x:v>
      </x:c>
      <x:c r="I107" s="27" t="n">
        <x:f>'Source Data'!G130*G107*'Assumptions'!$F$57*'Assumptions'!$G$57</x:f>
        <x:v>1574.728496246467</x:v>
      </x:c>
      <x:c r="J107" s="27" t="n">
        <x:f>'Source Data'!H130*G107*'Assumptions'!$F$57*'Assumptions'!$G$57</x:f>
        <x:v>1692.704898245388</x:v>
      </x:c>
      <x:c r="K107" s="27" t="n">
        <x:f>'Source Data'!I130*G107*'Assumptions'!$F$57*'Assumptions'!$G$57</x:f>
        <x:v>1765.3715226650131</x:v>
      </x:c>
      <x:c r="L107" s="27" t="n">
        <x:f>'Source Data'!J130*G107*'Assumptions'!$F$57*'Assumptions'!$G$57</x:f>
        <x:v>1908.6003986703925</x:v>
      </x:c>
      <x:c r="M107" s="27" t="n">
        <x:f>SUMPRODUCT(H107:L107,'Source Data'!D17:H17)</x:f>
        <x:v>1658.295114329036</x:v>
      </x:c>
      <x:c r="N107" s="27" t="n">
        <x:f>SUMPRODUCT(H107:L107,'Source Data'!D18:H18)</x:f>
        <x:v>1687.1599123623873</x:v>
      </x:c>
      <x:c r="O107" s="27" t="n">
        <x:f>SUMPRODUCT(H107:L107,'Source Data'!D19:H19)</x:f>
        <x:v>1707.84377833281</x:v>
      </x:c>
      <x:c r="P107" s="27" t="n">
        <x:f>SUMPRODUCT(H107:L107,'Source Data'!D20:H20)</x:f>
        <x:v>1726.0104344377164</x:v>
      </x:c>
      <x:c r="Q107" s="27" t="n">
        <x:f>SUMPRODUCT(H107:L107,'Source Data'!D21:H21)</x:f>
        <x:v>1744.1770905426226</x:v>
      </x:c>
      <x:c r="R107" s="27" t="n">
        <x:f>SUMPRODUCT(H107:L107,'Source Data'!D22:H22)</x:f>
        <x:v>1763.323777919553</x:v>
      </x:c>
      <x:c r="S107" s="27" t="n">
        <x:f>SUMPRODUCT(H107:L107,'Source Data'!D23:H23)</x:f>
        <x:v>1795.2108718328004</x:v>
      </x:c>
      <x:c r="T107" s="27" t="n">
        <x:f>SUMPRODUCT(H107:L107,'Source Data'!D24:H24)</x:f>
        <x:v>1831.0180908341454</x:v>
      </x:c>
      <x:c r="U107" s="3"/>
      <x:c r="V107" s="3"/>
      <x:c r="W107" s="28" t="n">
        <x:f>M107*F107</x:f>
        <x:v>1264.8835151334206</x:v>
      </x:c>
      <x:c r="X107" s="28" t="n">
        <x:f>N107*F107</x:f>
        <x:v>1286.9004691029281</x:v>
      </x:c>
      <x:c r="Y107" s="28" t="n">
        <x:f>O107*F107</x:f>
        <x:v>1302.6773238190456</x:v>
      </x:c>
      <x:c r="Z107" s="28" t="n">
        <x:f>P107*F107</x:f>
        <x:v>1316.5341479956587</x:v>
      </x:c>
      <x:c r="AA107" s="28" t="n">
        <x:f>Q107*F107</x:f>
        <x:v>1330.3909721722719</x:v>
      </x:c>
      <x:c r="AB107" s="28" t="n">
        <x:f>R107*F107</x:f>
        <x:v>1344.9953263811374</x:v>
      </x:c>
      <x:c r="AC107" s="28" t="n">
        <x:f>S107*F107</x:f>
        <x:v>1369.317571009288</x:v>
      </x:c>
      <x:c r="AD107" s="28" t="n">
        <x:f>T107*F107</x:f>
        <x:v>1396.6299357664495</x:v>
      </x:c>
    </x:row>
    <x:row r="108" ht="19" customHeight="1">
      <x:c r="A108" s="2"/>
      <x:c r="B108" s="2"/>
      <x:c r="C108" s="45" t="n">
        <x:f>'Source Data'!C131</x:f>
        <x:v>2</x:v>
      </x:c>
      <x:c r="D108" s="45" t="n">
        <x:f>'Source Data'!D131</x:f>
        <x:v>10</x:v>
      </x:c>
      <x:c r="E108" s="45" t="n">
        <x:f>'Source Data'!E131</x:f>
        <x:v>4</x:v>
      </x:c>
      <x:c r="F108" s="27" t="n">
        <x:f>IF(D108=0,0.5,1)*EXP(-'Assumptions'!$D$21*MAX(D108-6,0))</x:f>
        <x:v>0.6969232423772687</x:v>
      </x:c>
      <x:c r="G108" s="27" t="n">
        <x:f>IF(D108/'Assumptions'!$D$20&gt;=31,0,INDEX('Source Data'!$N$29:$N$60,INT(D108/'Assumptions'!$D$20)+1)+(D108/'Assumptions'!$D$20-INT(D108/'Assumptions'!$D$20))*(INDEX('Source Data'!$N$29:$N$60,MIN(32,INT(D108/'Assumptions'!$D$20)+2))-INDEX('Source Data'!$N$29:$N$60,INT(D108/'Assumptions'!$D$20)+1)))</x:f>
        <x:v>0.8191319381255686</x:v>
      </x:c>
      <x:c r="H108" s="27" t="n">
        <x:f>'Source Data'!F131*G108*'Assumptions'!$F$57*'Assumptions'!$G$57</x:f>
        <x:v>1215.640219199111</x:v>
      </x:c>
      <x:c r="I108" s="27" t="n">
        <x:f>'Source Data'!G131*G108*'Assumptions'!$F$57*'Assumptions'!$G$57</x:f>
        <x:v>1340.6713584017648</x:v>
      </x:c>
      <x:c r="J108" s="27" t="n">
        <x:f>'Source Data'!H131*G108*'Assumptions'!$F$57*'Assumptions'!$G$57</x:f>
        <x:v>1513.6479572026055</x:v>
      </x:c>
      <x:c r="K108" s="27" t="n">
        <x:f>'Source Data'!I131*G108*'Assumptions'!$F$57*'Assumptions'!$G$57</x:f>
        <x:v>1627.0482927585012</x:v>
      </x:c>
      <x:c r="L108" s="27" t="n">
        <x:f>'Source Data'!J131*G108*'Assumptions'!$F$57*'Assumptions'!$G$57</x:f>
        <x:v>1696.8963255284368</x:v>
      </x:c>
      <x:c r="M108" s="27" t="n">
        <x:f>SUMPRODUCT(H108:L108,'Source Data'!D17:H17)</x:f>
        <x:v>1463.196449219027</x:v>
      </x:c>
      <x:c r="N108" s="27" t="n">
        <x:f>SUMPRODUCT(H108:L108,'Source Data'!D18:H18)</x:f>
        <x:v>1505.6131508186131</x:v>
      </x:c>
      <x:c r="O108" s="27" t="n">
        <x:f>SUMPRODUCT(H108:L108,'Source Data'!D19:H19)</x:f>
        <x:v>1537.2730271100838</x:v>
      </x:c>
      <x:c r="P108" s="27" t="n">
        <x:f>SUMPRODUCT(H108:L108,'Source Data'!D20:H20)</x:f>
        <x:v>1565.6231109990579</x:v>
      </x:c>
      <x:c r="Q108" s="27" t="n">
        <x:f>SUMPRODUCT(H108:L108,'Source Data'!D21:H21)</x:f>
        <x:v>1593.9731948880317</x:v>
      </x:c>
      <x:c r="R108" s="27" t="n">
        <x:f>SUMPRODUCT(H108:L108,'Source Data'!D22:H22)</x:f>
        <x:v>1621.7183856827562</x:v>
      </x:c>
      <x:c r="S108" s="27" t="n">
        <x:f>SUMPRODUCT(H108:L108,'Source Data'!D23:H23)</x:f>
        <x:v>1641.5999662522377</x:v>
      </x:c>
      <x:c r="T108" s="27" t="n">
        <x:f>SUMPRODUCT(H108:L108,'Source Data'!D24:H24)</x:f>
        <x:v>1659.0619744447217</x:v>
      </x:c>
      <x:c r="U108" s="3"/>
      <x:c r="V108" s="3"/>
      <x:c r="W108" s="28" t="n">
        <x:f>M108*F108</x:f>
        <x:v>1019.7356136246309</x:v>
      </x:c>
      <x:c r="X108" s="28" t="n">
        <x:f>N108*F108</x:f>
        <x:v>1049.2967988343635</x:v>
      </x:c>
      <x:c r="Y108" s="28" t="n">
        <x:f>O108*F108</x:f>
        <x:v>1071.3613024726785</x:v>
      </x:c>
      <x:c r="Z108" s="28" t="n">
        <x:f>P108*F108</x:f>
        <x:v>1091.1191348582497</x:v>
      </x:c>
      <x:c r="AA108" s="28" t="n">
        <x:f>Q108*F108</x:f>
        <x:v>1110.876967243821</x:v>
      </x:c>
      <x:c r="AB108" s="28" t="n">
        <x:f>R108*F108</x:f>
        <x:v>1130.2132355728563</x:v>
      </x:c>
      <x:c r="AC108" s="28" t="n">
        <x:f>S108*F108</x:f>
        <x:v>1144.0691711669242</x:v>
      </x:c>
      <x:c r="AD108" s="28" t="n">
        <x:f>T108*F108</x:f>
        <x:v>1156.2388505348488</x:v>
      </x:c>
    </x:row>
    <x:row r="109" ht="19" customHeight="1">
      <x:c r="A109" s="2"/>
      <x:c r="B109" s="2"/>
      <x:c r="C109" s="45" t="n">
        <x:f>'Source Data'!C132</x:f>
        <x:v>2</x:v>
      </x:c>
      <x:c r="D109" s="45" t="n">
        <x:f>'Source Data'!D132</x:f>
        <x:v>11</x:v>
      </x:c>
      <x:c r="E109" s="45" t="n">
        <x:f>'Source Data'!E132</x:f>
        <x:v>4</x:v>
      </x:c>
      <x:c r="F109" s="27" t="n">
        <x:f>IF(D109=0,0.5,1)*EXP(-'Assumptions'!$D$21*MAX(D109-6,0))</x:f>
        <x:v>0.6367679343943579</x:v>
      </x:c>
      <x:c r="G109" s="27" t="n">
        <x:f>IF(D109/'Assumptions'!$D$20&gt;=31,0,INDEX('Source Data'!$N$29:$N$60,INT(D109/'Assumptions'!$D$20)+1)+(D109/'Assumptions'!$D$20-INT(D109/'Assumptions'!$D$20))*(INDEX('Source Data'!$N$29:$N$60,MIN(32,INT(D109/'Assumptions'!$D$20)+2))-INDEX('Source Data'!$N$29:$N$60,INT(D109/'Assumptions'!$D$20)+1)))</x:f>
        <x:v>0.7836087352138308</x:v>
      </x:c>
      <x:c r="H109" s="27" t="n">
        <x:f>'Source Data'!F132*G109*'Assumptions'!$F$57*'Assumptions'!$G$57</x:f>
        <x:v>1054.4089353880843</x:v>
      </x:c>
      <x:c r="I109" s="27" t="n">
        <x:f>'Source Data'!G132*G109*'Assumptions'!$F$57*'Assumptions'!$G$57</x:f>
        <x:v>1162.9216861223802</x:v>
      </x:c>
      <x:c r="J109" s="27" t="n">
        <x:f>'Source Data'!H132*G109*'Assumptions'!$F$57*'Assumptions'!$G$57</x:f>
        <x:v>1282.5306139309266</x:v>
      </x:c>
      <x:c r="K109" s="27" t="n">
        <x:f>'Source Data'!I132*G109*'Assumptions'!$F$57*'Assumptions'!$G$57</x:f>
        <x:v>1448.005755967372</x:v>
      </x:c>
      <x:c r="L109" s="27" t="n">
        <x:f>'Source Data'!J132*G109*'Assumptions'!$F$57*'Assumptions'!$G$57</x:f>
        <x:v>1556.4882718867516</x:v>
      </x:c>
      <x:c r="M109" s="27" t="n">
        <x:f>SUMPRODUCT(H109:L109,'Source Data'!D17:H17)</x:f>
        <x:v>1247.644676653434</x:v>
      </x:c>
      <x:c r="N109" s="27" t="n">
        <x:f>SUMPRODUCT(H109:L109,'Source Data'!D18:H18)</x:f>
        <x:v>1278.1839393587359</x:v>
      </x:c>
      <x:c r="O109" s="27" t="n">
        <x:f>SUMPRODUCT(H109:L109,'Source Data'!D19:H19)</x:f>
        <x:v>1317.004601855186</x:v>
      </x:c>
      <x:c r="P109" s="27" t="n">
        <x:f>SUMPRODUCT(H109:L109,'Source Data'!D20:H20)</x:f>
        <x:v>1358.3733873642975</x:v>
      </x:c>
      <x:c r="Q109" s="27" t="n">
        <x:f>SUMPRODUCT(H109:L109,'Source Data'!D21:H21)</x:f>
        <x:v>1399.742172873409</x:v>
      </x:c>
      <x:c r="R109" s="27" t="n">
        <x:f>SUMPRODUCT(H109:L109,'Source Data'!D22:H22)</x:f>
        <x:v>1440.3193941308941</x:v>
      </x:c>
      <x:c r="S109" s="27" t="n">
        <x:f>SUMPRODUCT(H109:L109,'Source Data'!D23:H23)</x:f>
        <x:v>1470.6062801172425</x:v>
      </x:c>
      <x:c r="T109" s="27" t="n">
        <x:f>SUMPRODUCT(H109:L109,'Source Data'!D24:H24)</x:f>
        <x:v>1497.7269090970876</x:v>
      </x:c>
      <x:c r="U109" s="3"/>
      <x:c r="V109" s="3"/>
      <x:c r="W109" s="28" t="n">
        <x:f>M109*F109</x:f>
        <x:v>794.4601236107237</x:v>
      </x:c>
      <x:c r="X109" s="28" t="n">
        <x:f>N109*F109</x:f>
        <x:v>813.9065468415054</x:v>
      </x:c>
      <x:c r="Y109" s="28" t="n">
        <x:f>O109*F109</x:f>
        <x:v>838.6262999111905</x:v>
      </x:c>
      <x:c r="Z109" s="28" t="n">
        <x:f>P109*F109</x:f>
        <x:v>864.9686160082307</x:v>
      </x:c>
      <x:c r="AA109" s="28" t="n">
        <x:f>Q109*F109</x:f>
        <x:v>891.3109321052707</x:v>
      </x:c>
      <x:c r="AB109" s="28" t="n">
        <x:f>R109*F109</x:f>
        <x:v>917.1492054688624</x:v>
      </x:c>
      <x:c r="AC109" s="28" t="n">
        <x:f>S109*F109</x:f>
        <x:v>936.4349232976269</x:v>
      </x:c>
      <x:c r="AD109" s="28" t="n">
        <x:f>T109*F109</x:f>
        <x:v>953.7044701925987</x:v>
      </x:c>
    </x:row>
    <x:row r="110" ht="19" customHeight="1">
      <x:c r="A110" s="2"/>
      <x:c r="B110" s="2"/>
      <x:c r="C110" s="45" t="n">
        <x:f>'Source Data'!C133</x:f>
        <x:v>2</x:v>
      </x:c>
      <x:c r="D110" s="45" t="n">
        <x:f>'Source Data'!D133</x:f>
        <x:v>12</x:v>
      </x:c>
      <x:c r="E110" s="45" t="n">
        <x:f>'Source Data'!E133</x:f>
        <x:v>4</x:v>
      </x:c>
      <x:c r="F110" s="27" t="n">
        <x:f>IF(D110=0,0.5,1)*EXP(-'Assumptions'!$D$21*MAX(D110-6,0))</x:f>
        <x:v>0.5818049644746394</x:v>
      </x:c>
      <x:c r="G110" s="27" t="n">
        <x:f>IF(D110/'Assumptions'!$D$20&gt;=31,0,INDEX('Source Data'!$N$29:$N$60,INT(D110/'Assumptions'!$D$20)+1)+(D110/'Assumptions'!$D$20-INT(D110/'Assumptions'!$D$20))*(INDEX('Source Data'!$N$29:$N$60,MIN(32,INT(D110/'Assumptions'!$D$20)+2))-INDEX('Source Data'!$N$29:$N$60,INT(D110/'Assumptions'!$D$20)+1)))</x:f>
        <x:v>0.7444822565969063</x:v>
      </x:c>
      <x:c r="H110" s="27" t="n">
        <x:f>'Source Data'!F133*G110*'Assumptions'!$F$57*'Assumptions'!$G$57</x:f>
        <x:v>926.2426582911255</x:v>
      </x:c>
      <x:c r="I110" s="27" t="n">
        <x:f>'Source Data'!G133*G110*'Assumptions'!$F$57*'Assumptions'!$G$57</x:f>
        <x:v>1001.7610936655205</x:v>
      </x:c>
      <x:c r="J110" s="27" t="n">
        <x:f>'Source Data'!H133*G110*'Assumptions'!$F$57*'Assumptions'!$G$57</x:f>
        <x:v>1104.8556788913495</x:v>
      </x:c>
      <x:c r="K110" s="27" t="n">
        <x:f>'Source Data'!I133*G110*'Assumptions'!$F$57*'Assumptions'!$G$57</x:f>
        <x:v>1218.4923964041325</x:v>
      </x:c>
      <x:c r="L110" s="27" t="n">
        <x:f>'Source Data'!J133*G110*'Assumptions'!$F$57*'Assumptions'!$G$57</x:f>
        <x:v>1375.7051757134</x:v>
      </x:c>
      <x:c r="M110" s="27" t="n">
        <x:f>SUMPRODUCT(H110:L110,'Source Data'!D17:H17)</x:f>
        <x:v>1074.7864248671494</x:v>
      </x:c>
      <x:c r="N110" s="27" t="n">
        <x:f>SUMPRODUCT(H110:L110,'Source Data'!D18:H18)</x:f>
        <x:v>1100.7064896775921</x:v>
      </x:c>
      <x:c r="O110" s="27" t="n">
        <x:f>SUMPRODUCT(H110:L110,'Source Data'!D19:H19)</x:f>
        <x:v>1128.5299950398457</x:v>
      </x:c>
      <x:c r="P110" s="27" t="n">
        <x:f>SUMPRODUCT(H110:L110,'Source Data'!D20:H20)</x:f>
        <x:v>1156.9391744180418</x:v>
      </x:c>
      <x:c r="Q110" s="27" t="n">
        <x:f>SUMPRODUCT(H110:L110,'Source Data'!D21:H21)</x:f>
        <x:v>1185.3483537962375</x:v>
      </x:c>
      <x:c r="R110" s="27" t="n">
        <x:f>SUMPRODUCT(H110:L110,'Source Data'!D22:H22)</x:f>
        <x:v>1214.3627562549398</x:v>
      </x:c>
      <x:c r="S110" s="27" t="n">
        <x:f>SUMPRODUCT(H110:L110,'Source Data'!D23:H23)</x:f>
        <x:v>1251.2450587602298</x:v>
      </x:c>
      <x:c r="T110" s="27" t="n">
        <x:f>SUMPRODUCT(H110:L110,'Source Data'!D24:H24)</x:f>
        <x:v>1290.548253587547</x:v>
      </x:c>
      <x:c r="U110" s="3"/>
      <x:c r="V110" s="3"/>
      <x:c r="W110" s="28" t="n">
        <x:f>M110*F110</x:f>
        <x:v>625.3160777376565</x:v>
      </x:c>
      <x:c r="X110" s="28" t="n">
        <x:f>N110*F110</x:f>
        <x:v>640.3965001238765</x:v>
      </x:c>
      <x:c r="Y110" s="28" t="n">
        <x:f>O110*F110</x:f>
        <x:v>656.5843536727224</x:v>
      </x:c>
      <x:c r="Z110" s="28" t="n">
        <x:f>P110*F110</x:f>
        <x:v>673.1129552716075</x:v>
      </x:c>
      <x:c r="AA110" s="28" t="n">
        <x:f>Q110*F110</x:f>
        <x:v>689.6415568704922</x:v>
      </x:c>
      <x:c r="AB110" s="28" t="n">
        <x:f>R110*F110</x:f>
        <x:v>706.5222802622304</x:v>
      </x:c>
      <x:c r="AC110" s="28" t="n">
        <x:f>S110*F110</x:f>
        <x:v>727.9805869610635</x:v>
      </x:c>
      <x:c r="AD110" s="28" t="n">
        <x:f>T110*F110</x:f>
        <x:v>750.8473808313106</x:v>
      </x:c>
    </x:row>
    <x:row r="111" ht="19" customHeight="1">
      <x:c r="A111" s="2"/>
      <x:c r="B111" s="2"/>
      <x:c r="C111" s="45" t="n">
        <x:f>'Source Data'!C134</x:f>
        <x:v>2</x:v>
      </x:c>
      <x:c r="D111" s="45" t="n">
        <x:f>'Source Data'!D134</x:f>
        <x:v>13</x:v>
      </x:c>
      <x:c r="E111" s="45" t="n">
        <x:f>'Source Data'!E134</x:f>
        <x:v>5</x:v>
      </x:c>
      <x:c r="F111" s="27" t="n">
        <x:f>IF(D111=0,0.5,1)*EXP(-'Assumptions'!$D$21*MAX(D111-6,0))</x:f>
        <x:v>0.5315861531395849</x:v>
      </x:c>
      <x:c r="G111" s="27" t="n">
        <x:f>IF(D111/'Assumptions'!$D$20&gt;=31,0,INDEX('Source Data'!$N$29:$N$60,INT(D111/'Assumptions'!$D$20)+1)+(D111/'Assumptions'!$D$20-INT(D111/'Assumptions'!$D$20))*(INDEX('Source Data'!$N$29:$N$60,MIN(32,INT(D111/'Assumptions'!$D$20)+2))-INDEX('Source Data'!$N$29:$N$60,INT(D111/'Assumptions'!$D$20)+1)))</x:f>
        <x:v>0.7045268425841674</x:v>
      </x:c>
      <x:c r="H111" s="27" t="n">
        <x:f>'Source Data'!F134*G111*'Assumptions'!$F$57*'Assumptions'!$G$57</x:f>
        <x:v>782.6133557457705</x:v>
      </x:c>
      <x:c r="I111" s="27" t="n">
        <x:f>'Source Data'!G134*G111*'Assumptions'!$F$57*'Assumptions'!$G$57</x:f>
        <x:v>876.5323951379775</x:v>
      </x:c>
      <x:c r="J111" s="27" t="n">
        <x:f>'Source Data'!H134*G111*'Assumptions'!$F$57*'Assumptions'!$G$57</x:f>
        <x:v>947.997852319486</x:v>
      </x:c>
      <x:c r="K111" s="27" t="n">
        <x:f>'Source Data'!I134*G111*'Assumptions'!$F$57*'Assumptions'!$G$57</x:f>
        <x:v>1045.5594825303776</x:v>
      </x:c>
      <x:c r="L111" s="27" t="n">
        <x:f>'Source Data'!J134*G111*'Assumptions'!$F$57*'Assumptions'!$G$57</x:f>
        <x:v>1153.0974622222936</x:v>
      </x:c>
      <x:c r="M111" s="27" t="n">
        <x:f>SUMPRODUCT(H111:L111,'Source Data'!D17:H17)</x:f>
        <x:v>927.1537606415461</x:v>
      </x:c>
      <x:c r="N111" s="27" t="n">
        <x:f>SUMPRODUCT(H111:L111,'Source Data'!D18:H18)</x:f>
        <x:v>945.3825717845535</x:v>
      </x:c>
      <x:c r="O111" s="27" t="n">
        <x:f>SUMPRODUCT(H111:L111,'Source Data'!D19:H19)</x:f>
        <x:v>968.3231919467551</x:v>
      </x:c>
      <x:c r="P111" s="27" t="n">
        <x:f>SUMPRODUCT(H111:L111,'Source Data'!D20:H20)</x:f>
        <x:v>992.713599499478</x:v>
      </x:c>
      <x:c r="Q111" s="27" t="n">
        <x:f>SUMPRODUCT(H111:L111,'Source Data'!D21:H21)</x:f>
        <x:v>1017.104007052201</x:v>
      </x:c>
      <x:c r="R111" s="27" t="n">
        <x:f>SUMPRODUCT(H111:L111,'Source Data'!D22:H22)</x:f>
        <x:v>1041.6329750143825</x:v>
      </x:c>
      <x:c r="S111" s="27" t="n">
        <x:f>SUMPRODUCT(H111:L111,'Source Data'!D23:H23)</x:f>
        <x:v>1067.9632282995267</x:v>
      </x:c>
      <x:c r="T111" s="27" t="n">
        <x:f>SUMPRODUCT(H111:L111,'Source Data'!D24:H24)</x:f>
        <x:v>1094.847723222506</x:v>
      </x:c>
      <x:c r="U111" s="3"/>
      <x:c r="V111" s="3"/>
      <x:c r="W111" s="28" t="n">
        <x:f>M111*F111</x:f>
        <x:v>492.86210098833897</x:v>
      </x:c>
      <x:c r="X111" s="28" t="n">
        <x:f>N111*F111</x:f>
        <x:v>502.5522845801583</x:v>
      </x:c>
      <x:c r="Y111" s="28" t="n">
        <x:f>O111*F111</x:f>
        <x:v>514.7472006028194</x:v>
      </x:c>
      <x:c r="Z111" s="28" t="n">
        <x:f>P111*F111</x:f>
        <x:v>527.7128035272781</x:v>
      </x:c>
      <x:c r="AA111" s="28" t="n">
        <x:f>Q111*F111</x:f>
        <x:v>540.6784064517368</x:v>
      </x:c>
      <x:c r="AB111" s="28" t="n">
        <x:f>R111*F111</x:f>
        <x:v>553.7176661712369</x:v>
      </x:c>
      <x:c r="AC111" s="28" t="n">
        <x:f>S111*F111</x:f>
        <x:v>567.7144642262776</x:v>
      </x:c>
      <x:c r="AD111" s="28" t="n">
        <x:f>T111*F111</x:f>
        <x:v>582.0058894614849</x:v>
      </x:c>
    </x:row>
    <x:row r="112" ht="19" customHeight="1">
      <x:c r="A112" s="2"/>
      <x:c r="B112" s="2"/>
      <x:c r="C112" s="45" t="n">
        <x:f>'Source Data'!C135</x:f>
        <x:v>2</x:v>
      </x:c>
      <x:c r="D112" s="45" t="n">
        <x:f>'Source Data'!D135</x:f>
        <x:v>14</x:v>
      </x:c>
      <x:c r="E112" s="45" t="n">
        <x:f>'Source Data'!E135</x:f>
        <x:v>5</x:v>
      </x:c>
      <x:c r="F112" s="27" t="n">
        <x:f>IF(D112=0,0.5,1)*EXP(-'Assumptions'!$D$21*MAX(D112-6,0))</x:f>
        <x:v>0.4857020057656452</x:v>
      </x:c>
      <x:c r="G112" s="27" t="n">
        <x:f>IF(D112/'Assumptions'!$D$20&gt;=31,0,INDEX('Source Data'!$N$29:$N$60,INT(D112/'Assumptions'!$D$20)+1)+(D112/'Assumptions'!$D$20-INT(D112/'Assumptions'!$D$20))*(INDEX('Source Data'!$N$29:$N$60,MIN(32,INT(D112/'Assumptions'!$D$20)+2))-INDEX('Source Data'!$N$29:$N$60,INT(D112/'Assumptions'!$D$20)+1)))</x:f>
        <x:v>0.6630127388535032</x:v>
      </x:c>
      <x:c r="H112" s="27" t="n">
        <x:f>'Source Data'!F135*G112*'Assumptions'!$F$57*'Assumptions'!$G$57</x:f>
        <x:v>618.3104250944141</x:v>
      </x:c>
      <x:c r="I112" s="27" t="n">
        <x:f>'Source Data'!G135*G112*'Assumptions'!$F$57*'Assumptions'!$G$57</x:f>
        <x:v>736.4980197959529</x:v>
      </x:c>
      <x:c r="J112" s="27" t="n">
        <x:f>'Source Data'!H135*G112*'Assumptions'!$F$57*'Assumptions'!$G$57</x:f>
        <x:v>824.8828985175581</x:v>
      </x:c>
      <x:c r="K112" s="27" t="n">
        <x:f>'Source Data'!I135*G112*'Assumptions'!$F$57*'Assumptions'!$G$57</x:f>
        <x:v>892.137267883434</x:v>
      </x:c>
      <x:c r="L112" s="27" t="n">
        <x:f>'Source Data'!J135*G112*'Assumptions'!$F$57*'Assumptions'!$G$57</x:f>
        <x:v>983.950098485993</x:v>
      </x:c>
      <x:c r="M112" s="27" t="n">
        <x:f>SUMPRODUCT(H112:L112,'Source Data'!D17:H17)</x:f>
        <x:v>799.10397555709</x:v>
      </x:c>
      <x:c r="N112" s="27" t="n">
        <x:f>SUMPRODUCT(H112:L112,'Source Data'!D18:H18)</x:f>
        <x:v>820.9067159408839</x:v>
      </x:c>
      <x:c r="O112" s="27" t="n">
        <x:f>SUMPRODUCT(H112:L112,'Source Data'!D19:H19)</x:f>
        <x:v>838.8942254687822</x:v>
      </x:c>
      <x:c r="P112" s="27" t="n">
        <x:f>SUMPRODUCT(H112:L112,'Source Data'!D20:H20)</x:f>
        <x:v>855.7078178102513</x:v>
      </x:c>
      <x:c r="Q112" s="27" t="n">
        <x:f>SUMPRODUCT(H112:L112,'Source Data'!D21:H21)</x:f>
        <x:v>872.5214101517203</x:v>
      </x:c>
      <x:c r="R112" s="27" t="n">
        <x:f>SUMPRODUCT(H112:L112,'Source Data'!D22:H22)</x:f>
        <x:v>889.6760922325875</x:v>
      </x:c>
      <x:c r="S112" s="27" t="n">
        <x:f>SUMPRODUCT(H112:L112,'Source Data'!D23:H23)</x:f>
        <x:v>911.2649409256337</x:v>
      </x:c>
      <x:c r="T112" s="27" t="n">
        <x:f>SUMPRODUCT(H112:L112,'Source Data'!D24:H24)</x:f>
        <x:v>934.2181485762736</x:v>
      </x:c>
      <x:c r="U112" s="3"/>
      <x:c r="V112" s="3"/>
      <x:c r="W112" s="28" t="n">
        <x:f>M112*F112</x:f>
        <x:v>388.12640374337974</x:v>
      </x:c>
      <x:c r="X112" s="28" t="n">
        <x:f>N112*F112</x:f>
        <x:v>398.7160384789761</x:v>
      </x:c>
      <x:c r="Y112" s="28" t="n">
        <x:f>O112*F112</x:f>
        <x:v>407.45260793540496</x:v>
      </x:c>
      <x:c r="Z112" s="28" t="n">
        <x:f>P112*F112</x:f>
        <x:v>415.61900345978233</x:v>
      </x:c>
      <x:c r="AA112" s="28" t="n">
        <x:f>Q112*F112</x:f>
        <x:v>423.7853989841597</x:v>
      </x:c>
      <x:c r="AB112" s="28" t="n">
        <x:f>R112*F112</x:f>
        <x:v>432.1174624791089</x:v>
      </x:c>
      <x:c r="AC112" s="28" t="n">
        <x:f>S112*F112</x:f>
        <x:v>442.6032095914925</x:v>
      </x:c>
      <x:c r="AD112" s="28" t="n">
        <x:f>T112*F112</x:f>
        <x:v>453.75162858616363</x:v>
      </x:c>
    </x:row>
    <x:row r="113" ht="19" customHeight="1">
      <x:c r="A113" s="2"/>
      <x:c r="B113" s="2"/>
      <x:c r="C113" s="45" t="n">
        <x:f>'Source Data'!C136</x:f>
        <x:v>2</x:v>
      </x:c>
      <x:c r="D113" s="45" t="n">
        <x:f>'Source Data'!D136</x:f>
        <x:v>15</x:v>
      </x:c>
      <x:c r="E113" s="45" t="n">
        <x:f>'Source Data'!E136</x:f>
        <x:v>5</x:v>
      </x:c>
      <x:c r="F113" s="27" t="n">
        <x:f>IF(D113=0,0.5,1)*EXP(-'Assumptions'!$D$21*MAX(D113-6,0))</x:f>
        <x:v>0.44377837347999183</x:v>
      </x:c>
      <x:c r="G113" s="27" t="n">
        <x:f>IF(D113/'Assumptions'!$D$20&gt;=31,0,INDEX('Source Data'!$N$29:$N$60,INT(D113/'Assumptions'!$D$20)+1)+(D113/'Assumptions'!$D$20-INT(D113/'Assumptions'!$D$20))*(INDEX('Source Data'!$N$29:$N$60,MIN(32,INT(D113/'Assumptions'!$D$20)+2))-INDEX('Source Data'!$N$29:$N$60,INT(D113/'Assumptions'!$D$20)+1)))</x:f>
        <x:v>0.6211565059144677</x:v>
      </x:c>
      <x:c r="H113" s="27" t="n">
        <x:f>'Source Data'!F136*G113*'Assumptions'!$F$57*'Assumptions'!$G$57</x:f>
        <x:v>748.481496314429</x:v>
      </x:c>
      <x:c r="I113" s="27" t="n">
        <x:f>'Source Data'!G136*G113*'Assumptions'!$F$57*'Assumptions'!$G$57</x:f>
        <x:v>579.2762653192364</x:v>
      </x:c>
      <x:c r="J113" s="27" t="n">
        <x:f>'Source Data'!H136*G113*'Assumptions'!$F$57*'Assumptions'!$G$57</x:f>
        <x:v>690.0026346107081</x:v>
      </x:c>
      <x:c r="K113" s="27" t="n">
        <x:f>'Source Data'!I136*G113*'Assumptions'!$F$57*'Assumptions'!$G$57</x:f>
        <x:v>772.807744113313</x:v>
      </x:c>
      <x:c r="L113" s="27" t="n">
        <x:f>'Source Data'!J136*G113*'Assumptions'!$F$57*'Assumptions'!$G$57</x:f>
        <x:v>835.8163209244125</x:v>
      </x:c>
      <x:c r="M113" s="27" t="n">
        <x:f>SUMPRODUCT(H113:L113,'Source Data'!D17:H17)</x:f>
        <x:v>657.7074435673622</x:v>
      </x:c>
      <x:c r="N113" s="27" t="n">
        <x:f>SUMPRODUCT(H113:L113,'Source Data'!D18:H18)</x:f>
        <x:v>685.0012406153849</x:v>
      </x:c>
      <x:c r="O113" s="27" t="n">
        <x:f>SUMPRODUCT(H113:L113,'Source Data'!D19:H19)</x:f>
        <x:v>707.2536990904174</x:v>
      </x:c>
      <x:c r="P113" s="27" t="n">
        <x:f>SUMPRODUCT(H113:L113,'Source Data'!D20:H20)</x:f>
        <x:v>727.9549764660687</x:v>
      </x:c>
      <x:c r="Q113" s="27" t="n">
        <x:f>SUMPRODUCT(H113:L113,'Source Data'!D21:H21)</x:f>
        <x:v>748.65625384172</x:v>
      </x:c>
      <x:c r="R113" s="27" t="n">
        <x:f>SUMPRODUCT(H113:L113,'Source Data'!D22:H22)</x:f>
        <x:v>769.0825793744335</x:v>
      </x:c>
      <x:c r="S113" s="27" t="n">
        <x:f>SUMPRODUCT(H113:L113,'Source Data'!D23:H23)</x:f>
        <x:v>785.9345309489587</x:v>
      </x:c>
      <x:c r="T113" s="27" t="n">
        <x:f>SUMPRODUCT(H113:L113,'Source Data'!D24:H24)</x:f>
        <x:v>801.6866751517337</x:v>
      </x:c>
      <x:c r="U113" s="3"/>
      <x:c r="V113" s="3"/>
      <x:c r="W113" s="28" t="n">
        <x:f>M113*F113</x:f>
        <x:v>291.87633953200753</x:v>
      </x:c>
      <x:c r="X113" s="28" t="n">
        <x:f>N113*F113</x:f>
        <x:v>303.988736392072</x:v>
      </x:c>
      <x:c r="Y113" s="28" t="n">
        <x:f>O113*F113</x:f>
        <x:v>313.863896220053</x:v>
      </x:c>
      <x:c r="Z113" s="28" t="n">
        <x:f>P113*F113</x:f>
        <x:v>323.0506754227777</x:v>
      </x:c>
      <x:c r="AA113" s="28" t="n">
        <x:f>Q113*F113</x:f>
        <x:v>332.2374546255024</x:v>
      </x:c>
      <x:c r="AB113" s="28" t="n">
        <x:f>R113*F113</x:f>
        <x:v>341.3022161465828</x:v>
      </x:c>
      <x:c r="AC113" s="28" t="n">
        <x:f>S113*F113</x:f>
        <x:v>348.7807478062892</x:v>
      </x:c>
      <x:c r="AD113" s="28" t="n">
        <x:f>T113*F113</x:f>
        <x:v>355.77120873941897</x:v>
      </x:c>
    </x:row>
    <x:row r="114" ht="19" customHeight="1">
      <x:c r="A114" s="2"/>
      <x:c r="B114" s="2"/>
      <x:c r="C114" s="45" t="n">
        <x:f>'Source Data'!C137</x:f>
        <x:v>2</x:v>
      </x:c>
      <x:c r="D114" s="45" t="n">
        <x:f>'Source Data'!D137</x:f>
        <x:v>16</x:v>
      </x:c>
      <x:c r="E114" s="45" t="n">
        <x:f>'Source Data'!E137</x:f>
        <x:v>5</x:v>
      </x:c>
      <x:c r="F114" s="27" t="n">
        <x:f>IF(D114=0,0.5,1)*EXP(-'Assumptions'!$D$21*MAX(D114-6,0))</x:f>
        <x:v>0.4054734022728572</x:v>
      </x:c>
      <x:c r="G114" s="27" t="n">
        <x:f>IF(D114/'Assumptions'!$D$20&gt;=31,0,INDEX('Source Data'!$N$29:$N$60,INT(D114/'Assumptions'!$D$20)+1)+(D114/'Assumptions'!$D$20-INT(D114/'Assumptions'!$D$20))*(INDEX('Source Data'!$N$29:$N$60,MIN(32,INT(D114/'Assumptions'!$D$20)+2))-INDEX('Source Data'!$N$29:$N$60,INT(D114/'Assumptions'!$D$20)+1)))</x:f>
        <x:v>0.5759481346678799</x:v>
      </x:c>
      <x:c r="H114" s="27" t="n">
        <x:f>'Source Data'!F137*G114*'Assumptions'!$F$57*'Assumptions'!$G$57</x:f>
        <x:v>922.7861401193361</x:v>
      </x:c>
      <x:c r="I114" s="27" t="n">
        <x:f>'Source Data'!G137*G114*'Assumptions'!$F$57*'Assumptions'!$G$57</x:f>
        <x:v>694.0062891252708</x:v>
      </x:c>
      <x:c r="J114" s="27" t="n">
        <x:f>'Source Data'!H137*G114*'Assumptions'!$F$57*'Assumptions'!$G$57</x:f>
        <x:v>537.1159784872813</x:v>
      </x:c>
      <x:c r="K114" s="27" t="n">
        <x:f>'Source Data'!I137*G114*'Assumptions'!$F$57*'Assumptions'!$G$57</x:f>
        <x:v>639.783575533671</x:v>
      </x:c>
      <x:c r="L114" s="27" t="n">
        <x:f>'Source Data'!J137*G114*'Assumptions'!$F$57*'Assumptions'!$G$57</x:f>
        <x:v>716.5620490824322</x:v>
      </x:c>
      <x:c r="M114" s="27" t="n">
        <x:f>SUMPRODUCT(H114:L114,'Source Data'!D17:H17)</x:f>
        <x:v>582.8756524233615</x:v>
      </x:c>
      <x:c r="N114" s="27" t="n">
        <x:f>SUMPRODUCT(H114:L114,'Source Data'!D18:H18)</x:f>
        <x:v>547.258045703925</x:v>
      </x:c>
      <x:c r="O114" s="27" t="n">
        <x:f>SUMPRODUCT(H114:L114,'Source Data'!D19:H19)</x:f>
        <x:v>558.505061205279</x:v>
      </x:c>
      <x:c r="P114" s="27" t="n">
        <x:f>SUMPRODUCT(H114:L114,'Source Data'!D20:H20)</x:f>
        <x:v>584.1719604668766</x:v>
      </x:c>
      <x:c r="Q114" s="27" t="n">
        <x:f>SUMPRODUCT(H114:L114,'Source Data'!D21:H21)</x:f>
        <x:v>609.8388597284741</x:v>
      </x:c>
      <x:c r="R114" s="27" t="n">
        <x:f>SUMPRODUCT(H114:L114,'Source Data'!D22:H22)</x:f>
        <x:v>635.1461878303821</x:v>
      </x:c>
      <x:c r="S114" s="27" t="n">
        <x:f>SUMPRODUCT(H114:L114,'Source Data'!D23:H23)</x:f>
        <x:v>655.7790908563295</x:v>
      </x:c>
      <x:c r="T114" s="27" t="n">
        <x:f>SUMPRODUCT(H114:L114,'Source Data'!D24:H24)</x:f>
        <x:v>674.9737092435199</x:v>
      </x:c>
      <x:c r="U114" s="3"/>
      <x:c r="V114" s="3"/>
      <x:c r="W114" s="28" t="n">
        <x:f>M114*F114</x:f>
        <x:v>236.34057389011178</x:v>
      </x:c>
      <x:c r="X114" s="28" t="n">
        <x:f>N114*F114</x:f>
        <x:v>221.89858171276524</x:v>
      </x:c>
      <x:c r="Y114" s="28" t="n">
        <x:f>O114*F114</x:f>
        <x:v>226.45894735351484</x:v>
      </x:c>
      <x:c r="Z114" s="28" t="n">
        <x:f>P114*F114</x:f>
        <x:v>236.8661923229095</x:v>
      </x:c>
      <x:c r="AA114" s="28" t="n">
        <x:f>Q114*F114</x:f>
        <x:v>247.27343729230412</x:v>
      </x:c>
      <x:c r="AB114" s="28" t="n">
        <x:f>R114*F114</x:f>
        <x:v>257.53488572022025</x:v>
      </x:c>
      <x:c r="AC114" s="28" t="n">
        <x:f>S114*F114</x:f>
        <x:v>265.90097910891706</x:v>
      </x:c>
      <x:c r="AD114" s="28" t="n">
        <x:f>T114*F114</x:f>
        <x:v>273.6838863317003</x:v>
      </x:c>
    </x:row>
    <x:row r="115" ht="19" customHeight="1">
      <x:c r="A115" s="2"/>
      <x:c r="B115" s="2"/>
      <x:c r="C115" s="45" t="n">
        <x:f>'Source Data'!C138</x:f>
        <x:v>2</x:v>
      </x:c>
      <x:c r="D115" s="45" t="n">
        <x:f>'Source Data'!D138</x:f>
        <x:v>17</x:v>
      </x:c>
      <x:c r="E115" s="45" t="n">
        <x:f>'Source Data'!E138</x:f>
        <x:v>5</x:v>
      </x:c>
      <x:c r="F115" s="27" t="n">
        <x:f>IF(D115=0,0.5,1)*EXP(-'Assumptions'!$D$21*MAX(D115-6,0))</x:f>
        <x:v>0.37047474544889886</x:v>
      </x:c>
      <x:c r="G115" s="27" t="n">
        <x:f>IF(D115/'Assumptions'!$D$20&gt;=31,0,INDEX('Source Data'!$N$29:$N$60,INT(D115/'Assumptions'!$D$20)+1)+(D115/'Assumptions'!$D$20-INT(D115/'Assumptions'!$D$20))*(INDEX('Source Data'!$N$29:$N$60,MIN(32,INT(D115/'Assumptions'!$D$20)+2))-INDEX('Source Data'!$N$29:$N$60,INT(D115/'Assumptions'!$D$20)+1)))</x:f>
        <x:v>0.5291010009099181</x:v>
      </x:c>
      <x:c r="H115" s="27" t="n">
        <x:f>'Source Data'!F138*G115*'Assumptions'!$F$57*'Assumptions'!$G$57</x:f>
        <x:v>875.1854973741213</x:v>
      </x:c>
      <x:c r="I115" s="27" t="n">
        <x:f>'Source Data'!G138*G115*'Assumptions'!$F$57*'Assumptions'!$G$57</x:f>
        <x:v>847.7274965817677</x:v>
      </x:c>
      <x:c r="J115" s="27" t="n">
        <x:f>'Source Data'!H138*G115*'Assumptions'!$F$57*'Assumptions'!$G$57</x:f>
        <x:v>637.5564050150176</x:v>
      </x:c>
      <x:c r="K115" s="27" t="n">
        <x:f>'Source Data'!I138*G115*'Assumptions'!$F$57*'Assumptions'!$G$57</x:f>
        <x:v>493.42741944325894</x:v>
      </x:c>
      <x:c r="L115" s="27" t="n">
        <x:f>'Source Data'!J138*G115*'Assumptions'!$F$57*'Assumptions'!$G$57</x:f>
        <x:v>587.7441210497072</x:v>
      </x:c>
      <x:c r="M115" s="27" t="n">
        <x:f>SUMPRODUCT(H115:L115,'Source Data'!D17:H17)</x:f>
        <x:v>698.8563067219864</x:v>
      </x:c>
      <x:c r="N115" s="27" t="n">
        <x:f>SUMPRODUCT(H115:L115,'Source Data'!D18:H18)</x:f>
        <x:v>647.2307853024515</x:v>
      </x:c>
      <x:c r="O115" s="27" t="n">
        <x:f>SUMPRODUCT(H115:L115,'Source Data'!D19:H19)</x:f>
        <x:v>607.5295330209012</x:v>
      </x:c>
      <x:c r="P115" s="27" t="n">
        <x:f>SUMPRODUCT(H115:L115,'Source Data'!D20:H20)</x:f>
        <x:v>571.4972866279616</x:v>
      </x:c>
      <x:c r="Q115" s="27" t="n">
        <x:f>SUMPRODUCT(H115:L115,'Source Data'!D21:H21)</x:f>
        <x:v>535.4650402350219</x:v>
      </x:c>
      <x:c r="R115" s="27" t="n">
        <x:f>SUMPRODUCT(H115:L115,'Source Data'!D22:H22)</x:f>
        <x:v>502.74453949733504</x:v>
      </x:c>
      <x:c r="S115" s="27" t="n">
        <x:f>SUMPRODUCT(H115:L115,'Source Data'!D23:H23)</x:f>
        <x:v>513.0767322779357</x:v>
      </x:c>
      <x:c r="T115" s="27" t="n">
        <x:f>SUMPRODUCT(H115:L115,'Source Data'!D24:H24)</x:f>
        <x:v>536.6559076795478</x:v>
      </x:c>
      <x:c r="U115" s="3"/>
      <x:c r="V115" s="3"/>
      <x:c r="W115" s="28" t="n">
        <x:f>M115*F115</x:f>
        <x:v>258.9086123381855</x:v>
      </x:c>
      <x:c r="X115" s="28" t="n">
        <x:f>N115*F115</x:f>
        <x:v>239.78266043161665</x:v>
      </x:c>
      <x:c r="Y115" s="28" t="n">
        <x:f>O115*F115</x:f>
        <x:v>225.07434909860677</x:v>
      </x:c>
      <x:c r="Z115" s="28" t="n">
        <x:f>P115*F115</x:f>
        <x:v>211.72531178823044</x:v>
      </x:c>
      <x:c r="AA115" s="28" t="n">
        <x:f>Q115*F115</x:f>
        <x:v>198.3762744778541</x:v>
      </x:c>
      <x:c r="AB115" s="28" t="n">
        <x:f>R115*F115</x:f>
        <x:v>186.25415529609907</x:v>
      </x:c>
      <x:c r="AC115" s="28" t="n">
        <x:f>S115*F115</x:f>
        <x:v>190.08197178642104</x:v>
      </x:c>
      <x:c r="AD115" s="28" t="n">
        <x:f>T115*F115</x:f>
        <x:v>198.81746079122823</x:v>
      </x:c>
    </x:row>
    <x:row r="116" ht="19" customHeight="1">
      <x:c r="A116" s="2"/>
      <x:c r="B116" s="2"/>
      <x:c r="C116" s="45" t="n">
        <x:f>'Source Data'!C139</x:f>
        <x:v>2</x:v>
      </x:c>
      <x:c r="D116" s="45" t="n">
        <x:f>'Source Data'!D139</x:f>
        <x:v>18</x:v>
      </x:c>
      <x:c r="E116" s="45" t="n">
        <x:f>'Source Data'!E139</x:f>
        <x:v>5</x:v>
      </x:c>
      <x:c r="F116" s="27" t="n">
        <x:f>IF(D116=0,0.5,1)*EXP(-'Assumptions'!$D$21*MAX(D116-6,0))</x:f>
        <x:v>0.33849701668733634</x:v>
      </x:c>
      <x:c r="G116" s="27" t="n">
        <x:f>IF(D116/'Assumptions'!$D$20&gt;=31,0,INDEX('Source Data'!$N$29:$N$60,INT(D116/'Assumptions'!$D$20)+1)+(D116/'Assumptions'!$D$20-INT(D116/'Assumptions'!$D$20))*(INDEX('Source Data'!$N$29:$N$60,MIN(32,INT(D116/'Assumptions'!$D$20)+2))-INDEX('Source Data'!$N$29:$N$60,INT(D116/'Assumptions'!$D$20)+1)))</x:f>
        <x:v>0.483452229299363</x:v>
      </x:c>
      <x:c r="H116" s="27" t="n">
        <x:f>'Source Data'!F139*G116*'Assumptions'!$F$57*'Assumptions'!$G$57</x:f>
        <x:v>850.0425032636266</x:v>
      </x:c>
      <x:c r="I116" s="27" t="n">
        <x:f>'Source Data'!G139*G116*'Assumptions'!$F$57*'Assumptions'!$G$57</x:f>
        <x:v>799.6779046502451</x:v>
      </x:c>
      <x:c r="J116" s="27" t="n">
        <x:f>'Source Data'!H139*G116*'Assumptions'!$F$57*'Assumptions'!$G$57</x:f>
        <x:v>774.5888731187645</x:v>
      </x:c>
      <x:c r="K116" s="27" t="n">
        <x:f>'Source Data'!I139*G116*'Assumptions'!$F$57*'Assumptions'!$G$57</x:f>
        <x:v>582.5505239614452</x:v>
      </x:c>
      <x:c r="L116" s="27" t="n">
        <x:f>'Source Data'!J139*G116*'Assumptions'!$F$57*'Assumptions'!$G$57</x:f>
        <x:v>450.85642536497375</x:v>
      </x:c>
      <x:c r="M116" s="27" t="n">
        <x:f>SUMPRODUCT(H116:L116,'Source Data'!D17:H17)</x:f>
        <x:v>781.9065073154463</x:v>
      </x:c>
      <x:c r="N116" s="27" t="n">
        <x:f>SUMPRODUCT(H116:L116,'Source Data'!D18:H18)</x:f>
        <x:v>773.3155089099951</x:v>
      </x:c>
      <x:c r="O116" s="27" t="n">
        <x:f>SUMPRODUCT(H116:L116,'Source Data'!D19:H19)</x:f>
        <x:v>734.5808837109896</x:v>
      </x:c>
      <x:c r="P116" s="27" t="n">
        <x:f>SUMPRODUCT(H116:L116,'Source Data'!D20:H20)</x:f>
        <x:v>686.5712964216599</x:v>
      </x:c>
      <x:c r="Q116" s="27" t="n">
        <x:f>SUMPRODUCT(H116:L116,'Source Data'!D21:H21)</x:f>
        <x:v>638.56170913233</x:v>
      </x:c>
      <x:c r="R116" s="27" t="n">
        <x:f>SUMPRODUCT(H116:L116,'Source Data'!D22:H22)</x:f>
        <x:v>591.390236434123</x:v>
      </x:c>
      <x:c r="S116" s="27" t="n">
        <x:f>SUMPRODUCT(H116:L116,'Source Data'!D23:H23)</x:f>
        <x:v>555.1142534205136</x:v>
      </x:c>
      <x:c r="T116" s="27" t="n">
        <x:f>SUMPRODUCT(H116:L116,'Source Data'!D24:H24)</x:f>
        <x:v>522.1907287713958</x:v>
      </x:c>
      <x:c r="U116" s="3"/>
      <x:c r="V116" s="3"/>
      <x:c r="W116" s="28" t="n">
        <x:f>M116*F116</x:f>
        <x:v>264.6730200546935</x:v>
      </x:c>
      <x:c r="X116" s="28" t="n">
        <x:f>N116*F116</x:f>
        <x:v>261.7649927240826</x:v>
      </x:c>
      <x:c r="Y116" s="28" t="n">
        <x:f>O116*F116</x:f>
        <x:v>248.65343765171713</x:v>
      </x:c>
      <x:c r="Z116" s="28" t="n">
        <x:f>P116*F116</x:f>
        <x:v>232.40233558188876</x:v>
      </x:c>
      <x:c r="AA116" s="28" t="n">
        <x:f>Q116*F116</x:f>
        <x:v>216.15123351206032</x:v>
      </x:c>
      <x:c r="AB116" s="28" t="n">
        <x:f>R116*F116</x:f>
        <x:v>200.18383073096913</x:v>
      </x:c>
      <x:c r="AC116" s="28" t="n">
        <x:f>S116*F116</x:f>
        <x:v>187.90451870346183</x:v>
      </x:c>
      <x:c r="AD116" s="28" t="n">
        <x:f>T116*F116</x:f>
        <x:v>176.76000383090349</x:v>
      </x:c>
    </x:row>
    <x:row r="117" ht="19" customHeight="1">
      <x:c r="A117" s="2"/>
      <x:c r="B117" s="2"/>
      <x:c r="C117" s="45" t="n">
        <x:f>'Source Data'!C140</x:f>
        <x:v>2</x:v>
      </x:c>
      <x:c r="D117" s="45" t="n">
        <x:f>'Source Data'!D140</x:f>
        <x:v>19</x:v>
      </x:c>
      <x:c r="E117" s="45" t="n">
        <x:f>'Source Data'!E140</x:f>
        <x:v>5</x:v>
      </x:c>
      <x:c r="F117" s="27" t="n">
        <x:f>IF(D117=0,0.5,1)*EXP(-'Assumptions'!$D$21*MAX(D117-6,0))</x:f>
        <x:v>0.3092794629425864</x:v>
      </x:c>
      <x:c r="G117" s="27" t="n">
        <x:f>IF(D117/'Assumptions'!$D$20&gt;=31,0,INDEX('Source Data'!$N$29:$N$60,INT(D117/'Assumptions'!$D$20)+1)+(D117/'Assumptions'!$D$20-INT(D117/'Assumptions'!$D$20))*(INDEX('Source Data'!$N$29:$N$60,MIN(32,INT(D117/'Assumptions'!$D$20)+2))-INDEX('Source Data'!$N$29:$N$60,INT(D117/'Assumptions'!$D$20)+1)))</x:f>
        <x:v>0.4397315741583258</x:v>
      </x:c>
      <x:c r="H117" s="27" t="n">
        <x:f>'Source Data'!F140*G117*'Assumptions'!$F$57*'Assumptions'!$G$57</x:f>
        <x:v>785.0461639140974</x:v>
      </x:c>
      <x:c r="I117" s="27" t="n">
        <x:f>'Source Data'!G140*G117*'Assumptions'!$F$57*'Assumptions'!$G$57</x:f>
        <x:v>773.1695199819628</x:v>
      </x:c>
      <x:c r="J117" s="27" t="n">
        <x:f>'Source Data'!H140*G117*'Assumptions'!$F$57*'Assumptions'!$G$57</x:f>
        <x:v>727.3596076723007</x:v>
      </x:c>
      <x:c r="K117" s="27" t="n">
        <x:f>'Source Data'!I140*G117*'Assumptions'!$F$57*'Assumptions'!$G$57</x:f>
        <x:v>704.5394846884136</x:v>
      </x:c>
      <x:c r="L117" s="27" t="n">
        <x:f>'Source Data'!J140*G117*'Assumptions'!$F$57*'Assumptions'!$G$57</x:f>
        <x:v>529.867985715091</x:v>
      </x:c>
      <x:c r="M117" s="27" t="n">
        <x:f>SUMPRODUCT(H117:L117,'Source Data'!D17:H17)</x:f>
        <x:v>740.7208320959522</x:v>
      </x:c>
      <x:c r="N117" s="27" t="n">
        <x:f>SUMPRODUCT(H117:L117,'Source Data'!D18:H18)</x:f>
        <x:v>729.5876566480613</x:v>
      </x:c>
      <x:c r="O117" s="27" t="n">
        <x:f>SUMPRODUCT(H117:L117,'Source Data'!D19:H19)</x:f>
        <x:v>722.6054153839909</x:v>
      </x:c>
      <x:c r="P117" s="27" t="n">
        <x:f>SUMPRODUCT(H117:L117,'Source Data'!D20:H20)</x:f>
        <x:v>716.9003846380192</x:v>
      </x:c>
      <x:c r="Q117" s="27" t="n">
        <x:f>SUMPRODUCT(H117:L117,'Source Data'!D21:H21)</x:f>
        <x:v>711.1953538920475</x:v>
      </x:c>
      <x:c r="R117" s="27" t="n">
        <x:f>SUMPRODUCT(H117:L117,'Source Data'!D22:H22)</x:f>
        <x:v>703.3812762573333</x:v>
      </x:c>
      <x:c r="S117" s="27" t="n">
        <x:f>SUMPRODUCT(H117:L117,'Source Data'!D23:H23)</x:f>
        <x:v>668.1495890689714</x:v>
      </x:c>
      <x:c r="T117" s="27" t="n">
        <x:f>SUMPRODUCT(H117:L117,'Source Data'!D24:H24)</x:f>
        <x:v>624.4817143256408</x:v>
      </x:c>
      <x:c r="U117" s="3"/>
      <x:c r="V117" s="3"/>
      <x:c r="W117" s="28" t="n">
        <x:f>M117*F117</x:f>
        <x:v>229.08974114102182</x:v>
      </x:c>
      <x:c r="X117" s="28" t="n">
        <x:f>N117*F117</x:f>
        <x:v>225.64647861765252</x:v>
      </x:c>
      <x:c r="Y117" s="28" t="n">
        <x:f>O117*F117</x:f>
        <x:v>223.48701478936528</x:v>
      </x:c>
      <x:c r="Z117" s="28" t="n">
        <x:f>P117*F117</x:f>
        <x:v>221.7225659441802</x:v>
      </x:c>
      <x:c r="AA117" s="28" t="n">
        <x:f>Q117*F117</x:f>
        <x:v>219.95811709899513</x:v>
      </x:c>
      <x:c r="AB117" s="28" t="n">
        <x:f>R117*F117</x:f>
        <x:v>217.54138336473903</x:v>
      </x:c>
      <x:c r="AC117" s="28" t="n">
        <x:f>S117*F117</x:f>
        <x:v>206.64494607256128</x:v>
      </x:c>
      <x:c r="AD117" s="28" t="n">
        <x:f>T117*F117</x:f>
        <x:v>193.13936922409985</x:v>
      </x:c>
    </x:row>
    <x:row r="118" ht="19" customHeight="1">
      <x:c r="A118" s="2"/>
      <x:c r="B118" s="2"/>
      <x:c r="C118" s="45" t="n">
        <x:f>'Source Data'!C141</x:f>
        <x:v>2</x:v>
      </x:c>
      <x:c r="D118" s="45" t="n">
        <x:f>'Source Data'!D141</x:f>
        <x:v>20</x:v>
      </x:c>
      <x:c r="E118" s="45" t="n">
        <x:f>'Source Data'!E141</x:f>
        <x:v>5</x:v>
      </x:c>
      <x:c r="F118" s="27" t="n">
        <x:f>IF(D118=0,0.5,1)*EXP(-'Assumptions'!$D$21*MAX(D118-6,0))</x:f>
        <x:v>0.28258383820974226</x:v>
      </x:c>
      <x:c r="G118" s="27" t="n">
        <x:f>IF(D118/'Assumptions'!$D$20&gt;=31,0,INDEX('Source Data'!$N$29:$N$60,INT(D118/'Assumptions'!$D$20)+1)+(D118/'Assumptions'!$D$20-INT(D118/'Assumptions'!$D$20))*(INDEX('Source Data'!$N$29:$N$60,MIN(32,INT(D118/'Assumptions'!$D$20)+2))-INDEX('Source Data'!$N$29:$N$60,INT(D118/'Assumptions'!$D$20)+1)))</x:f>
        <x:v>0.3984704276615104</x:v>
      </x:c>
      <x:c r="H118" s="27" t="n">
        <x:f>'Source Data'!F141*G118*'Assumptions'!$F$57*'Assumptions'!$G$57</x:f>
        <x:v>687.0913741341686</x:v>
      </x:c>
      <x:c r="I118" s="27" t="n">
        <x:f>'Source Data'!G141*G118*'Assumptions'!$F$57*'Assumptions'!$G$57</x:f>
        <x:v>711.3832598162448</x:v>
      </x:c>
      <x:c r="J118" s="27" t="n">
        <x:f>'Source Data'!H141*G118*'Assumptions'!$F$57*'Assumptions'!$G$57</x:f>
        <x:v>700.6210319824136</x:v>
      </x:c>
      <x:c r="K118" s="27" t="n">
        <x:f>'Source Data'!I141*G118*'Assumptions'!$F$57*'Assumptions'!$G$57</x:f>
        <x:v>659.1095817662074</x:v>
      </x:c>
      <x:c r="L118" s="27" t="n">
        <x:f>'Source Data'!J141*G118*'Assumptions'!$F$57*'Assumptions'!$G$57</x:f>
        <x:v>638.4307297140602</x:v>
      </x:c>
      <x:c r="M118" s="27" t="n">
        <x:f>SUMPRODUCT(H118:L118,'Source Data'!D17:H17)</x:f>
        <x:v>703.7600151006144</x:v>
      </x:c>
      <x:c r="N118" s="27" t="n">
        <x:f>SUMPRODUCT(H118:L118,'Source Data'!D18:H18)</x:f>
        <x:v>700.6423856090679</x:v>
      </x:c>
      <x:c r="O118" s="27" t="n">
        <x:f>SUMPRODUCT(H118:L118,'Source Data'!D19:H19)</x:f>
        <x:v>691.9728131873705</x:v>
      </x:c>
      <x:c r="P118" s="27" t="n">
        <x:f>SUMPRODUCT(H118:L118,'Source Data'!D20:H20)</x:f>
        <x:v>681.5949506333192</x:v>
      </x:c>
      <x:c r="Q118" s="27" t="n">
        <x:f>SUMPRODUCT(H118:L118,'Source Data'!D21:H21)</x:f>
        <x:v>671.2170880792676</x:v>
      </x:c>
      <x:c r="R118" s="27" t="n">
        <x:f>SUMPRODUCT(H118:L118,'Source Data'!D22:H22)</x:f>
        <x:v>661.1285671663835</x:v>
      </x:c>
      <x:c r="S118" s="27" t="n">
        <x:f>SUMPRODUCT(H118:L118,'Source Data'!D23:H23)</x:f>
        <x:v>654.8014875886768</x:v>
      </x:c>
      <x:c r="T118" s="27" t="n">
        <x:f>SUMPRODUCT(H118:L118,'Source Data'!D24:H24)</x:f>
        <x:v>649.6317745756401</x:v>
      </x:c>
      <x:c r="U118" s="3"/>
      <x:c r="V118" s="3"/>
      <x:c r="W118" s="28" t="n">
        <x:f>M118*F118</x:f>
        <x:v>198.8712062456778</x:v>
      </x:c>
      <x:c r="X118" s="28" t="n">
        <x:f>N118*F118</x:f>
        <x:v>197.9902145378407</x:v>
      </x:c>
      <x:c r="Y118" s="28" t="n">
        <x:f>O118*F118</x:f>
        <x:v>195.54033348728012</x:v>
      </x:c>
      <x:c r="Z118" s="28" t="n">
        <x:f>P118*F118</x:f>
        <x:v>192.60771725434313</x:v>
      </x:c>
      <x:c r="AA118" s="28" t="n">
        <x:f>Q118*F118</x:f>
        <x:v>189.67510102140605</x:v>
      </x:c>
      <x:c r="AB118" s="28" t="n">
        <x:f>R118*F118</x:f>
        <x:v>186.82424805998403</x:v>
      </x:c>
      <x:c r="AC118" s="28" t="n">
        <x:f>S118*F118</x:f>
        <x:v>185.0363176282572</x:v>
      </x:c>
      <x:c r="AD118" s="28" t="n">
        <x:f>T118*F118</x:f>
        <x:v>183.57544028259042</x:v>
      </x:c>
    </x:row>
    <x:row r="119" ht="19" customHeight="1">
      <x:c r="A119" s="2"/>
      <x:c r="B119" s="2"/>
      <x:c r="C119" s="45" t="n">
        <x:f>'Source Data'!C142</x:f>
        <x:v>2</x:v>
      </x:c>
      <x:c r="D119" s="45" t="n">
        <x:f>'Source Data'!D142</x:f>
        <x:v>21</x:v>
      </x:c>
      <x:c r="E119" s="45" t="n">
        <x:f>'Source Data'!E142</x:f>
        <x:v>5</x:v>
      </x:c>
      <x:c r="F119" s="27" t="n">
        <x:f>IF(D119=0,0.5,1)*EXP(-'Assumptions'!$D$21*MAX(D119-6,0))</x:f>
        <x:v>0.25819246081713987</x:v>
      </x:c>
      <x:c r="G119" s="27" t="n">
        <x:f>IF(D119/'Assumptions'!$D$20&gt;=31,0,INDEX('Source Data'!$N$29:$N$60,INT(D119/'Assumptions'!$D$20)+1)+(D119/'Assumptions'!$D$20-INT(D119/'Assumptions'!$D$20))*(INDEX('Source Data'!$N$29:$N$60,MIN(32,INT(D119/'Assumptions'!$D$20)+2))-INDEX('Source Data'!$N$29:$N$60,INT(D119/'Assumptions'!$D$20)+1)))</x:f>
        <x:v>0.35966878980891714</x:v>
      </x:c>
      <x:c r="H119" s="27" t="n">
        <x:f>'Source Data'!F142*G119*'Assumptions'!$F$57*'Assumptions'!$G$57</x:f>
        <x:v>599.0216853164984</x:v>
      </x:c>
      <x:c r="I119" s="27" t="n">
        <x:f>'Source Data'!G142*G119*'Assumptions'!$F$57*'Assumptions'!$G$57</x:f>
        <x:v>620.1848515416267</x:v>
      </x:c>
      <x:c r="J119" s="27" t="n">
        <x:f>'Source Data'!H142*G119*'Assumptions'!$F$57*'Assumptions'!$G$57</x:f>
        <x:v>642.1112794994644</x:v>
      </x:c>
      <x:c r="K119" s="27" t="n">
        <x:f>'Source Data'!I142*G119*'Assumptions'!$F$57*'Assumptions'!$G$57</x:f>
        <x:v>632.3970392649794</x:v>
      </x:c>
      <x:c r="L119" s="27" t="n">
        <x:f>'Source Data'!J142*G119*'Assumptions'!$F$57*'Assumptions'!$G$57</x:f>
        <x:v>594.9278269319655</x:v>
      </x:c>
      <x:c r="M119" s="27" t="n">
        <x:f>SUMPRODUCT(H119:L119,'Source Data'!D17:H17)</x:f>
        <x:v>635.7160713450951</x:v>
      </x:c>
      <x:c r="N119" s="27" t="n">
        <x:f>SUMPRODUCT(H119:L119,'Source Data'!D18:H18)</x:f>
        <x:v>640.7582246096612</x:v>
      </x:c>
      <x:c r="O119" s="27" t="n">
        <x:f>SUMPRODUCT(H119:L119,'Source Data'!D19:H19)</x:f>
        <x:v>640.0874794506134</x:v>
      </x:c>
      <x:c r="P119" s="27" t="n">
        <x:f>SUMPRODUCT(H119:L119,'Source Data'!D20:H20)</x:f>
        <x:v>637.6589193919922</x:v>
      </x:c>
      <x:c r="Q119" s="27" t="n">
        <x:f>SUMPRODUCT(H119:L119,'Source Data'!D21:H21)</x:f>
        <x:v>635.2303593333709</x:v>
      </x:c>
      <x:c r="R119" s="27" t="n">
        <x:f>SUMPRODUCT(H119:L119,'Source Data'!D22:H22)</x:f>
        <x:v>632.416313551159</x:v>
      </x:c>
      <x:c r="S119" s="27" t="n">
        <x:f>SUMPRODUCT(H119:L119,'Source Data'!D23:H23)</x:f>
        <x:v>624.5909533622681</x:v>
      </x:c>
      <x:c r="T119" s="27" t="n">
        <x:f>SUMPRODUCT(H119:L119,'Source Data'!D24:H24)</x:f>
        <x:v>615.2236502790147</x:v>
      </x:c>
      <x:c r="U119" s="3"/>
      <x:c r="V119" s="3"/>
      <x:c r="W119" s="28" t="n">
        <x:f>M119*F119</x:f>
        <x:v>164.13709684159457</x:v>
      </x:c>
      <x:c r="X119" s="28" t="n">
        <x:f>N119*F119</x:f>
        <x:v>165.43894280079004</x:v>
      </x:c>
      <x:c r="Y119" s="28" t="n">
        <x:f>O119*F119</x:f>
        <x:v>165.26576145759432</x:v>
      </x:c>
      <x:c r="Z119" s="28" t="n">
        <x:f>P119*F119</x:f>
        <x:v>164.6387255598167</x:v>
      </x:c>
      <x:c r="AA119" s="28" t="n">
        <x:f>Q119*F119</x:f>
        <x:v>164.01168966203903</x:v>
      </x:c>
      <x:c r="AB119" s="28" t="n">
        <x:f>R119*F119</x:f>
        <x:v>163.28512425667765</x:v>
      </x:c>
      <x:c r="AC119" s="28" t="n">
        <x:f>S119*F119</x:f>
        <x:v>161.26467525272744</x:v>
      </x:c>
      <x:c r="AD119" s="28" t="n">
        <x:f>T119*F119</x:f>
        <x:v>158.84610821844225</x:v>
      </x:c>
    </x:row>
    <x:row r="120" ht="19" customHeight="1">
      <x:c r="A120" s="2"/>
      <x:c r="B120" s="2"/>
      <x:c r="C120" s="45" t="n">
        <x:f>'Source Data'!C143</x:f>
        <x:v>2</x:v>
      </x:c>
      <x:c r="D120" s="45" t="n">
        <x:f>'Source Data'!D143</x:f>
        <x:v>22</x:v>
      </x:c>
      <x:c r="E120" s="45" t="n">
        <x:f>'Source Data'!E143</x:f>
        <x:v>5</x:v>
      </x:c>
      <x:c r="F120" s="27" t="n">
        <x:f>IF(D120=0,0.5,1)*EXP(-'Assumptions'!$D$21*MAX(D120-6,0))</x:f>
        <x:v>0.23590643840477085</x:v>
      </x:c>
      <x:c r="G120" s="27" t="n">
        <x:f>IF(D120/'Assumptions'!$D$20&gt;=31,0,INDEX('Source Data'!$N$29:$N$60,INT(D120/'Assumptions'!$D$20)+1)+(D120/'Assumptions'!$D$20-INT(D120/'Assumptions'!$D$20))*(INDEX('Source Data'!$N$29:$N$60,MIN(32,INT(D120/'Assumptions'!$D$20)+2))-INDEX('Source Data'!$N$29:$N$60,INT(D120/'Assumptions'!$D$20)+1)))</x:f>
        <x:v>0.32334485896269327</x:v>
      </x:c>
      <x:c r="H120" s="27" t="n">
        <x:f>'Source Data'!F143*G120*'Assumptions'!$F$57*'Assumptions'!$G$57</x:f>
        <x:v>536.3415603758846</x:v>
      </x:c>
      <x:c r="I120" s="27" t="n">
        <x:f>'Source Data'!G143*G120*'Assumptions'!$F$57*'Assumptions'!$G$57</x:f>
        <x:v>538.524853538615</x:v>
      </x:c>
      <x:c r="J120" s="27" t="n">
        <x:f>'Source Data'!H143*G120*'Assumptions'!$F$57*'Assumptions'!$G$57</x:f>
        <x:v>557.5506939566942</x:v>
      </x:c>
      <x:c r="K120" s="27" t="n">
        <x:f>'Source Data'!I143*G120*'Assumptions'!$F$57*'Assumptions'!$G$57</x:f>
        <x:v>577.2627122259172</x:v>
      </x:c>
      <x:c r="L120" s="27" t="n">
        <x:f>'Source Data'!J143*G120*'Assumptions'!$F$57*'Assumptions'!$G$57</x:f>
        <x:v>568.5295395749956</x:v>
      </x:c>
      <x:c r="M120" s="27" t="n">
        <x:f>SUMPRODUCT(H120:L120,'Source Data'!D17:H17)</x:f>
        <x:v>552.0014905014211</x:v>
      </x:c>
      <x:c r="N120" s="27" t="n">
        <x:f>SUMPRODUCT(H120:L120,'Source Data'!D18:H18)</x:f>
        <x:v>556.7674808538735</x:v>
      </x:c>
      <x:c r="O120" s="27" t="n">
        <x:f>SUMPRODUCT(H120:L120,'Source Data'!D19:H19)</x:f>
        <x:v>561.657364429449</x:v>
      </x:c>
      <x:c r="P120" s="27" t="n">
        <x:f>SUMPRODUCT(H120:L120,'Source Data'!D20:H20)</x:f>
        <x:v>566.5853689967548</x:v>
      </x:c>
      <x:c r="Q120" s="27" t="n">
        <x:f>SUMPRODUCT(H120:L120,'Source Data'!D21:H21)</x:f>
        <x:v>571.5133735640605</x:v>
      </x:c>
      <x:c r="R120" s="27" t="n">
        <x:f>SUMPRODUCT(H120:L120,'Source Data'!D22:H22)</x:f>
        <x:v>576.0463060352532</x:v>
      </x:c>
      <x:c r="S120" s="27" t="n">
        <x:f>SUMPRODUCT(H120:L120,'Source Data'!D23:H23)</x:f>
        <x:v>575.4433012569751</x:v>
      </x:c>
      <x:c r="T120" s="27" t="n">
        <x:f>SUMPRODUCT(H120:L120,'Source Data'!D24:H24)</x:f>
        <x:v>573.2600080942449</x:v>
      </x:c>
      <x:c r="U120" s="3"/>
      <x:c r="V120" s="3"/>
      <x:c r="W120" s="28" t="n">
        <x:f>M120*F120</x:f>
        <x:v>130.2207056183152</x:v>
      </x:c>
      <x:c r="X120" s="28" t="n">
        <x:f>N120*F120</x:f>
        <x:v>131.34503342783376</x:v>
      </x:c>
      <x:c r="Y120" s="28" t="n">
        <x:f>O120*F120</x:f>
        <x:v>132.49858844636174</x:v>
      </x:c>
      <x:c r="Z120" s="28" t="n">
        <x:f>P120*F120</x:f>
        <x:v>133.6611364522773</x:v>
      </x:c>
      <x:c r="AA120" s="28" t="n">
        <x:f>Q120*F120</x:f>
        <x:v>134.82368445819284</x:v>
      </x:c>
      <x:c r="AB120" s="28" t="n">
        <x:f>R120*F120</x:f>
        <x:v>135.89303241300124</x:v>
      </x:c>
      <x:c r="AC120" s="28" t="n">
        <x:f>S120*F120</x:f>
        <x:v>135.7507797034166</x:v>
      </x:c>
      <x:c r="AD120" s="28" t="n">
        <x:f>T120*F120</x:f>
        <x:v>135.23572678940343</x:v>
      </x:c>
    </x:row>
    <x:row r="121" ht="19" customHeight="1">
      <x:c r="A121" s="2"/>
      <x:c r="B121" s="2"/>
      <x:c r="C121" s="45" t="n">
        <x:f>'Source Data'!C144</x:f>
        <x:v>2</x:v>
      </x:c>
      <x:c r="D121" s="45" t="n">
        <x:f>'Source Data'!D144</x:f>
        <x:v>23</x:v>
      </x:c>
      <x:c r="E121" s="45" t="n">
        <x:f>'Source Data'!E144</x:f>
        <x:v>5</x:v>
      </x:c>
      <x:c r="F121" s="27" t="n">
        <x:f>IF(D121=0,0.5,1)*EXP(-'Assumptions'!$D$21*MAX(D121-6,0))</x:f>
        <x:v>0.2155440461146476</x:v>
      </x:c>
      <x:c r="G121" s="27" t="n">
        <x:f>IF(D121/'Assumptions'!$D$20&gt;=31,0,INDEX('Source Data'!$N$29:$N$60,INT(D121/'Assumptions'!$D$20)+1)+(D121/'Assumptions'!$D$20-INT(D121/'Assumptions'!$D$20))*(INDEX('Source Data'!$N$29:$N$60,MIN(32,INT(D121/'Assumptions'!$D$20)+2))-INDEX('Source Data'!$N$29:$N$60,INT(D121/'Assumptions'!$D$20)+1)))</x:f>
        <x:v>0.2905878070973612</x:v>
      </x:c>
      <x:c r="H121" s="27" t="n">
        <x:f>'Source Data'!F144*G121*'Assumptions'!$F$57*'Assumptions'!$G$57</x:f>
        <x:v>470.121697672059</x:v>
      </x:c>
      <x:c r="I121" s="27" t="n">
        <x:f>'Source Data'!G144*G121*'Assumptions'!$F$57*'Assumptions'!$G$57</x:f>
        <x:v>482.0064818249897</x:v>
      </x:c>
      <x:c r="J121" s="27" t="n">
        <x:f>'Source Data'!H144*G121*'Assumptions'!$F$57*'Assumptions'!$G$57</x:f>
        <x:v>483.9685924162755</x:v>
      </x:c>
      <x:c r="K121" s="27" t="n">
        <x:f>'Source Data'!I144*G121*'Assumptions'!$F$57*'Assumptions'!$G$57</x:f>
        <x:v>501.0669847117653</x:v>
      </x:c>
      <x:c r="L121" s="27" t="n">
        <x:f>'Source Data'!J144*G121*'Assumptions'!$F$57*'Assumptions'!$G$57</x:f>
        <x:v>518.782040335945</x:v>
      </x:c>
      <x:c r="M121" s="27" t="n">
        <x:f>SUMPRODUCT(H121:L121,'Source Data'!D17:H17)</x:f>
        <x:v>483.39631016048384</x:v>
      </x:c>
      <x:c r="N121" s="27" t="n">
        <x:f>SUMPRODUCT(H121:L121,'Source Data'!D18:H18)</x:f>
        <x:v>484.09706394308586</x:v>
      </x:c>
      <x:c r="O121" s="27" t="n">
        <x:f>SUMPRODUCT(H121:L121,'Source Data'!D19:H19)</x:f>
        <x:v>487.53075747783583</x:v>
      </x:c>
      <x:c r="P121" s="27" t="n">
        <x:f>SUMPRODUCT(H121:L121,'Source Data'!D20:H20)</x:f>
        <x:v>491.80535555170843</x:v>
      </x:c>
      <x:c r="Q121" s="27" t="n">
        <x:f>SUMPRODUCT(H121:L121,'Source Data'!D21:H21)</x:f>
        <x:v>496.0799536255808</x:v>
      </x:c>
      <x:c r="R121" s="27" t="n">
        <x:f>SUMPRODUCT(H121:L121,'Source Data'!D22:H22)</x:f>
        <x:v>500.3631164679073</x:v>
      </x:c>
      <x:c r="S121" s="27" t="n">
        <x:f>SUMPRODUCT(H121:L121,'Source Data'!D23:H23)</x:f>
        <x:v>504.75762130013607</x:v>
      </x:c>
      <x:c r="T121" s="27" t="n">
        <x:f>SUMPRODUCT(H121:L121,'Source Data'!D24:H24)</x:f>
        <x:v>509.18638520618106</x:v>
      </x:c>
      <x:c r="U121" s="3"/>
      <x:c r="V121" s="3"/>
      <x:c r="W121" s="28" t="n">
        <x:f>M121*F121</x:f>
        <x:v>104.19319656888183</x:v>
      </x:c>
      <x:c r="X121" s="28" t="n">
        <x:f>N121*F121</x:f>
        <x:v>104.34423987451402</x:v>
      </x:c>
      <x:c r="Y121" s="28" t="n">
        <x:f>O121*F121</x:f>
        <x:v>105.08435207211173</x:v>
      </x:c>
      <x:c r="Z121" s="28" t="n">
        <x:f>P121*F121</x:f>
        <x:v>106.0057162364681</x:v>
      </x:c>
      <x:c r="AA121" s="28" t="n">
        <x:f>Q121*F121</x:f>
        <x:v>106.92708040082444</x:v>
      </x:c>
      <x:c r="AB121" s="28" t="n">
        <x:f>R121*F121</x:f>
        <x:v>107.8502906500274</x:v>
      </x:c>
      <x:c r="AC121" s="28" t="n">
        <x:f>S121*F121</x:f>
        <x:v>108.79750000223636</x:v>
      </x:c>
      <x:c r="AD121" s="28" t="n">
        <x:f>T121*F121</x:f>
        <x:v>109.75209369383181</x:v>
      </x:c>
    </x:row>
    <x:row r="122" ht="19" customHeight="1">
      <x:c r="A122" s="2"/>
      <x:c r="B122" s="2"/>
      <x:c r="C122" s="45" t="n">
        <x:f>'Source Data'!C145</x:f>
        <x:v>2</x:v>
      </x:c>
      <x:c r="D122" s="45" t="n">
        <x:f>'Source Data'!D145</x:f>
        <x:v>24</x:v>
      </x:c>
      <x:c r="E122" s="45" t="n">
        <x:f>'Source Data'!E145</x:f>
        <x:v>5</x:v>
      </x:c>
      <x:c r="F122" s="27" t="n">
        <x:f>IF(D122=0,0.5,1)*EXP(-'Assumptions'!$D$21*MAX(D122-6,0))</x:f>
        <x:v>0.19693924476854713</x:v>
      </x:c>
      <x:c r="G122" s="27" t="n">
        <x:f>IF(D122/'Assumptions'!$D$20&gt;=31,0,INDEX('Source Data'!$N$29:$N$60,INT(D122/'Assumptions'!$D$20)+1)+(D122/'Assumptions'!$D$20-INT(D122/'Assumptions'!$D$20))*(INDEX('Source Data'!$N$29:$N$60,MIN(32,INT(D122/'Assumptions'!$D$20)+2))-INDEX('Source Data'!$N$29:$N$60,INT(D122/'Assumptions'!$D$20)+1)))</x:f>
        <x:v>0.2603448589626933</x:v>
      </x:c>
      <x:c r="H122" s="27" t="n">
        <x:f>'Source Data'!F145*G122*'Assumptions'!$F$57*'Assumptions'!$G$57</x:f>
        <x:v>405.4730638198845</x:v>
      </x:c>
      <x:c r="I122" s="27" t="n">
        <x:f>'Source Data'!G145*G122*'Assumptions'!$F$57*'Assumptions'!$G$57</x:f>
        <x:v>421.1937462149822</x:v>
      </x:c>
      <x:c r="J122" s="27" t="n">
        <x:f>'Source Data'!H145*G122*'Assumptions'!$F$57*'Assumptions'!$G$57</x:f>
        <x:v>431.84162055287584</x:v>
      </x:c>
      <x:c r="K122" s="27" t="n">
        <x:f>'Source Data'!I145*G122*'Assumptions'!$F$57*'Assumptions'!$G$57</x:f>
        <x:v>433.5995243350753</x:v>
      </x:c>
      <x:c r="L122" s="27" t="n">
        <x:f>'Source Data'!J145*G122*'Assumptions'!$F$57*'Assumptions'!$G$57</x:f>
        <x:v>448.9184001513846</x:v>
      </x:c>
      <x:c r="M122" s="27" t="n">
        <x:f>SUMPRODUCT(H122:L122,'Source Data'!D17:H17)</x:f>
        <x:v>428.7359905376569</x:v>
      </x:c>
      <x:c r="N122" s="27" t="n">
        <x:f>SUMPRODUCT(H122:L122,'Source Data'!D18:H18)</x:f>
        <x:v>431.27448730885675</x:v>
      </x:c>
      <x:c r="O122" s="27" t="n">
        <x:f>SUMPRODUCT(H122:L122,'Source Data'!D19:H19)</x:f>
        <x:v>432.2078505075007</x:v>
      </x:c>
      <x:c r="P122" s="27" t="n">
        <x:f>SUMPRODUCT(H122:L122,'Source Data'!D20:H20)</x:f>
        <x:v>432.6473264530506</x:v>
      </x:c>
      <x:c r="Q122" s="27" t="n">
        <x:f>SUMPRODUCT(H122:L122,'Source Data'!D21:H21)</x:f>
        <x:v>433.08680239860047</x:v>
      </x:c>
      <x:c r="R122" s="27" t="n">
        <x:f>SUMPRODUCT(H122:L122,'Source Data'!D22:H22)</x:f>
        <x:v>433.7146251779574</x:v>
      </x:c>
      <x:c r="S122" s="27" t="n">
        <x:f>SUMPRODUCT(H122:L122,'Source Data'!D23:H23)</x:f>
        <x:v>436.79095679680637</x:v>
      </x:c>
      <x:c r="T122" s="27" t="n">
        <x:f>SUMPRODUCT(H122:L122,'Source Data'!D24:H24)</x:f>
        <x:v>440.6206757508838</x:v>
      </x:c>
      <x:c r="U122" s="3"/>
      <x:c r="V122" s="3"/>
      <x:c r="W122" s="28" t="n">
        <x:f>M122*F122</x:f>
        <x:v>84.43494218158112</x:v>
      </x:c>
      <x:c r="X122" s="28" t="n">
        <x:f>N122*F122</x:f>
        <x:v>84.93487181854861</x:v>
      </x:c>
      <x:c r="Y122" s="28" t="n">
        <x:f>O122*F122</x:f>
        <x:v>85.11868766198431</x:v>
      </x:c>
      <x:c r="Z122" s="28" t="n">
        <x:f>P122*F122</x:f>
        <x:v>85.20523772279485</x:v>
      </x:c>
      <x:c r="AA122" s="28" t="n">
        <x:f>Q122*F122</x:f>
        <x:v>85.29178778360539</x:v>
      </x:c>
      <x:c r="AB122" s="28" t="n">
        <x:f>R122*F122</x:f>
        <x:v>85.41543072762042</x:v>
      </x:c>
      <x:c r="AC122" s="28" t="n">
        <x:f>S122*F122</x:f>
        <x:v>86.02128115329414</x:v>
      </x:c>
      <x:c r="AD122" s="28" t="n">
        <x:f>T122*F122</x:f>
        <x:v>86.77550311178594</x:v>
      </x:c>
    </x:row>
    <x:row r="123" ht="19" customHeight="1">
      <x:c r="A123" s="2"/>
      <x:c r="B123" s="2"/>
      <x:c r="C123" s="45" t="n">
        <x:f>'Source Data'!C146</x:f>
        <x:v>2</x:v>
      </x:c>
      <x:c r="D123" s="45" t="n">
        <x:f>'Source Data'!D146</x:f>
        <x:v>25</x:v>
      </x:c>
      <x:c r="E123" s="45" t="n">
        <x:f>'Source Data'!E146</x:f>
        <x:v>5</x:v>
      </x:c>
      <x:c r="F123" s="27" t="n">
        <x:f>IF(D123=0,0.5,1)*EXP(-'Assumptions'!$D$21*MAX(D123-6,0))</x:f>
        <x:v>0.17994032695004702</x:v>
      </x:c>
      <x:c r="G123" s="27" t="n">
        <x:f>IF(D123/'Assumptions'!$D$20&gt;=31,0,INDEX('Source Data'!$N$29:$N$60,INT(D123/'Assumptions'!$D$20)+1)+(D123/'Assumptions'!$D$20-INT(D123/'Assumptions'!$D$20))*(INDEX('Source Data'!$N$29:$N$60,MIN(32,INT(D123/'Assumptions'!$D$20)+2))-INDEX('Source Data'!$N$29:$N$60,INT(D123/'Assumptions'!$D$20)+1)))</x:f>
        <x:v>0.23256141947224745</x:v>
      </x:c>
      <x:c r="H123" s="27" t="n">
        <x:f>'Source Data'!F146*G123*'Assumptions'!$F$57*'Assumptions'!$G$57</x:f>
        <x:v>327.47570314928294</x:v>
      </x:c>
      <x:c r="I123" s="27" t="n">
        <x:f>'Source Data'!G146*G123*'Assumptions'!$F$57*'Assumptions'!$G$57</x:f>
        <x:v>362.20185662750526</x:v>
      </x:c>
      <x:c r="J123" s="27" t="n">
        <x:f>'Source Data'!H146*G123*'Assumptions'!$F$57*'Assumptions'!$G$57</x:f>
        <x:v>376.2448618454427</x:v>
      </x:c>
      <x:c r="K123" s="27" t="n">
        <x:f>'Source Data'!I146*G123*'Assumptions'!$F$57*'Assumptions'!$G$57</x:f>
        <x:v>385.75641809529174</x:v>
      </x:c>
      <x:c r="L123" s="27" t="n">
        <x:f>'Source Data'!J146*G123*'Assumptions'!$F$57*'Assumptions'!$G$57</x:f>
        <x:v>387.3267221931441</x:v>
      </x:c>
      <x:c r="M123" s="27" t="n">
        <x:f>SUMPRODUCT(H123:L123,'Source Data'!D17:H17)</x:f>
        <x:v>372.1489853235443</x:v>
      </x:c>
      <x:c r="N123" s="27" t="n">
        <x:f>SUMPRODUCT(H123:L123,'Source Data'!D18:H18)</x:f>
        <x:v>375.5967998368052</x:v>
      </x:c>
      <x:c r="O123" s="27" t="n">
        <x:f>SUMPRODUCT(H123:L123,'Source Data'!D19:H19)</x:f>
        <x:v>378.22643606416125</x:v>
      </x:c>
      <x:c r="P123" s="27" t="n">
        <x:f>SUMPRODUCT(H123:L123,'Source Data'!D20:H20)</x:f>
        <x:v>380.6043251266235</x:v>
      </x:c>
      <x:c r="Q123" s="27" t="n">
        <x:f>SUMPRODUCT(H123:L123,'Source Data'!D21:H21)</x:f>
        <x:v>382.98221418908577</x:v>
      </x:c>
      <x:c r="R123" s="27" t="n">
        <x:f>SUMPRODUCT(H123:L123,'Source Data'!D22:H22)</x:f>
        <x:v>385.2498080827703</x:v>
      </x:c>
      <x:c r="S123" s="27" t="n">
        <x:f>SUMPRODUCT(H123:L123,'Source Data'!D23:H23)</x:f>
        <x:v>386.0835647823443</x:v>
      </x:c>
      <x:c r="T123" s="27" t="n">
        <x:f>SUMPRODUCT(H123:L123,'Source Data'!D24:H24)</x:f>
        <x:v>386.47614080680745</x:v>
      </x:c>
      <x:c r="U123" s="3"/>
      <x:c r="V123" s="3"/>
      <x:c r="W123" s="28" t="n">
        <x:f>M123*F123</x:f>
        <x:v>66.96461009324682</x:v>
      </x:c>
      <x:c r="X123" s="28" t="n">
        <x:f>N123*F123</x:f>
        <x:v>67.5850109640261</x:v>
      </x:c>
      <x:c r="Y123" s="28" t="n">
        <x:f>O123*F123</x:f>
        <x:v>68.05818856653623</x:v>
      </x:c>
      <x:c r="Z123" s="28" t="n">
        <x:f>P123*F123</x:f>
        <x:v>68.48606670188663</x:v>
      </x:c>
      <x:c r="AA123" s="28" t="n">
        <x:f>Q123*F123</x:f>
        <x:v>68.91394483723703</x:v>
      </x:c>
      <x:c r="AB123" s="28" t="n">
        <x:f>R123*F123</x:f>
        <x:v>69.32197642385655</x:v>
      </x:c>
      <x:c r="AC123" s="28" t="n">
        <x:f>S123*F123</x:f>
        <x:v>69.4720028769747</x:v>
      </x:c>
      <x:c r="AD123" s="28" t="n">
        <x:f>T123*F123</x:f>
        <x:v>69.54264313516934</x:v>
      </x:c>
    </x:row>
    <x:row r="124" ht="19" customHeight="1">
      <x:c r="A124" s="2"/>
      <x:c r="B124" s="2"/>
      <x:c r="C124" s="45" t="n">
        <x:f>'Source Data'!C147</x:f>
        <x:v>2</x:v>
      </x:c>
      <x:c r="D124" s="45" t="n">
        <x:f>'Source Data'!D147</x:f>
        <x:v>26</x:v>
      </x:c>
      <x:c r="E124" s="45" t="n">
        <x:f>'Source Data'!E147</x:f>
        <x:v>5</x:v>
      </x:c>
      <x:c r="F124" s="27" t="n">
        <x:f>IF(D124=0,0.5,1)*EXP(-'Assumptions'!$D$21*MAX(D124-6,0))</x:f>
        <x:v>0.16440867995072633</x:v>
      </x:c>
      <x:c r="G124" s="27" t="n">
        <x:f>IF(D124/'Assumptions'!$D$20&gt;=31,0,INDEX('Source Data'!$N$29:$N$60,INT(D124/'Assumptions'!$D$20)+1)+(D124/'Assumptions'!$D$20-INT(D124/'Assumptions'!$D$20))*(INDEX('Source Data'!$N$29:$N$60,MIN(32,INT(D124/'Assumptions'!$D$20)+2))-INDEX('Source Data'!$N$29:$N$60,INT(D124/'Assumptions'!$D$20)+1)))</x:f>
        <x:v>0.20723748862602367</x:v>
      </x:c>
      <x:c r="H124" s="27" t="n">
        <x:f>'Source Data'!F147*G124*'Assumptions'!$F$57*'Assumptions'!$G$57</x:f>
        <x:v>271.7463007271293</x:v>
      </x:c>
      <x:c r="I124" s="27" t="n">
        <x:f>'Source Data'!G147*G124*'Assumptions'!$F$57*'Assumptions'!$G$57</x:f>
        <x:v>291.81642621852535</x:v>
      </x:c>
      <x:c r="J124" s="27" t="n">
        <x:f>'Source Data'!H147*G124*'Assumptions'!$F$57*'Assumptions'!$G$57</x:f>
        <x:v>322.7612013785662</x:v>
      </x:c>
      <x:c r="K124" s="27" t="n">
        <x:f>'Source Data'!I147*G124*'Assumptions'!$F$57*'Assumptions'!$G$57</x:f>
        <x:v>335.27504456344064</x:v>
      </x:c>
      <x:c r="L124" s="27" t="n">
        <x:f>'Source Data'!J147*G124*'Assumptions'!$F$57*'Assumptions'!$G$57</x:f>
        <x:v>343.7508744522374</x:v>
      </x:c>
      <x:c r="M124" s="27" t="n">
        <x:f>SUMPRODUCT(H124:L124,'Source Data'!D17:H17)</x:f>
        <x:v>313.73564195688766</x:v>
      </x:c>
      <x:c r="N124" s="27" t="n">
        <x:f>SUMPRODUCT(H124:L124,'Source Data'!D18:H18)</x:f>
        <x:v>321.21585058057605</x:v>
      </x:c>
      <x:c r="O124" s="27" t="n">
        <x:f>SUMPRODUCT(H124:L124,'Source Data'!D19:H19)</x:f>
        <x:v>325.36825204208174</x:v>
      </x:c>
      <x:c r="P124" s="27" t="n">
        <x:f>SUMPRODUCT(H124:L124,'Source Data'!D20:H20)</x:f>
        <x:v>328.49671283830037</x:v>
      </x:c>
      <x:c r="Q124" s="27" t="n">
        <x:f>SUMPRODUCT(H124:L124,'Source Data'!D21:H21)</x:f>
        <x:v>331.625173634519</x:v>
      </x:c>
      <x:c r="R124" s="27" t="n">
        <x:f>SUMPRODUCT(H124:L124,'Source Data'!D22:H22)</x:f>
        <x:v>334.69755091273646</x:v>
      </x:c>
      <x:c r="S124" s="27" t="n">
        <x:f>SUMPRODUCT(H124:L124,'Source Data'!D23:H23)</x:f>
        <x:v>337.0408424569399</x:v>
      </x:c>
      <x:c r="T124" s="27" t="n">
        <x:f>SUMPRODUCT(H124:L124,'Source Data'!D24:H24)</x:f>
        <x:v>339.1597999291392</x:v>
      </x:c>
      <x:c r="U124" s="3"/>
      <x:c r="V124" s="3"/>
      <x:c r="W124" s="28" t="n">
        <x:f>M124*F124</x:f>
        <x:v>51.58086274762561</x:v>
      </x:c>
      <x:c r="X124" s="28" t="n">
        <x:f>N124*F124</x:f>
        <x:v>52.810673973202256</x:v>
      </x:c>
      <x:c r="Y124" s="28" t="n">
        <x:f>O124*F124</x:f>
        <x:v>53.493364816113875</x:v>
      </x:c>
      <x:c r="Z124" s="28" t="n">
        <x:f>P124*F124</x:f>
        <x:v>54.00771092589778</x:v>
      </x:c>
      <x:c r="AA124" s="28" t="n">
        <x:f>Q124*F124</x:f>
        <x:v>54.522057035681684</x:v>
      </x:c>
      <x:c r="AB124" s="28" t="n">
        <x:f>R124*F124</x:f>
        <x:v>55.027182528304024</x:v>
      </x:c>
      <x:c r="AC124" s="28" t="n">
        <x:f>S124*F124</x:f>
        <x:v>55.41243999782621</x:v>
      </x:c>
      <x:c r="AD124" s="28" t="n">
        <x:f>T124*F124</x:f>
        <x:v>55.76081499870222</x:v>
      </x:c>
    </x:row>
    <x:row r="125" ht="19" customHeight="1">
      <x:c r="A125" s="2"/>
      <x:c r="B125" s="2"/>
      <x:c r="C125" s="45" t="n">
        <x:f>'Source Data'!C148</x:f>
        <x:v>2</x:v>
      </x:c>
      <x:c r="D125" s="45" t="n">
        <x:f>'Source Data'!D148</x:f>
        <x:v>27</x:v>
      </x:c>
      <x:c r="E125" s="45" t="n">
        <x:f>'Source Data'!E148</x:f>
        <x:v>5</x:v>
      </x:c>
      <x:c r="F125" s="27" t="n">
        <x:f>IF(D125=0,0.5,1)*EXP(-'Assumptions'!$D$21*MAX(D125-6,0))</x:f>
        <x:v>0.15021765549333577</x:v>
      </x:c>
      <x:c r="G125" s="27" t="n">
        <x:f>IF(D125/'Assumptions'!$D$20&gt;=31,0,INDEX('Source Data'!$N$29:$N$60,INT(D125/'Assumptions'!$D$20)+1)+(D125/'Assumptions'!$D$20-INT(D125/'Assumptions'!$D$20))*(INDEX('Source Data'!$N$29:$N$60,MIN(32,INT(D125/'Assumptions'!$D$20)+2))-INDEX('Source Data'!$N$29:$N$60,INT(D125/'Assumptions'!$D$20)+1)))</x:f>
        <x:v>0.18437306642402182</x:v>
      </x:c>
      <x:c r="H125" s="27" t="n">
        <x:f>'Source Data'!F148*G125*'Assumptions'!$F$57*'Assumptions'!$G$57</x:f>
        <x:v>231.87637908315682</x:v>
      </x:c>
      <x:c r="I125" s="27" t="n">
        <x:f>'Source Data'!G148*G125*'Assumptions'!$F$57*'Assumptions'!$G$57</x:f>
        <x:v>241.76464927568907</x:v>
      </x:c>
      <x:c r="J125" s="27" t="n">
        <x:f>'Source Data'!H148*G125*'Assumptions'!$F$57*'Assumptions'!$G$57</x:f>
        <x:v>259.62044652982996</x:v>
      </x:c>
      <x:c r="K125" s="27" t="n">
        <x:f>'Source Data'!I148*G125*'Assumptions'!$F$57*'Assumptions'!$G$57</x:f>
        <x:v>287.1510980730672</x:v>
      </x:c>
      <x:c r="L125" s="27" t="n">
        <x:f>'Source Data'!J148*G125*'Assumptions'!$F$57*'Assumptions'!$G$57</x:f>
        <x:v>298.2842943689758</x:v>
      </x:c>
      <x:c r="M125" s="27" t="n">
        <x:f>SUMPRODUCT(H125:L125,'Source Data'!D17:H17)</x:f>
        <x:v>254.41250566403886</x:v>
      </x:c>
      <x:c r="N125" s="27" t="n">
        <x:f>SUMPRODUCT(H125:L125,'Source Data'!D18:H18)</x:f>
        <x:v>259.01082795381154</x:v>
      </x:c>
      <x:c r="O125" s="27" t="n">
        <x:f>SUMPRODUCT(H125:L125,'Source Data'!D19:H19)</x:f>
        <x:v>265.35599893467105</x:v>
      </x:c>
      <x:c r="P125" s="27" t="n">
        <x:f>SUMPRODUCT(H125:L125,'Source Data'!D20:H20)</x:f>
        <x:v>272.2386618204804</x:v>
      </x:c>
      <x:c r="Q125" s="27" t="n">
        <x:f>SUMPRODUCT(H125:L125,'Source Data'!D21:H21)</x:f>
        <x:v>279.12132470628967</x:v>
      </x:c>
      <x:c r="R125" s="27" t="n">
        <x:f>SUMPRODUCT(H125:L125,'Source Data'!D22:H22)</x:f>
        <x:v>285.77624515810834</x:v>
      </x:c>
      <x:c r="S125" s="27" t="n">
        <x:f>SUMPRODUCT(H125:L125,'Source Data'!D23:H23)</x:f>
        <x:v>289.4705139680482</x:v>
      </x:c>
      <x:c r="T125" s="27" t="n">
        <x:f>SUMPRODUCT(H125:L125,'Source Data'!D24:H24)</x:f>
        <x:v>292.25381304202534</x:v>
      </x:c>
      <x:c r="U125" s="3"/>
      <x:c r="V125" s="3"/>
      <x:c r="W125" s="28" t="n">
        <x:f>M125*F125</x:f>
        <x:v>38.21725012903693</x:v>
      </x:c>
      <x:c r="X125" s="28" t="n">
        <x:f>N125*F125</x:f>
        <x:v>38.90799932260932</x:v>
      </x:c>
      <x:c r="Y125" s="28" t="n">
        <x:f>O125*F125</x:f>
        <x:v>39.861156031058385</x:v>
      </x:c>
      <x:c r="Z125" s="28" t="n">
        <x:f>P125*F125</x:f>
        <x:v>40.895053513315666</x:v>
      </x:c>
      <x:c r="AA125" s="28" t="n">
        <x:f>Q125*F125</x:f>
        <x:v>41.92895099557293</x:v>
      </x:c>
      <x:c r="AB125" s="28" t="n">
        <x:f>R125*F125</x:f>
        <x:v>42.92863754333978</x:v>
      </x:c>
      <x:c r="AC125" s="28" t="n">
        <x:f>S125*F125</x:f>
        <x:v>43.4835819427311</x:v>
      </x:c>
      <x:c r="AD125" s="28" t="n">
        <x:f>T125*F125</x:f>
        <x:v>43.90168260416072</x:v>
      </x:c>
    </x:row>
    <x:row r="126" ht="19" customHeight="1">
      <x:c r="A126" s="2"/>
      <x:c r="B126" s="2"/>
      <x:c r="C126" s="45" t="n">
        <x:f>'Source Data'!C149</x:f>
        <x:v>2</x:v>
      </x:c>
      <x:c r="D126" s="45" t="n">
        <x:f>'Source Data'!D149</x:f>
        <x:v>28</x:v>
      </x:c>
      <x:c r="E126" s="45" t="n">
        <x:f>'Source Data'!E149</x:f>
        <x:v>5</x:v>
      </x:c>
      <x:c r="F126" s="27" t="n">
        <x:f>IF(D126=0,0.5,1)*EXP(-'Assumptions'!$D$21*MAX(D126-6,0))</x:f>
        <x:v>0.1372515370154264</x:v>
      </x:c>
      <x:c r="G126" s="27" t="n">
        <x:f>IF(D126/'Assumptions'!$D$20&gt;=31,0,INDEX('Source Data'!$N$29:$N$60,INT(D126/'Assumptions'!$D$20)+1)+(D126/'Assumptions'!$D$20-INT(D126/'Assumptions'!$D$20))*(INDEX('Source Data'!$N$29:$N$60,MIN(32,INT(D126/'Assumptions'!$D$20)+2))-INDEX('Source Data'!$N$29:$N$60,INT(D126/'Assumptions'!$D$20)+1)))</x:f>
        <x:v>0.163968152866242</x:v>
      </x:c>
      <x:c r="H126" s="27" t="n">
        <x:f>'Source Data'!F149*G126*'Assumptions'!$F$57*'Assumptions'!$G$57</x:f>
        <x:v>191.4733026435939</x:v>
      </x:c>
      <x:c r="I126" s="27" t="n">
        <x:f>'Source Data'!G149*G126*'Assumptions'!$F$57*'Assumptions'!$G$57</x:f>
        <x:v>206.21418469082914</x:v>
      </x:c>
      <x:c r="J126" s="27" t="n">
        <x:f>'Source Data'!H149*G126*'Assumptions'!$F$57*'Assumptions'!$G$57</x:f>
        <x:v>215.00810144862183</x:v>
      </x:c>
      <x:c r="K126" s="27" t="n">
        <x:f>'Source Data'!I149*G126*'Assumptions'!$F$57*'Assumptions'!$G$57</x:f>
        <x:v>230.88776408319706</x:v>
      </x:c>
      <x:c r="L126" s="27" t="n">
        <x:f>'Source Data'!J149*G126*'Assumptions'!$F$57*'Assumptions'!$G$57</x:f>
        <x:v>255.37154671100834</x:v>
      </x:c>
      <x:c r="M126" s="27" t="n">
        <x:f>SUMPRODUCT(H126:L126,'Source Data'!D17:H17)</x:f>
        <x:v>212.4432090609323</x:v>
      </x:c>
      <x:c r="N126" s="27" t="n">
        <x:f>SUMPRODUCT(H126:L126,'Source Data'!D18:H18)</x:f>
        <x:v>214.74010138755798</x:v>
      </x:c>
      <x:c r="O126" s="27" t="n">
        <x:f>SUMPRODUCT(H126:L126,'Source Data'!D19:H19)</x:f>
        <x:v>218.31636449749163</x:v>
      </x:c>
      <x:c r="P126" s="27" t="n">
        <x:f>SUMPRODUCT(H126:L126,'Source Data'!D20:H20)</x:f>
        <x:v>222.2862801561355</x:v>
      </x:c>
      <x:c r="Q126" s="27" t="n">
        <x:f>SUMPRODUCT(H126:L126,'Source Data'!D21:H21)</x:f>
        <x:v>226.2561958147793</x:v>
      </x:c>
      <x:c r="R126" s="27" t="n">
        <x:f>SUMPRODUCT(H126:L126,'Source Data'!D22:H22)</x:f>
        <x:v>230.3456131399958</x:v>
      </x:c>
      <x:c r="S126" s="27" t="n">
        <x:f>SUMPRODUCT(H126:L126,'Source Data'!D23:H23)</x:f>
        <x:v>235.98855213065772</x:v>
      </x:c>
      <x:c r="T126" s="27" t="n">
        <x:f>SUMPRODUCT(H126:L126,'Source Data'!D24:H24)</x:f>
        <x:v>242.1094977876106</x:v>
      </x:c>
      <x:c r="U126" s="3"/>
      <x:c r="V126" s="3"/>
      <x:c r="W126" s="28" t="n">
        <x:f>M126*F126</x:f>
        <x:v>29.158156972102518</x:v>
      </x:c>
      <x:c r="X126" s="28" t="n">
        <x:f>N126*F126</x:f>
        <x:v>29.47340897429083</x:v>
      </x:c>
      <x:c r="Y126" s="28" t="n">
        <x:f>O126*F126</x:f>
        <x:v>29.96425658290079</x:v>
      </x:c>
      <x:c r="Z126" s="28" t="n">
        <x:f>P126*F126</x:f>
        <x:v>30.50913360887127</x:v>
      </x:c>
      <x:c r="AA126" s="28" t="n">
        <x:f>Q126*F126</x:f>
        <x:v>31.05401063484174</x:v>
      </x:c>
      <x:c r="AB126" s="28" t="n">
        <x:f>R126*F126</x:f>
        <x:v>31.615289448225223</x:v>
      </x:c>
      <x:c r="AC126" s="28" t="n">
        <x:f>S126*F126</x:f>
        <x:v>32.389791497977846</x:v>
      </x:c>
      <x:c r="AD126" s="28" t="n">
        <x:f>T126*F126</x:f>
        <x:v>33.229900697382526</x:v>
      </x:c>
    </x:row>
    <x:row r="127" ht="19" customHeight="1">
      <x:c r="A127" s="2"/>
      <x:c r="B127" s="2"/>
      <x:c r="C127" s="45" t="n">
        <x:f>'Source Data'!C150</x:f>
        <x:v>2</x:v>
      </x:c>
      <x:c r="D127" s="45" t="n">
        <x:f>'Source Data'!D150</x:f>
        <x:v>29</x:v>
      </x:c>
      <x:c r="E127" s="45" t="n">
        <x:f>'Source Data'!E150</x:f>
        <x:v>5</x:v>
      </x:c>
      <x:c r="F127" s="27" t="n">
        <x:f>IF(D127=0,0.5,1)*EXP(-'Assumptions'!$D$21*MAX(D127-6,0))</x:f>
        <x:v>0.12540459609245258</x:v>
      </x:c>
      <x:c r="G127" s="27" t="n">
        <x:f>IF(D127/'Assumptions'!$D$20&gt;=31,0,INDEX('Source Data'!$N$29:$N$60,INT(D127/'Assumptions'!$D$20)+1)+(D127/'Assumptions'!$D$20-INT(D127/'Assumptions'!$D$20))*(INDEX('Source Data'!$N$29:$N$60,MIN(32,INT(D127/'Assumptions'!$D$20)+2))-INDEX('Source Data'!$N$29:$N$60,INT(D127/'Assumptions'!$D$20)+1)))</x:f>
        <x:v>0.14524749772520476</x:v>
      </x:c>
      <x:c r="H127" s="27" t="n">
        <x:f>'Source Data'!F150*G127*'Assumptions'!$F$57*'Assumptions'!$G$57</x:f>
        <x:v>169.05189161345396</x:v>
      </x:c>
      <x:c r="I127" s="27" t="n">
        <x:f>'Source Data'!G150*G127*'Assumptions'!$F$57*'Assumptions'!$G$57</x:f>
        <x:v>169.61231558697776</x:v>
      </x:c>
      <x:c r="J127" s="27" t="n">
        <x:f>'Source Data'!H150*G127*'Assumptions'!$F$57*'Assumptions'!$G$57</x:f>
        <x:v>182.67019417008225</x:v>
      </x:c>
      <x:c r="K127" s="27" t="n">
        <x:f>'Source Data'!I150*G127*'Assumptions'!$F$57*'Assumptions'!$G$57</x:f>
        <x:v>190.46008740206307</x:v>
      </x:c>
      <x:c r="L127" s="27" t="n">
        <x:f>'Source Data'!J150*G127*'Assumptions'!$F$57*'Assumptions'!$G$57</x:f>
        <x:v>204.52672913751044</x:v>
      </x:c>
      <x:c r="M127" s="27" t="n">
        <x:f>SUMPRODUCT(H127:L127,'Source Data'!D17:H17)</x:f>
        <x:v>178.86164625001012</x:v>
      </x:c>
      <x:c r="N127" s="27" t="n">
        <x:f>SUMPRODUCT(H127:L127,'Source Data'!D18:H18)</x:f>
        <x:v>182.05294943257618</x:v>
      </x:c>
      <x:c r="O127" s="27" t="n">
        <x:f>SUMPRODUCT(H127:L127,'Source Data'!D19:H19)</x:f>
        <x:v>184.29308859341157</x:v>
      </x:c>
      <x:c r="P127" s="27" t="n">
        <x:f>SUMPRODUCT(H127:L127,'Source Data'!D20:H20)</x:f>
        <x:v>186.2405619014068</x:v>
      </x:c>
      <x:c r="Q127" s="27" t="n">
        <x:f>SUMPRODUCT(H127:L127,'Source Data'!D21:H21)</x:f>
        <x:v>188.18803520940202</x:v>
      </x:c>
      <x:c r="R127" s="27" t="n">
        <x:f>SUMPRODUCT(H127:L127,'Source Data'!D22:H22)</x:f>
        <x:v>190.22268557994536</x:v>
      </x:c>
      <x:c r="S127" s="27" t="n">
        <x:f>SUMPRODUCT(H127:L127,'Source Data'!D23:H23)</x:f>
        <x:v>193.39063776361456</x:v>
      </x:c>
      <x:c r="T127" s="27" t="n">
        <x:f>SUMPRODUCT(H127:L127,'Source Data'!D24:H24)</x:f>
        <x:v>196.90729819747645</x:v>
      </x:c>
      <x:c r="U127" s="3"/>
      <x:c r="V127" s="3"/>
      <x:c r="W127" s="28" t="n">
        <x:f>M127*F127</x:f>
        <x:v>22.430072504413655</x:v>
      </x:c>
      <x:c r="X127" s="28" t="n">
        <x:f>N127*F127</x:f>
        <x:v>22.83027659103191</x:v>
      </x:c>
      <x:c r="Y127" s="28" t="n">
        <x:f>O127*F127</x:f>
        <x:v>23.111200337687357</x:v>
      </x:c>
      <x:c r="Z127" s="28" t="n">
        <x:f>P127*F127</x:f>
        <x:v>23.355422441277334</x:v>
      </x:c>
      <x:c r="AA127" s="28" t="n">
        <x:f>Q127*F127</x:f>
        <x:v>23.599644544867306</x:v>
      </x:c>
      <x:c r="AB127" s="28" t="n">
        <x:f>R127*F127</x:f>
        <x:v>23.854799052774652</x:v>
      </x:c>
      <x:c r="AC127" s="28" t="n">
        <x:f>S127*F127</x:f>
        <x:v>24.25207481680789</x:v>
      </x:c>
      <x:c r="AD127" s="28" t="n">
        <x:f>T127*F127</x:f>
        <x:v>24.69308019811065</x:v>
      </x:c>
    </x:row>
    <x:row r="128" ht="19" customHeight="1">
      <x:c r="A128" s="2"/>
      <x:c r="B128" s="2"/>
      <x:c r="C128" s="45" t="n">
        <x:f>'Source Data'!C151</x:f>
        <x:v>2</x:v>
      </x:c>
      <x:c r="D128" s="45" t="n">
        <x:f>'Source Data'!D151</x:f>
        <x:v>30</x:v>
      </x:c>
      <x:c r="E128" s="45" t="n">
        <x:f>'Source Data'!E151</x:f>
        <x:v>5</x:v>
      </x:c>
      <x:c r="F128" s="27" t="n">
        <x:f>IF(D128=0,0.5,1)*EXP(-'Assumptions'!$D$21*MAX(D128-6,0))</x:f>
        <x:v>0.11458023030622685</x:v>
      </x:c>
      <x:c r="G128" s="27" t="n">
        <x:f>IF(D128/'Assumptions'!$D$20&gt;=31,0,INDEX('Source Data'!$N$29:$N$60,INT(D128/'Assumptions'!$D$20)+1)+(D128/'Assumptions'!$D$20-INT(D128/'Assumptions'!$D$20))*(INDEX('Source Data'!$N$29:$N$60,MIN(32,INT(D128/'Assumptions'!$D$20)+2))-INDEX('Source Data'!$N$29:$N$60,INT(D128/'Assumptions'!$D$20)+1)))</x:f>
        <x:v>0.1282393084622384</x:v>
      </x:c>
      <x:c r="H128" s="27" t="n">
        <x:f>'Source Data'!F151*G128*'Assumptions'!$F$57*'Assumptions'!$G$57</x:f>
        <x:v>132.3835943617287</x:v>
      </x:c>
      <x:c r="I128" s="27" t="n">
        <x:f>'Source Data'!G151*G128*'Assumptions'!$F$57*'Assumptions'!$G$57</x:f>
        <x:v>149.2562557997214</x:v>
      </x:c>
      <x:c r="J128" s="27" t="n">
        <x:f>'Source Data'!H151*G128*'Assumptions'!$F$57*'Assumptions'!$G$57</x:f>
        <x:v>149.75105525538103</x:v>
      </x:c>
      <x:c r="K128" s="27" t="n">
        <x:f>'Source Data'!I151*G128*'Assumptions'!$F$57*'Assumptions'!$G$57</x:f>
        <x:v>161.27988257224993</x:v>
      </x:c>
      <x:c r="L128" s="27" t="n">
        <x:f>'Source Data'!J151*G128*'Assumptions'!$F$57*'Assumptions'!$G$57</x:f>
        <x:v>168.15759500591852</x:v>
      </x:c>
      <x:c r="M128" s="27" t="n">
        <x:f>SUMPRODUCT(H128:L128,'Source Data'!D17:H17)</x:f>
        <x:v>149.60673874748034</x:v>
      </x:c>
      <x:c r="N128" s="27" t="n">
        <x:f>SUMPRODUCT(H128:L128,'Source Data'!D18:H18)</x:f>
        <x:v>149.88368899835646</x:v>
      </x:c>
      <x:c r="O128" s="27" t="n">
        <x:f>SUMPRODUCT(H128:L128,'Source Data'!D19:H19)</x:f>
        <x:v>152.1528942797287</x:v>
      </x:c>
      <x:c r="P128" s="27" t="n">
        <x:f>SUMPRODUCT(H128:L128,'Source Data'!D20:H20)</x:f>
        <x:v>155.03510110894598</x:v>
      </x:c>
      <x:c r="Q128" s="27" t="n">
        <x:f>SUMPRODUCT(H128:L128,'Source Data'!D21:H21)</x:f>
        <x:v>157.91730793816316</x:v>
      </x:c>
      <x:c r="R128" s="27" t="n">
        <x:f>SUMPRODUCT(H128:L128,'Source Data'!D22:H22)</x:f>
        <x:v>160.73491594955814</x:v>
      </x:c>
      <x:c r="S128" s="27" t="n">
        <x:f>SUMPRODUCT(H128:L128,'Source Data'!D23:H23)</x:f>
        <x:v>162.71273932926422</x:v>
      </x:c>
      <x:c r="T128" s="27" t="n">
        <x:f>SUMPRODUCT(H128:L128,'Source Data'!D24:H24)</x:f>
        <x:v>164.43216743768141</x:v>
      </x:c>
      <x:c r="U128" s="3"/>
      <x:c r="V128" s="3"/>
      <x:c r="W128" s="28" t="n">
        <x:f>M128*F128</x:f>
        <x:v>17.14197458104981</x:v>
      </x:c>
      <x:c r="X128" s="28" t="n">
        <x:f>N128*F128</x:f>
        <x:v>17.173707604578563</x:v>
      </x:c>
      <x:c r="Y128" s="28" t="n">
        <x:f>O128*F128</x:f>
        <x:v>17.433713668330302</x:v>
      </x:c>
      <x:c r="Z128" s="28" t="n">
        <x:f>P128*F128</x:f>
        <x:v>17.763957590612197</x:v>
      </x:c>
      <x:c r="AA128" s="28" t="n">
        <x:f>Q128*F128</x:f>
        <x:v>18.09420151289408</x:v>
      </x:c>
      <x:c r="AB128" s="28" t="n">
        <x:f>R128*F128</x:f>
        <x:v>18.41704368775239</x:v>
      </x:c>
      <x:c r="AC128" s="28" t="n">
        <x:f>S128*F128</x:f>
        <x:v>18.64366314610415</x:v>
      </x:c>
      <x:c r="AD128" s="28" t="n">
        <x:f>T128*F128</x:f>
        <x:v>18.840675614761594</x:v>
      </x:c>
    </x:row>
    <x:row r="129" ht="19" customHeight="1">
      <x:c r="A129" s="2"/>
      <x:c r="B129" s="2"/>
      <x:c r="C129" s="45" t="n">
        <x:f>'Source Data'!C152</x:f>
        <x:v>2</x:v>
      </x:c>
      <x:c r="D129" s="45" t="n">
        <x:f>'Source Data'!D152</x:f>
        <x:v>31</x:v>
      </x:c>
      <x:c r="E129" s="45" t="n">
        <x:f>'Source Data'!E152</x:f>
        <x:v>5</x:v>
      </x:c>
      <x:c r="F129" s="27" t="n">
        <x:f>IF(D129=0,0.5,1)*EXP(-'Assumptions'!$D$21*MAX(D129-6,0))</x:f>
        <x:v>0.10469017552872706</x:v>
      </x:c>
      <x:c r="G129" s="27" t="n">
        <x:f>IF(D129/'Assumptions'!$D$20&gt;=31,0,INDEX('Source Data'!$N$29:$N$60,INT(D129/'Assumptions'!$D$20)+1)+(D129/'Assumptions'!$D$20-INT(D129/'Assumptions'!$D$20))*(INDEX('Source Data'!$N$29:$N$60,MIN(32,INT(D129/'Assumptions'!$D$20)+2))-INDEX('Source Data'!$N$29:$N$60,INT(D129/'Assumptions'!$D$20)+1)))</x:f>
        <x:v>0.11388808007279344</x:v>
      </x:c>
      <x:c r="H129" s="27" t="n">
        <x:f>'Source Data'!F152*G129*'Assumptions'!$F$57*'Assumptions'!$G$57</x:f>
        <x:v>101.70528065417476</x:v>
      </x:c>
      <x:c r="I129" s="27" t="n">
        <x:f>'Source Data'!G152*G129*'Assumptions'!$F$57*'Assumptions'!$G$57</x:f>
        <x:v>117.56857999146447</x:v>
      </x:c>
      <x:c r="J129" s="27" t="n">
        <x:f>'Source Data'!H152*G129*'Assumptions'!$F$57*'Assumptions'!$G$57</x:f>
        <x:v>132.5530261798739</x:v>
      </x:c>
      <x:c r="K129" s="27" t="n">
        <x:f>'Source Data'!I152*G129*'Assumptions'!$F$57*'Assumptions'!$G$57</x:f>
        <x:v>132.99245275431406</x:v>
      </x:c>
      <x:c r="L129" s="27" t="n">
        <x:f>'Source Data'!J152*G129*'Assumptions'!$F$57*'Assumptions'!$G$57</x:f>
        <x:v>143.23109193876977</x:v>
      </x:c>
      <x:c r="M129" s="27" t="n">
        <x:f>SUMPRODUCT(H129:L129,'Source Data'!D17:H17)</x:f>
        <x:v>128.1825627082545</x:v>
      </x:c>
      <x:c r="N129" s="27" t="n">
        <x:f>SUMPRODUCT(H129:L129,'Source Data'!D18:H18)</x:f>
        <x:v>131.72666009405174</x:v>
      </x:c>
      <x:c r="O129" s="27" t="n">
        <x:f>SUMPRODUCT(H129:L129,'Source Data'!D19:H19)</x:f>
        <x:v>132.64457338288227</x:v>
      </x:c>
      <x:c r="P129" s="27" t="n">
        <x:f>SUMPRODUCT(H129:L129,'Source Data'!D20:H20)</x:f>
        <x:v>132.75443002649232</x:v>
      </x:c>
      <x:c r="Q129" s="27" t="n">
        <x:f>SUMPRODUCT(H129:L129,'Source Data'!D21:H21)</x:f>
        <x:v>132.86428667010236</x:v>
      </x:c>
      <x:c r="R129" s="27" t="n">
        <x:f>SUMPRODUCT(H129:L129,'Source Data'!D22:H22)</x:f>
        <x:v>133.1102434888515</x:v>
      </x:c>
      <x:c r="S129" s="27" t="n">
        <x:f>SUMPRODUCT(H129:L129,'Source Data'!D23:H23)</x:f>
        <x:v>135.125502584409</x:v>
      </x:c>
      <x:c r="T129" s="27" t="n">
        <x:f>SUMPRODUCT(H129:L129,'Source Data'!D24:H24)</x:f>
        <x:v>137.68516238052294</x:v>
      </x:c>
      <x:c r="U129" s="3"/>
      <x:c r="V129" s="3"/>
      <x:c r="W129" s="28" t="n">
        <x:f>M129*F129</x:f>
        <x:v>13.419454989649227</x:v>
      </x:c>
      <x:c r="X129" s="28" t="n">
        <x:f>N129*F129</x:f>
        <x:v>13.790487167059242</x:v>
      </x:c>
      <x:c r="Y129" s="28" t="n">
        <x:f>O129*F129</x:f>
        <x:v>13.886583670387061</x:v>
      </x:c>
      <x:c r="Z129" s="28" t="n">
        <x:f>P129*F129</x:f>
        <x:v>13.898084581689595</x:v>
      </x:c>
      <x:c r="AA129" s="28" t="n">
        <x:f>Q129*F129</x:f>
        <x:v>13.909585492992127</x:v>
      </x:c>
      <x:c r="AB129" s="28" t="n">
        <x:f>R129*F129</x:f>
        <x:v>13.935334755519461</x:v>
      </x:c>
      <x:c r="AC129" s="28" t="n">
        <x:f>S129*F129</x:f>
        <x:v>14.14631258396924</x:v>
      </x:c>
      <x:c r="AD129" s="28" t="n">
        <x:f>T129*F129</x:f>
        <x:v>14.414283817318234</x:v>
      </x:c>
    </x:row>
    <x:row r="130" ht="19" customHeight="1">
      <x:c r="A130" s="2"/>
      <x:c r="B130" s="2"/>
      <x:c r="C130" s="45" t="n">
        <x:f>'Source Data'!C153</x:f>
        <x:v>2</x:v>
      </x:c>
      <x:c r="D130" s="45" t="n">
        <x:f>'Source Data'!D153</x:f>
        <x:v>32</x:v>
      </x:c>
      <x:c r="E130" s="45" t="n">
        <x:f>'Source Data'!E153</x:f>
        <x:v>5</x:v>
      </x:c>
      <x:c r="F130" s="27" t="n">
        <x:f>IF(D130=0,0.5,1)*EXP(-'Assumptions'!$D$21*MAX(D130-6,0))</x:f>
        <x:v>0.09565378619805467</x:v>
      </x:c>
      <x:c r="G130" s="27" t="n">
        <x:f>IF(D130/'Assumptions'!$D$20&gt;=31,0,INDEX('Source Data'!$N$29:$N$60,INT(D130/'Assumptions'!$D$20)+1)+(D130/'Assumptions'!$D$20-INT(D130/'Assumptions'!$D$20))*(INDEX('Source Data'!$N$29:$N$60,MIN(32,INT(D130/'Assumptions'!$D$20)+2))-INDEX('Source Data'!$N$29:$N$60,INT(D130/'Assumptions'!$D$20)+1)))</x:f>
        <x:v>0.10047406733393992</x:v>
      </x:c>
      <x:c r="H130" s="27" t="n">
        <x:f>'Source Data'!F153*G130*'Assumptions'!$F$57*'Assumptions'!$G$57</x:f>
        <x:v>79.89875664602573</x:v>
      </x:c>
      <x:c r="I130" s="27" t="n">
        <x:f>'Source Data'!G153*G130*'Assumptions'!$F$57*'Assumptions'!$G$57</x:f>
        <x:v>89.72618741253109</x:v>
      </x:c>
      <x:c r="J130" s="27" t="n">
        <x:f>'Source Data'!H153*G130*'Assumptions'!$F$57*'Assumptions'!$G$57</x:f>
        <x:v>103.72106909579905</x:v>
      </x:c>
      <x:c r="K130" s="27" t="n">
        <x:f>'Source Data'!I153*G130*'Assumptions'!$F$57*'Assumptions'!$G$57</x:f>
        <x:v>116.94061107362283</x:v>
      </x:c>
      <x:c r="L130" s="27" t="n">
        <x:f>'Source Data'!J153*G130*'Assumptions'!$F$57*'Assumptions'!$G$57</x:f>
        <x:v>117.32828092634492</x:v>
      </x:c>
      <x:c r="M130" s="27" t="n">
        <x:f>SUMPRODUCT(H130:L130,'Source Data'!D17:H17)</x:f>
        <x:v>99.6392286048459</x:v>
      </x:c>
      <x:c r="N130" s="27" t="n">
        <x:f>SUMPRODUCT(H130:L130,'Source Data'!D18:H18)</x:f>
        <x:v>103.12718041864284</x:v>
      </x:c>
      <x:c r="O130" s="27" t="n">
        <x:f>SUMPRODUCT(H130:L130,'Source Data'!D19:H19)</x:f>
        <x:v>106.475140341179</x:v>
      </x:c>
      <x:c r="P130" s="27" t="n">
        <x:f>SUMPRODUCT(H130:L130,'Source Data'!D20:H20)</x:f>
        <x:v>109.78002583563497</x:v>
      </x:c>
      <x:c r="Q130" s="27" t="n">
        <x:f>SUMPRODUCT(H130:L130,'Source Data'!D21:H21)</x:f>
        <x:v>113.0849113300909</x:v>
      </x:c>
      <x:c r="R130" s="27" t="n">
        <x:f>SUMPRODUCT(H130:L130,'Source Data'!D22:H22)</x:f>
        <x:v>116.21157637836488</x:v>
      </x:c>
      <x:c r="S130" s="27" t="n">
        <x:f>SUMPRODUCT(H130:L130,'Source Data'!D23:H23)</x:f>
        <x:v>117.02137562627327</x:v>
      </x:c>
      <x:c r="T130" s="27" t="n">
        <x:f>SUMPRODUCT(H130:L130,'Source Data'!D24:H24)</x:f>
        <x:v>117.1182930894538</x:v>
      </x:c>
      <x:c r="U130" s="3"/>
      <x:c r="V130" s="3"/>
      <x:c r="W130" s="28" t="n">
        <x:f>M130*F130</x:f>
        <x:v>9.530869469907023</x:v>
      </x:c>
      <x:c r="X130" s="28" t="n">
        <x:f>N130*F130</x:f>
        <x:v>9.864505266973072</x:v>
      </x:c>
      <x:c r="Y130" s="28" t="n">
        <x:f>O130*F130</x:f>
        <x:v>10.184750309603002</x:v>
      </x:c>
      <x:c r="Z130" s="28" t="n">
        <x:f>P130*F130</x:f>
        <x:v>10.500875120098746</x:v>
      </x:c>
      <x:c r="AA130" s="28" t="n">
        <x:f>Q130*F130</x:f>
        <x:v>10.816999930594486</x:v>
      </x:c>
      <x:c r="AB130" s="28" t="n">
        <x:f>R130*F130</x:f>
        <x:v>11.116077280635015</x:v>
      </x:c>
      <x:c r="AC130" s="28" t="n">
        <x:f>S130*F130</x:f>
        <x:v>11.19353764475779</x:v>
      </x:c>
      <x:c r="AD130" s="28" t="n">
        <x:f>T130*F130</x:f>
        <x:v>11.202808167059718</x:v>
      </x:c>
    </x:row>
    <x:row r="131" ht="19" customHeight="1">
      <x:c r="A131" s="2"/>
      <x:c r="B131" s="2"/>
      <x:c r="C131" s="45" t="n">
        <x:f>'Source Data'!C154</x:f>
        <x:v>2</x:v>
      </x:c>
      <x:c r="D131" s="45" t="n">
        <x:f>'Source Data'!D154</x:f>
        <x:v>33</x:v>
      </x:c>
      <x:c r="E131" s="45" t="n">
        <x:f>'Source Data'!E154</x:f>
        <x:v>5</x:v>
      </x:c>
      <x:c r="F131" s="27" t="n">
        <x:f>IF(D131=0,0.5,1)*EXP(-'Assumptions'!$D$21*MAX(D131-6,0))</x:f>
        <x:v>0.08739737771776383</x:v>
      </x:c>
      <x:c r="G131" s="27" t="n">
        <x:f>IF(D131/'Assumptions'!$D$20&gt;=31,0,INDEX('Source Data'!$N$29:$N$60,INT(D131/'Assumptions'!$D$20)+1)+(D131/'Assumptions'!$D$20-INT(D131/'Assumptions'!$D$20))*(INDEX('Source Data'!$N$29:$N$60,MIN(32,INT(D131/'Assumptions'!$D$20)+2))-INDEX('Source Data'!$N$29:$N$60,INT(D131/'Assumptions'!$D$20)+1)))</x:f>
        <x:v>0.08730755232029119</x:v>
      </x:c>
      <x:c r="H131" s="27" t="n">
        <x:f>'Source Data'!F154*G131*'Assumptions'!$F$57*'Assumptions'!$G$57</x:f>
        <x:v>76.60380093246476</x:v>
      </x:c>
      <x:c r="I131" s="27" t="n">
        <x:f>'Source Data'!G154*G131*'Assumptions'!$F$57*'Assumptions'!$G$57</x:f>
        <x:v>69.42851087150831</x:v>
      </x:c>
      <x:c r="J131" s="27" t="n">
        <x:f>'Source Data'!H154*G131*'Assumptions'!$F$57*'Assumptions'!$G$57</x:f>
        <x:v>77.96811664828044</x:v>
      </x:c>
      <x:c r="K131" s="27" t="n">
        <x:f>'Source Data'!I154*G131*'Assumptions'!$F$57*'Assumptions'!$G$57</x:f>
        <x:v>90.12905426332871</x:v>
      </x:c>
      <x:c r="L131" s="27" t="n">
        <x:f>'Source Data'!J154*G131*'Assumptions'!$F$57*'Assumptions'!$G$57</x:f>
        <x:v>101.61625572241863</x:v>
      </x:c>
      <x:c r="M131" s="27" t="n">
        <x:f>SUMPRODUCT(H131:L131,'Source Data'!D17:H17)</x:f>
        <x:v>75.4773982967219</x:v>
      </x:c>
      <x:c r="N131" s="27" t="n">
        <x:f>SUMPRODUCT(H131:L131,'Source Data'!D18:H18)</x:f>
        <x:v>77.66259601644656</x:v>
      </x:c>
      <x:c r="O131" s="27" t="n">
        <x:f>SUMPRODUCT(H131:L131,'Source Data'!D19:H19)</x:f>
        <x:v>80.50164531808215</x:v>
      </x:c>
      <x:c r="P131" s="27" t="n">
        <x:f>SUMPRODUCT(H131:L131,'Source Data'!D20:H20)</x:f>
        <x:v>83.54187972184424</x:v>
      </x:c>
      <x:c r="Q131" s="27" t="n">
        <x:f>SUMPRODUCT(H131:L131,'Source Data'!D21:H21)</x:f>
        <x:v>86.5821141256063</x:v>
      </x:c>
      <x:c r="R131" s="27" t="n">
        <x:f>SUMPRODUCT(H131:L131,'Source Data'!D22:H22)</x:f>
        <x:v>89.61299108275784</x:v>
      </x:c>
      <x:c r="S131" s="27" t="n">
        <x:f>SUMPRODUCT(H131:L131,'Source Data'!D23:H23)</x:f>
        <x:v>92.52222123397243</x:v>
      </x:c>
      <x:c r="T131" s="27" t="n">
        <x:f>SUMPRODUCT(H131:L131,'Source Data'!D24:H24)</x:f>
        <x:v>95.39402159874493</x:v>
      </x:c>
      <x:c r="U131" s="3"/>
      <x:c r="V131" s="3"/>
      <x:c r="W131" s="28" t="n">
        <x:f>M131*F131</x:f>
        <x:v>6.596526688092709</x:v>
      </x:c>
      <x:c r="X131" s="28" t="n">
        <x:f>N131*F131</x:f>
        <x:v>6.7875072385914805</x:v>
      </x:c>
      <x:c r="Y131" s="28" t="n">
        <x:f>O131*F131</x:f>
        <x:v>7.035632702765881</x:v>
      </x:c>
      <x:c r="Z131" s="28" t="n">
        <x:f>P131*F131</x:f>
        <x:v>7.301341217302016</x:v>
      </x:c>
      <x:c r="AA131" s="28" t="n">
        <x:f>Q131*F131</x:f>
        <x:v>7.567049731838149</x:v>
      </x:c>
      <x:c r="AB131" s="28" t="n">
        <x:f>R131*F131</x:f>
        <x:v>7.831940430078389</x:v>
      </x:c>
      <x:c r="AC131" s="28" t="n">
        <x:f>S131*F131</x:f>
        <x:v>8.086199516471998</x:v>
      </x:c>
      <x:c r="AD131" s="28" t="n">
        <x:f>T131*F131</x:f>
        <x:v>8.337187337682032</x:v>
      </x:c>
    </x:row>
    <x:row r="132" ht="19" customHeight="1">
      <x:c r="A132" s="2"/>
      <x:c r="B132" s="2"/>
      <x:c r="C132" s="45" t="n">
        <x:f>'Source Data'!C155</x:f>
        <x:v>2</x:v>
      </x:c>
      <x:c r="D132" s="45" t="n">
        <x:f>'Source Data'!D155</x:f>
        <x:v>34</x:v>
      </x:c>
      <x:c r="E132" s="45" t="n">
        <x:f>'Source Data'!E155</x:f>
        <x:v>5</x:v>
      </x:c>
      <x:c r="F132" s="27" t="n">
        <x:f>IF(D132=0,0.5,1)*EXP(-'Assumptions'!$D$21*MAX(D132-6,0))</x:f>
        <x:v>0.0798536256173498</x:v>
      </x:c>
      <x:c r="G132" s="27" t="n">
        <x:f>IF(D132/'Assumptions'!$D$20&gt;=31,0,INDEX('Source Data'!$N$29:$N$60,INT(D132/'Assumptions'!$D$20)+1)+(D132/'Assumptions'!$D$20-INT(D132/'Assumptions'!$D$20))*(INDEX('Source Data'!$N$29:$N$60,MIN(32,INT(D132/'Assumptions'!$D$20)+2))-INDEX('Source Data'!$N$29:$N$60,INT(D132/'Assumptions'!$D$20)+1)))</x:f>
        <x:v>0.03089262966333025</x:v>
      </x:c>
      <x:c r="H132" s="27" t="n">
        <x:f>'Source Data'!F155*G132*'Assumptions'!$F$57*'Assumptions'!$G$57</x:f>
        <x:v>27.474756600932423</x:v>
      </x:c>
      <x:c r="I132" s="27" t="n">
        <x:f>'Source Data'!G155*G132*'Assumptions'!$F$57*'Assumptions'!$G$57</x:f>
        <x:v>27.105247943826605</x:v>
      </x:c>
      <x:c r="J132" s="27" t="n">
        <x:f>'Source Data'!H155*G132*'Assumptions'!$F$57*'Assumptions'!$G$57</x:f>
        <x:v>24.566365880486646</x:v>
      </x:c>
      <x:c r="K132" s="27" t="n">
        <x:f>'Source Data'!I155*G132*'Assumptions'!$F$57*'Assumptions'!$G$57</x:f>
        <x:v>27.5879931248842</x:v>
      </x:c>
      <x:c r="L132" s="27" t="n">
        <x:f>'Source Data'!J155*G132*'Assumptions'!$F$57*'Assumptions'!$G$57</x:f>
        <x:v>31.89098103505193</x:v>
      </x:c>
      <x:c r="M132" s="27" t="n">
        <x:f>SUMPRODUCT(H132:L132,'Source Data'!D17:H17)</x:f>
        <x:v>25.306873148960804</x:v>
      </x:c>
      <x:c r="N132" s="27" t="n">
        <x:f>SUMPRODUCT(H132:L132,'Source Data'!D18:H18)</x:f>
        <x:v>24.749381929066608</x:v>
      </x:c>
      <x:c r="O132" s="27" t="n">
        <x:f>SUMPRODUCT(H132:L132,'Source Data'!D19:H19)</x:f>
        <x:v>25.195871556402803</x:v>
      </x:c>
      <x:c r="P132" s="27" t="n">
        <x:f>SUMPRODUCT(H132:L132,'Source Data'!D20:H20)</x:f>
        <x:v>25.951278367502194</x:v>
      </x:c>
      <x:c r="Q132" s="27" t="n">
        <x:f>SUMPRODUCT(H132:L132,'Source Data'!D21:H21)</x:f>
        <x:v>26.70668517860158</x:v>
      </x:c>
      <x:c r="R132" s="27" t="n">
        <x:f>SUMPRODUCT(H132:L132,'Source Data'!D22:H22)</x:f>
        <x:v>27.479888665614443</x:v>
      </x:c>
      <x:c r="S132" s="27" t="n">
        <x:f>SUMPRODUCT(H132:L132,'Source Data'!D23:H23)</x:f>
        <x:v>28.484448939502474</x:v>
      </x:c>
      <x:c r="T132" s="27" t="n">
        <x:f>SUMPRODUCT(H132:L132,'Source Data'!D24:H24)</x:f>
        <x:v>29.56019591704441</x:v>
      </x:c>
      <x:c r="U132" s="3"/>
      <x:c r="V132" s="3"/>
      <x:c r="W132" s="28" t="n">
        <x:f>M132*F132</x:f>
        <x:v>2.020845573982878</x:v>
      </x:c>
      <x:c r="X132" s="28" t="n">
        <x:f>N132*F132</x:f>
        <x:v>1.9763278788244873</x:v>
      </x:c>
      <x:c r="Y132" s="28" t="n">
        <x:f>O132*F132</x:f>
        <x:v>2.011981694367822</x:v>
      </x:c>
      <x:c r="Z132" s="28" t="n">
        <x:f>P132*F132</x:f>
        <x:v>2.0723036670501487</x:v>
      </x:c>
      <x:c r="AA132" s="28" t="n">
        <x:f>Q132*F132</x:f>
        <x:v>2.1326256397324754</x:v>
      </x:c>
      <x:c r="AB132" s="28" t="n">
        <x:f>R132*F132</x:f>
        <x:v>2.19436874151043</x:v>
      </x:c>
      <x:c r="AC132" s="28" t="n">
        <x:f>S132*F132</x:f>
        <x:v>2.274586521531547</x:v>
      </x:c>
      <x:c r="AD132" s="28" t="n">
        <x:f>T132*F132</x:f>
        <x:v>2.360488817935176</x:v>
      </x:c>
    </x:row>
    <x:row r="133" ht="19" customHeight="1">
      <x:c r="A133" s="2"/>
      <x:c r="B133" s="2"/>
      <x:c r="C133" s="45" t="n">
        <x:f>'Source Data'!C156</x:f>
        <x:v>2</x:v>
      </x:c>
      <x:c r="D133" s="45" t="n">
        <x:f>'Source Data'!D156</x:f>
        <x:v>35</x:v>
      </x:c>
      <x:c r="E133" s="45" t="n">
        <x:f>'Source Data'!E156</x:f>
        <x:v>5</x:v>
      </x:c>
      <x:c r="F133" s="27" t="n">
        <x:f>IF(D133=0,0.5,1)*EXP(-'Assumptions'!$D$21*MAX(D133-6,0))</x:f>
        <x:v>0.07296101657452587</x:v>
      </x:c>
      <x:c r="G133" s="27" t="n">
        <x:f>IF(D133/'Assumptions'!$D$20&gt;=31,0,INDEX('Source Data'!$N$29:$N$60,INT(D133/'Assumptions'!$D$20)+1)+(D133/'Assumptions'!$D$20-INT(D133/'Assumptions'!$D$20))*(INDEX('Source Data'!$N$29:$N$60,MIN(32,INT(D133/'Assumptions'!$D$20)+2))-INDEX('Source Data'!$N$29:$N$60,INT(D133/'Assumptions'!$D$20)+1)))</x:f>
        <x:v>0</x:v>
      </x:c>
      <x:c r="H133" s="27" t="n">
        <x:f>'Source Data'!F156*G133*'Assumptions'!$F$57*'Assumptions'!$G$57</x:f>
        <x:v>0</x:v>
      </x:c>
      <x:c r="I133" s="27" t="n">
        <x:f>'Source Data'!G156*G133*'Assumptions'!$F$57*'Assumptions'!$G$57</x:f>
        <x:v>0</x:v>
      </x:c>
      <x:c r="J133" s="27" t="n">
        <x:f>'Source Data'!H156*G133*'Assumptions'!$F$57*'Assumptions'!$G$57</x:f>
        <x:v>0</x:v>
      </x:c>
      <x:c r="K133" s="27" t="n">
        <x:f>'Source Data'!I156*G133*'Assumptions'!$F$57*'Assumptions'!$G$57</x:f>
        <x:v>0</x:v>
      </x:c>
      <x:c r="L133" s="27" t="n">
        <x:f>'Source Data'!J156*G133*'Assumptions'!$F$57*'Assumptions'!$G$57</x:f>
        <x:v>0</x:v>
      </x:c>
      <x:c r="M133" s="27" t="n">
        <x:f>SUMPRODUCT(H133:L133,'Source Data'!D17:H17)</x:f>
        <x:v>0</x:v>
      </x:c>
      <x:c r="N133" s="27" t="n">
        <x:f>SUMPRODUCT(H133:L133,'Source Data'!D18:H18)</x:f>
        <x:v>0</x:v>
      </x:c>
      <x:c r="O133" s="27" t="n">
        <x:f>SUMPRODUCT(H133:L133,'Source Data'!D19:H19)</x:f>
        <x:v>0</x:v>
      </x:c>
      <x:c r="P133" s="27" t="n">
        <x:f>SUMPRODUCT(H133:L133,'Source Data'!D20:H20)</x:f>
        <x:v>0</x:v>
      </x:c>
      <x:c r="Q133" s="27" t="n">
        <x:f>SUMPRODUCT(H133:L133,'Source Data'!D21:H21)</x:f>
        <x:v>0</x:v>
      </x:c>
      <x:c r="R133" s="27" t="n">
        <x:f>SUMPRODUCT(H133:L133,'Source Data'!D22:H22)</x:f>
        <x:v>0</x:v>
      </x:c>
      <x:c r="S133" s="27" t="n">
        <x:f>SUMPRODUCT(H133:L133,'Source Data'!D23:H23)</x:f>
        <x:v>0</x:v>
      </x:c>
      <x:c r="T133" s="27" t="n">
        <x:f>SUMPRODUCT(H133:L133,'Source Data'!D24:H24)</x:f>
        <x:v>0</x:v>
      </x:c>
      <x:c r="U133" s="3"/>
      <x:c r="V133" s="3"/>
      <x:c r="W133" s="28" t="n">
        <x:f>M133*F133</x:f>
        <x:v>0</x:v>
      </x:c>
      <x:c r="X133" s="28" t="n">
        <x:f>N133*F133</x:f>
        <x:v>0</x:v>
      </x:c>
      <x:c r="Y133" s="28" t="n">
        <x:f>O133*F133</x:f>
        <x:v>0</x:v>
      </x:c>
      <x:c r="Z133" s="28" t="n">
        <x:f>P133*F133</x:f>
        <x:v>0</x:v>
      </x:c>
      <x:c r="AA133" s="28" t="n">
        <x:f>Q133*F133</x:f>
        <x:v>0</x:v>
      </x:c>
      <x:c r="AB133" s="28" t="n">
        <x:f>R133*F133</x:f>
        <x:v>0</x:v>
      </x:c>
      <x:c r="AC133" s="28" t="n">
        <x:f>S133*F133</x:f>
        <x:v>0</x:v>
      </x:c>
      <x:c r="AD133" s="28" t="n">
        <x:f>T133*F133</x:f>
        <x:v>0</x:v>
      </x:c>
    </x:row>
    <x:row r="134" ht="19" customHeight="1">
      <x:c r="A134" s="2"/>
      <x:c r="B134" s="2"/>
      <x:c r="C134" s="45" t="n">
        <x:f>'Source Data'!C157</x:f>
        <x:v>2</x:v>
      </x:c>
      <x:c r="D134" s="45" t="n">
        <x:f>'Source Data'!D157</x:f>
        <x:v>36</x:v>
      </x:c>
      <x:c r="E134" s="45" t="n">
        <x:f>'Source Data'!E157</x:f>
        <x:v>5</x:v>
      </x:c>
      <x:c r="F134" s="27" t="n">
        <x:f>IF(D134=0,0.5,1)*EXP(-'Assumptions'!$D$21*MAX(D134-6,0))</x:f>
        <x:v>0.0666633468228103</x:v>
      </x:c>
      <x:c r="G134" s="27" t="n">
        <x:f>IF(D134/'Assumptions'!$D$20&gt;=31,0,INDEX('Source Data'!$N$29:$N$60,INT(D134/'Assumptions'!$D$20)+1)+(D134/'Assumptions'!$D$20-INT(D134/'Assumptions'!$D$20))*(INDEX('Source Data'!$N$29:$N$60,MIN(32,INT(D134/'Assumptions'!$D$20)+2))-INDEX('Source Data'!$N$29:$N$60,INT(D134/'Assumptions'!$D$20)+1)))</x:f>
        <x:v>0</x:v>
      </x:c>
      <x:c r="H134" s="27" t="n">
        <x:f>'Source Data'!F157*G134*'Assumptions'!$F$57*'Assumptions'!$G$57</x:f>
        <x:v>0</x:v>
      </x:c>
      <x:c r="I134" s="27" t="n">
        <x:f>'Source Data'!G157*G134*'Assumptions'!$F$57*'Assumptions'!$G$57</x:f>
        <x:v>0</x:v>
      </x:c>
      <x:c r="J134" s="27" t="n">
        <x:f>'Source Data'!H157*G134*'Assumptions'!$F$57*'Assumptions'!$G$57</x:f>
        <x:v>0</x:v>
      </x:c>
      <x:c r="K134" s="27" t="n">
        <x:f>'Source Data'!I157*G134*'Assumptions'!$F$57*'Assumptions'!$G$57</x:f>
        <x:v>0</x:v>
      </x:c>
      <x:c r="L134" s="27" t="n">
        <x:f>'Source Data'!J157*G134*'Assumptions'!$F$57*'Assumptions'!$G$57</x:f>
        <x:v>0</x:v>
      </x:c>
      <x:c r="M134" s="27" t="n">
        <x:f>SUMPRODUCT(H134:L134,'Source Data'!D17:H17)</x:f>
        <x:v>0</x:v>
      </x:c>
      <x:c r="N134" s="27" t="n">
        <x:f>SUMPRODUCT(H134:L134,'Source Data'!D18:H18)</x:f>
        <x:v>0</x:v>
      </x:c>
      <x:c r="O134" s="27" t="n">
        <x:f>SUMPRODUCT(H134:L134,'Source Data'!D19:H19)</x:f>
        <x:v>0</x:v>
      </x:c>
      <x:c r="P134" s="27" t="n">
        <x:f>SUMPRODUCT(H134:L134,'Source Data'!D20:H20)</x:f>
        <x:v>0</x:v>
      </x:c>
      <x:c r="Q134" s="27" t="n">
        <x:f>SUMPRODUCT(H134:L134,'Source Data'!D21:H21)</x:f>
        <x:v>0</x:v>
      </x:c>
      <x:c r="R134" s="27" t="n">
        <x:f>SUMPRODUCT(H134:L134,'Source Data'!D22:H22)</x:f>
        <x:v>0</x:v>
      </x:c>
      <x:c r="S134" s="27" t="n">
        <x:f>SUMPRODUCT(H134:L134,'Source Data'!D23:H23)</x:f>
        <x:v>0</x:v>
      </x:c>
      <x:c r="T134" s="27" t="n">
        <x:f>SUMPRODUCT(H134:L134,'Source Data'!D24:H24)</x:f>
        <x:v>0</x:v>
      </x:c>
      <x:c r="U134" s="3"/>
      <x:c r="V134" s="3"/>
      <x:c r="W134" s="28" t="n">
        <x:f>M134*F134</x:f>
        <x:v>0</x:v>
      </x:c>
      <x:c r="X134" s="28" t="n">
        <x:f>N134*F134</x:f>
        <x:v>0</x:v>
      </x:c>
      <x:c r="Y134" s="28" t="n">
        <x:f>O134*F134</x:f>
        <x:v>0</x:v>
      </x:c>
      <x:c r="Z134" s="28" t="n">
        <x:f>P134*F134</x:f>
        <x:v>0</x:v>
      </x:c>
      <x:c r="AA134" s="28" t="n">
        <x:f>Q134*F134</x:f>
        <x:v>0</x:v>
      </x:c>
      <x:c r="AB134" s="28" t="n">
        <x:f>R134*F134</x:f>
        <x:v>0</x:v>
      </x:c>
      <x:c r="AC134" s="28" t="n">
        <x:f>S134*F134</x:f>
        <x:v>0</x:v>
      </x:c>
      <x:c r="AD134" s="28" t="n">
        <x:f>T134*F134</x:f>
        <x:v>0</x:v>
      </x:c>
    </x:row>
    <x:row r="135" ht="19" customHeight="1">
      <x:c r="A135" s="2"/>
      <x:c r="B135" s="2"/>
      <x:c r="C135" s="45" t="n">
        <x:f>'Source Data'!C158</x:f>
        <x:v>2</x:v>
      </x:c>
      <x:c r="D135" s="45" t="n">
        <x:f>'Source Data'!D158</x:f>
        <x:v>37</x:v>
      </x:c>
      <x:c r="E135" s="45" t="n">
        <x:f>'Source Data'!E158</x:f>
        <x:v>5</x:v>
      </x:c>
      <x:c r="F135" s="27" t="n">
        <x:f>IF(D135=0,0.5,1)*EXP(-'Assumptions'!$D$21*MAX(D135-6,0))</x:f>
        <x:v>0.06090926385433481</x:v>
      </x:c>
      <x:c r="G135" s="27" t="n">
        <x:f>IF(D135/'Assumptions'!$D$20&gt;=31,0,INDEX('Source Data'!$N$29:$N$60,INT(D135/'Assumptions'!$D$20)+1)+(D135/'Assumptions'!$D$20-INT(D135/'Assumptions'!$D$20))*(INDEX('Source Data'!$N$29:$N$60,MIN(32,INT(D135/'Assumptions'!$D$20)+2))-INDEX('Source Data'!$N$29:$N$60,INT(D135/'Assumptions'!$D$20)+1)))</x:f>
        <x:v>0</x:v>
      </x:c>
      <x:c r="H135" s="27" t="n">
        <x:f>'Source Data'!F158*G135*'Assumptions'!$F$57*'Assumptions'!$G$57</x:f>
        <x:v>0</x:v>
      </x:c>
      <x:c r="I135" s="27" t="n">
        <x:f>'Source Data'!G158*G135*'Assumptions'!$F$57*'Assumptions'!$G$57</x:f>
        <x:v>0</x:v>
      </x:c>
      <x:c r="J135" s="27" t="n">
        <x:f>'Source Data'!H158*G135*'Assumptions'!$F$57*'Assumptions'!$G$57</x:f>
        <x:v>0</x:v>
      </x:c>
      <x:c r="K135" s="27" t="n">
        <x:f>'Source Data'!I158*G135*'Assumptions'!$F$57*'Assumptions'!$G$57</x:f>
        <x:v>0</x:v>
      </x:c>
      <x:c r="L135" s="27" t="n">
        <x:f>'Source Data'!J158*G135*'Assumptions'!$F$57*'Assumptions'!$G$57</x:f>
        <x:v>0</x:v>
      </x:c>
      <x:c r="M135" s="27" t="n">
        <x:f>SUMPRODUCT(H135:L135,'Source Data'!D17:H17)</x:f>
        <x:v>0</x:v>
      </x:c>
      <x:c r="N135" s="27" t="n">
        <x:f>SUMPRODUCT(H135:L135,'Source Data'!D18:H18)</x:f>
        <x:v>0</x:v>
      </x:c>
      <x:c r="O135" s="27" t="n">
        <x:f>SUMPRODUCT(H135:L135,'Source Data'!D19:H19)</x:f>
        <x:v>0</x:v>
      </x:c>
      <x:c r="P135" s="27" t="n">
        <x:f>SUMPRODUCT(H135:L135,'Source Data'!D20:H20)</x:f>
        <x:v>0</x:v>
      </x:c>
      <x:c r="Q135" s="27" t="n">
        <x:f>SUMPRODUCT(H135:L135,'Source Data'!D21:H21)</x:f>
        <x:v>0</x:v>
      </x:c>
      <x:c r="R135" s="27" t="n">
        <x:f>SUMPRODUCT(H135:L135,'Source Data'!D22:H22)</x:f>
        <x:v>0</x:v>
      </x:c>
      <x:c r="S135" s="27" t="n">
        <x:f>SUMPRODUCT(H135:L135,'Source Data'!D23:H23)</x:f>
        <x:v>0</x:v>
      </x:c>
      <x:c r="T135" s="27" t="n">
        <x:f>SUMPRODUCT(H135:L135,'Source Data'!D24:H24)</x:f>
        <x:v>0</x:v>
      </x:c>
      <x:c r="U135" s="3"/>
      <x:c r="V135" s="3"/>
      <x:c r="W135" s="28" t="n">
        <x:f>M135*F135</x:f>
        <x:v>0</x:v>
      </x:c>
      <x:c r="X135" s="28" t="n">
        <x:f>N135*F135</x:f>
        <x:v>0</x:v>
      </x:c>
      <x:c r="Y135" s="28" t="n">
        <x:f>O135*F135</x:f>
        <x:v>0</x:v>
      </x:c>
      <x:c r="Z135" s="28" t="n">
        <x:f>P135*F135</x:f>
        <x:v>0</x:v>
      </x:c>
      <x:c r="AA135" s="28" t="n">
        <x:f>Q135*F135</x:f>
        <x:v>0</x:v>
      </x:c>
      <x:c r="AB135" s="28" t="n">
        <x:f>R135*F135</x:f>
        <x:v>0</x:v>
      </x:c>
      <x:c r="AC135" s="28" t="n">
        <x:f>S135*F135</x:f>
        <x:v>0</x:v>
      </x:c>
      <x:c r="AD135" s="28" t="n">
        <x:f>T135*F135</x:f>
        <x:v>0</x:v>
      </x:c>
    </x:row>
    <x:row r="136" ht="19" customHeight="1">
      <x:c r="A136" s="2"/>
      <x:c r="B136" s="2"/>
      <x:c r="C136" s="45" t="n">
        <x:f>'Source Data'!C159</x:f>
        <x:v>2</x:v>
      </x:c>
      <x:c r="D136" s="45" t="n">
        <x:f>'Source Data'!D159</x:f>
        <x:v>38</x:v>
      </x:c>
      <x:c r="E136" s="45" t="n">
        <x:f>'Source Data'!E159</x:f>
        <x:v>5</x:v>
      </x:c>
      <x:c r="F136" s="27" t="n">
        <x:f>IF(D136=0,0.5,1)*EXP(-'Assumptions'!$D$21*MAX(D136-6,0))</x:f>
        <x:v>0.05565184768082394</x:v>
      </x:c>
      <x:c r="G136" s="27" t="n">
        <x:f>IF(D136/'Assumptions'!$D$20&gt;=31,0,INDEX('Source Data'!$N$29:$N$60,INT(D136/'Assumptions'!$D$20)+1)+(D136/'Assumptions'!$D$20-INT(D136/'Assumptions'!$D$20))*(INDEX('Source Data'!$N$29:$N$60,MIN(32,INT(D136/'Assumptions'!$D$20)+2))-INDEX('Source Data'!$N$29:$N$60,INT(D136/'Assumptions'!$D$20)+1)))</x:f>
        <x:v>0</x:v>
      </x:c>
      <x:c r="H136" s="27" t="n">
        <x:f>'Source Data'!F159*G136*'Assumptions'!$F$57*'Assumptions'!$G$57</x:f>
        <x:v>0</x:v>
      </x:c>
      <x:c r="I136" s="27" t="n">
        <x:f>'Source Data'!G159*G136*'Assumptions'!$F$57*'Assumptions'!$G$57</x:f>
        <x:v>0</x:v>
      </x:c>
      <x:c r="J136" s="27" t="n">
        <x:f>'Source Data'!H159*G136*'Assumptions'!$F$57*'Assumptions'!$G$57</x:f>
        <x:v>0</x:v>
      </x:c>
      <x:c r="K136" s="27" t="n">
        <x:f>'Source Data'!I159*G136*'Assumptions'!$F$57*'Assumptions'!$G$57</x:f>
        <x:v>0</x:v>
      </x:c>
      <x:c r="L136" s="27" t="n">
        <x:f>'Source Data'!J159*G136*'Assumptions'!$F$57*'Assumptions'!$G$57</x:f>
        <x:v>0</x:v>
      </x:c>
      <x:c r="M136" s="27" t="n">
        <x:f>SUMPRODUCT(H136:L136,'Source Data'!D17:H17)</x:f>
        <x:v>0</x:v>
      </x:c>
      <x:c r="N136" s="27" t="n">
        <x:f>SUMPRODUCT(H136:L136,'Source Data'!D18:H18)</x:f>
        <x:v>0</x:v>
      </x:c>
      <x:c r="O136" s="27" t="n">
        <x:f>SUMPRODUCT(H136:L136,'Source Data'!D19:H19)</x:f>
        <x:v>0</x:v>
      </x:c>
      <x:c r="P136" s="27" t="n">
        <x:f>SUMPRODUCT(H136:L136,'Source Data'!D20:H20)</x:f>
        <x:v>0</x:v>
      </x:c>
      <x:c r="Q136" s="27" t="n">
        <x:f>SUMPRODUCT(H136:L136,'Source Data'!D21:H21)</x:f>
        <x:v>0</x:v>
      </x:c>
      <x:c r="R136" s="27" t="n">
        <x:f>SUMPRODUCT(H136:L136,'Source Data'!D22:H22)</x:f>
        <x:v>0</x:v>
      </x:c>
      <x:c r="S136" s="27" t="n">
        <x:f>SUMPRODUCT(H136:L136,'Source Data'!D23:H23)</x:f>
        <x:v>0</x:v>
      </x:c>
      <x:c r="T136" s="27" t="n">
        <x:f>SUMPRODUCT(H136:L136,'Source Data'!D24:H24)</x:f>
        <x:v>0</x:v>
      </x:c>
      <x:c r="U136" s="3"/>
      <x:c r="V136" s="3"/>
      <x:c r="W136" s="28" t="n">
        <x:f>M136*F136</x:f>
        <x:v>0</x:v>
      </x:c>
      <x:c r="X136" s="28" t="n">
        <x:f>N136*F136</x:f>
        <x:v>0</x:v>
      </x:c>
      <x:c r="Y136" s="28" t="n">
        <x:f>O136*F136</x:f>
        <x:v>0</x:v>
      </x:c>
      <x:c r="Z136" s="28" t="n">
        <x:f>P136*F136</x:f>
        <x:v>0</x:v>
      </x:c>
      <x:c r="AA136" s="28" t="n">
        <x:f>Q136*F136</x:f>
        <x:v>0</x:v>
      </x:c>
      <x:c r="AB136" s="28" t="n">
        <x:f>R136*F136</x:f>
        <x:v>0</x:v>
      </x:c>
      <x:c r="AC136" s="28" t="n">
        <x:f>S136*F136</x:f>
        <x:v>0</x:v>
      </x:c>
      <x:c r="AD136" s="28" t="n">
        <x:f>T136*F136</x:f>
        <x:v>0</x:v>
      </x:c>
    </x:row>
    <x:row r="137" ht="19" customHeight="1">
      <x:c r="A137" s="2"/>
      <x:c r="B137" s="2"/>
      <x:c r="C137" s="45" t="n">
        <x:f>'Source Data'!C160</x:f>
        <x:v>2</x:v>
      </x:c>
      <x:c r="D137" s="45" t="n">
        <x:f>'Source Data'!D160</x:f>
        <x:v>39</x:v>
      </x:c>
      <x:c r="E137" s="45" t="n">
        <x:f>'Source Data'!E160</x:f>
        <x:v>5</x:v>
      </x:c>
      <x:c r="F137" s="27" t="n">
        <x:f>IF(D137=0,0.5,1)*EXP(-'Assumptions'!$D$21*MAX(D137-6,0))</x:f>
        <x:v>0.05084822823826022</x:v>
      </x:c>
      <x:c r="G137" s="27" t="n">
        <x:f>IF(D137/'Assumptions'!$D$20&gt;=31,0,INDEX('Source Data'!$N$29:$N$60,INT(D137/'Assumptions'!$D$20)+1)+(D137/'Assumptions'!$D$20-INT(D137/'Assumptions'!$D$20))*(INDEX('Source Data'!$N$29:$N$60,MIN(32,INT(D137/'Assumptions'!$D$20)+2))-INDEX('Source Data'!$N$29:$N$60,INT(D137/'Assumptions'!$D$20)+1)))</x:f>
        <x:v>0</x:v>
      </x:c>
      <x:c r="H137" s="27" t="n">
        <x:f>'Source Data'!F160*G137*'Assumptions'!$F$57*'Assumptions'!$G$57</x:f>
        <x:v>0</x:v>
      </x:c>
      <x:c r="I137" s="27" t="n">
        <x:f>'Source Data'!G160*G137*'Assumptions'!$F$57*'Assumptions'!$G$57</x:f>
        <x:v>0</x:v>
      </x:c>
      <x:c r="J137" s="27" t="n">
        <x:f>'Source Data'!H160*G137*'Assumptions'!$F$57*'Assumptions'!$G$57</x:f>
        <x:v>0</x:v>
      </x:c>
      <x:c r="K137" s="27" t="n">
        <x:f>'Source Data'!I160*G137*'Assumptions'!$F$57*'Assumptions'!$G$57</x:f>
        <x:v>0</x:v>
      </x:c>
      <x:c r="L137" s="27" t="n">
        <x:f>'Source Data'!J160*G137*'Assumptions'!$F$57*'Assumptions'!$G$57</x:f>
        <x:v>0</x:v>
      </x:c>
      <x:c r="M137" s="27" t="n">
        <x:f>SUMPRODUCT(H137:L137,'Source Data'!D17:H17)</x:f>
        <x:v>0</x:v>
      </x:c>
      <x:c r="N137" s="27" t="n">
        <x:f>SUMPRODUCT(H137:L137,'Source Data'!D18:H18)</x:f>
        <x:v>0</x:v>
      </x:c>
      <x:c r="O137" s="27" t="n">
        <x:f>SUMPRODUCT(H137:L137,'Source Data'!D19:H19)</x:f>
        <x:v>0</x:v>
      </x:c>
      <x:c r="P137" s="27" t="n">
        <x:f>SUMPRODUCT(H137:L137,'Source Data'!D20:H20)</x:f>
        <x:v>0</x:v>
      </x:c>
      <x:c r="Q137" s="27" t="n">
        <x:f>SUMPRODUCT(H137:L137,'Source Data'!D21:H21)</x:f>
        <x:v>0</x:v>
      </x:c>
      <x:c r="R137" s="27" t="n">
        <x:f>SUMPRODUCT(H137:L137,'Source Data'!D22:H22)</x:f>
        <x:v>0</x:v>
      </x:c>
      <x:c r="S137" s="27" t="n">
        <x:f>SUMPRODUCT(H137:L137,'Source Data'!D23:H23)</x:f>
        <x:v>0</x:v>
      </x:c>
      <x:c r="T137" s="27" t="n">
        <x:f>SUMPRODUCT(H137:L137,'Source Data'!D24:H24)</x:f>
        <x:v>0</x:v>
      </x:c>
      <x:c r="U137" s="3"/>
      <x:c r="V137" s="3"/>
      <x:c r="W137" s="28" t="n">
        <x:f>M137*F137</x:f>
        <x:v>0</x:v>
      </x:c>
      <x:c r="X137" s="28" t="n">
        <x:f>N137*F137</x:f>
        <x:v>0</x:v>
      </x:c>
      <x:c r="Y137" s="28" t="n">
        <x:f>O137*F137</x:f>
        <x:v>0</x:v>
      </x:c>
      <x:c r="Z137" s="28" t="n">
        <x:f>P137*F137</x:f>
        <x:v>0</x:v>
      </x:c>
      <x:c r="AA137" s="28" t="n">
        <x:f>Q137*F137</x:f>
        <x:v>0</x:v>
      </x:c>
      <x:c r="AB137" s="28" t="n">
        <x:f>R137*F137</x:f>
        <x:v>0</x:v>
      </x:c>
      <x:c r="AC137" s="28" t="n">
        <x:f>S137*F137</x:f>
        <x:v>0</x:v>
      </x:c>
      <x:c r="AD137" s="28" t="n">
        <x:f>T137*F137</x:f>
        <x:v>0</x:v>
      </x:c>
    </x:row>
    <x:row r="138" ht="19" customHeight="1">
      <x:c r="A138" s="2"/>
      <x:c r="B138" s="2"/>
      <x:c r="C138" s="45" t="n">
        <x:f>'Source Data'!C161</x:f>
        <x:v>2</x:v>
      </x:c>
      <x:c r="D138" s="45" t="n">
        <x:f>'Source Data'!D161</x:f>
        <x:v>40</x:v>
      </x:c>
      <x:c r="E138" s="45" t="n">
        <x:f>'Source Data'!E161</x:f>
        <x:v>5</x:v>
      </x:c>
      <x:c r="F138" s="27" t="n">
        <x:f>IF(D138=0,0.5,1)*EXP(-'Assumptions'!$D$21*MAX(D138-6,0))</x:f>
        <x:v>0.04645923581547334</x:v>
      </x:c>
      <x:c r="G138" s="27" t="n">
        <x:f>IF(D138/'Assumptions'!$D$20&gt;=31,0,INDEX('Source Data'!$N$29:$N$60,INT(D138/'Assumptions'!$D$20)+1)+(D138/'Assumptions'!$D$20-INT(D138/'Assumptions'!$D$20))*(INDEX('Source Data'!$N$29:$N$60,MIN(32,INT(D138/'Assumptions'!$D$20)+2))-INDEX('Source Data'!$N$29:$N$60,INT(D138/'Assumptions'!$D$20)+1)))</x:f>
        <x:v>0</x:v>
      </x:c>
      <x:c r="H138" s="27" t="n">
        <x:f>'Source Data'!F161*G138*'Assumptions'!$F$57*'Assumptions'!$G$57</x:f>
        <x:v>0</x:v>
      </x:c>
      <x:c r="I138" s="27" t="n">
        <x:f>'Source Data'!G161*G138*'Assumptions'!$F$57*'Assumptions'!$G$57</x:f>
        <x:v>0</x:v>
      </x:c>
      <x:c r="J138" s="27" t="n">
        <x:f>'Source Data'!H161*G138*'Assumptions'!$F$57*'Assumptions'!$G$57</x:f>
        <x:v>0</x:v>
      </x:c>
      <x:c r="K138" s="27" t="n">
        <x:f>'Source Data'!I161*G138*'Assumptions'!$F$57*'Assumptions'!$G$57</x:f>
        <x:v>0</x:v>
      </x:c>
      <x:c r="L138" s="27" t="n">
        <x:f>'Source Data'!J161*G138*'Assumptions'!$F$57*'Assumptions'!$G$57</x:f>
        <x:v>0</x:v>
      </x:c>
      <x:c r="M138" s="27" t="n">
        <x:f>SUMPRODUCT(H138:L138,'Source Data'!D17:H17)</x:f>
        <x:v>0</x:v>
      </x:c>
      <x:c r="N138" s="27" t="n">
        <x:f>SUMPRODUCT(H138:L138,'Source Data'!D18:H18)</x:f>
        <x:v>0</x:v>
      </x:c>
      <x:c r="O138" s="27" t="n">
        <x:f>SUMPRODUCT(H138:L138,'Source Data'!D19:H19)</x:f>
        <x:v>0</x:v>
      </x:c>
      <x:c r="P138" s="27" t="n">
        <x:f>SUMPRODUCT(H138:L138,'Source Data'!D20:H20)</x:f>
        <x:v>0</x:v>
      </x:c>
      <x:c r="Q138" s="27" t="n">
        <x:f>SUMPRODUCT(H138:L138,'Source Data'!D21:H21)</x:f>
        <x:v>0</x:v>
      </x:c>
      <x:c r="R138" s="27" t="n">
        <x:f>SUMPRODUCT(H138:L138,'Source Data'!D22:H22)</x:f>
        <x:v>0</x:v>
      </x:c>
      <x:c r="S138" s="27" t="n">
        <x:f>SUMPRODUCT(H138:L138,'Source Data'!D23:H23)</x:f>
        <x:v>0</x:v>
      </x:c>
      <x:c r="T138" s="27" t="n">
        <x:f>SUMPRODUCT(H138:L138,'Source Data'!D24:H24)</x:f>
        <x:v>0</x:v>
      </x:c>
      <x:c r="U138" s="3"/>
      <x:c r="V138" s="3"/>
      <x:c r="W138" s="28" t="n">
        <x:f>M138*F138</x:f>
        <x:v>0</x:v>
      </x:c>
      <x:c r="X138" s="28" t="n">
        <x:f>N138*F138</x:f>
        <x:v>0</x:v>
      </x:c>
      <x:c r="Y138" s="28" t="n">
        <x:f>O138*F138</x:f>
        <x:v>0</x:v>
      </x:c>
      <x:c r="Z138" s="28" t="n">
        <x:f>P138*F138</x:f>
        <x:v>0</x:v>
      </x:c>
      <x:c r="AA138" s="28" t="n">
        <x:f>Q138*F138</x:f>
        <x:v>0</x:v>
      </x:c>
      <x:c r="AB138" s="28" t="n">
        <x:f>R138*F138</x:f>
        <x:v>0</x:v>
      </x:c>
      <x:c r="AC138" s="28" t="n">
        <x:f>S138*F138</x:f>
        <x:v>0</x:v>
      </x:c>
      <x:c r="AD138" s="28" t="n">
        <x:f>T138*F138</x:f>
        <x:v>0</x:v>
      </x:c>
    </x:row>
    <x:row r="139" ht="19" customHeight="1">
      <x:c r="A139" s="2"/>
      <x:c r="B139" s="2"/>
      <x:c r="C139" s="45" t="n">
        <x:f>'Source Data'!C162</x:f>
        <x:v>2</x:v>
      </x:c>
      <x:c r="D139" s="45" t="n">
        <x:f>'Source Data'!D162</x:f>
        <x:v>41</x:v>
      </x:c>
      <x:c r="E139" s="45" t="n">
        <x:f>'Source Data'!E162</x:f>
        <x:v>5</x:v>
      </x:c>
      <x:c r="F139" s="27" t="n">
        <x:f>IF(D139=0,0.5,1)*EXP(-'Assumptions'!$D$21*MAX(D139-6,0))</x:f>
        <x:v>0.0424490816561756</x:v>
      </x:c>
      <x:c r="G139" s="27" t="n">
        <x:f>IF(D139/'Assumptions'!$D$20&gt;=31,0,INDEX('Source Data'!$N$29:$N$60,INT(D139/'Assumptions'!$D$20)+1)+(D139/'Assumptions'!$D$20-INT(D139/'Assumptions'!$D$20))*(INDEX('Source Data'!$N$29:$N$60,MIN(32,INT(D139/'Assumptions'!$D$20)+2))-INDEX('Source Data'!$N$29:$N$60,INT(D139/'Assumptions'!$D$20)+1)))</x:f>
        <x:v>0</x:v>
      </x:c>
      <x:c r="H139" s="27" t="n">
        <x:f>'Source Data'!F162*G139*'Assumptions'!$F$57*'Assumptions'!$G$57</x:f>
        <x:v>0</x:v>
      </x:c>
      <x:c r="I139" s="27" t="n">
        <x:f>'Source Data'!G162*G139*'Assumptions'!$F$57*'Assumptions'!$G$57</x:f>
        <x:v>0</x:v>
      </x:c>
      <x:c r="J139" s="27" t="n">
        <x:f>'Source Data'!H162*G139*'Assumptions'!$F$57*'Assumptions'!$G$57</x:f>
        <x:v>0</x:v>
      </x:c>
      <x:c r="K139" s="27" t="n">
        <x:f>'Source Data'!I162*G139*'Assumptions'!$F$57*'Assumptions'!$G$57</x:f>
        <x:v>0</x:v>
      </x:c>
      <x:c r="L139" s="27" t="n">
        <x:f>'Source Data'!J162*G139*'Assumptions'!$F$57*'Assumptions'!$G$57</x:f>
        <x:v>0</x:v>
      </x:c>
      <x:c r="M139" s="27" t="n">
        <x:f>SUMPRODUCT(H139:L139,'Source Data'!D17:H17)</x:f>
        <x:v>0</x:v>
      </x:c>
      <x:c r="N139" s="27" t="n">
        <x:f>SUMPRODUCT(H139:L139,'Source Data'!D18:H18)</x:f>
        <x:v>0</x:v>
      </x:c>
      <x:c r="O139" s="27" t="n">
        <x:f>SUMPRODUCT(H139:L139,'Source Data'!D19:H19)</x:f>
        <x:v>0</x:v>
      </x:c>
      <x:c r="P139" s="27" t="n">
        <x:f>SUMPRODUCT(H139:L139,'Source Data'!D20:H20)</x:f>
        <x:v>0</x:v>
      </x:c>
      <x:c r="Q139" s="27" t="n">
        <x:f>SUMPRODUCT(H139:L139,'Source Data'!D21:H21)</x:f>
        <x:v>0</x:v>
      </x:c>
      <x:c r="R139" s="27" t="n">
        <x:f>SUMPRODUCT(H139:L139,'Source Data'!D22:H22)</x:f>
        <x:v>0</x:v>
      </x:c>
      <x:c r="S139" s="27" t="n">
        <x:f>SUMPRODUCT(H139:L139,'Source Data'!D23:H23)</x:f>
        <x:v>0</x:v>
      </x:c>
      <x:c r="T139" s="27" t="n">
        <x:f>SUMPRODUCT(H139:L139,'Source Data'!D24:H24)</x:f>
        <x:v>0</x:v>
      </x:c>
      <x:c r="U139" s="3"/>
      <x:c r="V139" s="3"/>
      <x:c r="W139" s="28" t="n">
        <x:f>M139*F139</x:f>
        <x:v>0</x:v>
      </x:c>
      <x:c r="X139" s="28" t="n">
        <x:f>N139*F139</x:f>
        <x:v>0</x:v>
      </x:c>
      <x:c r="Y139" s="28" t="n">
        <x:f>O139*F139</x:f>
        <x:v>0</x:v>
      </x:c>
      <x:c r="Z139" s="28" t="n">
        <x:f>P139*F139</x:f>
        <x:v>0</x:v>
      </x:c>
      <x:c r="AA139" s="28" t="n">
        <x:f>Q139*F139</x:f>
        <x:v>0</x:v>
      </x:c>
      <x:c r="AB139" s="28" t="n">
        <x:f>R139*F139</x:f>
        <x:v>0</x:v>
      </x:c>
      <x:c r="AC139" s="28" t="n">
        <x:f>S139*F139</x:f>
        <x:v>0</x:v>
      </x:c>
      <x:c r="AD139" s="28" t="n">
        <x:f>T139*F139</x:f>
        <x:v>0</x:v>
      </x:c>
    </x:row>
    <x:row r="140" ht="19" customHeight="1">
      <x:c r="A140" s="2"/>
      <x:c r="B140" s="2"/>
      <x:c r="C140" s="45" t="n">
        <x:f>'Source Data'!C163</x:f>
        <x:v>2</x:v>
      </x:c>
      <x:c r="D140" s="45" t="n">
        <x:f>'Source Data'!D163</x:f>
        <x:v>42</x:v>
      </x:c>
      <x:c r="E140" s="45" t="n">
        <x:f>'Source Data'!E163</x:f>
        <x:v>5</x:v>
      </x:c>
      <x:c r="F140" s="27" t="n">
        <x:f>IF(D140=0,0.5,1)*EXP(-'Assumptions'!$D$21*MAX(D140-6,0))</x:f>
        <x:v>0.038785066130005715</x:v>
      </x:c>
      <x:c r="G140" s="27" t="n">
        <x:f>IF(D140/'Assumptions'!$D$20&gt;=31,0,INDEX('Source Data'!$N$29:$N$60,INT(D140/'Assumptions'!$D$20)+1)+(D140/'Assumptions'!$D$20-INT(D140/'Assumptions'!$D$20))*(INDEX('Source Data'!$N$29:$N$60,MIN(32,INT(D140/'Assumptions'!$D$20)+2))-INDEX('Source Data'!$N$29:$N$60,INT(D140/'Assumptions'!$D$20)+1)))</x:f>
        <x:v>0</x:v>
      </x:c>
      <x:c r="H140" s="27" t="n">
        <x:f>'Source Data'!F163*G140*'Assumptions'!$F$57*'Assumptions'!$G$57</x:f>
        <x:v>0</x:v>
      </x:c>
      <x:c r="I140" s="27" t="n">
        <x:f>'Source Data'!G163*G140*'Assumptions'!$F$57*'Assumptions'!$G$57</x:f>
        <x:v>0</x:v>
      </x:c>
      <x:c r="J140" s="27" t="n">
        <x:f>'Source Data'!H163*G140*'Assumptions'!$F$57*'Assumptions'!$G$57</x:f>
        <x:v>0</x:v>
      </x:c>
      <x:c r="K140" s="27" t="n">
        <x:f>'Source Data'!I163*G140*'Assumptions'!$F$57*'Assumptions'!$G$57</x:f>
        <x:v>0</x:v>
      </x:c>
      <x:c r="L140" s="27" t="n">
        <x:f>'Source Data'!J163*G140*'Assumptions'!$F$57*'Assumptions'!$G$57</x:f>
        <x:v>0</x:v>
      </x:c>
      <x:c r="M140" s="27" t="n">
        <x:f>SUMPRODUCT(H140:L140,'Source Data'!D17:H17)</x:f>
        <x:v>0</x:v>
      </x:c>
      <x:c r="N140" s="27" t="n">
        <x:f>SUMPRODUCT(H140:L140,'Source Data'!D18:H18)</x:f>
        <x:v>0</x:v>
      </x:c>
      <x:c r="O140" s="27" t="n">
        <x:f>SUMPRODUCT(H140:L140,'Source Data'!D19:H19)</x:f>
        <x:v>0</x:v>
      </x:c>
      <x:c r="P140" s="27" t="n">
        <x:f>SUMPRODUCT(H140:L140,'Source Data'!D20:H20)</x:f>
        <x:v>0</x:v>
      </x:c>
      <x:c r="Q140" s="27" t="n">
        <x:f>SUMPRODUCT(H140:L140,'Source Data'!D21:H21)</x:f>
        <x:v>0</x:v>
      </x:c>
      <x:c r="R140" s="27" t="n">
        <x:f>SUMPRODUCT(H140:L140,'Source Data'!D22:H22)</x:f>
        <x:v>0</x:v>
      </x:c>
      <x:c r="S140" s="27" t="n">
        <x:f>SUMPRODUCT(H140:L140,'Source Data'!D23:H23)</x:f>
        <x:v>0</x:v>
      </x:c>
      <x:c r="T140" s="27" t="n">
        <x:f>SUMPRODUCT(H140:L140,'Source Data'!D24:H24)</x:f>
        <x:v>0</x:v>
      </x:c>
      <x:c r="U140" s="3"/>
      <x:c r="V140" s="3"/>
      <x:c r="W140" s="28" t="n">
        <x:f>M140*F140</x:f>
        <x:v>0</x:v>
      </x:c>
      <x:c r="X140" s="28" t="n">
        <x:f>N140*F140</x:f>
        <x:v>0</x:v>
      </x:c>
      <x:c r="Y140" s="28" t="n">
        <x:f>O140*F140</x:f>
        <x:v>0</x:v>
      </x:c>
      <x:c r="Z140" s="28" t="n">
        <x:f>P140*F140</x:f>
        <x:v>0</x:v>
      </x:c>
      <x:c r="AA140" s="28" t="n">
        <x:f>Q140*F140</x:f>
        <x:v>0</x:v>
      </x:c>
      <x:c r="AB140" s="28" t="n">
        <x:f>R140*F140</x:f>
        <x:v>0</x:v>
      </x:c>
      <x:c r="AC140" s="28" t="n">
        <x:f>S140*F140</x:f>
        <x:v>0</x:v>
      </x:c>
      <x:c r="AD140" s="28" t="n">
        <x:f>T140*F140</x:f>
        <x:v>0</x:v>
      </x:c>
    </x:row>
    <x:row r="141" ht="19" customHeight="1">
      <x:c r="A141" s="2"/>
      <x:c r="B141" s="2"/>
      <x:c r="C141" s="45" t="n">
        <x:f>'Source Data'!C164</x:f>
        <x:v>2</x:v>
      </x:c>
      <x:c r="D141" s="45" t="n">
        <x:f>'Source Data'!D164</x:f>
        <x:v>43</x:v>
      </x:c>
      <x:c r="E141" s="45" t="n">
        <x:f>'Source Data'!E164</x:f>
        <x:v>5</x:v>
      </x:c>
      <x:c r="F141" s="27" t="n">
        <x:f>IF(D141=0,0.5,1)*EXP(-'Assumptions'!$D$21*MAX(D141-6,0))</x:f>
        <x:v>0.0354373120929477</x:v>
      </x:c>
      <x:c r="G141" s="27" t="n">
        <x:f>IF(D141/'Assumptions'!$D$20&gt;=31,0,INDEX('Source Data'!$N$29:$N$60,INT(D141/'Assumptions'!$D$20)+1)+(D141/'Assumptions'!$D$20-INT(D141/'Assumptions'!$D$20))*(INDEX('Source Data'!$N$29:$N$60,MIN(32,INT(D141/'Assumptions'!$D$20)+2))-INDEX('Source Data'!$N$29:$N$60,INT(D141/'Assumptions'!$D$20)+1)))</x:f>
        <x:v>0</x:v>
      </x:c>
      <x:c r="H141" s="27" t="n">
        <x:f>'Source Data'!F164*G141*'Assumptions'!$F$57*'Assumptions'!$G$57</x:f>
        <x:v>0</x:v>
      </x:c>
      <x:c r="I141" s="27" t="n">
        <x:f>'Source Data'!G164*G141*'Assumptions'!$F$57*'Assumptions'!$G$57</x:f>
        <x:v>0</x:v>
      </x:c>
      <x:c r="J141" s="27" t="n">
        <x:f>'Source Data'!H164*G141*'Assumptions'!$F$57*'Assumptions'!$G$57</x:f>
        <x:v>0</x:v>
      </x:c>
      <x:c r="K141" s="27" t="n">
        <x:f>'Source Data'!I164*G141*'Assumptions'!$F$57*'Assumptions'!$G$57</x:f>
        <x:v>0</x:v>
      </x:c>
      <x:c r="L141" s="27" t="n">
        <x:f>'Source Data'!J164*G141*'Assumptions'!$F$57*'Assumptions'!$G$57</x:f>
        <x:v>0</x:v>
      </x:c>
      <x:c r="M141" s="27" t="n">
        <x:f>SUMPRODUCT(H141:L141,'Source Data'!D17:H17)</x:f>
        <x:v>0</x:v>
      </x:c>
      <x:c r="N141" s="27" t="n">
        <x:f>SUMPRODUCT(H141:L141,'Source Data'!D18:H18)</x:f>
        <x:v>0</x:v>
      </x:c>
      <x:c r="O141" s="27" t="n">
        <x:f>SUMPRODUCT(H141:L141,'Source Data'!D19:H19)</x:f>
        <x:v>0</x:v>
      </x:c>
      <x:c r="P141" s="27" t="n">
        <x:f>SUMPRODUCT(H141:L141,'Source Data'!D20:H20)</x:f>
        <x:v>0</x:v>
      </x:c>
      <x:c r="Q141" s="27" t="n">
        <x:f>SUMPRODUCT(H141:L141,'Source Data'!D21:H21)</x:f>
        <x:v>0</x:v>
      </x:c>
      <x:c r="R141" s="27" t="n">
        <x:f>SUMPRODUCT(H141:L141,'Source Data'!D22:H22)</x:f>
        <x:v>0</x:v>
      </x:c>
      <x:c r="S141" s="27" t="n">
        <x:f>SUMPRODUCT(H141:L141,'Source Data'!D23:H23)</x:f>
        <x:v>0</x:v>
      </x:c>
      <x:c r="T141" s="27" t="n">
        <x:f>SUMPRODUCT(H141:L141,'Source Data'!D24:H24)</x:f>
        <x:v>0</x:v>
      </x:c>
      <x:c r="U141" s="3"/>
      <x:c r="V141" s="3"/>
      <x:c r="W141" s="28" t="n">
        <x:f>M141*F141</x:f>
        <x:v>0</x:v>
      </x:c>
      <x:c r="X141" s="28" t="n">
        <x:f>N141*F141</x:f>
        <x:v>0</x:v>
      </x:c>
      <x:c r="Y141" s="28" t="n">
        <x:f>O141*F141</x:f>
        <x:v>0</x:v>
      </x:c>
      <x:c r="Z141" s="28" t="n">
        <x:f>P141*F141</x:f>
        <x:v>0</x:v>
      </x:c>
      <x:c r="AA141" s="28" t="n">
        <x:f>Q141*F141</x:f>
        <x:v>0</x:v>
      </x:c>
      <x:c r="AB141" s="28" t="n">
        <x:f>R141*F141</x:f>
        <x:v>0</x:v>
      </x:c>
      <x:c r="AC141" s="28" t="n">
        <x:f>S141*F141</x:f>
        <x:v>0</x:v>
      </x:c>
      <x:c r="AD141" s="28" t="n">
        <x:f>T141*F141</x:f>
        <x:v>0</x:v>
      </x:c>
    </x:row>
    <x:row r="142" ht="19" customHeight="1">
      <x:c r="A142" s="2"/>
      <x:c r="B142" s="2"/>
      <x:c r="C142" s="45" t="n">
        <x:f>'Source Data'!C165</x:f>
        <x:v>2</x:v>
      </x:c>
      <x:c r="D142" s="45" t="n">
        <x:f>'Source Data'!D165</x:f>
        <x:v>44</x:v>
      </x:c>
      <x:c r="E142" s="45" t="n">
        <x:f>'Source Data'!E165</x:f>
        <x:v>5</x:v>
      </x:c>
      <x:c r="F142" s="27" t="n">
        <x:f>IF(D142=0,0.5,1)*EXP(-'Assumptions'!$D$21*MAX(D142-6,0))</x:f>
        <x:v>0.032378521262889814</x:v>
      </x:c>
      <x:c r="G142" s="27" t="n">
        <x:f>IF(D142/'Assumptions'!$D$20&gt;=31,0,INDEX('Source Data'!$N$29:$N$60,INT(D142/'Assumptions'!$D$20)+1)+(D142/'Assumptions'!$D$20-INT(D142/'Assumptions'!$D$20))*(INDEX('Source Data'!$N$29:$N$60,MIN(32,INT(D142/'Assumptions'!$D$20)+2))-INDEX('Source Data'!$N$29:$N$60,INT(D142/'Assumptions'!$D$20)+1)))</x:f>
        <x:v>0</x:v>
      </x:c>
      <x:c r="H142" s="27" t="n">
        <x:f>'Source Data'!F165*G142*'Assumptions'!$F$57*'Assumptions'!$G$57</x:f>
        <x:v>0</x:v>
      </x:c>
      <x:c r="I142" s="27" t="n">
        <x:f>'Source Data'!G165*G142*'Assumptions'!$F$57*'Assumptions'!$G$57</x:f>
        <x:v>0</x:v>
      </x:c>
      <x:c r="J142" s="27" t="n">
        <x:f>'Source Data'!H165*G142*'Assumptions'!$F$57*'Assumptions'!$G$57</x:f>
        <x:v>0</x:v>
      </x:c>
      <x:c r="K142" s="27" t="n">
        <x:f>'Source Data'!I165*G142*'Assumptions'!$F$57*'Assumptions'!$G$57</x:f>
        <x:v>0</x:v>
      </x:c>
      <x:c r="L142" s="27" t="n">
        <x:f>'Source Data'!J165*G142*'Assumptions'!$F$57*'Assumptions'!$G$57</x:f>
        <x:v>0</x:v>
      </x:c>
      <x:c r="M142" s="27" t="n">
        <x:f>SUMPRODUCT(H142:L142,'Source Data'!D17:H17)</x:f>
        <x:v>0</x:v>
      </x:c>
      <x:c r="N142" s="27" t="n">
        <x:f>SUMPRODUCT(H142:L142,'Source Data'!D18:H18)</x:f>
        <x:v>0</x:v>
      </x:c>
      <x:c r="O142" s="27" t="n">
        <x:f>SUMPRODUCT(H142:L142,'Source Data'!D19:H19)</x:f>
        <x:v>0</x:v>
      </x:c>
      <x:c r="P142" s="27" t="n">
        <x:f>SUMPRODUCT(H142:L142,'Source Data'!D20:H20)</x:f>
        <x:v>0</x:v>
      </x:c>
      <x:c r="Q142" s="27" t="n">
        <x:f>SUMPRODUCT(H142:L142,'Source Data'!D21:H21)</x:f>
        <x:v>0</x:v>
      </x:c>
      <x:c r="R142" s="27" t="n">
        <x:f>SUMPRODUCT(H142:L142,'Source Data'!D22:H22)</x:f>
        <x:v>0</x:v>
      </x:c>
      <x:c r="S142" s="27" t="n">
        <x:f>SUMPRODUCT(H142:L142,'Source Data'!D23:H23)</x:f>
        <x:v>0</x:v>
      </x:c>
      <x:c r="T142" s="27" t="n">
        <x:f>SUMPRODUCT(H142:L142,'Source Data'!D24:H24)</x:f>
        <x:v>0</x:v>
      </x:c>
      <x:c r="U142" s="3"/>
      <x:c r="V142" s="3"/>
      <x:c r="W142" s="28" t="n">
        <x:f>M142*F142</x:f>
        <x:v>0</x:v>
      </x:c>
      <x:c r="X142" s="28" t="n">
        <x:f>N142*F142</x:f>
        <x:v>0</x:v>
      </x:c>
      <x:c r="Y142" s="28" t="n">
        <x:f>O142*F142</x:f>
        <x:v>0</x:v>
      </x:c>
      <x:c r="Z142" s="28" t="n">
        <x:f>P142*F142</x:f>
        <x:v>0</x:v>
      </x:c>
      <x:c r="AA142" s="28" t="n">
        <x:f>Q142*F142</x:f>
        <x:v>0</x:v>
      </x:c>
      <x:c r="AB142" s="28" t="n">
        <x:f>R142*F142</x:f>
        <x:v>0</x:v>
      </x:c>
      <x:c r="AC142" s="28" t="n">
        <x:f>S142*F142</x:f>
        <x:v>0</x:v>
      </x:c>
      <x:c r="AD142" s="28" t="n">
        <x:f>T142*F142</x:f>
        <x:v>0</x:v>
      </x:c>
    </x:row>
    <x:row r="143" ht="19" customHeight="1">
      <x:c r="A143" s="2"/>
      <x:c r="B143" s="2"/>
      <x:c r="C143" s="45" t="n">
        <x:f>'Source Data'!C166</x:f>
        <x:v>2</x:v>
      </x:c>
      <x:c r="D143" s="45" t="n">
        <x:f>'Source Data'!D166</x:f>
        <x:v>45</x:v>
      </x:c>
      <x:c r="E143" s="45" t="n">
        <x:f>'Source Data'!E166</x:f>
        <x:v>5</x:v>
      </x:c>
      <x:c r="F143" s="27" t="n">
        <x:f>IF(D143=0,0.5,1)*EXP(-'Assumptions'!$D$21*MAX(D143-6,0))</x:f>
        <x:v>0.02958375162375934</x:v>
      </x:c>
      <x:c r="G143" s="27" t="n">
        <x:f>IF(D143/'Assumptions'!$D$20&gt;=31,0,INDEX('Source Data'!$N$29:$N$60,INT(D143/'Assumptions'!$D$20)+1)+(D143/'Assumptions'!$D$20-INT(D143/'Assumptions'!$D$20))*(INDEX('Source Data'!$N$29:$N$60,MIN(32,INT(D143/'Assumptions'!$D$20)+2))-INDEX('Source Data'!$N$29:$N$60,INT(D143/'Assumptions'!$D$20)+1)))</x:f>
        <x:v>0</x:v>
      </x:c>
      <x:c r="H143" s="27" t="n">
        <x:f>'Source Data'!F166*G143*'Assumptions'!$F$57*'Assumptions'!$G$57</x:f>
        <x:v>0</x:v>
      </x:c>
      <x:c r="I143" s="27" t="n">
        <x:f>'Source Data'!G166*G143*'Assumptions'!$F$57*'Assumptions'!$G$57</x:f>
        <x:v>0</x:v>
      </x:c>
      <x:c r="J143" s="27" t="n">
        <x:f>'Source Data'!H166*G143*'Assumptions'!$F$57*'Assumptions'!$G$57</x:f>
        <x:v>0</x:v>
      </x:c>
      <x:c r="K143" s="27" t="n">
        <x:f>'Source Data'!I166*G143*'Assumptions'!$F$57*'Assumptions'!$G$57</x:f>
        <x:v>0</x:v>
      </x:c>
      <x:c r="L143" s="27" t="n">
        <x:f>'Source Data'!J166*G143*'Assumptions'!$F$57*'Assumptions'!$G$57</x:f>
        <x:v>0</x:v>
      </x:c>
      <x:c r="M143" s="27" t="n">
        <x:f>SUMPRODUCT(H143:L143,'Source Data'!D17:H17)</x:f>
        <x:v>0</x:v>
      </x:c>
      <x:c r="N143" s="27" t="n">
        <x:f>SUMPRODUCT(H143:L143,'Source Data'!D18:H18)</x:f>
        <x:v>0</x:v>
      </x:c>
      <x:c r="O143" s="27" t="n">
        <x:f>SUMPRODUCT(H143:L143,'Source Data'!D19:H19)</x:f>
        <x:v>0</x:v>
      </x:c>
      <x:c r="P143" s="27" t="n">
        <x:f>SUMPRODUCT(H143:L143,'Source Data'!D20:H20)</x:f>
        <x:v>0</x:v>
      </x:c>
      <x:c r="Q143" s="27" t="n">
        <x:f>SUMPRODUCT(H143:L143,'Source Data'!D21:H21)</x:f>
        <x:v>0</x:v>
      </x:c>
      <x:c r="R143" s="27" t="n">
        <x:f>SUMPRODUCT(H143:L143,'Source Data'!D22:H22)</x:f>
        <x:v>0</x:v>
      </x:c>
      <x:c r="S143" s="27" t="n">
        <x:f>SUMPRODUCT(H143:L143,'Source Data'!D23:H23)</x:f>
        <x:v>0</x:v>
      </x:c>
      <x:c r="T143" s="27" t="n">
        <x:f>SUMPRODUCT(H143:L143,'Source Data'!D24:H24)</x:f>
        <x:v>0</x:v>
      </x:c>
      <x:c r="U143" s="3"/>
      <x:c r="V143" s="3"/>
      <x:c r="W143" s="28" t="n">
        <x:f>M143*F143</x:f>
        <x:v>0</x:v>
      </x:c>
      <x:c r="X143" s="28" t="n">
        <x:f>N143*F143</x:f>
        <x:v>0</x:v>
      </x:c>
      <x:c r="Y143" s="28" t="n">
        <x:f>O143*F143</x:f>
        <x:v>0</x:v>
      </x:c>
      <x:c r="Z143" s="28" t="n">
        <x:f>P143*F143</x:f>
        <x:v>0</x:v>
      </x:c>
      <x:c r="AA143" s="28" t="n">
        <x:f>Q143*F143</x:f>
        <x:v>0</x:v>
      </x:c>
      <x:c r="AB143" s="28" t="n">
        <x:f>R143*F143</x:f>
        <x:v>0</x:v>
      </x:c>
      <x:c r="AC143" s="28" t="n">
        <x:f>S143*F143</x:f>
        <x:v>0</x:v>
      </x:c>
      <x:c r="AD143" s="28" t="n">
        <x:f>T143*F143</x:f>
        <x:v>0</x:v>
      </x:c>
    </x:row>
    <x:row r="144" ht="19" customHeight="1">
      <x:c r="A144" s="2"/>
      <x:c r="B144" s="2"/>
      <x:c r="C144" s="45" t="n">
        <x:f>'Source Data'!C167</x:f>
        <x:v>3</x:v>
      </x:c>
      <x:c r="D144" s="45" t="n">
        <x:f>'Source Data'!D167</x:f>
        <x:v>0</x:v>
      </x:c>
      <x:c r="E144" s="45" t="n">
        <x:f>'Source Data'!E167</x:f>
        <x:v>0</x:v>
      </x:c>
      <x:c r="F144" s="27" t="n">
        <x:f>IF(D144=0,0.5,1)*EXP(-'Assumptions'!$D$21*MAX(D144-6,0))</x:f>
        <x:v>0.5</x:v>
      </x:c>
      <x:c r="G144" s="27" t="n">
        <x:f>IF(D144/'Assumptions'!$D$20&gt;=31,0,INDEX('Source Data'!$N$29:$N$60,INT(D144/'Assumptions'!$D$20)+1)+(D144/'Assumptions'!$D$20-INT(D144/'Assumptions'!$D$20))*(INDEX('Source Data'!$N$29:$N$60,MIN(32,INT(D144/'Assumptions'!$D$20)+2))-INDEX('Source Data'!$N$29:$N$60,INT(D144/'Assumptions'!$D$20)+1)))</x:f>
        <x:v>1</x:v>
      </x:c>
      <x:c r="H144" s="27" t="n">
        <x:f>'Source Data'!F167*G144*'Assumptions'!$F$58*'Assumptions'!$G$58</x:f>
        <x:v>996.8492035398232</x:v>
      </x:c>
      <x:c r="I144" s="27" t="n">
        <x:f>'Source Data'!G167*G144*'Assumptions'!$F$58*'Assumptions'!$G$58</x:f>
        <x:v>1036.1378761061949</x:v>
      </x:c>
      <x:c r="J144" s="27" t="n">
        <x:f>'Source Data'!H167*G144*'Assumptions'!$F$58*'Assumptions'!$G$58</x:f>
        <x:v>1088.9442477876107</x:v>
      </x:c>
      <x:c r="K144" s="27" t="n">
        <x:f>'Source Data'!I167*G144*'Assumptions'!$F$58*'Assumptions'!$G$58</x:f>
        <x:v>1088.9442477876107</x:v>
      </x:c>
      <x:c r="L144" s="27" t="n">
        <x:f>'Source Data'!J167*G144*'Assumptions'!$F$58*'Assumptions'!$G$58</x:f>
        <x:v>1088.9442477876107</x:v>
      </x:c>
      <x:c r="M144" s="27" t="n">
        <x:f>SUMPRODUCT(H144:L144,'Source Data'!D17:H17)</x:f>
        <x:v>1073.5423893805312</x:v>
      </x:c>
      <x:c r="N144" s="27" t="n">
        <x:f>SUMPRODUCT(H144:L144,'Source Data'!D18:H18)</x:f>
        <x:v>1086.0105604719765</x:v>
      </x:c>
      <x:c r="O144" s="27" t="n">
        <x:f>SUMPRODUCT(H144:L144,'Source Data'!D19:H19)</x:f>
        <x:v>1088.9442477876107</x:v>
      </x:c>
      <x:c r="P144" s="27" t="n">
        <x:f>SUMPRODUCT(H144:L144,'Source Data'!D20:H20)</x:f>
        <x:v>1088.944247787611</x:v>
      </x:c>
      <x:c r="Q144" s="27" t="n">
        <x:f>SUMPRODUCT(H144:L144,'Source Data'!D21:H21)</x:f>
        <x:v>1088.9442477876107</x:v>
      </x:c>
      <x:c r="R144" s="27" t="n">
        <x:f>SUMPRODUCT(H144:L144,'Source Data'!D22:H22)</x:f>
        <x:v>1088.9442477876107</x:v>
      </x:c>
      <x:c r="S144" s="27" t="n">
        <x:f>SUMPRODUCT(H144:L144,'Source Data'!D23:H23)</x:f>
        <x:v>1088.9442477876107</x:v>
      </x:c>
      <x:c r="T144" s="27" t="n">
        <x:f>SUMPRODUCT(H144:L144,'Source Data'!D24:H24)</x:f>
        <x:v>1088.944247787611</x:v>
      </x:c>
      <x:c r="U144" s="3"/>
      <x:c r="V144" s="3"/>
      <x:c r="W144" s="28" t="n">
        <x:f>M144*F144</x:f>
        <x:v>536.7711946902656</x:v>
      </x:c>
      <x:c r="X144" s="28" t="n">
        <x:f>N144*F144</x:f>
        <x:v>543.0052802359883</x:v>
      </x:c>
      <x:c r="Y144" s="28" t="n">
        <x:f>O144*F144</x:f>
        <x:v>544.4721238938054</x:v>
      </x:c>
      <x:c r="Z144" s="28" t="n">
        <x:f>P144*F144</x:f>
        <x:v>544.4721238938055</x:v>
      </x:c>
      <x:c r="AA144" s="28" t="n">
        <x:f>Q144*F144</x:f>
        <x:v>544.4721238938054</x:v>
      </x:c>
      <x:c r="AB144" s="28" t="n">
        <x:f>R144*F144</x:f>
        <x:v>544.4721238938054</x:v>
      </x:c>
      <x:c r="AC144" s="28" t="n">
        <x:f>S144*F144</x:f>
        <x:v>544.4721238938054</x:v>
      </x:c>
      <x:c r="AD144" s="28" t="n">
        <x:f>T144*F144</x:f>
        <x:v>544.4721238938055</x:v>
      </x:c>
    </x:row>
    <x:row r="145" ht="19" customHeight="1">
      <x:c r="A145" s="2"/>
      <x:c r="B145" s="2"/>
      <x:c r="C145" s="45" t="n">
        <x:f>'Source Data'!C168</x:f>
        <x:v>3</x:v>
      </x:c>
      <x:c r="D145" s="45" t="n">
        <x:f>'Source Data'!D168</x:f>
        <x:v>1</x:v>
      </x:c>
      <x:c r="E145" s="45" t="n">
        <x:f>'Source Data'!E168</x:f>
        <x:v>1</x:v>
      </x:c>
      <x:c r="F145" s="27" t="n">
        <x:f>IF(D145=0,0.5,1)*EXP(-'Assumptions'!$D$21*MAX(D145-6,0))</x:f>
        <x:v>1</x:v>
      </x:c>
      <x:c r="G145" s="27" t="n">
        <x:f>IF(D145/'Assumptions'!$D$20&gt;=31,0,INDEX('Source Data'!$N$29:$N$60,INT(D145/'Assumptions'!$D$20)+1)+(D145/'Assumptions'!$D$20-INT(D145/'Assumptions'!$D$20))*(INDEX('Source Data'!$N$29:$N$60,MIN(32,INT(D145/'Assumptions'!$D$20)+2))-INDEX('Source Data'!$N$29:$N$60,INT(D145/'Assumptions'!$D$20)+1)))</x:f>
        <x:v>0.991810737033667</x:v>
      </x:c>
      <x:c r="H145" s="27" t="n">
        <x:f>'Source Data'!F168*G145*'Assumptions'!$F$58*'Assumptions'!$G$58</x:f>
        <x:v>869.7388470612867</x:v>
      </x:c>
      <x:c r="I145" s="27" t="n">
        <x:f>'Source Data'!G168*G145*'Assumptions'!$F$58*'Assumptions'!$G$58</x:f>
        <x:v>988.6857432742559</x:v>
      </x:c>
      <x:c r="J145" s="27" t="n">
        <x:f>'Source Data'!H168*G145*'Assumptions'!$F$58*'Assumptions'!$G$58</x:f>
        <x:v>1027.6526705693834</x:v>
      </x:c>
      <x:c r="K145" s="27" t="n">
        <x:f>'Source Data'!I168*G145*'Assumptions'!$F$58*'Assumptions'!$G$58</x:f>
        <x:v>1080.0265969868024</x:v>
      </x:c>
      <x:c r="L145" s="27" t="n">
        <x:f>'Source Data'!J168*G145*'Assumptions'!$F$58*'Assumptions'!$G$58</x:f>
        <x:v>1080.0265969868024</x:v>
      </x:c>
      <x:c r="M145" s="27" t="n">
        <x:f>SUMPRODUCT(H145:L145,'Source Data'!D17:H17)</x:f>
        <x:v>1016.2873167749713</x:v>
      </x:c>
      <x:c r="N145" s="27" t="n">
        <x:f>SUMPRODUCT(H145:L145,'Source Data'!D18:H18)</x:f>
        <x:v>1026.215256919896</x:v>
      </x:c>
      <x:c r="O145" s="27" t="n">
        <x:f>SUMPRODUCT(H145:L145,'Source Data'!D19:H19)</x:f>
        <x:v>1038.563905239679</x:v>
      </x:c>
      <x:c r="P145" s="27" t="n">
        <x:f>SUMPRODUCT(H145:L145,'Source Data'!D20:H20)</x:f>
        <x:v>1051.657386844034</x:v>
      </x:c>
      <x:c r="Q145" s="27" t="n">
        <x:f>SUMPRODUCT(H145:L145,'Source Data'!D21:H21)</x:f>
        <x:v>1064.7508684483885</x:v>
      </x:c>
      <x:c r="R145" s="27" t="n">
        <x:f>SUMPRODUCT(H145:L145,'Source Data'!D22:H22)</x:f>
        <x:v>1077.116934408057</x:v>
      </x:c>
      <x:c r="S145" s="27" t="n">
        <x:f>SUMPRODUCT(H145:L145,'Source Data'!D23:H23)</x:f>
        <x:v>1080.0265969868024</x:v>
      </x:c>
      <x:c r="T145" s="27" t="n">
        <x:f>SUMPRODUCT(H145:L145,'Source Data'!D24:H24)</x:f>
        <x:v>1080.0265969868026</x:v>
      </x:c>
      <x:c r="U145" s="3"/>
      <x:c r="V145" s="3"/>
      <x:c r="W145" s="28" t="n">
        <x:f>M145*F145</x:f>
        <x:v>1016.2873167749713</x:v>
      </x:c>
      <x:c r="X145" s="28" t="n">
        <x:f>N145*F145</x:f>
        <x:v>1026.215256919896</x:v>
      </x:c>
      <x:c r="Y145" s="28" t="n">
        <x:f>O145*F145</x:f>
        <x:v>1038.563905239679</x:v>
      </x:c>
      <x:c r="Z145" s="28" t="n">
        <x:f>P145*F145</x:f>
        <x:v>1051.657386844034</x:v>
      </x:c>
      <x:c r="AA145" s="28" t="n">
        <x:f>Q145*F145</x:f>
        <x:v>1064.7508684483885</x:v>
      </x:c>
      <x:c r="AB145" s="28" t="n">
        <x:f>R145*F145</x:f>
        <x:v>1077.116934408057</x:v>
      </x:c>
      <x:c r="AC145" s="28" t="n">
        <x:f>S145*F145</x:f>
        <x:v>1080.0265969868024</x:v>
      </x:c>
      <x:c r="AD145" s="28" t="n">
        <x:f>T145*F145</x:f>
        <x:v>1080.0265969868026</x:v>
      </x:c>
    </x:row>
    <x:row r="146" ht="19" customHeight="1">
      <x:c r="A146" s="2"/>
      <x:c r="B146" s="2"/>
      <x:c r="C146" s="45" t="n">
        <x:f>'Source Data'!C169</x:f>
        <x:v>3</x:v>
      </x:c>
      <x:c r="D146" s="45" t="n">
        <x:f>'Source Data'!D169</x:f>
        <x:v>2</x:v>
      </x:c>
      <x:c r="E146" s="45" t="n">
        <x:f>'Source Data'!E169</x:f>
        <x:v>1</x:v>
      </x:c>
      <x:c r="F146" s="27" t="n">
        <x:f>IF(D146=0,0.5,1)*EXP(-'Assumptions'!$D$21*MAX(D146-6,0))</x:f>
        <x:v>1</x:v>
      </x:c>
      <x:c r="G146" s="27" t="n">
        <x:f>IF(D146/'Assumptions'!$D$20&gt;=31,0,INDEX('Source Data'!$N$29:$N$60,INT(D146/'Assumptions'!$D$20)+1)+(D146/'Assumptions'!$D$20-INT(D146/'Assumptions'!$D$20))*(INDEX('Source Data'!$N$29:$N$60,MIN(32,INT(D146/'Assumptions'!$D$20)+2))-INDEX('Source Data'!$N$29:$N$60,INT(D146/'Assumptions'!$D$20)+1)))</x:f>
        <x:v>0.9836214740673339</x:v>
      </x:c>
      <x:c r="H146" s="27" t="n">
        <x:f>'Source Data'!F169*G146*'Assumptions'!$F$58*'Assumptions'!$G$58</x:f>
        <x:v>918.066497620524</x:v>
      </x:c>
      <x:c r="I146" s="27" t="n">
        <x:f>'Source Data'!G169*G146*'Assumptions'!$F$58*'Assumptions'!$G$58</x:f>
        <x:v>862.557517131423</x:v>
      </x:c>
      <x:c r="J146" s="27" t="n">
        <x:f>'Source Data'!H169*G146*'Assumptions'!$F$58*'Assumptions'!$G$58</x:f>
        <x:v>980.5222830086885</x:v>
      </x:c>
      <x:c r="K146" s="27" t="n">
        <x:f>'Source Data'!I169*G146*'Assumptions'!$F$58*'Assumptions'!$G$58</x:f>
        <x:v>1019.1674650325721</x:v>
      </x:c>
      <x:c r="L146" s="27" t="n">
        <x:f>'Source Data'!J169*G146*'Assumptions'!$F$58*'Assumptions'!$G$58</x:f>
        <x:v>1071.108946185994</x:v>
      </x:c>
      <x:c r="M146" s="27" t="n">
        <x:f>SUMPRODUCT(H146:L146,'Source Data'!D17:H17)</x:f>
        <x:v>946.1158929611529</x:v>
      </x:c>
      <x:c r="N146" s="27" t="n">
        <x:f>SUMPRODUCT(H146:L146,'Source Data'!D18:H18)</x:f>
        <x:v>974.5054235436166</x:v>
      </x:c>
      <x:c r="O146" s="27" t="n">
        <x:f>SUMPRODUCT(H146:L146,'Source Data'!D19:H19)</x:f>
        <x:v>988.5733625969975</x:v>
      </x:c>
      <x:c r="P146" s="27" t="n">
        <x:f>SUMPRODUCT(H146:L146,'Source Data'!D20:H20)</x:f>
        <x:v>998.2346581029685</x:v>
      </x:c>
      <x:c r="Q146" s="27" t="n">
        <x:f>SUMPRODUCT(H146:L146,'Source Data'!D21:H21)</x:f>
        <x:v>1007.8959536089394</x:v>
      </x:c>
      <x:c r="R146" s="27" t="n">
        <x:f>SUMPRODUCT(H146:L146,'Source Data'!D22:H22)</x:f>
        <x:v>1017.7419199361539</x:v>
      </x:c>
      <x:c r="S146" s="27" t="n">
        <x:f>SUMPRODUCT(H146:L146,'Source Data'!D23:H23)</x:f>
        <x:v>1029.988606939535</x:v>
      </x:c>
      <x:c r="T146" s="27" t="n">
        <x:f>SUMPRODUCT(H146:L146,'Source Data'!D24:H24)</x:f>
        <x:v>1042.9739772278906</x:v>
      </x:c>
      <x:c r="U146" s="3"/>
      <x:c r="V146" s="3"/>
      <x:c r="W146" s="28" t="n">
        <x:f>M146*F146</x:f>
        <x:v>946.1158929611529</x:v>
      </x:c>
      <x:c r="X146" s="28" t="n">
        <x:f>N146*F146</x:f>
        <x:v>974.5054235436166</x:v>
      </x:c>
      <x:c r="Y146" s="28" t="n">
        <x:f>O146*F146</x:f>
        <x:v>988.5733625969975</x:v>
      </x:c>
      <x:c r="Z146" s="28" t="n">
        <x:f>P146*F146</x:f>
        <x:v>998.2346581029685</x:v>
      </x:c>
      <x:c r="AA146" s="28" t="n">
        <x:f>Q146*F146</x:f>
        <x:v>1007.8959536089394</x:v>
      </x:c>
      <x:c r="AB146" s="28" t="n">
        <x:f>R146*F146</x:f>
        <x:v>1017.7419199361539</x:v>
      </x:c>
      <x:c r="AC146" s="28" t="n">
        <x:f>S146*F146</x:f>
        <x:v>1029.988606939535</x:v>
      </x:c>
      <x:c r="AD146" s="28" t="n">
        <x:f>T146*F146</x:f>
        <x:v>1042.9739772278906</x:v>
      </x:c>
    </x:row>
    <x:row r="147" ht="19" customHeight="1">
      <x:c r="A147" s="2"/>
      <x:c r="B147" s="2"/>
      <x:c r="C147" s="45" t="n">
        <x:f>'Source Data'!C170</x:f>
        <x:v>3</x:v>
      </x:c>
      <x:c r="D147" s="45" t="n">
        <x:f>'Source Data'!D170</x:f>
        <x:v>3</x:v>
      </x:c>
      <x:c r="E147" s="45" t="n">
        <x:f>'Source Data'!E170</x:f>
        <x:v>1</x:v>
      </x:c>
      <x:c r="F147" s="27" t="n">
        <x:f>IF(D147=0,0.5,1)*EXP(-'Assumptions'!$D$21*MAX(D147-6,0))</x:f>
        <x:v>1</x:v>
      </x:c>
      <x:c r="G147" s="27" t="n">
        <x:f>IF(D147/'Assumptions'!$D$20&gt;=31,0,INDEX('Source Data'!$N$29:$N$60,INT(D147/'Assumptions'!$D$20)+1)+(D147/'Assumptions'!$D$20-INT(D147/'Assumptions'!$D$20))*(INDEX('Source Data'!$N$29:$N$60,MIN(32,INT(D147/'Assumptions'!$D$20)+2))-INDEX('Source Data'!$N$29:$N$60,INT(D147/'Assumptions'!$D$20)+1)))</x:f>
        <x:v>0.9754322111010009</x:v>
      </x:c>
      <x:c r="H147" s="27" t="n">
        <x:f>'Source Data'!F170*G147*'Assumptions'!$F$58*'Assumptions'!$G$58</x:f>
        <x:v>869.9412028634239</x:v>
      </x:c>
      <x:c r="I147" s="27" t="n">
        <x:f>'Source Data'!G170*G147*'Assumptions'!$F$58*'Assumptions'!$G$58</x:f>
        <x:v>910.4230207670691</x:v>
      </x:c>
      <x:c r="J147" s="27" t="n">
        <x:f>'Source Data'!H170*G147*'Assumptions'!$F$58*'Assumptions'!$G$58</x:f>
        <x:v>855.3761872015591</x:v>
      </x:c>
      <x:c r="K147" s="27" t="n">
        <x:f>'Source Data'!I170*G147*'Assumptions'!$F$58*'Assumptions'!$G$58</x:f>
        <x:v>972.3588227431213</x:v>
      </x:c>
      <x:c r="L147" s="27" t="n">
        <x:f>'Source Data'!J170*G147*'Assumptions'!$F$58*'Assumptions'!$G$58</x:f>
        <x:v>1010.6822594957606</x:v>
      </x:c>
      <x:c r="M147" s="27" t="n">
        <x:f>SUMPRODUCT(H147:L147,'Source Data'!D17:H17)</x:f>
        <x:v>871.4315136581663</x:v>
      </x:c>
      <x:c r="N147" s="27" t="n">
        <x:f>SUMPRODUCT(H147:L147,'Source Data'!D18:H18)</x:f>
        <x:v>860.0591034488314</x:v>
      </x:c>
      <x:c r="O147" s="27" t="n">
        <x:f>SUMPRODUCT(H147:L147,'Source Data'!D19:H19)</x:f>
        <x:v>879.7475696060512</x:v>
      </x:c>
      <x:c r="P147" s="27" t="n">
        <x:f>SUMPRODUCT(H147:L147,'Source Data'!D20:H20)</x:f>
        <x:v>908.9932284914419</x:v>
      </x:c>
      <x:c r="Q147" s="27" t="n">
        <x:f>SUMPRODUCT(H147:L147,'Source Data'!D21:H21)</x:f>
        <x:v>938.2388873768323</x:v>
      </x:c>
      <x:c r="R147" s="27" t="n">
        <x:f>SUMPRODUCT(H147:L147,'Source Data'!D22:H22)</x:f>
        <x:v>966.3920573901545</x:v>
      </x:c>
      <x:c r="S147" s="27" t="n">
        <x:f>SUMPRODUCT(H147:L147,'Source Data'!D23:H23)</x:f>
        <x:v>980.3428720665878</x:v>
      </x:c>
      <x:c r="T147" s="27" t="n">
        <x:f>SUMPRODUCT(H147:L147,'Source Data'!D24:H24)</x:f>
        <x:v>989.9237312547477</x:v>
      </x:c>
      <x:c r="U147" s="3"/>
      <x:c r="V147" s="3"/>
      <x:c r="W147" s="28" t="n">
        <x:f>M147*F147</x:f>
        <x:v>871.4315136581663</x:v>
      </x:c>
      <x:c r="X147" s="28" t="n">
        <x:f>N147*F147</x:f>
        <x:v>860.0591034488314</x:v>
      </x:c>
      <x:c r="Y147" s="28" t="n">
        <x:f>O147*F147</x:f>
        <x:v>879.7475696060512</x:v>
      </x:c>
      <x:c r="Z147" s="28" t="n">
        <x:f>P147*F147</x:f>
        <x:v>908.9932284914419</x:v>
      </x:c>
      <x:c r="AA147" s="28" t="n">
        <x:f>Q147*F147</x:f>
        <x:v>938.2388873768323</x:v>
      </x:c>
      <x:c r="AB147" s="28" t="n">
        <x:f>R147*F147</x:f>
        <x:v>966.3920573901545</x:v>
      </x:c>
      <x:c r="AC147" s="28" t="n">
        <x:f>S147*F147</x:f>
        <x:v>980.3428720665878</x:v>
      </x:c>
      <x:c r="AD147" s="28" t="n">
        <x:f>T147*F147</x:f>
        <x:v>989.9237312547477</x:v>
      </x:c>
    </x:row>
    <x:row r="148" ht="19" customHeight="1">
      <x:c r="A148" s="2"/>
      <x:c r="B148" s="2"/>
      <x:c r="C148" s="45" t="n">
        <x:f>'Source Data'!C171</x:f>
        <x:v>3</x:v>
      </x:c>
      <x:c r="D148" s="45" t="n">
        <x:f>'Source Data'!D171</x:f>
        <x:v>4</x:v>
      </x:c>
      <x:c r="E148" s="45" t="n">
        <x:f>'Source Data'!E171</x:f>
        <x:v>2</x:v>
      </x:c>
      <x:c r="F148" s="27" t="n">
        <x:f>IF(D148=0,0.5,1)*EXP(-'Assumptions'!$D$21*MAX(D148-6,0))</x:f>
        <x:v>1</x:v>
      </x:c>
      <x:c r="G148" s="27" t="n">
        <x:f>IF(D148/'Assumptions'!$D$20&gt;=31,0,INDEX('Source Data'!$N$29:$N$60,INT(D148/'Assumptions'!$D$20)+1)+(D148/'Assumptions'!$D$20-INT(D148/'Assumptions'!$D$20))*(INDEX('Source Data'!$N$29:$N$60,MIN(32,INT(D148/'Assumptions'!$D$20)+2))-INDEX('Source Data'!$N$29:$N$60,INT(D148/'Assumptions'!$D$20)+1)))</x:f>
        <x:v>0.9646842584167424</x:v>
      </x:c>
      <x:c r="H148" s="27" t="n">
        <x:f>'Source Data'!F171*G148*'Assumptions'!$F$58*'Assumptions'!$G$58</x:f>
        <x:v>955.794650290288</x:v>
      </x:c>
      <x:c r="I148" s="27" t="n">
        <x:f>'Source Data'!G171*G148*'Assumptions'!$F$58*'Assumptions'!$G$58</x:f>
        <x:v>860.3556193856041</x:v>
      </x:c>
      <x:c r="J148" s="27" t="n">
        <x:f>'Source Data'!H171*G148*'Assumptions'!$F$58*'Assumptions'!$G$58</x:f>
        <x:v>900.3913820345126</x:v>
      </x:c>
      <x:c r="K148" s="27" t="n">
        <x:f>'Source Data'!I171*G148*'Assumptions'!$F$58*'Assumptions'!$G$58</x:f>
        <x:v>845.9510906313867</x:v>
      </x:c>
      <x:c r="L148" s="27" t="n">
        <x:f>'Source Data'!J171*G148*'Assumptions'!$F$58*'Assumptions'!$G$58</x:f>
        <x:v>961.6447346701345</x:v>
      </x:c>
      <x:c r="M148" s="27" t="n">
        <x:f>SUMPRODUCT(H148:L148,'Source Data'!D17:H17)</x:f>
        <x:v>888.7142845952476</x:v>
      </x:c>
      <x:c r="N148" s="27" t="n">
        <x:f>SUMPRODUCT(H148:L148,'Source Data'!D18:H18)</x:f>
        <x:v>897.4110578400854</x:v>
      </x:c>
      <x:c r="O148" s="27" t="n">
        <x:f>SUMPRODUCT(H148:L148,'Source Data'!D19:H19)</x:f>
        <x:v>889.0496546588614</x:v>
      </x:c>
      <x:c r="P148" s="27" t="n">
        <x:f>SUMPRODUCT(H148:L148,'Source Data'!D20:H20)</x:f>
        <x:v>875.43958180808</x:v>
      </x:c>
      <x:c r="Q148" s="27" t="n">
        <x:f>SUMPRODUCT(H148:L148,'Source Data'!D21:H21)</x:f>
        <x:v>861.8295089572985</x:v>
      </x:c>
      <x:c r="R148" s="27" t="n">
        <x:f>SUMPRODUCT(H148:L148,'Source Data'!D22:H22)</x:f>
        <x:v>850.5824074320985</x:v>
      </x:c>
      <x:c r="S148" s="27" t="n">
        <x:f>SUMPRODUCT(H148:L148,'Source Data'!D23:H23)</x:f>
        <x:v>870.0539331394591</x:v>
      </x:c>
      <x:c r="T148" s="27" t="n">
        <x:f>SUMPRODUCT(H148:L148,'Source Data'!D24:H24)</x:f>
        <x:v>898.9773441491461</x:v>
      </x:c>
      <x:c r="U148" s="3"/>
      <x:c r="V148" s="3"/>
      <x:c r="W148" s="28" t="n">
        <x:f>M148*F148</x:f>
        <x:v>888.7142845952476</x:v>
      </x:c>
      <x:c r="X148" s="28" t="n">
        <x:f>N148*F148</x:f>
        <x:v>897.4110578400854</x:v>
      </x:c>
      <x:c r="Y148" s="28" t="n">
        <x:f>O148*F148</x:f>
        <x:v>889.0496546588614</x:v>
      </x:c>
      <x:c r="Z148" s="28" t="n">
        <x:f>P148*F148</x:f>
        <x:v>875.43958180808</x:v>
      </x:c>
      <x:c r="AA148" s="28" t="n">
        <x:f>Q148*F148</x:f>
        <x:v>861.8295089572985</x:v>
      </x:c>
      <x:c r="AB148" s="28" t="n">
        <x:f>R148*F148</x:f>
        <x:v>850.5824074320985</x:v>
      </x:c>
      <x:c r="AC148" s="28" t="n">
        <x:f>S148*F148</x:f>
        <x:v>870.0539331394591</x:v>
      </x:c>
      <x:c r="AD148" s="28" t="n">
        <x:f>T148*F148</x:f>
        <x:v>898.9773441491461</x:v>
      </x:c>
    </x:row>
    <x:row r="149" ht="19" customHeight="1">
      <x:c r="A149" s="2"/>
      <x:c r="B149" s="2"/>
      <x:c r="C149" s="45" t="n">
        <x:f>'Source Data'!C172</x:f>
        <x:v>3</x:v>
      </x:c>
      <x:c r="D149" s="45" t="n">
        <x:f>'Source Data'!D172</x:f>
        <x:v>5</x:v>
      </x:c>
      <x:c r="E149" s="45" t="n">
        <x:f>'Source Data'!E172</x:f>
        <x:v>2</x:v>
      </x:c>
      <x:c r="F149" s="27" t="n">
        <x:f>IF(D149=0,0.5,1)*EXP(-'Assumptions'!$D$21*MAX(D149-6,0))</x:f>
        <x:v>1</x:v>
      </x:c>
      <x:c r="G149" s="27" t="n">
        <x:f>IF(D149/'Assumptions'!$D$20&gt;=31,0,INDEX('Source Data'!$N$29:$N$60,INT(D149/'Assumptions'!$D$20)+1)+(D149/'Assumptions'!$D$20-INT(D149/'Assumptions'!$D$20))*(INDEX('Source Data'!$N$29:$N$60,MIN(32,INT(D149/'Assumptions'!$D$20)+2))-INDEX('Source Data'!$N$29:$N$60,INT(D149/'Assumptions'!$D$20)+1)))</x:f>
        <x:v>0.9495577797998179</x:v>
      </x:c>
      <x:c r="H149" s="27" t="n">
        <x:f>'Source Data'!F172*G149*'Assumptions'!$F$58*'Assumptions'!$G$58</x:f>
        <x:v>917.0079474882234</x:v>
      </x:c>
      <x:c r="I149" s="27" t="n">
        <x:f>'Source Data'!G172*G149*'Assumptions'!$F$58*'Assumptions'!$G$58</x:f>
        <x:v>940.8075628431318</x:v>
      </x:c>
      <x:c r="J149" s="27" t="n">
        <x:f>'Source Data'!H172*G149*'Assumptions'!$F$58*'Assumptions'!$G$58</x:f>
        <x:v>846.8650386426922</x:v>
      </x:c>
      <x:c r="K149" s="27" t="n">
        <x:f>'Source Data'!I172*G149*'Assumptions'!$F$58*'Assumptions'!$G$58</x:f>
        <x:v>886.2730310109755</x:v>
      </x:c>
      <x:c r="L149" s="27" t="n">
        <x:f>'Source Data'!J172*G149*'Assumptions'!$F$58*'Assumptions'!$G$58</x:f>
        <x:v>832.6863763253804</x:v>
      </x:c>
      <x:c r="M149" s="27" t="n">
        <x:f>SUMPRODUCT(H149:L149,'Source Data'!D17:H17)</x:f>
        <x:v>874.2649415344871</x:v>
      </x:c>
      <x:c r="N149" s="27" t="n">
        <x:f>SUMPRODUCT(H149:L149,'Source Data'!D18:H18)</x:f>
        <x:v>852.6314009922761</x:v>
      </x:c>
      <x:c r="O149" s="27" t="n">
        <x:f>SUMPRODUCT(H149:L149,'Source Data'!D19:H19)</x:f>
        <x:v>855.0750370527511</x:v>
      </x:c>
      <x:c r="P149" s="27" t="n">
        <x:f>SUMPRODUCT(H149:L149,'Source Data'!D20:H20)</x:f>
        <x:v>864.9270351448222</x:v>
      </x:c>
      <x:c r="Q149" s="27" t="n">
        <x:f>SUMPRODUCT(H149:L149,'Source Data'!D21:H21)</x:f>
        <x:v>874.7790332368929</x:v>
      </x:c>
      <x:c r="R149" s="27" t="n">
        <x:f>SUMPRODUCT(H149:L149,'Source Data'!D22:H22)</x:f>
        <x:v>883.339439008771</x:v>
      </x:c>
      <x:c r="S149" s="27" t="n">
        <x:f>SUMPRODUCT(H149:L149,'Source Data'!D23:H23)</x:f>
        <x:v>875.1091446181431</x:v>
      </x:c>
      <x:c r="T149" s="27" t="n">
        <x:f>SUMPRODUCT(H149:L149,'Source Data'!D24:H24)</x:f>
        <x:v>861.7124809467444</x:v>
      </x:c>
      <x:c r="U149" s="3"/>
      <x:c r="V149" s="3"/>
      <x:c r="W149" s="28" t="n">
        <x:f>M149*F149</x:f>
        <x:v>874.2649415344871</x:v>
      </x:c>
      <x:c r="X149" s="28" t="n">
        <x:f>N149*F149</x:f>
        <x:v>852.6314009922761</x:v>
      </x:c>
      <x:c r="Y149" s="28" t="n">
        <x:f>O149*F149</x:f>
        <x:v>855.0750370527511</x:v>
      </x:c>
      <x:c r="Z149" s="28" t="n">
        <x:f>P149*F149</x:f>
        <x:v>864.9270351448222</x:v>
      </x:c>
      <x:c r="AA149" s="28" t="n">
        <x:f>Q149*F149</x:f>
        <x:v>874.7790332368929</x:v>
      </x:c>
      <x:c r="AB149" s="28" t="n">
        <x:f>R149*F149</x:f>
        <x:v>883.339439008771</x:v>
      </x:c>
      <x:c r="AC149" s="28" t="n">
        <x:f>S149*F149</x:f>
        <x:v>875.1091446181431</x:v>
      </x:c>
      <x:c r="AD149" s="28" t="n">
        <x:f>T149*F149</x:f>
        <x:v>861.7124809467444</x:v>
      </x:c>
    </x:row>
    <x:row r="150" ht="19" customHeight="1">
      <x:c r="A150" s="2"/>
      <x:c r="B150" s="2"/>
      <x:c r="C150" s="45" t="n">
        <x:f>'Source Data'!C173</x:f>
        <x:v>3</x:v>
      </x:c>
      <x:c r="D150" s="45" t="n">
        <x:f>'Source Data'!D173</x:f>
        <x:v>6</x:v>
      </x:c>
      <x:c r="E150" s="45" t="n">
        <x:f>'Source Data'!E173</x:f>
        <x:v>2</x:v>
      </x:c>
      <x:c r="F150" s="27" t="n">
        <x:f>IF(D150=0,0.5,1)*EXP(-'Assumptions'!$D$21*MAX(D150-6,0))</x:f>
        <x:v>1</x:v>
      </x:c>
      <x:c r="G150" s="27" t="n">
        <x:f>IF(D150/'Assumptions'!$D$20&gt;=31,0,INDEX('Source Data'!$N$29:$N$60,INT(D150/'Assumptions'!$D$20)+1)+(D150/'Assumptions'!$D$20-INT(D150/'Assumptions'!$D$20))*(INDEX('Source Data'!$N$29:$N$60,MIN(32,INT(D150/'Assumptions'!$D$20)+2))-INDEX('Source Data'!$N$29:$N$60,INT(D150/'Assumptions'!$D$20)+1)))</x:f>
        <x:v>0.9308908098271156</x:v>
      </x:c>
      <x:c r="H150" s="27" t="n">
        <x:f>'Source Data'!F173*G150*'Assumptions'!$F$58*'Assumptions'!$G$58</x:f>
        <x:v>831.5178039794827</x:v>
      </x:c>
      <x:c r="I150" s="27" t="n">
        <x:f>'Source Data'!G173*G150*'Assumptions'!$F$58*'Assumptions'!$G$58</x:f>
        <x:v>898.9808614228544</x:v>
      </x:c>
      <x:c r="J150" s="27" t="n">
        <x:f>'Source Data'!H173*G150*'Assumptions'!$F$58*'Assumptions'!$G$58</x:f>
        <x:v>922.3126098247</x:v>
      </x:c>
      <x:c r="K150" s="27" t="n">
        <x:f>'Source Data'!I173*G150*'Assumptions'!$F$58*'Assumptions'!$G$58</x:f>
        <x:v>830.21686347782</x:v>
      </x:c>
      <x:c r="L150" s="27" t="n">
        <x:f>'Source Data'!J173*G150*'Assumptions'!$F$58*'Assumptions'!$G$58</x:f>
        <x:v>868.8501501611281</x:v>
      </x:c>
      <x:c r="M150" s="27" t="n">
        <x:f>SUMPRODUCT(H150:L150,'Source Data'!D17:H17)</x:f>
        <x:v>915.5075165408284</x:v>
      </x:c>
      <x:c r="N150" s="27" t="n">
        <x:f>SUMPRODUCT(H150:L150,'Source Data'!D18:H18)</x:f>
        <x:v>919.7372939920019</x:v>
      </x:c>
      <x:c r="O150" s="27" t="n">
        <x:f>SUMPRODUCT(H150:L150,'Source Data'!D19:H19)</x:f>
        <x:v>903.1259960024333</x:v>
      </x:c>
      <x:c r="P150" s="27" t="n">
        <x:f>SUMPRODUCT(H150:L150,'Source Data'!D20:H20)</x:f>
        <x:v>880.1020594157135</x:v>
      </x:c>
      <x:c r="Q150" s="27" t="n">
        <x:f>SUMPRODUCT(H150:L150,'Source Data'!D21:H21)</x:f>
        <x:v>857.0781228289934</x:v>
      </x:c>
      <x:c r="R150" s="27" t="n">
        <x:f>SUMPRODUCT(H150:L150,'Source Data'!D22:H22)</x:f>
        <x:v>835.8698672565814</x:v>
      </x:c>
      <x:c r="S150" s="27" t="n">
        <x:f>SUMPRODUCT(H150:L150,'Source Data'!D23:H23)</x:f>
        <x:v>838.2654648701757</x:v>
      </x:c>
      <x:c r="T150" s="27" t="n">
        <x:f>SUMPRODUCT(H150:L150,'Source Data'!D24:H24)</x:f>
        <x:v>847.923786541003</x:v>
      </x:c>
      <x:c r="U150" s="3"/>
      <x:c r="V150" s="3"/>
      <x:c r="W150" s="28" t="n">
        <x:f>M150*F150</x:f>
        <x:v>915.5075165408284</x:v>
      </x:c>
      <x:c r="X150" s="28" t="n">
        <x:f>N150*F150</x:f>
        <x:v>919.7372939920019</x:v>
      </x:c>
      <x:c r="Y150" s="28" t="n">
        <x:f>O150*F150</x:f>
        <x:v>903.1259960024333</x:v>
      </x:c>
      <x:c r="Z150" s="28" t="n">
        <x:f>P150*F150</x:f>
        <x:v>880.1020594157135</x:v>
      </x:c>
      <x:c r="AA150" s="28" t="n">
        <x:f>Q150*F150</x:f>
        <x:v>857.0781228289934</x:v>
      </x:c>
      <x:c r="AB150" s="28" t="n">
        <x:f>R150*F150</x:f>
        <x:v>835.8698672565814</x:v>
      </x:c>
      <x:c r="AC150" s="28" t="n">
        <x:f>S150*F150</x:f>
        <x:v>838.2654648701757</x:v>
      </x:c>
      <x:c r="AD150" s="28" t="n">
        <x:f>T150*F150</x:f>
        <x:v>847.923786541003</x:v>
      </x:c>
    </x:row>
    <x:row r="151" ht="19" customHeight="1">
      <x:c r="A151" s="2"/>
      <x:c r="B151" s="2"/>
      <x:c r="C151" s="45" t="n">
        <x:f>'Source Data'!C174</x:f>
        <x:v>3</x:v>
      </x:c>
      <x:c r="D151" s="45" t="n">
        <x:f>'Source Data'!D174</x:f>
        <x:v>7</x:v>
      </x:c>
      <x:c r="E151" s="45" t="n">
        <x:f>'Source Data'!E174</x:f>
        <x:v>3</x:v>
      </x:c>
      <x:c r="F151" s="27" t="n">
        <x:f>IF(D151=0,0.5,1)*EXP(-'Assumptions'!$D$21*MAX(D151-6,0))</x:f>
        <x:v>0.9136844571609987</x:v>
      </x:c>
      <x:c r="G151" s="27" t="n">
        <x:f>IF(D151/'Assumptions'!$D$20&gt;=31,0,INDEX('Source Data'!$N$29:$N$60,INT(D151/'Assumptions'!$D$20)+1)+(D151/'Assumptions'!$D$20-INT(D151/'Assumptions'!$D$20))*(INDEX('Source Data'!$N$29:$N$60,MIN(32,INT(D151/'Assumptions'!$D$20)+2))-INDEX('Source Data'!$N$29:$N$60,INT(D151/'Assumptions'!$D$20)+1)))</x:f>
        <x:v>0.908656050955414</x:v>
      </x:c>
      <x:c r="H151" s="27" t="n">
        <x:f>'Source Data'!F174*G151*'Assumptions'!$F$58*'Assumptions'!$G$58</x:f>
        <x:v>778.2470211149316</x:v>
      </x:c>
      <x:c r="I151" s="27" t="n">
        <x:f>'Source Data'!G174*G151*'Assumptions'!$F$58*'Assumptions'!$G$58</x:f>
        <x:v>811.6566154557242</x:v>
      </x:c>
      <x:c r="J151" s="27" t="n">
        <x:f>'Source Data'!H174*G151*'Assumptions'!$F$58*'Assumptions'!$G$58</x:f>
        <x:v>877.5082864731415</x:v>
      </x:c>
      <x:c r="K151" s="27" t="n">
        <x:f>'Source Data'!I174*G151*'Assumptions'!$F$58*'Assumptions'!$G$58</x:f>
        <x:v>900.2827452398401</x:v>
      </x:c>
      <x:c r="L151" s="27" t="n">
        <x:f>'Source Data'!J174*G151*'Assumptions'!$F$58*'Assumptions'!$G$58</x:f>
        <x:v>810.386748521504</x:v>
      </x:c>
      <x:c r="M151" s="27" t="n">
        <x:f>SUMPRODUCT(H151:L151,'Source Data'!D17:H17)</x:f>
        <x:v>858.3015490930616</x:v>
      </x:c>
      <x:c r="N151" s="27" t="n">
        <x:f>SUMPRODUCT(H151:L151,'Source Data'!D18:H18)</x:f>
        <x:v>874.1661722328225</x:v>
      </x:c>
      <x:c r="O151" s="27" t="n">
        <x:f>SUMPRODUCT(H151:L151,'Source Data'!D19:H19)</x:f>
        <x:v>882.2529653828703</x:v>
      </x:c>
      <x:c r="P151" s="27" t="n">
        <x:f>SUMPRODUCT(H151:L151,'Source Data'!D20:H20)</x:f>
        <x:v>887.9465800745452</x:v>
      </x:c>
      <x:c r="Q151" s="27" t="n">
        <x:f>SUMPRODUCT(H151:L151,'Source Data'!D21:H21)</x:f>
        <x:v>893.6401947662197</x:v>
      </x:c>
      <x:c r="R151" s="27" t="n">
        <x:f>SUMPRODUCT(H151:L151,'Source Data'!D22:H22)</x:f>
        <x:v>897.7689420206021</x:v>
      </x:c>
      <x:c r="S151" s="27" t="n">
        <x:f>SUMPRODUCT(H151:L151,'Source Data'!D23:H23)</x:f>
        <x:v>881.5544125901868</x:v>
      </x:c>
      <x:c r="T151" s="27" t="n">
        <x:f>SUMPRODUCT(H151:L151,'Source Data'!D24:H24)</x:f>
        <x:v>859.0804134106029</x:v>
      </x:c>
      <x:c r="U151" s="3"/>
      <x:c r="V151" s="3"/>
      <x:c r="W151" s="28" t="n">
        <x:f>M151*F151</x:f>
        <x:v>784.2167849635382</x:v>
      </x:c>
      <x:c r="X151" s="28" t="n">
        <x:f>N151*F151</x:f>
        <x:v>798.7120445450545</x:v>
      </x:c>
      <x:c r="Y151" s="28" t="n">
        <x:f>O151*F151</x:f>
        <x:v>806.1008217545292</x:v>
      </x:c>
      <x:c r="Z151" s="28" t="n">
        <x:f>P151*F151</x:f>
        <x:v>811.3029890033761</x:v>
      </x:c>
      <x:c r="AA151" s="28" t="n">
        <x:f>Q151*F151</x:f>
        <x:v>816.5051562522225</x:v>
      </x:c>
      <x:c r="AB151" s="28" t="n">
        <x:f>R151*F151</x:f>
        <x:v>820.2775284460979</x:v>
      </x:c>
      <x:c r="AC151" s="28" t="n">
        <x:f>S151*F151</x:f>
        <x:v>805.4625649253478</x:v>
      </x:c>
      <x:c r="AD151" s="28" t="n">
        <x:f>T151*F151</x:f>
        <x:v>784.928421184713</x:v>
      </x:c>
    </x:row>
    <x:row r="152" ht="19" customHeight="1">
      <x:c r="A152" s="2"/>
      <x:c r="B152" s="2"/>
      <x:c r="C152" s="45" t="n">
        <x:f>'Source Data'!C175</x:f>
        <x:v>3</x:v>
      </x:c>
      <x:c r="D152" s="45" t="n">
        <x:f>'Source Data'!D175</x:f>
        <x:v>8</x:v>
      </x:c>
      <x:c r="E152" s="45" t="n">
        <x:f>'Source Data'!E175</x:f>
        <x:v>3</x:v>
      </x:c>
      <x:c r="F152" s="27" t="n">
        <x:f>IF(D152=0,0.5,1)*EXP(-'Assumptions'!$D$21*MAX(D152-6,0))</x:f>
        <x:v>0.8348192872575889</x:v>
      </x:c>
      <x:c r="G152" s="27" t="n">
        <x:f>IF(D152/'Assumptions'!$D$20&gt;=31,0,INDEX('Source Data'!$N$29:$N$60,INT(D152/'Assumptions'!$D$20)+1)+(D152/'Assumptions'!$D$20-INT(D152/'Assumptions'!$D$20))*(INDEX('Source Data'!$N$29:$N$60,MIN(32,INT(D152/'Assumptions'!$D$20)+2))-INDEX('Source Data'!$N$29:$N$60,INT(D152/'Assumptions'!$D$20)+1)))</x:f>
        <x:v>0.8820609645131938</x:v>
      </x:c>
      <x:c r="H152" s="27" t="n">
        <x:f>'Source Data'!F175*G152*'Assumptions'!$F$58*'Assumptions'!$G$58</x:f>
        <x:v>702.8149361012023</x:v>
      </x:c>
      <x:c r="I152" s="27" t="n">
        <x:f>'Source Data'!G175*G152*'Assumptions'!$F$58*'Assumptions'!$G$58</x:f>
        <x:v>755.4688238221394</x:v>
      </x:c>
      <x:c r="J152" s="27" t="n">
        <x:f>'Source Data'!H175*G152*'Assumptions'!$F$58*'Assumptions'!$G$58</x:f>
        <x:v>787.9005662589483</x:v>
      </x:c>
      <x:c r="K152" s="27" t="n">
        <x:f>'Source Data'!I175*G152*'Assumptions'!$F$58*'Assumptions'!$G$58</x:f>
        <x:v>851.824851351591</x:v>
      </x:c>
      <x:c r="L152" s="27" t="n">
        <x:f>'Source Data'!J175*G152*'Assumptions'!$F$58*'Assumptions'!$G$58</x:f>
        <x:v>873.9327336959587</x:v>
      </x:c>
      <x:c r="M152" s="27" t="n">
        <x:f>SUMPRODUCT(H152:L152,'Source Data'!D17:H17)</x:f>
        <x:v>778.4413080482124</x:v>
      </x:c>
      <x:c r="N152" s="27" t="n">
        <x:f>SUMPRODUCT(H152:L152,'Source Data'!D18:H18)</x:f>
        <x:v>786.9866400831901</x:v>
      </x:c>
      <x:c r="O152" s="27" t="n">
        <x:f>SUMPRODUCT(H152:L152,'Source Data'!D19:H19)</x:f>
        <x:v>801.2181256532488</x:v>
      </x:c>
      <x:c r="P152" s="27" t="n">
        <x:f>SUMPRODUCT(H152:L152,'Source Data'!D20:H20)</x:f>
        <x:v>817.1991969264096</x:v>
      </x:c>
      <x:c r="Q152" s="27" t="n">
        <x:f>SUMPRODUCT(H152:L152,'Source Data'!D21:H21)</x:f>
        <x:v>833.1802681995702</x:v>
      </x:c>
      <x:c r="R152" s="27" t="n">
        <x:f>SUMPRODUCT(H152:L152,'Source Data'!D22:H22)</x:f>
        <x:v>848.5805561012271</x:v>
      </x:c>
      <x:c r="S152" s="27" t="n">
        <x:f>SUMPRODUCT(H152:L152,'Source Data'!D23:H23)</x:f>
        <x:v>856.4306601733342</x:v>
      </x:c>
      <x:c r="T152" s="27" t="n">
        <x:f>SUMPRODUCT(H152:L152,'Source Data'!D24:H24)</x:f>
        <x:v>861.9576307594263</x:v>
      </x:c>
      <x:c r="U152" s="3"/>
      <x:c r="V152" s="3"/>
      <x:c r="W152" s="28" t="n">
        <x:f>M152*F152</x:f>
        <x:v>649.8578179566739</x:v>
      </x:c>
      <x:c r="X152" s="28" t="n">
        <x:f>N152*F152</x:f>
        <x:v>656.9916259554934</x:v>
      </x:c>
      <x:c r="Y152" s="28" t="n">
        <x:f>O152*F152</x:f>
        <x:v>668.8723445957064</x:v>
      </x:c>
      <x:c r="Z152" s="28" t="n">
        <x:f>P152*F152</x:f>
        <x:v>682.2136511255793</x:v>
      </x:c>
      <x:c r="AA152" s="28" t="n">
        <x:f>Q152*F152</x:f>
        <x:v>695.554957655452</x:v>
      </x:c>
      <x:c r="AB152" s="28" t="n">
        <x:f>R152*F152</x:f>
        <x:v>708.4114150250748</x:v>
      </x:c>
      <x:c r="AC152" s="28" t="n">
        <x:f>S152*F152</x:f>
        <x:v>714.9648333114492</x:v>
      </x:c>
      <x:c r="AD152" s="28" t="n">
        <x:f>T152*F152</x:f>
        <x:v>719.5788549568242</x:v>
      </x:c>
    </x:row>
    <x:row r="153" ht="19" customHeight="1">
      <x:c r="A153" s="2"/>
      <x:c r="B153" s="2"/>
      <x:c r="C153" s="45" t="n">
        <x:f>'Source Data'!C176</x:f>
        <x:v>3</x:v>
      </x:c>
      <x:c r="D153" s="45" t="n">
        <x:f>'Source Data'!D176</x:f>
        <x:v>9</x:v>
      </x:c>
      <x:c r="E153" s="45" t="n">
        <x:f>'Source Data'!E176</x:f>
        <x:v>3</x:v>
      </x:c>
      <x:c r="F153" s="27" t="n">
        <x:f>IF(D153=0,0.5,1)*EXP(-'Assumptions'!$D$21*MAX(D153-6,0))</x:f>
        <x:v>0.7627614073054819</x:v>
      </x:c>
      <x:c r="G153" s="27" t="n">
        <x:f>IF(D153/'Assumptions'!$D$20&gt;=31,0,INDEX('Source Data'!$N$29:$N$60,INT(D153/'Assumptions'!$D$20)+1)+(D153/'Assumptions'!$D$20-INT(D153/'Assumptions'!$D$20))*(INDEX('Source Data'!$N$29:$N$60,MIN(32,INT(D153/'Assumptions'!$D$20)+2))-INDEX('Source Data'!$N$29:$N$60,INT(D153/'Assumptions'!$D$20)+1)))</x:f>
        <x:v>0.8521865332120109</x:v>
      </x:c>
      <x:c r="H153" s="27" t="n">
        <x:f>'Source Data'!F176*G153*'Assumptions'!$F$58*'Assumptions'!$G$58</x:f>
        <x:v>601.4153366226739</x:v>
      </x:c>
      <x:c r="I153" s="27" t="n">
        <x:f>'Source Data'!G176*G153*'Assumptions'!$F$58*'Assumptions'!$G$58</x:f>
        <x:v>679.0113699411372</x:v>
      </x:c>
      <x:c r="J153" s="27" t="n">
        <x:f>'Source Data'!H176*G153*'Assumptions'!$F$58*'Assumptions'!$G$58</x:f>
        <x:v>729.8819286012224</x:v>
      </x:c>
      <x:c r="K153" s="27" t="n">
        <x:f>'Source Data'!I176*G153*'Assumptions'!$F$58*'Assumptions'!$G$58</x:f>
        <x:v>761.2152437179416</x:v>
      </x:c>
      <x:c r="L153" s="27" t="n">
        <x:f>'Source Data'!J176*G153*'Assumptions'!$F$58*'Assumptions'!$G$58</x:f>
        <x:v>822.9744838303527</x:v>
      </x:c>
      <x:c r="M153" s="27" t="n">
        <x:f>SUMPRODUCT(H153:L153,'Source Data'!D17:H17)</x:f>
        <x:v>715.0446823253642</x:v>
      </x:c>
      <x:c r="N153" s="27" t="n">
        <x:f>SUMPRODUCT(H153:L153,'Source Data'!D18:H18)</x:f>
        <x:v>727.4909713856165</x:v>
      </x:c>
      <x:c r="O153" s="27" t="n">
        <x:f>SUMPRODUCT(H153:L153,'Source Data'!D19:H19)</x:f>
        <x:v>736.4097025838722</x:v>
      </x:c>
      <x:c r="P153" s="27" t="n">
        <x:f>SUMPRODUCT(H153:L153,'Source Data'!D20:H20)</x:f>
        <x:v>744.2430313630521</x:v>
      </x:c>
      <x:c r="Q153" s="27" t="n">
        <x:f>SUMPRODUCT(H153:L153,'Source Data'!D21:H21)</x:f>
        <x:v>752.0763601422318</x:v>
      </x:c>
      <x:c r="R153" s="27" t="n">
        <x:f>SUMPRODUCT(H153:L153,'Source Data'!D22:H22)</x:f>
        <x:v>760.3322712130184</x:v>
      </x:c>
      <x:c r="S153" s="27" t="n">
        <x:f>SUMPRODUCT(H153:L153,'Source Data'!D23:H23)</x:f>
        <x:v>774.0817520746939</x:v>
      </x:c>
      <x:c r="T153" s="27" t="n">
        <x:f>SUMPRODUCT(H153:L153,'Source Data'!D24:H24)</x:f>
        <x:v>789.5215621027968</x:v>
      </x:c>
      <x:c r="U153" s="3"/>
      <x:c r="V153" s="3"/>
      <x:c r="W153" s="28" t="n">
        <x:f>M153*F153</x:f>
        <x:v>545.408488176796</x:v>
      </x:c>
      <x:c r="X153" s="28" t="n">
        <x:f>N153*F153</x:f>
        <x:v>554.9020371361249</x:v>
      </x:c>
      <x:c r="Y153" s="28" t="n">
        <x:f>O153*F153</x:f>
        <x:v>561.7049010962858</x:v>
      </x:c>
      <x:c r="Z153" s="28" t="n">
        <x:f>P153*F153</x:f>
        <x:v>567.6798619797795</x:v>
      </x:c>
      <x:c r="AA153" s="28" t="n">
        <x:f>Q153*F153</x:f>
        <x:v>573.6548228632732</x:v>
      </x:c>
      <x:c r="AB153" s="28" t="n">
        <x:f>R153*F153</x:f>
        <x:v>579.9521132102153</x:v>
      </x:c>
      <x:c r="AC153" s="28" t="n">
        <x:f>S153*F153</x:f>
        <x:v>590.4396865819866</x:v>
      </x:c>
      <x:c r="AD153" s="28" t="n">
        <x:f>T153*F153</x:f>
        <x:v>602.2165778075517</x:v>
      </x:c>
    </x:row>
    <x:row r="154" ht="19" customHeight="1">
      <x:c r="A154" s="2"/>
      <x:c r="B154" s="2"/>
      <x:c r="C154" s="45" t="n">
        <x:f>'Source Data'!C177</x:f>
        <x:v>3</x:v>
      </x:c>
      <x:c r="D154" s="45" t="n">
        <x:f>'Source Data'!D177</x:f>
        <x:v>10</x:v>
      </x:c>
      <x:c r="E154" s="45" t="n">
        <x:f>'Source Data'!E177</x:f>
        <x:v>4</x:v>
      </x:c>
      <x:c r="F154" s="27" t="n">
        <x:f>IF(D154=0,0.5,1)*EXP(-'Assumptions'!$D$21*MAX(D154-6,0))</x:f>
        <x:v>0.6969232423772687</x:v>
      </x:c>
      <x:c r="G154" s="27" t="n">
        <x:f>IF(D154/'Assumptions'!$D$20&gt;=31,0,INDEX('Source Data'!$N$29:$N$60,INT(D154/'Assumptions'!$D$20)+1)+(D154/'Assumptions'!$D$20-INT(D154/'Assumptions'!$D$20))*(INDEX('Source Data'!$N$29:$N$60,MIN(32,INT(D154/'Assumptions'!$D$20)+2))-INDEX('Source Data'!$N$29:$N$60,INT(D154/'Assumptions'!$D$20)+1)))</x:f>
        <x:v>0.8191319381255686</x:v>
      </x:c>
      <x:c r="H154" s="27" t="n">
        <x:f>'Source Data'!F177*G154*'Assumptions'!$F$58*'Assumptions'!$G$58</x:f>
        <x:v>524.1751403886076</x:v>
      </x:c>
      <x:c r="I154" s="27" t="n">
        <x:f>'Source Data'!G177*G154*'Assumptions'!$F$58*'Assumptions'!$G$58</x:f>
        <x:v>578.0876499530547</x:v>
      </x:c>
      <x:c r="J154" s="27" t="n">
        <x:f>'Source Data'!H177*G154*'Assumptions'!$F$58*'Assumptions'!$G$58</x:f>
        <x:v>652.6738898029585</x:v>
      </x:c>
      <x:c r="K154" s="27" t="n">
        <x:f>'Source Data'!I177*G154*'Assumptions'!$F$58*'Assumptions'!$G$58</x:f>
        <x:v>701.5712821986199</x:v>
      </x:c>
      <x:c r="L154" s="27" t="n">
        <x:f>'Source Data'!J177*G154*'Assumptions'!$F$58*'Assumptions'!$G$58</x:f>
        <x:v>731.6892412829039</x:v>
      </x:c>
      <x:c r="M154" s="27" t="n">
        <x:f>SUMPRODUCT(H154:L154,'Source Data'!D17:H17)</x:f>
        <x:v>630.9195698467365</x:v>
      </x:c>
      <x:c r="N154" s="27" t="n">
        <x:f>SUMPRODUCT(H154:L154,'Source Data'!D18:H18)</x:f>
        <x:v>649.2093402612369</x:v>
      </x:c>
      <x:c r="O154" s="27" t="n">
        <x:f>SUMPRODUCT(H154:L154,'Source Data'!D19:H19)</x:f>
        <x:v>662.8608465520546</x:v>
      </x:c>
      <x:c r="P154" s="27" t="n">
        <x:f>SUMPRODUCT(H154:L154,'Source Data'!D20:H20)</x:f>
        <x:v>675.0851946509699</x:v>
      </x:c>
      <x:c r="Q154" s="27" t="n">
        <x:f>SUMPRODUCT(H154:L154,'Source Data'!D21:H21)</x:f>
        <x:v>687.3095427498853</x:v>
      </x:c>
      <x:c r="R154" s="27" t="n">
        <x:f>SUMPRODUCT(H154:L154,'Source Data'!D22:H22)</x:f>
        <x:v>699.2730653861427</x:v>
      </x:c>
      <x:c r="S154" s="27" t="n">
        <x:f>SUMPRODUCT(H154:L154,'Source Data'!D23:H23)</x:f>
        <x:v>707.8458570078458</x:v>
      </x:c>
      <x:c r="T154" s="27" t="n">
        <x:f>SUMPRODUCT(H154:L154,'Source Data'!D24:H24)</x:f>
        <x:v>715.3753467789168</x:v>
      </x:c>
      <x:c r="U154" s="3"/>
      <x:c r="V154" s="3"/>
      <x:c r="W154" s="28" t="n">
        <x:f>M154*F154</x:f>
        <x:v>439.70251229685925</x:v>
      </x:c>
      <x:c r="X154" s="28" t="n">
        <x:f>N154*F154</x:f>
        <x:v>452.4490783964687</x:v>
      </x:c>
      <x:c r="Y154" s="28" t="n">
        <x:f>O154*F154</x:f>
        <x:v>461.963130423999</x:v>
      </x:c>
      <x:c r="Z154" s="28" t="n">
        <x:f>P154*F154</x:f>
        <x:v>470.4825627370435</x:v>
      </x:c>
      <x:c r="AA154" s="28" t="n">
        <x:f>Q154*F154</x:f>
        <x:v>479.001995050088</x:v>
      </x:c>
      <x:c r="AB154" s="28" t="n">
        <x:f>R154*F154</x:f>
        <x:v>487.33965203600235</x:v>
      </x:c>
      <x:c r="AC154" s="28" t="n">
        <x:f>S154*F154</x:f>
        <x:v>493.31422976922437</x:v>
      </x:c>
      <x:c r="AD154" s="28" t="n">
        <x:f>T154*F154</x:f>
        <x:v>498.5617061939256</x:v>
      </x:c>
    </x:row>
    <x:row r="155" ht="19" customHeight="1">
      <x:c r="A155" s="2"/>
      <x:c r="B155" s="2"/>
      <x:c r="C155" s="45" t="n">
        <x:f>'Source Data'!C178</x:f>
        <x:v>3</x:v>
      </x:c>
      <x:c r="D155" s="45" t="n">
        <x:f>'Source Data'!D178</x:f>
        <x:v>11</x:v>
      </x:c>
      <x:c r="E155" s="45" t="n">
        <x:f>'Source Data'!E178</x:f>
        <x:v>4</x:v>
      </x:c>
      <x:c r="F155" s="27" t="n">
        <x:f>IF(D155=0,0.5,1)*EXP(-'Assumptions'!$D$21*MAX(D155-6,0))</x:f>
        <x:v>0.6367679343943579</x:v>
      </x:c>
      <x:c r="G155" s="27" t="n">
        <x:f>IF(D155/'Assumptions'!$D$20&gt;=31,0,INDEX('Source Data'!$N$29:$N$60,INT(D155/'Assumptions'!$D$20)+1)+(D155/'Assumptions'!$D$20-INT(D155/'Assumptions'!$D$20))*(INDEX('Source Data'!$N$29:$N$60,MIN(32,INT(D155/'Assumptions'!$D$20)+2))-INDEX('Source Data'!$N$29:$N$60,INT(D155/'Assumptions'!$D$20)+1)))</x:f>
        <x:v>0.7836087352138308</x:v>
      </x:c>
      <x:c r="H155" s="27" t="n">
        <x:f>'Source Data'!F178*G155*'Assumptions'!$F$58*'Assumptions'!$G$58</x:f>
        <x:v>454.6533941581648</x:v>
      </x:c>
      <x:c r="I155" s="27" t="n">
        <x:f>'Source Data'!G178*G155*'Assumptions'!$F$58*'Assumptions'!$G$58</x:f>
        <x:v>501.4432958509346</x:v>
      </x:c>
      <x:c r="J155" s="27" t="n">
        <x:f>'Source Data'!H178*G155*'Assumptions'!$F$58*'Assumptions'!$G$58</x:f>
        <x:v>553.0177876582895</x:v>
      </x:c>
      <x:c r="K155" s="27" t="n">
        <x:f>'Source Data'!I178*G155*'Assumptions'!$F$58*'Assumptions'!$G$58</x:f>
        <x:v>624.3694544079493</x:v>
      </x:c>
      <x:c r="L155" s="27" t="n">
        <x:f>'Source Data'!J178*G155*'Assumptions'!$F$58*'Assumptions'!$G$58</x:f>
        <x:v>671.1463190704342</x:v>
      </x:c>
      <x:c r="M155" s="27" t="n">
        <x:f>SUMPRODUCT(H155:L155,'Source Data'!D17:H17)</x:f>
        <x:v>537.9752275478111</x:v>
      </x:c>
      <x:c r="N155" s="27" t="n">
        <x:f>SUMPRODUCT(H155:L155,'Source Data'!D18:H18)</x:f>
        <x:v>551.1435334849596</x:v>
      </x:c>
      <x:c r="O155" s="27" t="n">
        <x:f>SUMPRODUCT(H155:L155,'Source Data'!D19:H19)</x:f>
        <x:v>567.8827182311353</x:v>
      </x:c>
      <x:c r="P155" s="27" t="n">
        <x:f>SUMPRODUCT(H155:L155,'Source Data'!D20:H20)</x:f>
        <x:v>585.7206349185503</x:v>
      </x:c>
      <x:c r="Q155" s="27" t="n">
        <x:f>SUMPRODUCT(H155:L155,'Source Data'!D21:H21)</x:f>
        <x:v>603.5585516059652</x:v>
      </x:c>
      <x:c r="R155" s="27" t="n">
        <x:f>SUMPRODUCT(H155:L155,'Source Data'!D22:H22)</x:f>
        <x:v>621.055151597725</x:v>
      </x:c>
      <x:c r="S155" s="27" t="n">
        <x:f>SUMPRODUCT(H155:L155,'Source Data'!D23:H23)</x:f>
        <x:v>634.114634545967</x:v>
      </x:c>
      <x:c r="T155" s="27" t="n">
        <x:f>SUMPRODUCT(H155:L155,'Source Data'!D24:H24)</x:f>
        <x:v>645.8088507115883</x:v>
      </x:c>
      <x:c r="U155" s="3"/>
      <x:c r="V155" s="3"/>
      <x:c r="W155" s="28" t="n">
        <x:f>M155*F155</x:f>
        <x:v>342.5653744009543</x:v>
      </x:c>
      <x:c r="X155" s="28" t="n">
        <x:f>N155*F155</x:f>
        <x:v>350.9505293720253</x:v>
      </x:c>
      <x:c r="Y155" s="28" t="n">
        <x:f>O155*F155</x:f>
        <x:v>361.6095054662932</x:v>
      </x:c>
      <x:c r="Z155" s="28" t="n">
        <x:f>P155*F155</x:f>
        <x:v>372.9681188292371</x:v>
      </x:c>
      <x:c r="AA155" s="28" t="n">
        <x:f>Q155*F155</x:f>
        <x:v>384.32673219218094</x:v>
      </x:c>
      <x:c r="AB155" s="28" t="n">
        <x:f>R155*F155</x:f>
        <x:v>395.4680060278581</x:v>
      </x:c>
      <x:c r="AC155" s="28" t="n">
        <x:f>S155*F155</x:f>
        <x:v>403.7838660090685</x:v>
      </x:c>
      <x:c r="AD155" s="28" t="n">
        <x:f>T155*F155</x:f>
        <x:v>411.2303678812123</x:v>
      </x:c>
    </x:row>
    <x:row r="156" ht="19" customHeight="1">
      <x:c r="A156" s="2"/>
      <x:c r="B156" s="2"/>
      <x:c r="C156" s="45" t="n">
        <x:f>'Source Data'!C179</x:f>
        <x:v>3</x:v>
      </x:c>
      <x:c r="D156" s="45" t="n">
        <x:f>'Source Data'!D179</x:f>
        <x:v>12</x:v>
      </x:c>
      <x:c r="E156" s="45" t="n">
        <x:f>'Source Data'!E179</x:f>
        <x:v>4</x:v>
      </x:c>
      <x:c r="F156" s="27" t="n">
        <x:f>IF(D156=0,0.5,1)*EXP(-'Assumptions'!$D$21*MAX(D156-6,0))</x:f>
        <x:v>0.5818049644746394</x:v>
      </x:c>
      <x:c r="G156" s="27" t="n">
        <x:f>IF(D156/'Assumptions'!$D$20&gt;=31,0,INDEX('Source Data'!$N$29:$N$60,INT(D156/'Assumptions'!$D$20)+1)+(D156/'Assumptions'!$D$20-INT(D156/'Assumptions'!$D$20))*(INDEX('Source Data'!$N$29:$N$60,MIN(32,INT(D156/'Assumptions'!$D$20)+2))-INDEX('Source Data'!$N$29:$N$60,INT(D156/'Assumptions'!$D$20)+1)))</x:f>
        <x:v>0.7444822565969063</x:v>
      </x:c>
      <x:c r="H156" s="27" t="n">
        <x:f>'Source Data'!F179*G156*'Assumptions'!$F$58*'Assumptions'!$G$58</x:f>
        <x:v>399.3890361438799</x:v>
      </x:c>
      <x:c r="I156" s="27" t="n">
        <x:f>'Source Data'!G179*G156*'Assumptions'!$F$58*'Assumptions'!$G$58</x:f>
        <x:v>431.9520312135731</x:v>
      </x:c>
      <x:c r="J156" s="27" t="n">
        <x:f>'Source Data'!H179*G156*'Assumptions'!$F$58*'Assumptions'!$G$58</x:f>
        <x:v>476.4056597054443</x:v>
      </x:c>
      <x:c r="K156" s="27" t="n">
        <x:f>'Source Data'!I179*G156*'Assumptions'!$F$58*'Assumptions'!$G$58</x:f>
        <x:v>525.4049782660021</x:v>
      </x:c>
      <x:c r="L156" s="27" t="n">
        <x:f>'Source Data'!J179*G156*'Assumptions'!$F$58*'Assumptions'!$G$58</x:f>
        <x:v>593.1939748488973</x:v>
      </x:c>
      <x:c r="M156" s="27" t="n">
        <x:f>SUMPRODUCT(H156:L156,'Source Data'!D17:H17)</x:f>
        <x:v>463.44001806198185</x:v>
      </x:c>
      <x:c r="N156" s="27" t="n">
        <x:f>SUMPRODUCT(H156:L156,'Source Data'!D18:H18)</x:f>
        <x:v>474.6165597692369</x:v>
      </x:c>
      <x:c r="O156" s="27" t="n">
        <x:f>SUMPRODUCT(H156:L156,'Source Data'!D19:H19)</x:f>
        <x:v>486.61385107222713</x:v>
      </x:c>
      <x:c r="P156" s="27" t="n">
        <x:f>SUMPRODUCT(H156:L156,'Source Data'!D20:H20)</x:f>
        <x:v>498.8636807123667</x:v>
      </x:c>
      <x:c r="Q156" s="27" t="n">
        <x:f>SUMPRODUCT(H156:L156,'Source Data'!D21:H21)</x:f>
        <x:v>511.11351035250607</x:v>
      </x:c>
      <x:c r="R156" s="27" t="n">
        <x:f>SUMPRODUCT(H156:L156,'Source Data'!D22:H22)</x:f>
        <x:v>523.6243077429558</x:v>
      </x:c>
      <x:c r="S156" s="27" t="n">
        <x:f>SUMPRODUCT(H156:L156,'Source Data'!D23:H23)</x:f>
        <x:v>539.5276858874386</x:v>
      </x:c>
      <x:c r="T156" s="27" t="n">
        <x:f>SUMPRODUCT(H156:L156,'Source Data'!D24:H24)</x:f>
        <x:v>556.4749350331624</x:v>
      </x:c>
      <x:c r="U156" s="3"/>
      <x:c r="V156" s="3"/>
      <x:c r="W156" s="28" t="n">
        <x:f>M156*F156</x:f>
        <x:v>269.63170324467757</x:v>
      </x:c>
      <x:c r="X156" s="28" t="n">
        <x:f>N156*F156</x:f>
        <x:v>276.1342706956164</x:v>
      </x:c>
      <x:c r="Y156" s="28" t="n">
        <x:f>O156*F156</x:f>
        <x:v>283.11435433594454</x:v>
      </x:c>
      <x:c r="Z156" s="28" t="n">
        <x:f>P156*F156</x:f>
        <x:v>290.24136603454633</x:v>
      </x:c>
      <x:c r="AA156" s="28" t="n">
        <x:f>Q156*F156</x:f>
        <x:v>297.368377733148</x:v>
      </x:c>
      <x:c r="AB156" s="28" t="n">
        <x:f>R156*F156</x:f>
        <x:v>304.64722176444803</x:v>
      </x:c>
      <x:c r="AC156" s="28" t="n">
        <x:f>S156*F156</x:f>
        <x:v>313.89988612082556</x:v>
      </x:c>
      <x:c r="AD156" s="28" t="n">
        <x:f>T156*F156</x:f>
        <x:v>323.7598798079963</x:v>
      </x:c>
    </x:row>
    <x:row r="157" ht="19" customHeight="1">
      <x:c r="A157" s="2"/>
      <x:c r="B157" s="2"/>
      <x:c r="C157" s="45" t="n">
        <x:f>'Source Data'!C180</x:f>
        <x:v>3</x:v>
      </x:c>
      <x:c r="D157" s="45" t="n">
        <x:f>'Source Data'!D180</x:f>
        <x:v>13</x:v>
      </x:c>
      <x:c r="E157" s="45" t="n">
        <x:f>'Source Data'!E180</x:f>
        <x:v>5</x:v>
      </x:c>
      <x:c r="F157" s="27" t="n">
        <x:f>IF(D157=0,0.5,1)*EXP(-'Assumptions'!$D$21*MAX(D157-6,0))</x:f>
        <x:v>0.5315861531395849</x:v>
      </x:c>
      <x:c r="G157" s="27" t="n">
        <x:f>IF(D157/'Assumptions'!$D$20&gt;=31,0,INDEX('Source Data'!$N$29:$N$60,INT(D157/'Assumptions'!$D$20)+1)+(D157/'Assumptions'!$D$20-INT(D157/'Assumptions'!$D$20))*(INDEX('Source Data'!$N$29:$N$60,MIN(32,INT(D157/'Assumptions'!$D$20)+2))-INDEX('Source Data'!$N$29:$N$60,INT(D157/'Assumptions'!$D$20)+1)))</x:f>
        <x:v>0.7045268425841674</x:v>
      </x:c>
      <x:c r="H157" s="27" t="n">
        <x:f>'Source Data'!F180*G157*'Assumptions'!$F$58*'Assumptions'!$G$58</x:f>
        <x:v>337.4571350463414</x:v>
      </x:c>
      <x:c r="I157" s="27" t="n">
        <x:f>'Source Data'!G180*G157*'Assumptions'!$F$58*'Assumptions'!$G$58</x:f>
        <x:v>377.9543355182105</x:v>
      </x:c>
      <x:c r="J157" s="27" t="n">
        <x:f>'Source Data'!H180*G157*'Assumptions'!$F$58*'Assumptions'!$G$58</x:f>
        <x:v>408.76971613776004</x:v>
      </x:c>
      <x:c r="K157" s="27" t="n">
        <x:f>'Source Data'!I180*G157*'Assumptions'!$F$58*'Assumptions'!$G$58</x:f>
        <x:v>450.8375750360344</x:v>
      </x:c>
      <x:c r="L157" s="27" t="n">
        <x:f>'Source Data'!J180*G157*'Assumptions'!$F$58*'Assumptions'!$G$58</x:f>
        <x:v>497.2071626096129</x:v>
      </x:c>
      <x:c r="M157" s="27" t="n">
        <x:f>SUMPRODUCT(H157:L157,'Source Data'!D17:H17)</x:f>
        <x:v>399.78189679039144</x:v>
      </x:c>
      <x:c r="N157" s="27" t="n">
        <x:f>SUMPRODUCT(H157:L157,'Source Data'!D18:H18)</x:f>
        <x:v>407.64202636581666</x:v>
      </x:c>
      <x:c r="O157" s="27" t="n">
        <x:f>SUMPRODUCT(H157:L157,'Source Data'!D19:H19)</x:f>
        <x:v>417.5338534082338</x:v>
      </x:c>
      <x:c r="P157" s="27" t="n">
        <x:f>SUMPRODUCT(H157:L157,'Source Data'!D20:H20)</x:f>
        <x:v>428.05081813280253</x:v>
      </x:c>
      <x:c r="Q157" s="27" t="n">
        <x:f>SUMPRODUCT(H157:L157,'Source Data'!D21:H21)</x:f>
        <x:v>438.56778285737107</x:v>
      </x:c>
      <x:c r="R157" s="27" t="n">
        <x:f>SUMPRODUCT(H157:L157,'Source Data'!D22:H22)</x:f>
        <x:v>449.14449381354115</x:v>
      </x:c>
      <x:c r="S157" s="27" t="n">
        <x:f>SUMPRODUCT(H157:L157,'Source Data'!D23:H23)</x:f>
        <x:v>460.49790578052995</x:v>
      </x:c>
      <x:c r="T157" s="27" t="n">
        <x:f>SUMPRODUCT(H157:L157,'Source Data'!D24:H24)</x:f>
        <x:v>472.0903026739246</x:v>
      </x:c>
      <x:c r="U157" s="3"/>
      <x:c r="V157" s="3"/>
      <x:c r="W157" s="28" t="n">
        <x:f>M157*F157</x:f>
        <x:v>212.51852060965075</x:v>
      </x:c>
      <x:c r="X157" s="28" t="n">
        <x:f>N157*F157</x:f>
        <x:v>216.6968566538297</x:v>
      </x:c>
      <x:c r="Y157" s="28" t="n">
        <x:f>O157*F157</x:f>
        <x:v>221.95521493883038</x:v>
      </x:c>
      <x:c r="Z157" s="28" t="n">
        <x:f>P157*F157</x:f>
        <x:v>227.54588775946857</x:v>
      </x:c>
      <x:c r="AA157" s="28" t="n">
        <x:f>Q157*F157</x:f>
        <x:v>233.13656058010667</x:v>
      </x:c>
      <x:c r="AB157" s="28" t="n">
        <x:f>R157*F157</x:f>
        <x:v>238.75899367016643</x:v>
      </x:c>
      <x:c r="AC157" s="28" t="n">
        <x:f>S157*F157</x:f>
        <x:v>244.79431026270694</x:v>
      </x:c>
      <x:c r="AD157" s="28" t="n">
        <x:f>T157*F157</x:f>
        <x:v>250.95666793293387</x:v>
      </x:c>
    </x:row>
    <x:row r="158" ht="19" customHeight="1">
      <x:c r="A158" s="2"/>
      <x:c r="B158" s="2"/>
      <x:c r="C158" s="45" t="n">
        <x:f>'Source Data'!C181</x:f>
        <x:v>3</x:v>
      </x:c>
      <x:c r="D158" s="45" t="n">
        <x:f>'Source Data'!D181</x:f>
        <x:v>14</x:v>
      </x:c>
      <x:c r="E158" s="45" t="n">
        <x:f>'Source Data'!E181</x:f>
        <x:v>5</x:v>
      </x:c>
      <x:c r="F158" s="27" t="n">
        <x:f>IF(D158=0,0.5,1)*EXP(-'Assumptions'!$D$21*MAX(D158-6,0))</x:f>
        <x:v>0.4857020057656452</x:v>
      </x:c>
      <x:c r="G158" s="27" t="n">
        <x:f>IF(D158/'Assumptions'!$D$20&gt;=31,0,INDEX('Source Data'!$N$29:$N$60,INT(D158/'Assumptions'!$D$20)+1)+(D158/'Assumptions'!$D$20-INT(D158/'Assumptions'!$D$20))*(INDEX('Source Data'!$N$29:$N$60,MIN(32,INT(D158/'Assumptions'!$D$20)+2))-INDEX('Source Data'!$N$29:$N$60,INT(D158/'Assumptions'!$D$20)+1)))</x:f>
        <x:v>0.6630127388535032</x:v>
      </x:c>
      <x:c r="H158" s="27" t="n">
        <x:f>'Source Data'!F181*G158*'Assumptions'!$F$58*'Assumptions'!$G$58</x:f>
        <x:v>266.61091724254555</x:v>
      </x:c>
      <x:c r="I158" s="27" t="n">
        <x:f>'Source Data'!G181*G158*'Assumptions'!$F$58*'Assumptions'!$G$58</x:f>
        <x:v>317.5725406459614</x:v>
      </x:c>
      <x:c r="J158" s="27" t="n">
        <x:f>'Source Data'!H181*G158*'Assumptions'!$F$58*'Assumptions'!$G$58</x:f>
        <x:v>355.68345165436</x:v>
      </x:c>
      <x:c r="K158" s="27" t="n">
        <x:f>'Source Data'!I181*G158*'Assumptions'!$F$58*'Assumptions'!$G$58</x:f>
        <x:v>384.68304211487526</x:v>
      </x:c>
      <x:c r="L158" s="27" t="n">
        <x:f>'Source Data'!J181*G158*'Assumptions'!$F$58*'Assumptions'!$G$58</x:f>
        <x:v>424.2720608150612</x:v>
      </x:c>
      <x:c r="M158" s="27" t="n">
        <x:f>SUMPRODUCT(H158:L158,'Source Data'!D17:H17)</x:f>
        <x:v>344.56776927691044</x:v>
      </x:c>
      <x:c r="N158" s="27" t="n">
        <x:f>SUMPRODUCT(H158:L158,'Source Data'!D18:H18)</x:f>
        <x:v>353.9689509102895</x:v>
      </x:c>
      <x:c r="O158" s="27" t="n">
        <x:f>SUMPRODUCT(H158:L158,'Source Data'!D19:H19)</x:f>
        <x:v>361.72503300030064</x:v>
      </x:c>
      <x:c r="P158" s="27" t="n">
        <x:f>SUMPRODUCT(H158:L158,'Source Data'!D20:H20)</x:f>
        <x:v>368.9749306154295</x:v>
      </x:c>
      <x:c r="Q158" s="27" t="n">
        <x:f>SUMPRODUCT(H158:L158,'Source Data'!D21:H21)</x:f>
        <x:v>376.22482823055833</x:v>
      </x:c>
      <x:c r="R158" s="27" t="n">
        <x:f>SUMPRODUCT(H158:L158,'Source Data'!D22:H22)</x:f>
        <x:v>383.6218012379048</x:v>
      </x:c>
      <x:c r="S158" s="27" t="n">
        <x:f>SUMPRODUCT(H158:L158,'Source Data'!D23:H23)</x:f>
        <x:v>392.9307543440807</x:v>
      </x:c>
      <x:c r="T158" s="27" t="n">
        <x:f>SUMPRODUCT(H158:L158,'Source Data'!D24:H24)</x:f>
        <x:v>402.8280090191272</x:v>
      </x:c>
      <x:c r="U158" s="3"/>
      <x:c r="V158" s="3"/>
      <x:c r="W158" s="28" t="n">
        <x:f>M158*F158</x:f>
        <x:v>167.35725665998947</x:v>
      </x:c>
      <x:c r="X158" s="28" t="n">
        <x:f>N158*F158</x:f>
        <x:v>171.9234294358888</x:v>
      </x:c>
      <x:c r="Y158" s="28" t="n">
        <x:f>O158*F158</x:f>
        <x:v>175.6905740638902</x:v>
      </x:c>
      <x:c r="Z158" s="28" t="n">
        <x:f>P158*F158</x:f>
        <x:v>179.2118638771539</x:v>
      </x:c>
      <x:c r="AA158" s="28" t="n">
        <x:f>Q158*F158</x:f>
        <x:v>182.7331536904175</x:v>
      </x:c>
      <x:c r="AB158" s="28" t="n">
        <x:f>R158*F158</x:f>
        <x:v>186.32587831668002</x:v>
      </x:c>
      <x:c r="AC158" s="28" t="n">
        <x:f>S158*F158</x:f>
        <x:v>190.847255511928</x:v>
      </x:c>
      <x:c r="AD158" s="28" t="n">
        <x:f>T158*F158</x:f>
        <x:v>195.6543719591715</x:v>
      </x:c>
    </x:row>
    <x:row r="159" ht="19" customHeight="1">
      <x:c r="A159" s="2"/>
      <x:c r="B159" s="2"/>
      <x:c r="C159" s="45" t="n">
        <x:f>'Source Data'!C182</x:f>
        <x:v>3</x:v>
      </x:c>
      <x:c r="D159" s="45" t="n">
        <x:f>'Source Data'!D182</x:f>
        <x:v>15</x:v>
      </x:c>
      <x:c r="E159" s="45" t="n">
        <x:f>'Source Data'!E182</x:f>
        <x:v>5</x:v>
      </x:c>
      <x:c r="F159" s="27" t="n">
        <x:f>IF(D159=0,0.5,1)*EXP(-'Assumptions'!$D$21*MAX(D159-6,0))</x:f>
        <x:v>0.44377837347999183</x:v>
      </x:c>
      <x:c r="G159" s="27" t="n">
        <x:f>IF(D159/'Assumptions'!$D$20&gt;=31,0,INDEX('Source Data'!$N$29:$N$60,INT(D159/'Assumptions'!$D$20)+1)+(D159/'Assumptions'!$D$20-INT(D159/'Assumptions'!$D$20))*(INDEX('Source Data'!$N$29:$N$60,MIN(32,INT(D159/'Assumptions'!$D$20)+2))-INDEX('Source Data'!$N$29:$N$60,INT(D159/'Assumptions'!$D$20)+1)))</x:f>
        <x:v>0.6211565059144677</x:v>
      </x:c>
      <x:c r="H159" s="27" t="n">
        <x:f>'Source Data'!F182*G159*'Assumptions'!$F$58*'Assumptions'!$G$58</x:f>
        <x:v>322.73972776860705</x:v>
      </x:c>
      <x:c r="I159" s="27" t="n">
        <x:f>'Source Data'!G182*G159*'Assumptions'!$F$58*'Assumptions'!$G$58</x:f>
        <x:v>249.77967403673495</x:v>
      </x:c>
      <x:c r="J159" s="27" t="n">
        <x:f>'Source Data'!H182*G159*'Assumptions'!$F$58*'Assumptions'!$G$58</x:f>
        <x:v>297.5240718046173</x:v>
      </x:c>
      <x:c r="K159" s="27" t="n">
        <x:f>'Source Data'!I182*G159*'Assumptions'!$F$58*'Assumptions'!$G$58</x:f>
        <x:v>333.2290272782176</x:v>
      </x:c>
      <x:c r="L159" s="27" t="n">
        <x:f>'Source Data'!J182*G159*'Assumptions'!$F$58*'Assumptions'!$G$58</x:f>
        <x:v>360.3978631508935</x:v>
      </x:c>
      <x:c r="M159" s="27" t="n">
        <x:f>SUMPRODUCT(H159:L159,'Source Data'!D17:H17)</x:f>
        <x:v>283.5986224556516</x:v>
      </x:c>
      <x:c r="N159" s="27" t="n">
        <x:f>SUMPRODUCT(H159:L159,'Source Data'!D18:H18)</x:f>
        <x:v>295.36750742131267</x:v>
      </x:c>
      <x:c r="O159" s="27" t="n">
        <x:f>SUMPRODUCT(H159:L159,'Source Data'!D19:H19)</x:f>
        <x:v>304.96260419495064</x:v>
      </x:c>
      <x:c r="P159" s="27" t="n">
        <x:f>SUMPRODUCT(H159:L159,'Source Data'!D20:H20)</x:f>
        <x:v>313.8888430633508</x:v>
      </x:c>
      <x:c r="Q159" s="27" t="n">
        <x:f>SUMPRODUCT(H159:L159,'Source Data'!D21:H21)</x:f>
        <x:v>322.81508193175085</x:v>
      </x:c>
      <x:c r="R159" s="27" t="n">
        <x:f>SUMPRODUCT(H159:L159,'Source Data'!D22:H22)</x:f>
        <x:v>331.6227635834714</x:v>
      </x:c>
      <x:c r="S159" s="27" t="n">
        <x:f>SUMPRODUCT(H159:L159,'Source Data'!D23:H23)</x:f>
        <x:v>338.88920141835837</x:v>
      </x:c>
      <x:c r="T159" s="27" t="n">
        <x:f>SUMPRODUCT(H159:L159,'Source Data'!D24:H24)</x:f>
        <x:v>345.68141038652743</x:v>
      </x:c>
      <x:c r="U159" s="3"/>
      <x:c r="V159" s="3"/>
      <x:c r="W159" s="28" t="n">
        <x:f>M159*F159</x:f>
        <x:v>125.85493539453535</x:v>
      </x:c>
      <x:c r="X159" s="28" t="n">
        <x:f>N159*F159</x:f>
        <x:v>131.07771202226954</x:v>
      </x:c>
      <x:c r="Y159" s="28" t="n">
        <x:f>O159*F159</x:f>
        <x:v>135.33580846185774</x:v>
      </x:c>
      <x:c r="Z159" s="28" t="n">
        <x:f>P159*F159</x:f>
        <x:v>139.29708022817024</x:v>
      </x:c>
      <x:c r="AA159" s="28" t="n">
        <x:f>Q159*F159</x:f>
        <x:v>143.2583519944827</x:v>
      </x:c>
      <x:c r="AB159" s="28" t="n">
        <x:f>R159*F159</x:f>
        <x:v>147.1670106320128</x:v>
      </x:c>
      <x:c r="AC159" s="28" t="n">
        <x:f>S159*F159</x:f>
        <x:v>150.39169859537242</x:v>
      </x:c>
      <x:c r="AD159" s="28" t="n">
        <x:f>T159*F159</x:f>
        <x:v>153.40593404360268</x:v>
      </x:c>
    </x:row>
    <x:row r="160" ht="19" customHeight="1">
      <x:c r="A160" s="2"/>
      <x:c r="B160" s="2"/>
      <x:c r="C160" s="45" t="n">
        <x:f>'Source Data'!C183</x:f>
        <x:v>3</x:v>
      </x:c>
      <x:c r="D160" s="45" t="n">
        <x:f>'Source Data'!D183</x:f>
        <x:v>16</x:v>
      </x:c>
      <x:c r="E160" s="45" t="n">
        <x:f>'Source Data'!E183</x:f>
        <x:v>5</x:v>
      </x:c>
      <x:c r="F160" s="27" t="n">
        <x:f>IF(D160=0,0.5,1)*EXP(-'Assumptions'!$D$21*MAX(D160-6,0))</x:f>
        <x:v>0.4054734022728572</x:v>
      </x:c>
      <x:c r="G160" s="27" t="n">
        <x:f>IF(D160/'Assumptions'!$D$20&gt;=31,0,INDEX('Source Data'!$N$29:$N$60,INT(D160/'Assumptions'!$D$20)+1)+(D160/'Assumptions'!$D$20-INT(D160/'Assumptions'!$D$20))*(INDEX('Source Data'!$N$29:$N$60,MIN(32,INT(D160/'Assumptions'!$D$20)+2))-INDEX('Source Data'!$N$29:$N$60,INT(D160/'Assumptions'!$D$20)+1)))</x:f>
        <x:v>0.5759481346678799</x:v>
      </x:c>
      <x:c r="H160" s="27" t="n">
        <x:f>'Source Data'!F183*G160*'Assumptions'!$F$58*'Assumptions'!$G$58</x:f>
        <x:v>397.89861087714496</x:v>
      </x:c>
      <x:c r="I160" s="27" t="n">
        <x:f>'Source Data'!G183*G160*'Assumptions'!$F$58*'Assumptions'!$G$58</x:f>
        <x:v>299.2504182466764</x:v>
      </x:c>
      <x:c r="J160" s="27" t="n">
        <x:f>'Source Data'!H183*G160*'Assumptions'!$F$58*'Assumptions'!$G$58</x:f>
        <x:v>231.6004677880938</x:v>
      </x:c>
      <x:c r="K160" s="27" t="n">
        <x:f>'Source Data'!I183*G160*'Assumptions'!$F$58*'Assumptions'!$G$58</x:f>
        <x:v>275.869982110849</x:v>
      </x:c>
      <x:c r="L160" s="27" t="n">
        <x:f>'Source Data'!J183*G160*'Assumptions'!$F$58*'Assumptions'!$G$58</x:f>
        <x:v>308.97629639334235</x:v>
      </x:c>
      <x:c r="M160" s="27" t="n">
        <x:f>SUMPRODUCT(H160:L160,'Source Data'!D17:H17)</x:f>
        <x:v>251.33170333851373</x:v>
      </x:c>
      <x:c r="N160" s="27" t="n">
        <x:f>SUMPRODUCT(H160:L160,'Source Data'!D18:H18)</x:f>
        <x:v>235.97365273472</x:v>
      </x:c>
      <x:c r="O160" s="27" t="n">
        <x:f>SUMPRODUCT(H160:L160,'Source Data'!D19:H19)</x:f>
        <x:v>240.8232832720011</x:v>
      </x:c>
      <x:c r="P160" s="27" t="n">
        <x:f>SUMPRODUCT(H160:L160,'Source Data'!D20:H20)</x:f>
        <x:v>251.89066185268996</x:v>
      </x:c>
      <x:c r="Q160" s="27" t="n">
        <x:f>SUMPRODUCT(H160:L160,'Source Data'!D21:H21)</x:f>
        <x:v>262.95804043337876</x:v>
      </x:c>
      <x:c r="R160" s="27" t="n">
        <x:f>SUMPRODUCT(H160:L160,'Source Data'!D22:H22)</x:f>
        <x:v>273.87037456906387</x:v>
      </x:c>
      <x:c r="S160" s="27" t="n">
        <x:f>SUMPRODUCT(H160:L160,'Source Data'!D23:H23)</x:f>
        <x:v>282.76713091970174</x:v>
      </x:c>
      <x:c r="T160" s="27" t="n">
        <x:f>SUMPRODUCT(H160:L160,'Source Data'!D24:H24)</x:f>
        <x:v>291.0437094903251</x:v>
      </x:c>
      <x:c r="U160" s="3"/>
      <x:c r="V160" s="3"/>
      <x:c r="W160" s="28" t="n">
        <x:f>M160*F160</x:f>
        <x:v>101.90832085169959</x:v>
      </x:c>
      <x:c r="X160" s="28" t="n">
        <x:f>N160*F160</x:f>
        <x:v>95.68103982110064</x:v>
      </x:c>
      <x:c r="Y160" s="28" t="n">
        <x:f>O160*F160</x:f>
        <x:v>97.64743601481835</x:v>
      </x:c>
      <x:c r="Z160" s="28" t="n">
        <x:f>P160*F160</x:f>
        <x:v>102.13496366217201</x:v>
      </x:c>
      <x:c r="AA160" s="28" t="n">
        <x:f>Q160*F160</x:f>
        <x:v>106.62249130952564</x:v>
      </x:c>
      <x:c r="AB160" s="28" t="n">
        <x:f>R160*F160</x:f>
        <x:v>111.04715255826012</x:v>
      </x:c>
      <x:c r="AC160" s="28" t="n">
        <x:f>S160*F160</x:f>
        <x:v>114.65455062494591</x:v>
      </x:c>
      <x:c r="AD160" s="28" t="n">
        <x:f>T160*F160</x:f>
        <x:v>118.01048309715519</x:v>
      </x:c>
    </x:row>
    <x:row r="161" ht="19" customHeight="1">
      <x:c r="A161" s="2"/>
      <x:c r="B161" s="2"/>
      <x:c r="C161" s="45" t="n">
        <x:f>'Source Data'!C184</x:f>
        <x:v>3</x:v>
      </x:c>
      <x:c r="D161" s="45" t="n">
        <x:f>'Source Data'!D184</x:f>
        <x:v>17</x:v>
      </x:c>
      <x:c r="E161" s="45" t="n">
        <x:f>'Source Data'!E184</x:f>
        <x:v>5</x:v>
      </x:c>
      <x:c r="F161" s="27" t="n">
        <x:f>IF(D161=0,0.5,1)*EXP(-'Assumptions'!$D$21*MAX(D161-6,0))</x:f>
        <x:v>0.37047474544889886</x:v>
      </x:c>
      <x:c r="G161" s="27" t="n">
        <x:f>IF(D161/'Assumptions'!$D$20&gt;=31,0,INDEX('Source Data'!$N$29:$N$60,INT(D161/'Assumptions'!$D$20)+1)+(D161/'Assumptions'!$D$20-INT(D161/'Assumptions'!$D$20))*(INDEX('Source Data'!$N$29:$N$60,MIN(32,INT(D161/'Assumptions'!$D$20)+2))-INDEX('Source Data'!$N$29:$N$60,INT(D161/'Assumptions'!$D$20)+1)))</x:f>
        <x:v>0.5291010009099181</x:v>
      </x:c>
      <x:c r="H161" s="27" t="n">
        <x:f>'Source Data'!F184*G161*'Assumptions'!$F$58*'Assumptions'!$G$58</x:f>
        <x:v>377.37356308792386</x:v>
      </x:c>
      <x:c r="I161" s="27" t="n">
        <x:f>'Source Data'!G184*G161*'Assumptions'!$F$58*'Assumptions'!$G$58</x:f>
        <x:v>365.53387467287234</x:v>
      </x:c>
      <x:c r="J161" s="27" t="n">
        <x:f>'Source Data'!H184*G161*'Assumptions'!$F$58*'Assumptions'!$G$58</x:f>
        <x:v>274.9096425294113</x:v>
      </x:c>
      <x:c r="K161" s="27" t="n">
        <x:f>'Source Data'!I184*G161*'Assumptions'!$F$58*'Assumptions'!$G$58</x:f>
        <x:v>212.76228177828597</x:v>
      </x:c>
      <x:c r="L161" s="27" t="n">
        <x:f>'Source Data'!J184*G161*'Assumptions'!$F$58*'Assumptions'!$G$58</x:f>
        <x:v>253.43095127831418</x:v>
      </x:c>
      <x:c r="M161" s="27" t="n">
        <x:f>SUMPRODUCT(H161:L161,'Source Data'!D17:H17)</x:f>
        <x:v>301.3417102379208</x:v>
      </x:c>
      <x:c r="N161" s="27" t="n">
        <x:f>SUMPRODUCT(H161:L161,'Source Data'!D18:H18)</x:f>
        <x:v>279.0811643047269</x:v>
      </x:c>
      <x:c r="O161" s="27" t="n">
        <x:f>SUMPRODUCT(H161:L161,'Source Data'!D19:H19)</x:f>
        <x:v>261.9622757062602</x:v>
      </x:c>
      <x:c r="P161" s="27" t="n">
        <x:f>SUMPRODUCT(H161:L161,'Source Data'!D20:H20)</x:f>
        <x:v>246.42543551847888</x:v>
      </x:c>
      <x:c r="Q161" s="27" t="n">
        <x:f>SUMPRODUCT(H161:L161,'Source Data'!D21:H21)</x:f>
        <x:v>230.88859533069754</x:v>
      </x:c>
      <x:c r="R161" s="27" t="n">
        <x:f>SUMPRODUCT(H161:L161,'Source Data'!D22:H22)</x:f>
        <x:v>216.7797555630711</x:v>
      </x:c>
      <x:c r="S161" s="27" t="n">
        <x:f>SUMPRODUCT(H161:L161,'Source Data'!D23:H23)</x:f>
        <x:v>221.2349212574585</x:v>
      </x:c>
      <x:c r="T161" s="27" t="n">
        <x:f>SUMPRODUCT(H161:L161,'Source Data'!D24:H24)</x:f>
        <x:v>231.4020886324656</x:v>
      </x:c>
      <x:c r="U161" s="3"/>
      <x:c r="V161" s="3"/>
      <x:c r="W161" s="28" t="n">
        <x:f>M161*F161</x:f>
        <x:v>111.63949339352953</x:v>
      </x:c>
      <x:c r="X161" s="28" t="n">
        <x:f>N161*F161</x:f>
        <x:v>103.39252330537602</x:v>
      </x:c>
      <x:c r="Y161" s="28" t="n">
        <x:f>O161*F161</x:f>
        <x:v>97.050407409491</x:v>
      </x:c>
      <x:c r="Z161" s="28" t="n">
        <x:f>P161*F161</x:f>
        <x:v>91.2944004958425</x:v>
      </x:c>
      <x:c r="AA161" s="28" t="n">
        <x:f>Q161*F161</x:f>
        <x:v>85.53839358219399</x:v>
      </x:c>
      <x:c r="AB161" s="28" t="n">
        <x:f>R161*F161</x:f>
        <x:v>80.31142476070328</x:v>
      </x:c>
      <x:c r="AC161" s="28" t="n">
        <x:f>S161*F161</x:f>
        <x:v>81.96195113726412</x:v>
      </x:c>
      <x:c r="AD161" s="28" t="n">
        <x:f>T161*F161</x:f>
        <x:v>85.72862988245622</x:v>
      </x:c>
    </x:row>
    <x:row r="162" ht="19" customHeight="1">
      <x:c r="A162" s="2"/>
      <x:c r="B162" s="2"/>
      <x:c r="C162" s="45" t="n">
        <x:f>'Source Data'!C185</x:f>
        <x:v>3</x:v>
      </x:c>
      <x:c r="D162" s="45" t="n">
        <x:f>'Source Data'!D185</x:f>
        <x:v>18</x:v>
      </x:c>
      <x:c r="E162" s="45" t="n">
        <x:f>'Source Data'!E185</x:f>
        <x:v>5</x:v>
      </x:c>
      <x:c r="F162" s="27" t="n">
        <x:f>IF(D162=0,0.5,1)*EXP(-'Assumptions'!$D$21*MAX(D162-6,0))</x:f>
        <x:v>0.33849701668733634</x:v>
      </x:c>
      <x:c r="G162" s="27" t="n">
        <x:f>IF(D162/'Assumptions'!$D$20&gt;=31,0,INDEX('Source Data'!$N$29:$N$60,INT(D162/'Assumptions'!$D$20)+1)+(D162/'Assumptions'!$D$20-INT(D162/'Assumptions'!$D$20))*(INDEX('Source Data'!$N$29:$N$60,MIN(32,INT(D162/'Assumptions'!$D$20)+2))-INDEX('Source Data'!$N$29:$N$60,INT(D162/'Assumptions'!$D$20)+1)))</x:f>
        <x:v>0.483452229299363</x:v>
      </x:c>
      <x:c r="H162" s="27" t="n">
        <x:f>'Source Data'!F185*G162*'Assumptions'!$F$58*'Assumptions'!$G$58</x:f>
        <x:v>366.5320885632152</x:v>
      </x:c>
      <x:c r="I162" s="27" t="n">
        <x:f>'Source Data'!G185*G162*'Assumptions'!$F$58*'Assumptions'!$G$58</x:f>
        <x:v>344.81524328955527</x:v>
      </x:c>
      <x:c r="J162" s="27" t="n">
        <x:f>'Source Data'!H185*G162*'Assumptions'!$F$58*'Assumptions'!$G$58</x:f>
        <x:v>333.9970370328617</x:v>
      </x:c>
      <x:c r="K162" s="27" t="n">
        <x:f>'Source Data'!I185*G162*'Assumptions'!$F$58*'Assumptions'!$G$58</x:f>
        <x:v>251.1915103319993</x:v>
      </x:c>
      <x:c r="L162" s="27" t="n">
        <x:f>'Source Data'!J185*G162*'Assumptions'!$F$58*'Assumptions'!$G$58</x:f>
        <x:v>194.40598157939235</x:v>
      </x:c>
      <x:c r="M162" s="27" t="n">
        <x:f>SUMPRODUCT(H162:L162,'Source Data'!D17:H17)</x:f>
        <x:v>337.15234719106405</x:v>
      </x:c>
      <x:c r="N162" s="27" t="n">
        <x:f>SUMPRODUCT(H162:L162,'Source Data'!D18:H18)</x:f>
        <x:v>333.4479717318327</x:v>
      </x:c>
      <x:c r="O162" s="27" t="n">
        <x:f>SUMPRODUCT(H162:L162,'Source Data'!D19:H19)</x:f>
        <x:v>316.7458856368487</x:v>
      </x:c>
      <x:c r="P162" s="27" t="n">
        <x:f>SUMPRODUCT(H162:L162,'Source Data'!D20:H20)</x:f>
        <x:v>296.04450396163315</x:v>
      </x:c>
      <x:c r="Q162" s="27" t="n">
        <x:f>SUMPRODUCT(H162:L162,'Source Data'!D21:H21)</x:f>
        <x:v>275.3431222864175</x:v>
      </x:c>
      <x:c r="R162" s="27" t="n">
        <x:f>SUMPRODUCT(H162:L162,'Source Data'!D22:H22)</x:f>
        <x:v>255.00312947159435</x:v>
      </x:c>
      <x:c r="S162" s="27" t="n">
        <x:f>SUMPRODUCT(H162:L162,'Source Data'!D23:H23)</x:f>
        <x:v>239.36119184187285</x:v>
      </x:c>
      <x:c r="T162" s="27" t="n">
        <x:f>SUMPRODUCT(H162:L162,'Source Data'!D24:H24)</x:f>
        <x:v>225.16480965372114</x:v>
      </x:c>
      <x:c r="U162" s="3"/>
      <x:c r="V162" s="3"/>
      <x:c r="W162" s="28" t="n">
        <x:f>M162*F162</x:f>
        <x:v>114.12506369330822</x:v>
      </x:c>
      <x:c r="X162" s="28" t="n">
        <x:f>N162*F162</x:f>
        <x:v>112.87114365166863</x:v>
      </x:c>
      <x:c r="Y162" s="28" t="n">
        <x:f>O162*F162</x:f>
        <x:v>107.2175373360615</x:v>
      </x:c>
      <x:c r="Z162" s="28" t="n">
        <x:f>P162*F162</x:f>
        <x:v>100.21018139769515</x:v>
      </x:c>
      <x:c r="AA162" s="28" t="n">
        <x:f>Q162*F162</x:f>
        <x:v>93.20282545932875</x:v>
      </x:c>
      <x:c r="AB162" s="28" t="n">
        <x:f>R162*F162</x:f>
        <x:v>86.31779857206926</x:v>
      </x:c>
      <x:c r="AC162" s="28" t="n">
        <x:f>S162*F162</x:f>
        <x:v>81.02304934919916</x:v>
      </x:c>
      <x:c r="AD162" s="28" t="n">
        <x:f>T162*F162</x:f>
        <x:v>76.21761633075656</x:v>
      </x:c>
    </x:row>
    <x:row r="163" ht="19" customHeight="1">
      <x:c r="A163" s="2"/>
      <x:c r="B163" s="2"/>
      <x:c r="C163" s="45" t="n">
        <x:f>'Source Data'!C186</x:f>
        <x:v>3</x:v>
      </x:c>
      <x:c r="D163" s="45" t="n">
        <x:f>'Source Data'!D186</x:f>
        <x:v>19</x:v>
      </x:c>
      <x:c r="E163" s="45" t="n">
        <x:f>'Source Data'!E186</x:f>
        <x:v>5</x:v>
      </x:c>
      <x:c r="F163" s="27" t="n">
        <x:f>IF(D163=0,0.5,1)*EXP(-'Assumptions'!$D$21*MAX(D163-6,0))</x:f>
        <x:v>0.3092794629425864</x:v>
      </x:c>
      <x:c r="G163" s="27" t="n">
        <x:f>IF(D163/'Assumptions'!$D$20&gt;=31,0,INDEX('Source Data'!$N$29:$N$60,INT(D163/'Assumptions'!$D$20)+1)+(D163/'Assumptions'!$D$20-INT(D163/'Assumptions'!$D$20))*(INDEX('Source Data'!$N$29:$N$60,MIN(32,INT(D163/'Assumptions'!$D$20)+2))-INDEX('Source Data'!$N$29:$N$60,INT(D163/'Assumptions'!$D$20)+1)))</x:f>
        <x:v>0.4397315741583258</x:v>
      </x:c>
      <x:c r="H163" s="27" t="n">
        <x:f>'Source Data'!F186*G163*'Assumptions'!$F$58*'Assumptions'!$G$58</x:f>
        <x:v>338.5061440730512</x:v>
      </x:c>
      <x:c r="I163" s="27" t="n">
        <x:f>'Source Data'!G186*G163*'Assumptions'!$F$58*'Assumptions'!$G$58</x:f>
        <x:v>333.38502237754363</x:v>
      </x:c>
      <x:c r="J163" s="27" t="n">
        <x:f>'Source Data'!H186*G163*'Assumptions'!$F$58*'Assumptions'!$G$58</x:f>
        <x:v>313.63212440915726</x:v>
      </x:c>
      <x:c r="K163" s="27" t="n">
        <x:f>'Source Data'!I186*G163*'Assumptions'!$F$58*'Assumptions'!$G$58</x:f>
        <x:v>303.79225486564627</x:v>
      </x:c>
      <x:c r="L163" s="27" t="n">
        <x:f>'Source Data'!J186*G163*'Assumptions'!$F$58*'Assumptions'!$G$58</x:f>
        <x:v>228.47518650100258</x:v>
      </x:c>
      <x:c r="M163" s="27" t="n">
        <x:f>SUMPRODUCT(H163:L163,'Source Data'!D17:H17)</x:f>
        <x:v>319.3933863166033</x:v>
      </x:c>
      <x:c r="N163" s="27" t="n">
        <x:f>SUMPRODUCT(H163:L163,'Source Data'!D18:H18)</x:f>
        <x:v>314.59284277485216</x:v>
      </x:c>
      <x:c r="O163" s="27" t="n">
        <x:f>SUMPRODUCT(H163:L163,'Source Data'!D19:H19)</x:f>
        <x:v>311.5821515875924</x:v>
      </x:c>
      <x:c r="P163" s="27" t="n">
        <x:f>SUMPRODUCT(H163:L163,'Source Data'!D20:H20)</x:f>
        <x:v>309.12218420171473</x:v>
      </x:c>
      <x:c r="Q163" s="27" t="n">
        <x:f>SUMPRODUCT(H163:L163,'Source Data'!D21:H21)</x:f>
        <x:v>306.662216815837</x:v>
      </x:c>
      <x:c r="R163" s="27" t="n">
        <x:f>SUMPRODUCT(H163:L163,'Source Data'!D22:H22)</x:f>
        <x:v>303.2928438907768</x:v>
      </x:c>
      <x:c r="S163" s="27" t="n">
        <x:f>SUMPRODUCT(H163:L163,'Source Data'!D23:H23)</x:f>
        <x:v>288.10119895634546</x:v>
      </x:c>
      <x:c r="T163" s="27" t="n">
        <x:f>SUMPRODUCT(H163:L163,'Source Data'!D24:H24)</x:f>
        <x:v>269.2719318651846</x:v>
      </x:c>
      <x:c r="U163" s="3"/>
      <x:c r="V163" s="3"/>
      <x:c r="W163" s="28" t="n">
        <x:f>M163*F163</x:f>
        <x:v>98.7818149874131</x:v>
      </x:c>
      <x:c r="X163" s="28" t="n">
        <x:f>N163*F163</x:f>
        <x:v>97.2971054589878</x:v>
      </x:c>
      <x:c r="Y163" s="28" t="n">
        <x:f>O163*F163</x:f>
        <x:v>96.36596050550612</x:v>
      </x:c>
      <x:c r="Z163" s="28" t="n">
        <x:f>P163*F163</x:f>
        <x:v>95.6051431135456</x:v>
      </x:c>
      <x:c r="AA163" s="28" t="n">
        <x:f>Q163*F163</x:f>
        <x:v>94.84432572158505</x:v>
      </x:c>
      <x:c r="AB163" s="28" t="n">
        <x:f>R163*F163</x:f>
        <x:v>93.80224787286915</x:v>
      </x:c>
      <x:c r="AC163" s="28" t="n">
        <x:f>S163*F163</x:f>
        <x:v>89.10378408633376</x:v>
      </x:c>
      <x:c r="AD163" s="28" t="n">
        <x:f>T163*F163</x:f>
        <x:v>83.28027847277701</x:v>
      </x:c>
    </x:row>
    <x:row r="164" ht="19" customHeight="1">
      <x:c r="A164" s="2"/>
      <x:c r="B164" s="2"/>
      <x:c r="C164" s="45" t="n">
        <x:f>'Source Data'!C187</x:f>
        <x:v>3</x:v>
      </x:c>
      <x:c r="D164" s="45" t="n">
        <x:f>'Source Data'!D187</x:f>
        <x:v>20</x:v>
      </x:c>
      <x:c r="E164" s="45" t="n">
        <x:f>'Source Data'!E187</x:f>
        <x:v>5</x:v>
      </x:c>
      <x:c r="F164" s="27" t="n">
        <x:f>IF(D164=0,0.5,1)*EXP(-'Assumptions'!$D$21*MAX(D164-6,0))</x:f>
        <x:v>0.28258383820974226</x:v>
      </x:c>
      <x:c r="G164" s="27" t="n">
        <x:f>IF(D164/'Assumptions'!$D$20&gt;=31,0,INDEX('Source Data'!$N$29:$N$60,INT(D164/'Assumptions'!$D$20)+1)+(D164/'Assumptions'!$D$20-INT(D164/'Assumptions'!$D$20))*(INDEX('Source Data'!$N$29:$N$60,MIN(32,INT(D164/'Assumptions'!$D$20)+2))-INDEX('Source Data'!$N$29:$N$60,INT(D164/'Assumptions'!$D$20)+1)))</x:f>
        <x:v>0.3984704276615104</x:v>
      </x:c>
      <x:c r="H164" s="27" t="n">
        <x:f>'Source Data'!F187*G164*'Assumptions'!$F$58*'Assumptions'!$G$58</x:f>
        <x:v>296.2687576541828</x:v>
      </x:c>
      <x:c r="I164" s="27" t="n">
        <x:f>'Source Data'!G187*G164*'Assumptions'!$F$58*'Assumptions'!$G$58</x:f>
        <x:v>306.74324047122485</x:v>
      </x:c>
      <x:c r="J164" s="27" t="n">
        <x:f>'Source Data'!H187*G164*'Assumptions'!$F$58*'Assumptions'!$G$58</x:f>
        <x:v>302.102646818105</x:v>
      </x:c>
      <x:c r="K164" s="27" t="n">
        <x:f>'Source Data'!I187*G164*'Assumptions'!$F$58*'Assumptions'!$G$58</x:f>
        <x:v>284.2032141560711</x:v>
      </x:c>
      <x:c r="L164" s="27" t="n">
        <x:f>'Source Data'!J187*G164*'Assumptions'!$F$58*'Assumptions'!$G$58</x:f>
        <x:v>275.28664492257644</x:v>
      </x:c>
      <x:c r="M164" s="27" t="n">
        <x:f>SUMPRODUCT(H164:L164,'Source Data'!D17:H17)</x:f>
        <x:v>303.45615330026493</x:v>
      </x:c>
      <x:c r="N164" s="27" t="n">
        <x:f>SUMPRODUCT(H164:L164,'Source Data'!D18:H18)</x:f>
        <x:v>302.1118543451945</x:v>
      </x:c>
      <x:c r="O164" s="27" t="n">
        <x:f>SUMPRODUCT(H164:L164,'Source Data'!D19:H19)</x:f>
        <x:v>298.3735983468479</x:v>
      </x:c>
      <x:c r="P164" s="27" t="n">
        <x:f>SUMPRODUCT(H164:L164,'Source Data'!D20:H20)</x:f>
        <x:v>293.89874018133946</x:v>
      </x:c>
      <x:c r="Q164" s="27" t="n">
        <x:f>SUMPRODUCT(H164:L164,'Source Data'!D21:H21)</x:f>
        <x:v>289.423882015831</x:v>
      </x:c>
      <x:c r="R164" s="27" t="n">
        <x:f>SUMPRODUCT(H164:L164,'Source Data'!D22:H22)</x:f>
        <x:v>285.0737858423856</x:v>
      </x:c>
      <x:c r="S164" s="27" t="n">
        <x:f>SUMPRODUCT(H164:L164,'Source Data'!D23:H23)</x:f>
        <x:v>282.3455955657597</x:v>
      </x:c>
      <x:c r="T164" s="27" t="n">
        <x:f>SUMPRODUCT(H164:L164,'Source Data'!D24:H24)</x:f>
        <x:v>280.11645325738607</x:v>
      </x:c>
      <x:c r="U164" s="3"/>
      <x:c r="V164" s="3"/>
      <x:c r="W164" s="28" t="n">
        <x:f>M164*F164</x:f>
        <x:v>85.75180452795281</x:v>
      </x:c>
      <x:c r="X164" s="28" t="n">
        <x:f>N164*F164</x:f>
        <x:v>85.37192736952765</x:v>
      </x:c>
      <x:c r="Y164" s="28" t="n">
        <x:f>O164*F164</x:f>
        <x:v>84.3155566413043</x:v>
      </x:c>
      <x:c r="Z164" s="28" t="n">
        <x:f>P164*F164</x:f>
        <x:v>83.0510340454507</x:v>
      </x:c>
      <x:c r="AA164" s="28" t="n">
        <x:f>Q164*F164</x:f>
        <x:v>81.78651144959711</x:v>
      </x:c>
      <x:c r="AB164" s="28" t="n">
        <x:f>R164*F164</x:f>
        <x:v>80.5572445763234</x:v>
      </x:c>
      <x:c r="AC164" s="28" t="n">
        <x:f>S164*F164</x:f>
        <x:v>79.78630209658796</x:v>
      </x:c>
      <x:c r="AD164" s="28" t="n">
        <x:f>T164*F164</x:f>
        <x:v>79.15638250717201</x:v>
      </x:c>
    </x:row>
    <x:row r="165" ht="19" customHeight="1">
      <x:c r="A165" s="2"/>
      <x:c r="B165" s="2"/>
      <x:c r="C165" s="45" t="n">
        <x:f>'Source Data'!C188</x:f>
        <x:v>3</x:v>
      </x:c>
      <x:c r="D165" s="45" t="n">
        <x:f>'Source Data'!D188</x:f>
        <x:v>21</x:v>
      </x:c>
      <x:c r="E165" s="45" t="n">
        <x:f>'Source Data'!E188</x:f>
        <x:v>5</x:v>
      </x:c>
      <x:c r="F165" s="27" t="n">
        <x:f>IF(D165=0,0.5,1)*EXP(-'Assumptions'!$D$21*MAX(D165-6,0))</x:f>
        <x:v>0.25819246081713987</x:v>
      </x:c>
      <x:c r="G165" s="27" t="n">
        <x:f>IF(D165/'Assumptions'!$D$20&gt;=31,0,INDEX('Source Data'!$N$29:$N$60,INT(D165/'Assumptions'!$D$20)+1)+(D165/'Assumptions'!$D$20-INT(D165/'Assumptions'!$D$20))*(INDEX('Source Data'!$N$29:$N$60,MIN(32,INT(D165/'Assumptions'!$D$20)+2))-INDEX('Source Data'!$N$29:$N$60,INT(D165/'Assumptions'!$D$20)+1)))</x:f>
        <x:v>0.35966878980891714</x:v>
      </x:c>
      <x:c r="H165" s="27" t="n">
        <x:f>'Source Data'!F188*G165*'Assumptions'!$F$58*'Assumptions'!$G$58</x:f>
        <x:v>258.29375421904064</x:v>
      </x:c>
      <x:c r="I165" s="27" t="n">
        <x:f>'Source Data'!G188*G165*'Assumptions'!$F$58*'Assumptions'!$G$58</x:f>
        <x:v>267.41915616932533</x:v>
      </x:c>
      <x:c r="J165" s="27" t="n">
        <x:f>'Source Data'!H188*G165*'Assumptions'!$F$58*'Assumptions'!$G$58</x:f>
        <x:v>276.8736709768333</x:v>
      </x:c>
      <x:c r="K165" s="27" t="n">
        <x:f>'Source Data'!I188*G165*'Assumptions'!$F$58*'Assumptions'!$G$58</x:f>
        <x:v>272.6849618848994</x:v>
      </x:c>
      <x:c r="L165" s="27" t="n">
        <x:f>'Source Data'!J188*G165*'Assumptions'!$F$58*'Assumptions'!$G$58</x:f>
        <x:v>256.52851253029706</x:v>
      </x:c>
      <x:c r="M165" s="27" t="n">
        <x:f>SUMPRODUCT(H165:L165,'Source Data'!D17:H17)</x:f>
        <x:v>274.1161041579768</x:v>
      </x:c>
      <x:c r="N165" s="27" t="n">
        <x:f>SUMPRODUCT(H165:L165,'Source Data'!D18:H18)</x:f>
        <x:v>276.29024363902823</x:v>
      </x:c>
      <x:c r="O165" s="27" t="n">
        <x:f>SUMPRODUCT(H165:L165,'Source Data'!D19:H19)</x:f>
        <x:v>276.00102324934704</x:v>
      </x:c>
      <x:c r="P165" s="27" t="n">
        <x:f>SUMPRODUCT(H165:L165,'Source Data'!D20:H20)</x:f>
        <x:v>274.9538459763636</x:v>
      </x:c>
      <x:c r="Q165" s="27" t="n">
        <x:f>SUMPRODUCT(H165:L165,'Source Data'!D21:H21)</x:f>
        <x:v>273.90666870338015</x:v>
      </x:c>
      <x:c r="R165" s="27" t="n">
        <x:f>SUMPRODUCT(H165:L165,'Source Data'!D22:H22)</x:f>
        <x:v>272.69327281563733</x:v>
      </x:c>
      <x:c r="S165" s="27" t="n">
        <x:f>SUMPRODUCT(H165:L165,'Source Data'!D23:H23)</x:f>
        <x:v>269.31903493602385</x:v>
      </x:c>
      <x:c r="T165" s="27" t="n">
        <x:f>SUMPRODUCT(H165:L165,'Source Data'!D24:H24)</x:f>
        <x:v>265.27992259737334</x:v>
      </x:c>
      <x:c r="U165" s="3"/>
      <x:c r="V165" s="3"/>
      <x:c r="W165" s="28" t="n">
        <x:f>M165*F165</x:f>
        <x:v>70.77471148215545</x:v>
      </x:c>
      <x:c r="X165" s="28" t="n">
        <x:f>N165*F165</x:f>
        <x:v>71.33605790492783</x:v>
      </x:c>
      <x:c r="Y165" s="28" t="n">
        <x:f>O165*F165</x:f>
        <x:v>71.26138338079754</x:v>
      </x:c>
      <x:c r="Z165" s="28" t="n">
        <x:f>P165*F165</x:f>
        <x:v>70.99101010377417</x:v>
      </x:c>
      <x:c r="AA165" s="28" t="n">
        <x:f>Q165*F165</x:f>
        <x:v>70.72063682675079</x:v>
      </x:c>
      <x:c r="AB165" s="28" t="n">
        <x:f>R165*F165</x:f>
        <x:v>70.40734715654908</x:v>
      </x:c>
      <x:c r="AC165" s="28" t="n">
        <x:f>S165*F165</x:f>
        <x:v>69.53614437502927</x:v>
      </x:c>
      <x:c r="AD165" s="28" t="n">
        <x:f>T165*F165</x:f>
        <x:v>68.49327602079622</x:v>
      </x:c>
    </x:row>
    <x:row r="166" ht="19" customHeight="1">
      <x:c r="A166" s="2"/>
      <x:c r="B166" s="2"/>
      <x:c r="C166" s="45" t="n">
        <x:f>'Source Data'!C189</x:f>
        <x:v>3</x:v>
      </x:c>
      <x:c r="D166" s="45" t="n">
        <x:f>'Source Data'!D189</x:f>
        <x:v>22</x:v>
      </x:c>
      <x:c r="E166" s="45" t="n">
        <x:f>'Source Data'!E189</x:f>
        <x:v>5</x:v>
      </x:c>
      <x:c r="F166" s="27" t="n">
        <x:f>IF(D166=0,0.5,1)*EXP(-'Assumptions'!$D$21*MAX(D166-6,0))</x:f>
        <x:v>0.23590643840477085</x:v>
      </x:c>
      <x:c r="G166" s="27" t="n">
        <x:f>IF(D166/'Assumptions'!$D$20&gt;=31,0,INDEX('Source Data'!$N$29:$N$60,INT(D166/'Assumptions'!$D$20)+1)+(D166/'Assumptions'!$D$20-INT(D166/'Assumptions'!$D$20))*(INDEX('Source Data'!$N$29:$N$60,MIN(32,INT(D166/'Assumptions'!$D$20)+2))-INDEX('Source Data'!$N$29:$N$60,INT(D166/'Assumptions'!$D$20)+1)))</x:f>
        <x:v>0.32334485896269327</x:v>
      </x:c>
      <x:c r="H166" s="27" t="n">
        <x:f>'Source Data'!F189*G166*'Assumptions'!$F$58*'Assumptions'!$G$58</x:f>
        <x:v>231.2665443822622</x:v>
      </x:c>
      <x:c r="I166" s="27" t="n">
        <x:f>'Source Data'!G189*G166*'Assumptions'!$F$58*'Assumptions'!$G$58</x:f>
        <x:v>232.20796436986157</x:v>
      </x:c>
      <x:c r="J166" s="27" t="n">
        <x:f>'Source Data'!H189*G166*'Assumptions'!$F$58*'Assumptions'!$G$58</x:f>
        <x:v>240.41176711894155</x:v>
      </x:c>
      <x:c r="K166" s="27" t="n">
        <x:f>'Source Data'!I189*G166*'Assumptions'!$F$58*'Assumptions'!$G$58</x:f>
        <x:v>248.9114447212671</x:v>
      </x:c>
      <x:c r="L166" s="27" t="n">
        <x:f>'Source Data'!J189*G166*'Assumptions'!$F$58*'Assumptions'!$G$58</x:f>
        <x:v>245.1457647708697</x:v>
      </x:c>
      <x:c r="M166" s="27" t="n">
        <x:f>SUMPRODUCT(H166:L166,'Source Data'!D17:H17)</x:f>
        <x:v>238.01899131712656</x:v>
      </x:c>
      <x:c r="N166" s="27" t="n">
        <x:f>SUMPRODUCT(H166:L166,'Source Data'!D18:H18)</x:f>
        <x:v>240.0740513773583</x:v>
      </x:c>
      <x:c r="O166" s="27" t="n">
        <x:f>SUMPRODUCT(H166:L166,'Source Data'!D19:H19)</x:f>
        <x:v>242.1825332860927</x:v>
      </x:c>
      <x:c r="P166" s="27" t="n">
        <x:f>SUMPRODUCT(H166:L166,'Source Data'!D20:H20)</x:f>
        <x:v>244.3074526866741</x:v>
      </x:c>
      <x:c r="Q166" s="27" t="n">
        <x:f>SUMPRODUCT(H166:L166,'Source Data'!D21:H21)</x:f>
        <x:v>246.4323720872555</x:v>
      </x:c>
      <x:c r="R166" s="27" t="n">
        <x:f>SUMPRODUCT(H166:L166,'Source Data'!D22:H22)</x:f>
        <x:v>248.3869392996046</x:v>
      </x:c>
      <x:c r="S166" s="27" t="n">
        <x:f>SUMPRODUCT(H166:L166,'Source Data'!D23:H23)</x:f>
        <x:v>248.1269280649343</x:v>
      </x:c>
      <x:c r="T166" s="27" t="n">
        <x:f>SUMPRODUCT(H166:L166,'Source Data'!D24:H24)</x:f>
        <x:v>247.185508077335</x:v>
      </x:c>
      <x:c r="U166" s="3"/>
      <x:c r="V166" s="3"/>
      <x:c r="W166" s="28" t="n">
        <x:f>M166*F166</x:f>
        <x:v>56.150212514319406</x:v>
      </x:c>
      <x:c r="X166" s="28" t="n">
        <x:f>N166*F166</x:f>
        <x:v>56.63501441383657</x:v>
      </x:c>
      <x:c r="Y166" s="28" t="n">
        <x:f>O166*F166</x:f>
        <x:v>57.132418871366994</x:v>
      </x:c>
      <x:c r="Z166" s="28" t="n">
        <x:f>P166*F166</x:f>
        <x:v>57.63370103905535</x:v>
      </x:c>
      <x:c r="AA166" s="28" t="n">
        <x:f>Q166*F166</x:f>
        <x:v>58.134983206743705</x:v>
      </x:c>
      <x:c r="AB166" s="28" t="n">
        <x:f>R166*F166</x:f>
        <x:v>58.596078196431726</x:v>
      </x:c>
      <x:c r="AC166" s="28" t="n">
        <x:f>S166*F166</x:f>
        <x:v>58.53473987211543</x:v>
      </x:c>
      <x:c r="AD166" s="28" t="n">
        <x:f>T166*F166</x:f>
        <x:v>58.31265283579781</x:v>
      </x:c>
    </x:row>
    <x:row r="167" ht="19" customHeight="1">
      <x:c r="A167" s="2"/>
      <x:c r="B167" s="2"/>
      <x:c r="C167" s="45" t="n">
        <x:f>'Source Data'!C190</x:f>
        <x:v>3</x:v>
      </x:c>
      <x:c r="D167" s="45" t="n">
        <x:f>'Source Data'!D190</x:f>
        <x:v>23</x:v>
      </x:c>
      <x:c r="E167" s="45" t="n">
        <x:f>'Source Data'!E190</x:f>
        <x:v>5</x:v>
      </x:c>
      <x:c r="F167" s="27" t="n">
        <x:f>IF(D167=0,0.5,1)*EXP(-'Assumptions'!$D$21*MAX(D167-6,0))</x:f>
        <x:v>0.2155440461146476</x:v>
      </x:c>
      <x:c r="G167" s="27" t="n">
        <x:f>IF(D167/'Assumptions'!$D$20&gt;=31,0,INDEX('Source Data'!$N$29:$N$60,INT(D167/'Assumptions'!$D$20)+1)+(D167/'Assumptions'!$D$20-INT(D167/'Assumptions'!$D$20))*(INDEX('Source Data'!$N$29:$N$60,MIN(32,INT(D167/'Assumptions'!$D$20)+2))-INDEX('Source Data'!$N$29:$N$60,INT(D167/'Assumptions'!$D$20)+1)))</x:f>
        <x:v>0.2905878070973612</x:v>
      </x:c>
      <x:c r="H167" s="27" t="n">
        <x:f>'Source Data'!F190*G167*'Assumptions'!$F$58*'Assumptions'!$G$58</x:f>
        <x:v>202.71302560171353</x:v>
      </x:c>
      <x:c r="I167" s="27" t="n">
        <x:f>'Source Data'!G190*G167*'Assumptions'!$F$58*'Assumptions'!$G$58</x:f>
        <x:v>207.83765730068365</x:v>
      </x:c>
      <x:c r="J167" s="27" t="n">
        <x:f>'Source Data'!H190*G167*'Assumptions'!$F$58*'Assumptions'!$G$58</x:f>
        <x:v>208.68370498683439</x:v>
      </x:c>
      <x:c r="K167" s="27" t="n">
        <x:f>'Source Data'!I190*G167*'Assumptions'!$F$58*'Assumptions'!$G$58</x:f>
        <x:v>216.05640625186211</x:v>
      </x:c>
      <x:c r="L167" s="27" t="n">
        <x:f>'Source Data'!J190*G167*'Assumptions'!$F$58*'Assumptions'!$G$58</x:f>
        <x:v>223.6950082182515</x:v>
      </x:c>
      <x:c r="M167" s="27" t="n">
        <x:f>SUMPRODUCT(H167:L167,'Source Data'!D17:H17)</x:f>
        <x:v>208.43694107837376</x:v>
      </x:c>
      <x:c r="N167" s="27" t="n">
        <x:f>SUMPRODUCT(H167:L167,'Source Data'!D18:H18)</x:f>
        <x:v>208.73910096628472</x:v>
      </x:c>
      <x:c r="O167" s="27" t="n">
        <x:f>SUMPRODUCT(H167:L167,'Source Data'!D19:H19)</x:f>
        <x:v>210.21968441704848</x:v>
      </x:c>
      <x:c r="P167" s="27" t="n">
        <x:f>SUMPRODUCT(H167:L167,'Source Data'!D20:H20)</x:f>
        <x:v>212.06285973330546</x:v>
      </x:c>
      <x:c r="Q167" s="27" t="n">
        <x:f>SUMPRODUCT(H167:L167,'Source Data'!D21:H21)</x:f>
        <x:v>213.90603504956235</x:v>
      </x:c>
      <x:c r="R167" s="27" t="n">
        <x:f>SUMPRODUCT(H167:L167,'Source Data'!D22:H22)</x:f>
        <x:v>215.752903431116</x:v>
      </x:c>
      <x:c r="S167" s="27" t="n">
        <x:f>SUMPRODUCT(H167:L167,'Source Data'!D23:H23)</x:f>
        <x:v>217.64778166152655</x:v>
      </x:c>
      <x:c r="T167" s="27" t="n">
        <x:f>SUMPRODUCT(H167:L167,'Source Data'!D24:H24)</x:f>
        <x:v>219.55743215312395</x:v>
      </x:c>
      <x:c r="U167" s="3"/>
      <x:c r="V167" s="3"/>
      <x:c r="W167" s="28" t="n">
        <x:f>M167*F167</x:f>
        <x:v>44.927341639793084</x:v>
      </x:c>
      <x:c r="X167" s="28" t="n">
        <x:f>N167*F167</x:f>
        <x:v>44.99247040460696</x:v>
      </x:c>
      <x:c r="Y167" s="28" t="n">
        <x:f>O167*F167</x:f>
        <x:v>45.31160135219497</x:v>
      </x:c>
      <x:c r="Z167" s="28" t="n">
        <x:f>P167*F167</x:f>
        <x:v>45.70888681755964</x:v>
      </x:c>
      <x:c r="AA167" s="28" t="n">
        <x:f>Q167*F167</x:f>
        <x:v>46.1061722829243</x:v>
      </x:c>
      <x:c r="AB167" s="28" t="n">
        <x:f>R167*F167</x:f>
        <x:v>46.50425376652558</x:v>
      </x:c>
      <x:c r="AC167" s="28" t="n">
        <x:f>S167*F167</x:f>
        <x:v>46.912683487202834</x:v>
      </x:c>
      <x:c r="AD167" s="28" t="n">
        <x:f>T167*F167</x:f>
        <x:v>47.32429728082656</x:v>
      </x:c>
    </x:row>
    <x:row r="168" ht="19" customHeight="1">
      <x:c r="A168" s="2"/>
      <x:c r="B168" s="2"/>
      <x:c r="C168" s="45" t="n">
        <x:f>'Source Data'!C191</x:f>
        <x:v>3</x:v>
      </x:c>
      <x:c r="D168" s="45" t="n">
        <x:f>'Source Data'!D191</x:f>
        <x:v>24</x:v>
      </x:c>
      <x:c r="E168" s="45" t="n">
        <x:f>'Source Data'!E191</x:f>
        <x:v>5</x:v>
      </x:c>
      <x:c r="F168" s="27" t="n">
        <x:f>IF(D168=0,0.5,1)*EXP(-'Assumptions'!$D$21*MAX(D168-6,0))</x:f>
        <x:v>0.19693924476854713</x:v>
      </x:c>
      <x:c r="G168" s="27" t="n">
        <x:f>IF(D168/'Assumptions'!$D$20&gt;=31,0,INDEX('Source Data'!$N$29:$N$60,INT(D168/'Assumptions'!$D$20)+1)+(D168/'Assumptions'!$D$20-INT(D168/'Assumptions'!$D$20))*(INDEX('Source Data'!$N$29:$N$60,MIN(32,INT(D168/'Assumptions'!$D$20)+2))-INDEX('Source Data'!$N$29:$N$60,INT(D168/'Assumptions'!$D$20)+1)))</x:f>
        <x:v>0.2603448589626933</x:v>
      </x:c>
      <x:c r="H168" s="27" t="n">
        <x:f>'Source Data'!F191*G168*'Assumptions'!$F$58*'Assumptions'!$G$58</x:f>
        <x:v>174.83700917004194</x:v>
      </x:c>
      <x:c r="I168" s="27" t="n">
        <x:f>'Source Data'!G191*G168*'Assumptions'!$F$58*'Assumptions'!$G$58</x:f>
        <x:v>181.6156520376529</x:v>
      </x:c>
      <x:c r="J168" s="27" t="n">
        <x:f>'Source Data'!H191*G168*'Assumptions'!$F$58*'Assumptions'!$G$58</x:f>
        <x:v>186.2069373026162</x:v>
      </x:c>
      <x:c r="K168" s="27" t="n">
        <x:f>'Source Data'!I191*G168*'Assumptions'!$F$58*'Assumptions'!$G$58</x:f>
        <x:v>186.9649325114545</x:v>
      </x:c>
      <x:c r="L168" s="27" t="n">
        <x:f>'Source Data'!J191*G168*'Assumptions'!$F$58*'Assumptions'!$G$58</x:f>
        <x:v>193.570319331331</x:v>
      </x:c>
      <x:c r="M168" s="27" t="n">
        <x:f>SUMPRODUCT(H168:L168,'Source Data'!D17:H17)</x:f>
        <x:v>184.8678124336686</x:v>
      </x:c>
      <x:c r="N168" s="27" t="n">
        <x:f>SUMPRODUCT(H168:L168,'Source Data'!D18:H18)</x:f>
        <x:v>185.96239361024104</x:v>
      </x:c>
      <x:c r="O168" s="27" t="n">
        <x:f>SUMPRODUCT(H168:L168,'Source Data'!D19:H19)</x:f>
        <x:v>186.36485297112418</x:v>
      </x:c>
      <x:c r="P168" s="27" t="n">
        <x:f>SUMPRODUCT(H168:L168,'Source Data'!D20:H20)</x:f>
        <x:v>186.5543517733338</x:v>
      </x:c>
      <x:c r="Q168" s="27" t="n">
        <x:f>SUMPRODUCT(H168:L168,'Source Data'!D21:H21)</x:f>
        <x:v>186.74385057554332</x:v>
      </x:c>
      <x:c r="R168" s="27" t="n">
        <x:f>SUMPRODUCT(H168:L168,'Source Data'!D22:H22)</x:f>
        <x:v>187.01456315012842</x:v>
      </x:c>
      <x:c r="S168" s="27" t="n">
        <x:f>SUMPRODUCT(H168:L168,'Source Data'!D23:H23)</x:f>
        <x:v>188.34105476559543</x:v>
      </x:c>
      <x:c r="T168" s="27" t="n">
        <x:f>SUMPRODUCT(H168:L168,'Source Data'!D24:H24)</x:f>
        <x:v>189.99240147056457</x:v>
      </x:c>
      <x:c r="U168" s="3"/>
      <x:c r="V168" s="3"/>
      <x:c r="W168" s="28" t="n">
        <x:f>M168*F168</x:f>
        <x:v>36.40772736270012</x:v>
      </x:c>
      <x:c r="X168" s="28" t="n">
        <x:f>N168*F168</x:f>
        <x:v>36.62329335295217</x:v>
      </x:c>
      <x:c r="Y168" s="28" t="n">
        <x:f>O168*F168</x:f>
        <x:v>36.70255339553452</x:v>
      </x:c>
      <x:c r="Z168" s="28" t="n">
        <x:f>P168*F168</x:f>
        <x:v>36.73987314652623</x:v>
      </x:c>
      <x:c r="AA168" s="28" t="n">
        <x:f>Q168*F168</x:f>
        <x:v>36.777192897517914</x:v>
      </x:c>
      <x:c r="AB168" s="28" t="n">
        <x:f>R168*F168</x:f>
        <x:v>36.830506827506056</x:v>
      </x:c>
      <x:c r="AC168" s="28" t="n">
        <x:f>S168*F168</x:f>
        <x:v>37.091745084447936</x:v>
      </x:c>
      <x:c r="AD168" s="28" t="n">
        <x:f>T168*F168</x:f>
        <x:v>37.41696005737559</x:v>
      </x:c>
    </x:row>
    <x:row r="169" ht="19" customHeight="1">
      <x:c r="A169" s="2"/>
      <x:c r="B169" s="2"/>
      <x:c r="C169" s="45" t="n">
        <x:f>'Source Data'!C192</x:f>
        <x:v>3</x:v>
      </x:c>
      <x:c r="D169" s="45" t="n">
        <x:f>'Source Data'!D192</x:f>
        <x:v>25</x:v>
      </x:c>
      <x:c r="E169" s="45" t="n">
        <x:f>'Source Data'!E192</x:f>
        <x:v>5</x:v>
      </x:c>
      <x:c r="F169" s="27" t="n">
        <x:f>IF(D169=0,0.5,1)*EXP(-'Assumptions'!$D$21*MAX(D169-6,0))</x:f>
        <x:v>0.17994032695004702</x:v>
      </x:c>
      <x:c r="G169" s="27" t="n">
        <x:f>IF(D169/'Assumptions'!$D$20&gt;=31,0,INDEX('Source Data'!$N$29:$N$60,INT(D169/'Assumptions'!$D$20)+1)+(D169/'Assumptions'!$D$20-INT(D169/'Assumptions'!$D$20))*(INDEX('Source Data'!$N$29:$N$60,MIN(32,INT(D169/'Assumptions'!$D$20)+2))-INDEX('Source Data'!$N$29:$N$60,INT(D169/'Assumptions'!$D$20)+1)))</x:f>
        <x:v>0.23256141947224745</x:v>
      </x:c>
      <x:c r="H169" s="27" t="n">
        <x:f>'Source Data'!F192*G169*'Assumptions'!$F$58*'Assumptions'!$G$58</x:f>
        <x:v>141.20511970657154</x:v>
      </x:c>
      <x:c r="I169" s="27" t="n">
        <x:f>'Source Data'!G192*G169*'Assumptions'!$F$58*'Assumptions'!$G$58</x:f>
        <x:v>156.1787822155298</x:v>
      </x:c>
      <x:c r="J169" s="27" t="n">
        <x:f>'Source Data'!H192*G169*'Assumptions'!$F$58*'Assumptions'!$G$58</x:f>
        <x:v>162.23402299757623</x:v>
      </x:c>
      <x:c r="K169" s="27" t="n">
        <x:f>'Source Data'!I192*G169*'Assumptions'!$F$58*'Assumptions'!$G$58</x:f>
        <x:v>166.33533624292397</x:v>
      </x:c>
      <x:c r="L169" s="27" t="n">
        <x:f>'Source Data'!J192*G169*'Assumptions'!$F$58*'Assumptions'!$G$58</x:f>
        <x:v>167.01243984475025</x:v>
      </x:c>
      <x:c r="M169" s="27" t="n">
        <x:f>SUMPRODUCT(H169:L169,'Source Data'!D17:H17)</x:f>
        <x:v>160.4679111028127</x:v>
      </x:c>
      <x:c r="N169" s="27" t="n">
        <x:f>SUMPRODUCT(H169:L169,'Source Data'!D18:H18)</x:f>
        <x:v>161.95458341587016</x:v>
      </x:c>
      <x:c r="O169" s="27" t="n">
        <x:f>SUMPRODUCT(H169:L169,'Source Data'!D19:H19)</x:f>
        <x:v>163.08846325702368</x:v>
      </x:c>
      <x:c r="P169" s="27" t="n">
        <x:f>SUMPRODUCT(H169:L169,'Source Data'!D20:H20)</x:f>
        <x:v>164.11379156836063</x:v>
      </x:c>
      <x:c r="Q169" s="27" t="n">
        <x:f>SUMPRODUCT(H169:L169,'Source Data'!D21:H21)</x:f>
        <x:v>165.13911987969755</x:v>
      </x:c>
      <x:c r="R169" s="27" t="n">
        <x:f>SUMPRODUCT(H169:L169,'Source Data'!D22:H22)</x:f>
        <x:v>166.11688972376334</x:v>
      </x:c>
      <x:c r="S169" s="27" t="n">
        <x:f>SUMPRODUCT(H169:L169,'Source Data'!D23:H23)</x:f>
        <x:v>166.47639949330446</x:v>
      </x:c>
      <x:c r="T169" s="27" t="n">
        <x:f>SUMPRODUCT(H169:L169,'Source Data'!D24:H24)</x:f>
        <x:v>166.64567539376105</x:v>
      </x:c>
      <x:c r="U169" s="3"/>
      <x:c r="V169" s="3"/>
      <x:c r="W169" s="28" t="n">
        <x:f>M169*F169</x:f>
        <x:v>28.8746483888312</x:v>
      </x:c>
      <x:c r="X169" s="28" t="n">
        <x:f>N169*F169</x:f>
        <x:v>29.14216069091034</x:v>
      </x:c>
      <x:c r="Y169" s="28" t="n">
        <x:f>O169*F169</x:f>
        <x:v>29.34619140024957</x:v>
      </x:c>
      <x:c r="Z169" s="28" t="n">
        <x:f>P169*F169</x:f>
        <x:v>29.53068931182268</x:v>
      </x:c>
      <x:c r="AA169" s="28" t="n">
        <x:f>Q169*F169</x:f>
        <x:v>29.715187223395787</x:v>
      </x:c>
      <x:c r="AB169" s="28" t="n">
        <x:f>R169*F169</x:f>
        <x:v>29.89112744881888</x:v>
      </x:c>
      <x:c r="AC169" s="28" t="n">
        <x:f>S169*F169</x:f>
        <x:v>29.955817754291846</x:v>
      </x:c>
      <x:c r="AD169" s="28" t="n">
        <x:f>T169*F169</x:f>
        <x:v>29.98627731516477</x:v>
      </x:c>
    </x:row>
    <x:row r="170" ht="19" customHeight="1">
      <x:c r="A170" s="2"/>
      <x:c r="B170" s="2"/>
      <x:c r="C170" s="45" t="n">
        <x:f>'Source Data'!C193</x:f>
        <x:v>3</x:v>
      </x:c>
      <x:c r="D170" s="45" t="n">
        <x:f>'Source Data'!D193</x:f>
        <x:v>26</x:v>
      </x:c>
      <x:c r="E170" s="45" t="n">
        <x:f>'Source Data'!E193</x:f>
        <x:v>5</x:v>
      </x:c>
      <x:c r="F170" s="27" t="n">
        <x:f>IF(D170=0,0.5,1)*EXP(-'Assumptions'!$D$21*MAX(D170-6,0))</x:f>
        <x:v>0.16440867995072633</x:v>
      </x:c>
      <x:c r="G170" s="27" t="n">
        <x:f>IF(D170/'Assumptions'!$D$20&gt;=31,0,INDEX('Source Data'!$N$29:$N$60,INT(D170/'Assumptions'!$D$20)+1)+(D170/'Assumptions'!$D$20-INT(D170/'Assumptions'!$D$20))*(INDEX('Source Data'!$N$29:$N$60,MIN(32,INT(D170/'Assumptions'!$D$20)+2))-INDEX('Source Data'!$N$29:$N$60,INT(D170/'Assumptions'!$D$20)+1)))</x:f>
        <x:v>0.20723748862602367</x:v>
      </x:c>
      <x:c r="H170" s="27" t="n">
        <x:f>'Source Data'!F193*G170*'Assumptions'!$F$58*'Assumptions'!$G$58</x:f>
        <x:v>117.17501040527596</x:v>
      </x:c>
      <x:c r="I170" s="27" t="n">
        <x:f>'Source Data'!G193*G170*'Assumptions'!$F$58*'Assumptions'!$G$58</x:f>
        <x:v>125.82910121349259</x:v>
      </x:c>
      <x:c r="J170" s="27" t="n">
        <x:f>'Source Data'!H193*G170*'Assumptions'!$F$58*'Assumptions'!$G$58</x:f>
        <x:v>139.17226114488636</x:v>
      </x:c>
      <x:c r="K170" s="27" t="n">
        <x:f>'Source Data'!I193*G170*'Assumptions'!$F$58*'Assumptions'!$G$58</x:f>
        <x:v>144.5681384814836</x:v>
      </x:c>
      <x:c r="L170" s="27" t="n">
        <x:f>'Source Data'!J193*G170*'Assumptions'!$F$58*'Assumptions'!$G$58</x:f>
        <x:v>148.22285412160696</x:v>
      </x:c>
      <x:c r="M170" s="27" t="n">
        <x:f>SUMPRODUCT(H170:L170,'Source Data'!D17:H17)</x:f>
        <x:v>135.2805061648965</x:v>
      </x:c>
      <x:c r="N170" s="27" t="n">
        <x:f>SUMPRODUCT(H170:L170,'Source Data'!D18:H18)</x:f>
        <x:v>138.50591722281723</x:v>
      </x:c>
      <x:c r="O170" s="27" t="n">
        <x:f>SUMPRODUCT(H170:L170,'Source Data'!D19:H19)</x:f>
        <x:v>140.29640225667745</x:v>
      </x:c>
      <x:c r="P170" s="27" t="n">
        <x:f>SUMPRODUCT(H170:L170,'Source Data'!D20:H20)</x:f>
        <x:v>141.64537159082678</x:v>
      </x:c>
      <x:c r="Q170" s="27" t="n">
        <x:f>SUMPRODUCT(H170:L170,'Source Data'!D21:H21)</x:f>
        <x:v>142.9943409249761</x:v>
      </x:c>
      <x:c r="R170" s="27" t="n">
        <x:f>SUMPRODUCT(H170:L170,'Source Data'!D22:H22)</x:f>
        <x:v>144.31912745778547</x:v>
      </x:c>
      <x:c r="S170" s="27" t="n">
        <x:f>SUMPRODUCT(H170:L170,'Source Data'!D23:H23)</x:f>
        <x:v>145.32953757317597</x:v>
      </x:c>
      <x:c r="T170" s="27" t="n">
        <x:f>SUMPRODUCT(H170:L170,'Source Data'!D24:H24)</x:f>
        <x:v>146.24321648320682</x:v>
      </x:c>
      <x:c r="U170" s="3"/>
      <x:c r="V170" s="3"/>
      <x:c r="W170" s="28" t="n">
        <x:f>M170*F170</x:f>
        <x:v>22.24128944163673</x:v>
      </x:c>
      <x:c r="X170" s="28" t="n">
        <x:f>N170*F170</x:f>
        <x:v>22.77157501596795</x:v>
      </x:c>
      <x:c r="Y170" s="28" t="n">
        <x:f>O170*F170</x:f>
        <x:v>23.065946296856442</x:v>
      </x:c>
      <x:c r="Z170" s="28" t="n">
        <x:f>P170*F170</x:f>
        <x:v>23.287728564377943</x:v>
      </x:c>
      <x:c r="AA170" s="28" t="n">
        <x:f>Q170*F170</x:f>
        <x:v>23.50951083189944</x:v>
      </x:c>
      <x:c r="AB170" s="28" t="n">
        <x:f>R170*F170</x:f>
        <x:v>23.727317236975132</x:v>
      </x:c>
      <x:c r="AC170" s="28" t="n">
        <x:f>S170*F170</x:f>
        <x:v>23.893437430255346</x:v>
      </x:c>
      <x:c r="AD170" s="28" t="n">
        <x:f>T170*F170</x:f>
        <x:v>24.043654173752337</x:v>
      </x:c>
    </x:row>
    <x:row r="171" ht="19" customHeight="1">
      <x:c r="A171" s="2"/>
      <x:c r="B171" s="2"/>
      <x:c r="C171" s="45" t="n">
        <x:f>'Source Data'!C194</x:f>
        <x:v>3</x:v>
      </x:c>
      <x:c r="D171" s="45" t="n">
        <x:f>'Source Data'!D194</x:f>
        <x:v>27</x:v>
      </x:c>
      <x:c r="E171" s="45" t="n">
        <x:f>'Source Data'!E194</x:f>
        <x:v>5</x:v>
      </x:c>
      <x:c r="F171" s="27" t="n">
        <x:f>IF(D171=0,0.5,1)*EXP(-'Assumptions'!$D$21*MAX(D171-6,0))</x:f>
        <x:v>0.15021765549333577</x:v>
      </x:c>
      <x:c r="G171" s="27" t="n">
        <x:f>IF(D171/'Assumptions'!$D$20&gt;=31,0,INDEX('Source Data'!$N$29:$N$60,INT(D171/'Assumptions'!$D$20)+1)+(D171/'Assumptions'!$D$20-INT(D171/'Assumptions'!$D$20))*(INDEX('Source Data'!$N$29:$N$60,MIN(32,INT(D171/'Assumptions'!$D$20)+2))-INDEX('Source Data'!$N$29:$N$60,INT(D171/'Assumptions'!$D$20)+1)))</x:f>
        <x:v>0.18437306642402182</x:v>
      </x:c>
      <x:c r="H171" s="27" t="n">
        <x:f>'Source Data'!F194*G171*'Assumptions'!$F$58*'Assumptions'!$G$58</x:f>
        <x:v>99.98339281567314</x:v>
      </x:c>
      <x:c r="I171" s="27" t="n">
        <x:f>'Source Data'!G194*G171*'Assumptions'!$F$58*'Assumptions'!$G$58</x:f>
        <x:v>104.24714234823291</x:v>
      </x:c>
      <x:c r="J171" s="27" t="n">
        <x:f>'Source Data'!H194*G171*'Assumptions'!$F$58*'Assumptions'!$G$58</x:f>
        <x:v>111.94643107249551</x:v>
      </x:c>
      <x:c r="K171" s="27" t="n">
        <x:f>'Source Data'!I194*G171*'Assumptions'!$F$58*'Assumptions'!$G$58</x:f>
        <x:v>123.81744595811156</x:v>
      </x:c>
      <x:c r="L171" s="27" t="n">
        <x:f>'Source Data'!J194*G171*'Assumptions'!$F$58*'Assumptions'!$G$58</x:f>
        <x:v>128.6179984893749</x:v>
      </x:c>
      <x:c r="M171" s="27" t="n">
        <x:f>SUMPRODUCT(H171:L171,'Source Data'!D17:H17)</x:f>
        <x:v>109.7008051945856</x:v>
      </x:c>
      <x:c r="N171" s="27" t="n">
        <x:f>SUMPRODUCT(H171:L171,'Source Data'!D18:H18)</x:f>
        <x:v>111.68356801678115</x:v>
      </x:c>
      <x:c r="O171" s="27" t="n">
        <x:f>SUMPRODUCT(H171:L171,'Source Data'!D19:H19)</x:f>
        <x:v>114.41955917366552</x:v>
      </x:c>
      <x:c r="P171" s="27" t="n">
        <x:f>SUMPRODUCT(H171:L171,'Source Data'!D20:H20)</x:f>
        <x:v>117.38731289506956</x:v>
      </x:c>
      <x:c r="Q171" s="27" t="n">
        <x:f>SUMPRODUCT(H171:L171,'Source Data'!D21:H21)</x:f>
        <x:v>120.35506661647355</x:v>
      </x:c>
      <x:c r="R171" s="27" t="n">
        <x:f>SUMPRODUCT(H171:L171,'Source Data'!D22:H22)</x:f>
        <x:v>123.22461947184489</x:v>
      </x:c>
      <x:c r="S171" s="27" t="n">
        <x:f>SUMPRODUCT(H171:L171,'Source Data'!D23:H23)</x:f>
        <x:v>124.81756106879142</x:v>
      </x:c>
      <x:c r="T171" s="27" t="n">
        <x:f>SUMPRODUCT(H171:L171,'Source Data'!D24:H24)</x:f>
        <x:v>126.01769920160729</x:v>
      </x:c>
      <x:c r="U171" s="3"/>
      <x:c r="V171" s="3"/>
      <x:c r="W171" s="28" t="n">
        <x:f>M171*F171</x:f>
        <x:v>16.4789977620618</x:v>
      </x:c>
      <x:c r="X171" s="28" t="n">
        <x:f>N171*F171</x:f>
        <x:v>16.776843744611362</x:v>
      </x:c>
      <x:c r="Y171" s="28" t="n">
        <x:f>O171*F171</x:f>
        <x:v>17.187837921649034</x:v>
      </x:c>
      <x:c r="Z171" s="28" t="n">
        <x:f>P171*F171</x:f>
        <x:v>17.63364692775997</x:v>
      </x:c>
      <x:c r="AA171" s="28" t="n">
        <x:f>Q171*F171</x:f>
        <x:v>18.0794559338709</x:v>
      </x:c>
      <x:c r="AB171" s="28" t="n">
        <x:f>R171*F171</x:f>
        <x:v>18.51051343611899</x:v>
      </x:c>
      <x:c r="AC171" s="28" t="n">
        <x:f>S171*F171</x:f>
        <x:v>18.749801388150107</x:v>
      </x:c>
      <x:c r="AD171" s="28" t="n">
        <x:f>T171*F171</x:f>
        <x:v>18.930083324729857</x:v>
      </x:c>
    </x:row>
    <x:row r="172" ht="19" customHeight="1">
      <x:c r="A172" s="2"/>
      <x:c r="B172" s="2"/>
      <x:c r="C172" s="45" t="n">
        <x:f>'Source Data'!C195</x:f>
        <x:v>3</x:v>
      </x:c>
      <x:c r="D172" s="45" t="n">
        <x:f>'Source Data'!D195</x:f>
        <x:v>28</x:v>
      </x:c>
      <x:c r="E172" s="45" t="n">
        <x:f>'Source Data'!E195</x:f>
        <x:v>5</x:v>
      </x:c>
      <x:c r="F172" s="27" t="n">
        <x:f>IF(D172=0,0.5,1)*EXP(-'Assumptions'!$D$21*MAX(D172-6,0))</x:f>
        <x:v>0.1372515370154264</x:v>
      </x:c>
      <x:c r="G172" s="27" t="n">
        <x:f>IF(D172/'Assumptions'!$D$20&gt;=31,0,INDEX('Source Data'!$N$29:$N$60,INT(D172/'Assumptions'!$D$20)+1)+(D172/'Assumptions'!$D$20-INT(D172/'Assumptions'!$D$20))*(INDEX('Source Data'!$N$29:$N$60,MIN(32,INT(D172/'Assumptions'!$D$20)+2))-INDEX('Source Data'!$N$29:$N$60,INT(D172/'Assumptions'!$D$20)+1)))</x:f>
        <x:v>0.163968152866242</x:v>
      </x:c>
      <x:c r="H172" s="27" t="n">
        <x:f>'Source Data'!F195*G172*'Assumptions'!$F$58*'Assumptions'!$G$58</x:f>
        <x:v>82.56188279127444</x:v>
      </x:c>
      <x:c r="I172" s="27" t="n">
        <x:f>'Source Data'!G195*G172*'Assumptions'!$F$58*'Assumptions'!$G$58</x:f>
        <x:v>88.9180429400823</x:v>
      </x:c>
      <x:c r="J172" s="27" t="n">
        <x:f>'Source Data'!H195*G172*'Assumptions'!$F$58*'Assumptions'!$G$58</x:f>
        <x:v>92.70991530353419</x:v>
      </x:c>
      <x:c r="K172" s="27" t="n">
        <x:f>'Source Data'!I195*G172*'Assumptions'!$F$58*'Assumptions'!$G$58</x:f>
        <x:v>99.5571092835804</x:v>
      </x:c>
      <x:c r="L172" s="27" t="n">
        <x:f>'Source Data'!J195*G172*'Assumptions'!$F$58*'Assumptions'!$G$58</x:f>
        <x:v>110.11433665520543</x:v>
      </x:c>
      <x:c r="M172" s="27" t="n">
        <x:f>SUMPRODUCT(H172:L172,'Source Data'!D17:H17)</x:f>
        <x:v>91.60395253086072</x:v>
      </x:c>
      <x:c r="N172" s="27" t="n">
        <x:f>SUMPRODUCT(H172:L172,'Source Data'!D18:H18)</x:f>
        <x:v>92.59435564417639</x:v>
      </x:c>
      <x:c r="O172" s="27" t="n">
        <x:f>SUMPRODUCT(H172:L172,'Source Data'!D19:H19)</x:f>
        <x:v>94.13641404937715</x:v>
      </x:c>
      <x:c r="P172" s="27" t="n">
        <x:f>SUMPRODUCT(H172:L172,'Source Data'!D20:H20)</x:f>
        <x:v>95.8482125443887</x:v>
      </x:c>
      <x:c r="Q172" s="27" t="n">
        <x:f>SUMPRODUCT(H172:L172,'Source Data'!D21:H21)</x:f>
        <x:v>97.56001103940027</x:v>
      </x:c>
      <x:c r="R172" s="27" t="n">
        <x:f>SUMPRODUCT(H172:L172,'Source Data'!D22:H22)</x:f>
        <x:v>99.3233377759615</x:v>
      </x:c>
      <x:c r="S172" s="27" t="n">
        <x:f>SUMPRODUCT(H172:L172,'Source Data'!D23:H23)</x:f>
        <x:v>101.75653165266895</x:v>
      </x:c>
      <x:c r="T172" s="27" t="n">
        <x:f>SUMPRODUCT(H172:L172,'Source Data'!D24:H24)</x:f>
        <x:v>104.39583849557522</x:v>
      </x:c>
      <x:c r="U172" s="3"/>
      <x:c r="V172" s="3"/>
      <x:c r="W172" s="28" t="n">
        <x:f>M172*F172</x:f>
        <x:v>12.572783281548793</x:v>
      </x:c>
      <x:c r="X172" s="28" t="n">
        <x:f>N172*F172</x:f>
        <x:v>12.708717631116231</x:v>
      </x:c>
      <x:c r="Y172" s="28" t="n">
        <x:f>O172*F172</x:f>
        <x:v>12.920367517397592</x:v>
      </x:c>
      <x:c r="Z172" s="28" t="n">
        <x:f>P172*F172</x:f>
        <x:v>13.155314491898622</x:v>
      </x:c>
      <x:c r="AA172" s="28" t="n">
        <x:f>Q172*F172</x:f>
        <x:v>13.390261466399652</x:v>
      </x:c>
      <x:c r="AB172" s="28" t="n">
        <x:f>R172*F172</x:f>
        <x:v>13.632280771253079</x:v>
      </x:c>
      <x:c r="AC172" s="28" t="n">
        <x:f>S172*F172</x:f>
        <x:v>13.9662403706877</x:v>
      </x:c>
      <x:c r="AD172" s="28" t="n">
        <x:f>T172*F172</x:f>
        <x:v>14.328489291531918</x:v>
      </x:c>
    </x:row>
    <x:row r="173" ht="19" customHeight="1">
      <x:c r="A173" s="2"/>
      <x:c r="B173" s="2"/>
      <x:c r="C173" s="45" t="n">
        <x:f>'Source Data'!C196</x:f>
        <x:v>3</x:v>
      </x:c>
      <x:c r="D173" s="45" t="n">
        <x:f>'Source Data'!D196</x:f>
        <x:v>29</x:v>
      </x:c>
      <x:c r="E173" s="45" t="n">
        <x:f>'Source Data'!E196</x:f>
        <x:v>5</x:v>
      </x:c>
      <x:c r="F173" s="27" t="n">
        <x:f>IF(D173=0,0.5,1)*EXP(-'Assumptions'!$D$21*MAX(D173-6,0))</x:f>
        <x:v>0.12540459609245258</x:v>
      </x:c>
      <x:c r="G173" s="27" t="n">
        <x:f>IF(D173/'Assumptions'!$D$20&gt;=31,0,INDEX('Source Data'!$N$29:$N$60,INT(D173/'Assumptions'!$D$20)+1)+(D173/'Assumptions'!$D$20-INT(D173/'Assumptions'!$D$20))*(INDEX('Source Data'!$N$29:$N$60,MIN(32,INT(D173/'Assumptions'!$D$20)+2))-INDEX('Source Data'!$N$29:$N$60,INT(D173/'Assumptions'!$D$20)+1)))</x:f>
        <x:v>0.14524749772520476</x:v>
      </x:c>
      <x:c r="H173" s="27" t="n">
        <x:f>'Source Data'!F196*G173*'Assumptions'!$F$58*'Assumptions'!$G$58</x:f>
        <x:v>72.893934915893</x:v>
      </x:c>
      <x:c r="I173" s="27" t="n">
        <x:f>'Source Data'!G196*G173*'Assumptions'!$F$58*'Assumptions'!$G$58</x:f>
        <x:v>73.13558562007299</x:v>
      </x:c>
      <x:c r="J173" s="27" t="n">
        <x:f>'Source Data'!H196*G173*'Assumptions'!$F$58*'Assumptions'!$G$58</x:f>
        <x:v>78.76604702746667</x:v>
      </x:c>
      <x:c r="K173" s="27" t="n">
        <x:f>'Source Data'!I196*G173*'Assumptions'!$F$58*'Assumptions'!$G$58</x:f>
        <x:v>82.12499181556849</x:v>
      </x:c>
      <x:c r="L173" s="27" t="n">
        <x:f>'Source Data'!J196*G173*'Assumptions'!$F$58*'Assumptions'!$G$58</x:f>
        <x:v>88.19042449048615</x:v>
      </x:c>
      <x:c r="M173" s="27" t="n">
        <x:f>SUMPRODUCT(H173:L173,'Source Data'!D17:H17)</x:f>
        <x:v>77.12382911697685</x:v>
      </x:c>
      <x:c r="N173" s="27" t="n">
        <x:f>SUMPRODUCT(H173:L173,'Source Data'!D18:H18)</x:f>
        <x:v>78.49989562689066</x:v>
      </x:c>
      <x:c r="O173" s="27" t="n">
        <x:f>SUMPRODUCT(H173:L173,'Source Data'!D19:H19)</x:f>
        <x:v>79.46582719165454</x:v>
      </x:c>
      <x:c r="P173" s="27" t="n">
        <x:f>SUMPRODUCT(H173:L173,'Source Data'!D20:H20)</x:f>
        <x:v>80.30556338868001</x:v>
      </x:c>
      <x:c r="Q173" s="27" t="n">
        <x:f>SUMPRODUCT(H173:L173,'Source Data'!D21:H21)</x:f>
        <x:v>81.14529958570546</x:v>
      </x:c>
      <x:c r="R173" s="27" t="n">
        <x:f>SUMPRODUCT(H173:L173,'Source Data'!D22:H22)</x:f>
        <x:v>82.02262589227003</x:v>
      </x:c>
      <x:c r="S173" s="27" t="n">
        <x:f>SUMPRODUCT(H173:L173,'Source Data'!D23:H23)</x:f>
        <x:v>83.388623622843</x:v>
      </x:c>
      <x:c r="T173" s="27" t="n">
        <x:f>SUMPRODUCT(H173:L173,'Source Data'!D24:H24)</x:f>
        <x:v>84.90498179157242</x:v>
      </x:c>
      <x:c r="U173" s="3"/>
      <x:c r="V173" s="3"/>
      <x:c r="W173" s="28" t="n">
        <x:f>M173*F173</x:f>
        <x:v>9.671682639517815</x:v>
      </x:c>
      <x:c r="X173" s="28" t="n">
        <x:f>N173*F173</x:f>
        <x:v>9.844247704389907</x:v>
      </x:c>
      <x:c r="Y173" s="28" t="n">
        <x:f>O173*F173</x:f>
        <x:v>9.965379962122073</x:v>
      </x:c>
      <x:c r="Z173" s="28" t="n">
        <x:f>P173*F173</x:f>
        <x:v>10.070686740734265</x:v>
      </x:c>
      <x:c r="AA173" s="28" t="n">
        <x:f>Q173*F173</x:f>
        <x:v>10.175993519346452</x:v>
      </x:c>
      <x:c r="AB173" s="28" t="n">
        <x:f>R173*F173</x:f>
        <x:v>10.286014270462466</x:v>
      </x:c>
      <x:c r="AC173" s="28" t="n">
        <x:f>S173*F173</x:f>
        <x:v>10.457316664128177</x:v>
      </x:c>
      <x:c r="AD173" s="28" t="n">
        <x:f>T173*F173</x:f>
        <x:v>10.647474947809181</x:v>
      </x:c>
    </x:row>
    <x:row r="174" ht="19" customHeight="1">
      <x:c r="A174" s="2"/>
      <x:c r="B174" s="2"/>
      <x:c r="C174" s="45" t="n">
        <x:f>'Source Data'!C197</x:f>
        <x:v>3</x:v>
      </x:c>
      <x:c r="D174" s="45" t="n">
        <x:f>'Source Data'!D197</x:f>
        <x:v>30</x:v>
      </x:c>
      <x:c r="E174" s="45" t="n">
        <x:f>'Source Data'!E197</x:f>
        <x:v>5</x:v>
      </x:c>
      <x:c r="F174" s="27" t="n">
        <x:f>IF(D174=0,0.5,1)*EXP(-'Assumptions'!$D$21*MAX(D174-6,0))</x:f>
        <x:v>0.11458023030622685</x:v>
      </x:c>
      <x:c r="G174" s="27" t="n">
        <x:f>IF(D174/'Assumptions'!$D$20&gt;=31,0,INDEX('Source Data'!$N$29:$N$60,INT(D174/'Assumptions'!$D$20)+1)+(D174/'Assumptions'!$D$20-INT(D174/'Assumptions'!$D$20))*(INDEX('Source Data'!$N$29:$N$60,MIN(32,INT(D174/'Assumptions'!$D$20)+2))-INDEX('Source Data'!$N$29:$N$60,INT(D174/'Assumptions'!$D$20)+1)))</x:f>
        <x:v>0.1282393084622384</x:v>
      </x:c>
      <x:c r="H174" s="27" t="n">
        <x:f>'Source Data'!F197*G174*'Assumptions'!$F$58*'Assumptions'!$G$58</x:f>
        <x:v>57.08283426606651</x:v>
      </x:c>
      <x:c r="I174" s="27" t="n">
        <x:f>'Source Data'!G197*G174*'Assumptions'!$F$58*'Assumptions'!$G$58</x:f>
        <x:v>64.35820204208171</x:v>
      </x:c>
      <x:c r="J174" s="27" t="n">
        <x:f>'Source Data'!H197*G174*'Assumptions'!$F$58*'Assumptions'!$G$58</x:f>
        <x:v>64.5715559358065</x:v>
      </x:c>
      <x:c r="K174" s="27" t="n">
        <x:f>'Source Data'!I197*G174*'Assumptions'!$F$58*'Assumptions'!$G$58</x:f>
        <x:v>69.54270165959402</x:v>
      </x:c>
      <x:c r="L174" s="27" t="n">
        <x:f>'Source Data'!J197*G174*'Assumptions'!$F$58*'Assumptions'!$G$58</x:f>
        <x:v>72.50832078236854</x:v>
      </x:c>
      <x:c r="M174" s="27" t="n">
        <x:f>SUMPRODUCT(H174:L174,'Source Data'!D17:H17)</x:f>
        <x:v>64.50932771680344</x:v>
      </x:c>
      <x:c r="N174" s="27" t="n">
        <x:f>SUMPRODUCT(H174:L174,'Source Data'!D18:H18)</x:f>
        <x:v>64.62874663231884</x:v>
      </x:c>
      <x:c r="O174" s="27" t="n">
        <x:f>SUMPRODUCT(H174:L174,'Source Data'!D19:H19)</x:f>
        <x:v>65.6072112949289</x:v>
      </x:c>
      <x:c r="P174" s="27" t="n">
        <x:f>SUMPRODUCT(H174:L174,'Source Data'!D20:H20)</x:f>
        <x:v>66.84999772587578</x:v>
      </x:c>
      <x:c r="Q174" s="27" t="n">
        <x:f>SUMPRODUCT(H174:L174,'Source Data'!D21:H21)</x:f>
        <x:v>68.09278415682266</x:v>
      </x:c>
      <x:c r="R174" s="27" t="n">
        <x:f>SUMPRODUCT(H174:L174,'Source Data'!D22:H22)</x:f>
        <x:v>69.30771605164435</x:v>
      </x:c>
      <x:c r="S174" s="27" t="n">
        <x:f>SUMPRODUCT(H174:L174,'Source Data'!D23:H23)</x:f>
        <x:v>70.16053897683871</x:v>
      </x:c>
      <x:c r="T174" s="27" t="n">
        <x:f>SUMPRODUCT(H174:L174,'Source Data'!D24:H24)</x:f>
        <x:v>70.90194375753235</x:v>
      </x:c>
      <x:c r="U174" s="3"/>
      <x:c r="V174" s="3"/>
      <x:c r="W174" s="28" t="n">
        <x:f>M174*F174</x:f>
        <x:v>7.391493626691202</x:v>
      </x:c>
      <x:c r="X174" s="28" t="n">
        <x:f>N174*F174</x:f>
        <x:v>7.405176673533876</x:v>
      </x:c>
      <x:c r="Y174" s="28" t="n">
        <x:f>O174*F174</x:f>
        <x:v>7.517289379922241</x:v>
      </x:c>
      <x:c r="Z174" s="28" t="n">
        <x:f>P174*F174</x:f>
        <x:v>7.659688135401589</x:v>
      </x:c>
      <x:c r="AA174" s="28" t="n">
        <x:f>Q174*F174</x:f>
        <x:v>7.802086890880935</x:v>
      </x:c>
      <x:c r="AB174" s="28" t="n">
        <x:f>R174*F174</x:f>
        <x:v>7.941294067195985</x:v>
      </x:c>
      <x:c r="AC174" s="28" t="n">
        <x:f>S174*F174</x:f>
        <x:v>8.039010714375186</x:v>
      </x:c>
      <x:c r="AD174" s="28" t="n">
        <x:f>T174*F174</x:f>
        <x:v>8.1239610448972</x:v>
      </x:c>
    </x:row>
    <x:row r="175" ht="19" customHeight="1">
      <x:c r="A175" s="2"/>
      <x:c r="B175" s="2"/>
      <x:c r="C175" s="45" t="n">
        <x:f>'Source Data'!C198</x:f>
        <x:v>3</x:v>
      </x:c>
      <x:c r="D175" s="45" t="n">
        <x:f>'Source Data'!D198</x:f>
        <x:v>31</x:v>
      </x:c>
      <x:c r="E175" s="45" t="n">
        <x:f>'Source Data'!E198</x:f>
        <x:v>5</x:v>
      </x:c>
      <x:c r="F175" s="27" t="n">
        <x:f>IF(D175=0,0.5,1)*EXP(-'Assumptions'!$D$21*MAX(D175-6,0))</x:f>
        <x:v>0.10469017552872706</x:v>
      </x:c>
      <x:c r="G175" s="27" t="n">
        <x:f>IF(D175/'Assumptions'!$D$20&gt;=31,0,INDEX('Source Data'!$N$29:$N$60,INT(D175/'Assumptions'!$D$20)+1)+(D175/'Assumptions'!$D$20-INT(D175/'Assumptions'!$D$20))*(INDEX('Source Data'!$N$29:$N$60,MIN(32,INT(D175/'Assumptions'!$D$20)+2))-INDEX('Source Data'!$N$29:$N$60,INT(D175/'Assumptions'!$D$20)+1)))</x:f>
        <x:v>0.11388808007279344</x:v>
      </x:c>
      <x:c r="H175" s="27" t="n">
        <x:f>'Source Data'!F198*G175*'Assumptions'!$F$58*'Assumptions'!$G$58</x:f>
        <x:v>43.85457055730471</x:v>
      </x:c>
      <x:c r="I175" s="27" t="n">
        <x:f>'Source Data'!G198*G175*'Assumptions'!$F$58*'Assumptions'!$G$58</x:f>
        <x:v>50.694708803659</x:v>
      </x:c>
      <x:c r="J175" s="27" t="n">
        <x:f>'Source Data'!H198*G175*'Assumptions'!$F$58*'Assumptions'!$G$58</x:f>
        <x:v>57.155892022514436</x:v>
      </x:c>
      <x:c r="K175" s="27" t="n">
        <x:f>'Source Data'!I198*G175*'Assumptions'!$F$58*'Assumptions'!$G$58</x:f>
        <x:v>57.34536953626386</x:v>
      </x:c>
      <x:c r="L175" s="27" t="n">
        <x:f>'Source Data'!J198*G175*'Assumptions'!$F$58*'Assumptions'!$G$58</x:f>
        <x:v>61.7601956066255</x:v>
      </x:c>
      <x:c r="M175" s="27" t="n">
        <x:f>SUMPRODUCT(H175:L175,'Source Data'!D17:H17)</x:f>
        <x:v>55.27138025034827</x:v>
      </x:c>
      <x:c r="N175" s="27" t="n">
        <x:f>SUMPRODUCT(H175:L175,'Source Data'!D18:H18)</x:f>
        <x:v>56.799569031380095</x:v>
      </x:c>
      <x:c r="O175" s="27" t="n">
        <x:f>SUMPRODUCT(H175:L175,'Source Data'!D19:H19)</x:f>
        <x:v>57.19536650454556</x:v>
      </x:c>
      <x:c r="P175" s="27" t="n">
        <x:f>SUMPRODUCT(H175:L175,'Source Data'!D20:H20)</x:f>
        <x:v>57.24273588298293</x:v>
      </x:c>
      <x:c r="Q175" s="27" t="n">
        <x:f>SUMPRODUCT(H175:L175,'Source Data'!D21:H21)</x:f>
        <x:v>57.29010526142028</x:v>
      </x:c>
      <x:c r="R175" s="27" t="n">
        <x:f>SUMPRODUCT(H175:L175,'Source Data'!D22:H22)</x:f>
        <x:v>57.39616003647724</x:v>
      </x:c>
      <x:c r="S175" s="27" t="n">
        <x:f>SUMPRODUCT(H175:L175,'Source Data'!D23:H23)</x:f>
        <x:v>58.2651249675892</x:v>
      </x:c>
      <x:c r="T175" s="27" t="n">
        <x:f>SUMPRODUCT(H175:L175,'Source Data'!D24:H24)</x:f>
        <x:v>59.36883148517962</x:v>
      </x:c>
      <x:c r="U175" s="3"/>
      <x:c r="V175" s="3"/>
      <x:c r="W175" s="28" t="n">
        <x:f>M175*F175</x:f>
        <x:v>5.7863705001239785</x:v>
      </x:c>
      <x:c r="X175" s="28" t="n">
        <x:f>N175*F175</x:f>
        <x:v>5.946356851851232</x:v>
      </x:c>
      <x:c r="Y175" s="28" t="n">
        <x:f>O175*F175</x:f>
        <x:v>5.987792958790751</x:v>
      </x:c>
      <x:c r="Z175" s="28" t="n">
        <x:f>P175*F175</x:f>
        <x:v>5.992752067334045</x:v>
      </x:c>
      <x:c r="AA175" s="28" t="n">
        <x:f>Q175*F175</x:f>
        <x:v>5.997711175877338</x:v>
      </x:c>
      <x:c r="AB175" s="28" t="n">
        <x:f>R175*F175</x:f>
        <x:v>6.008814068893711</x:v>
      </x:c>
      <x:c r="AC175" s="28" t="n">
        <x:f>S175*F175</x:f>
        <x:v>6.099786160060131</x:v>
      </x:c>
      <x:c r="AD175" s="28" t="n">
        <x:f>T175*F175</x:f>
        <x:v>6.215333389118872</x:v>
      </x:c>
    </x:row>
    <x:row r="176" ht="19" customHeight="1">
      <x:c r="A176" s="2"/>
      <x:c r="B176" s="2"/>
      <x:c r="C176" s="45" t="n">
        <x:f>'Source Data'!C199</x:f>
        <x:v>3</x:v>
      </x:c>
      <x:c r="D176" s="45" t="n">
        <x:f>'Source Data'!D199</x:f>
        <x:v>32</x:v>
      </x:c>
      <x:c r="E176" s="45" t="n">
        <x:f>'Source Data'!E199</x:f>
        <x:v>5</x:v>
      </x:c>
      <x:c r="F176" s="27" t="n">
        <x:f>IF(D176=0,0.5,1)*EXP(-'Assumptions'!$D$21*MAX(D176-6,0))</x:f>
        <x:v>0.09565378619805467</x:v>
      </x:c>
      <x:c r="G176" s="27" t="n">
        <x:f>IF(D176/'Assumptions'!$D$20&gt;=31,0,INDEX('Source Data'!$N$29:$N$60,INT(D176/'Assumptions'!$D$20)+1)+(D176/'Assumptions'!$D$20-INT(D176/'Assumptions'!$D$20))*(INDEX('Source Data'!$N$29:$N$60,MIN(32,INT(D176/'Assumptions'!$D$20)+2))-INDEX('Source Data'!$N$29:$N$60,INT(D176/'Assumptions'!$D$20)+1)))</x:f>
        <x:v>0.10047406733393992</x:v>
      </x:c>
      <x:c r="H176" s="27" t="n">
        <x:f>'Source Data'!F199*G176*'Assumptions'!$F$58*'Assumptions'!$G$58</x:f>
        <x:v>34.45175745287349</x:v>
      </x:c>
      <x:c r="I176" s="27" t="n">
        <x:f>'Source Data'!G199*G176*'Assumptions'!$F$58*'Assumptions'!$G$58</x:f>
        <x:v>38.689273471458364</x:v>
      </x:c>
      <x:c r="J176" s="27" t="n">
        <x:f>'Source Data'!H199*G176*'Assumptions'!$F$58*'Assumptions'!$G$58</x:f>
        <x:v>44.723763738555554</x:v>
      </x:c>
      <x:c r="K176" s="27" t="n">
        <x:f>'Source Data'!I199*G176*'Assumptions'!$F$58*'Assumptions'!$G$58</x:f>
        <x:v>50.42393321523187</x:v>
      </x:c>
      <x:c r="L176" s="27" t="n">
        <x:f>'Source Data'!J199*G176*'Assumptions'!$F$58*'Assumptions'!$G$58</x:f>
        <x:v>50.59109361044231</x:v>
      </x:c>
      <x:c r="M176" s="27" t="n">
        <x:f>SUMPRODUCT(H176:L176,'Source Data'!D17:H17)</x:f>
        <x:v>42.96370407731887</x:v>
      </x:c>
      <x:c r="N176" s="27" t="n">
        <x:f>SUMPRODUCT(H176:L176,'Source Data'!D18:H18)</x:f>
        <x:v>44.46768329978177</x:v>
      </x:c>
      <x:c r="O176" s="27" t="n">
        <x:f>SUMPRODUCT(H176:L176,'Source Data'!D19:H19)</x:f>
        <x:v>45.911299046196454</x:v>
      </x:c>
      <x:c r="P176" s="27" t="n">
        <x:f>SUMPRODUCT(H176:L176,'Source Data'!D20:H20)</x:f>
        <x:v>47.33634141536554</x:v>
      </x:c>
      <x:c r="Q176" s="27" t="n">
        <x:f>SUMPRODUCT(H176:L176,'Source Data'!D21:H21)</x:f>
        <x:v>48.761383784534615</x:v>
      </x:c>
      <x:c r="R176" s="27" t="n">
        <x:f>SUMPRODUCT(H176:L176,'Source Data'!D22:H22)</x:f>
        <x:v>50.10957880535</x:v>
      </x:c>
      <x:c r="S176" s="27" t="n">
        <x:f>SUMPRODUCT(H176:L176,'Source Data'!D23:H23)</x:f>
        <x:v>50.45875829756737</x:v>
      </x:c>
      <x:c r="T176" s="27" t="n">
        <x:f>SUMPRODUCT(H176:L176,'Source Data'!D24:H24)</x:f>
        <x:v>50.50054839636999</x:v>
      </x:c>
      <x:c r="U176" s="3"/>
      <x:c r="V176" s="3"/>
      <x:c r="W176" s="28" t="n">
        <x:f>M176*F176</x:f>
        <x:v>4.109640964088349</x:v>
      </x:c>
      <x:c r="X176" s="28" t="n">
        <x:f>N176*F176</x:f>
        <x:v>4.253502271080132</x:v>
      </x:c>
      <x:c r="Y176" s="28" t="n">
        <x:f>O176*F176</x:f>
        <x:v>4.391589583039827</x:v>
      </x:c>
      <x:c r="Z176" s="28" t="n">
        <x:f>P176*F176</x:f>
        <x:v>4.527900281143496</x:v>
      </x:c>
      <x:c r="AA176" s="28" t="n">
        <x:f>Q176*F176</x:f>
        <x:v>4.664210979247164</x:v>
      </x:c>
      <x:c r="AB176" s="28" t="n">
        <x:f>R176*F176</x:f>
        <x:v>4.793170937521521</x:v>
      </x:c>
      <x:c r="AC176" s="28" t="n">
        <x:f>S176*F176</x:f>
        <x:v>4.826571278014827</x:v>
      </x:c>
      <x:c r="AD176" s="28" t="n">
        <x:f>T176*F176</x:f>
        <x:v>4.830568659190888</x:v>
      </x:c>
    </x:row>
    <x:row r="177" ht="19" customHeight="1">
      <x:c r="A177" s="2"/>
      <x:c r="B177" s="2"/>
      <x:c r="C177" s="45" t="n">
        <x:f>'Source Data'!C200</x:f>
        <x:v>3</x:v>
      </x:c>
      <x:c r="D177" s="45" t="n">
        <x:f>'Source Data'!D200</x:f>
        <x:v>33</x:v>
      </x:c>
      <x:c r="E177" s="45" t="n">
        <x:f>'Source Data'!E200</x:f>
        <x:v>5</x:v>
      </x:c>
      <x:c r="F177" s="27" t="n">
        <x:f>IF(D177=0,0.5,1)*EXP(-'Assumptions'!$D$21*MAX(D177-6,0))</x:f>
        <x:v>0.08739737771776383</x:v>
      </x:c>
      <x:c r="G177" s="27" t="n">
        <x:f>IF(D177/'Assumptions'!$D$20&gt;=31,0,INDEX('Source Data'!$N$29:$N$60,INT(D177/'Assumptions'!$D$20)+1)+(D177/'Assumptions'!$D$20-INT(D177/'Assumptions'!$D$20))*(INDEX('Source Data'!$N$29:$N$60,MIN(32,INT(D177/'Assumptions'!$D$20)+2))-INDEX('Source Data'!$N$29:$N$60,INT(D177/'Assumptions'!$D$20)+1)))</x:f>
        <x:v>0.08730755232029119</x:v>
      </x:c>
      <x:c r="H177" s="27" t="n">
        <x:f>'Source Data'!F200*G177*'Assumptions'!$F$58*'Assumptions'!$G$58</x:f>
        <x:v>33.0309967323472</x:v>
      </x:c>
      <x:c r="I177" s="27" t="n">
        <x:f>'Source Data'!G200*G177*'Assumptions'!$F$58*'Assumptions'!$G$58</x:f>
        <x:v>29.93706432074212</x:v>
      </x:c>
      <x:c r="J177" s="27" t="n">
        <x:f>'Source Data'!H200*G177*'Assumptions'!$F$58*'Assumptions'!$G$58</x:f>
        <x:v>33.61927965568056</x:v>
      </x:c>
      <x:c r="K177" s="27" t="n">
        <x:f>'Source Data'!I200*G177*'Assumptions'!$F$58*'Assumptions'!$G$58</x:f>
        <x:v>38.86298670070138</x:v>
      </x:c>
      <x:c r="L177" s="27" t="n">
        <x:f>'Source Data'!J200*G177*'Assumptions'!$F$58*'Assumptions'!$G$58</x:f>
        <x:v>43.81618366012547</x:v>
      </x:c>
      <x:c r="M177" s="27" t="n">
        <x:f>SUMPRODUCT(H177:L177,'Source Data'!D17:H17)</x:f>
        <x:v>32.54530018299018</x:v>
      </x:c>
      <x:c r="N177" s="27" t="n">
        <x:f>SUMPRODUCT(H177:L177,'Source Data'!D18:H18)</x:f>
        <x:v>33.487541401587045</x:v>
      </x:c>
      <x:c r="O177" s="27" t="n">
        <x:f>SUMPRODUCT(H177:L177,'Source Data'!D19:H19)</x:f>
        <x:v>34.711718623393224</x:v>
      </x:c>
      <x:c r="P177" s="27" t="n">
        <x:f>SUMPRODUCT(H177:L177,'Source Data'!D20:H20)</x:f>
        <x:v>36.02264538464844</x:v>
      </x:c>
      <x:c r="Q177" s="27" t="n">
        <x:f>SUMPRODUCT(H177:L177,'Source Data'!D21:H21)</x:f>
        <x:v>37.33357214590364</x:v>
      </x:c>
      <x:c r="R177" s="27" t="n">
        <x:f>SUMPRODUCT(H177:L177,'Source Data'!D22:H22)</x:f>
        <x:v>38.64046404485889</x:v>
      </x:c>
      <x:c r="S177" s="27" t="n">
        <x:f>SUMPRODUCT(H177:L177,'Source Data'!D23:H23)</x:f>
        <x:v>39.894902733914726</x:v>
      </x:c>
      <x:c r="T177" s="27" t="n">
        <x:f>SUMPRODUCT(H177:L177,'Source Data'!D24:H24)</x:f>
        <x:v>41.13320197377075</x:v>
      </x:c>
      <x:c r="U177" s="3"/>
      <x:c r="V177" s="3"/>
      <x:c r="W177" s="28" t="n">
        <x:f>M177*F177</x:f>
        <x:v>2.8443738930308013</x:v>
      </x:c>
      <x:c r="X177" s="28" t="n">
        <x:f>N177*F177</x:f>
        <x:v>2.9267233047137573</x:v>
      </x:c>
      <x:c r="Y177" s="28" t="n">
        <x:f>O177*F177</x:f>
        <x:v>3.033713183761435</x:v>
      </x:c>
      <x:c r="Z177" s="28" t="n">
        <x:f>P177*F177</x:f>
        <x:v>3.148284745075182</x:v>
      </x:c>
      <x:c r="AA177" s="28" t="n">
        <x:f>Q177*F177</x:f>
        <x:v>3.262856306388927</x:v>
      </x:c>
      <x:c r="AB177" s="28" t="n">
        <x:f>R177*F177</x:f>
        <x:v>3.3770752313182046</x:v>
      </x:c>
      <x:c r="AC177" s="28" t="n">
        <x:f>S177*F177</x:f>
        <x:v>3.4867098832493943</x:v>
      </x:c>
      <x:c r="AD177" s="28" t="n">
        <x:f>T177*F177</x:f>
        <x:v>3.5949339896427115</x:v>
      </x:c>
    </x:row>
    <x:row r="178" ht="19" customHeight="1">
      <x:c r="A178" s="2"/>
      <x:c r="B178" s="2"/>
      <x:c r="C178" s="45" t="n">
        <x:f>'Source Data'!C201</x:f>
        <x:v>3</x:v>
      </x:c>
      <x:c r="D178" s="45" t="n">
        <x:f>'Source Data'!D201</x:f>
        <x:v>34</x:v>
      </x:c>
      <x:c r="E178" s="45" t="n">
        <x:f>'Source Data'!E201</x:f>
        <x:v>5</x:v>
      </x:c>
      <x:c r="F178" s="27" t="n">
        <x:f>IF(D178=0,0.5,1)*EXP(-'Assumptions'!$D$21*MAX(D178-6,0))</x:f>
        <x:v>0.0798536256173498</x:v>
      </x:c>
      <x:c r="G178" s="27" t="n">
        <x:f>IF(D178/'Assumptions'!$D$20&gt;=31,0,INDEX('Source Data'!$N$29:$N$60,INT(D178/'Assumptions'!$D$20)+1)+(D178/'Assumptions'!$D$20-INT(D178/'Assumptions'!$D$20))*(INDEX('Source Data'!$N$29:$N$60,MIN(32,INT(D178/'Assumptions'!$D$20)+2))-INDEX('Source Data'!$N$29:$N$60,INT(D178/'Assumptions'!$D$20)+1)))</x:f>
        <x:v>0.03089262966333025</x:v>
      </x:c>
      <x:c r="H178" s="27" t="n">
        <x:f>'Source Data'!F201*G178*'Assumptions'!$F$58*'Assumptions'!$G$58</x:f>
        <x:v>11.846913396732331</x:v>
      </x:c>
      <x:c r="I178" s="27" t="n">
        <x:f>'Source Data'!G201*G178*'Assumptions'!$F$58*'Assumptions'!$G$58</x:f>
        <x:v>11.687583975778445</x:v>
      </x:c>
      <x:c r="J178" s="27" t="n">
        <x:f>'Source Data'!H201*G178*'Assumptions'!$F$58*'Assumptions'!$G$58</x:f>
        <x:v>10.59283666406305</x:v>
      </x:c>
      <x:c r="K178" s="27" t="n">
        <x:f>'Source Data'!I201*G178*'Assumptions'!$F$58*'Assumptions'!$G$58</x:f>
        <x:v>11.895740154766584</x:v>
      </x:c>
      <x:c r="L178" s="27" t="n">
        <x:f>'Source Data'!J201*G178*'Assumptions'!$F$58*'Assumptions'!$G$58</x:f>
        <x:v>13.751156960068263</x:v>
      </x:c>
      <x:c r="M178" s="27" t="n">
        <x:f>SUMPRODUCT(H178:L178,'Source Data'!D17:H17)</x:f>
        <x:v>10.912137963313373</x:v>
      </x:c>
      <x:c r="N178" s="27" t="n">
        <x:f>SUMPRODUCT(H178:L178,'Source Data'!D18:H18)</x:f>
        <x:v>10.671751840973677</x:v>
      </x:c>
      <x:c r="O178" s="27" t="n">
        <x:f>SUMPRODUCT(H178:L178,'Source Data'!D19:H19)</x:f>
        <x:v>10.864274891292952</x:v>
      </x:c>
      <x:c r="P178" s="27" t="n">
        <x:f>SUMPRODUCT(H178:L178,'Source Data'!D20:H20)</x:f>
        <x:v>11.190000763968838</x:v>
      </x:c>
      <x:c r="Q178" s="27" t="n">
        <x:f>SUMPRODUCT(H178:L178,'Source Data'!D21:H21)</x:f>
        <x:v>11.515726636644722</x:v>
      </x:c>
      <x:c r="R178" s="27" t="n">
        <x:f>SUMPRODUCT(H178:L178,'Source Data'!D22:H22)</x:f>
        <x:v>11.84912630535669</x:v>
      </x:c>
      <x:c r="S178" s="27" t="n">
        <x:f>SUMPRODUCT(H178:L178,'Source Data'!D23:H23)</x:f>
        <x:v>12.282285322537767</x:v>
      </x:c>
      <x:c r="T178" s="27" t="n">
        <x:f>SUMPRODUCT(H178:L178,'Source Data'!D24:H24)</x:f>
        <x:v>12.746139523863189</x:v>
      </x:c>
      <x:c r="U178" s="3"/>
      <x:c r="V178" s="3"/>
      <x:c r="W178" s="28" t="n">
        <x:f>M178*F178</x:f>
        <x:v>0.871373779607296</x:v>
      </x:c>
      <x:c r="X178" s="28" t="n">
        <x:f>N178*F178</x:f>
        <x:v>0.8521780761903754</x:v>
      </x:c>
      <x:c r="Y178" s="28" t="n">
        <x:f>O178*F178</x:f>
        <x:v>0.867551739773281</x:v>
      </x:c>
      <x:c r="Z178" s="28" t="n">
        <x:f>P178*F178</x:f>
        <x:v>0.8935621316638258</x:v>
      </x:c>
      <x:c r="AA178" s="28" t="n">
        <x:f>Q178*F178</x:f>
        <x:v>0.9195725235543704</x:v>
      </x:c>
      <x:c r="AB178" s="28" t="n">
        <x:f>R178*F178</x:f>
        <x:v>0.9461956958806442</x:v>
      </x:c>
      <x:c r="AC178" s="28" t="n">
        <x:f>S178*F178</x:f>
        <x:v>0.9807850138714012</x:v>
      </x:c>
      <x:c r="AD178" s="28" t="n">
        <x:f>T178*F178</x:f>
        <x:v>1.0178254536050761</x:v>
      </x:c>
    </x:row>
    <x:row r="179" ht="19" customHeight="1">
      <x:c r="A179" s="2"/>
      <x:c r="B179" s="2"/>
      <x:c r="C179" s="45" t="n">
        <x:f>'Source Data'!C202</x:f>
        <x:v>3</x:v>
      </x:c>
      <x:c r="D179" s="45" t="n">
        <x:f>'Source Data'!D202</x:f>
        <x:v>35</x:v>
      </x:c>
      <x:c r="E179" s="45" t="n">
        <x:f>'Source Data'!E202</x:f>
        <x:v>5</x:v>
      </x:c>
      <x:c r="F179" s="27" t="n">
        <x:f>IF(D179=0,0.5,1)*EXP(-'Assumptions'!$D$21*MAX(D179-6,0))</x:f>
        <x:v>0.07296101657452587</x:v>
      </x:c>
      <x:c r="G179" s="27" t="n">
        <x:f>IF(D179/'Assumptions'!$D$20&gt;=31,0,INDEX('Source Data'!$N$29:$N$60,INT(D179/'Assumptions'!$D$20)+1)+(D179/'Assumptions'!$D$20-INT(D179/'Assumptions'!$D$20))*(INDEX('Source Data'!$N$29:$N$60,MIN(32,INT(D179/'Assumptions'!$D$20)+2))-INDEX('Source Data'!$N$29:$N$60,INT(D179/'Assumptions'!$D$20)+1)))</x:f>
        <x:v>0</x:v>
      </x:c>
      <x:c r="H179" s="27" t="n">
        <x:f>'Source Data'!F202*G179*'Assumptions'!$F$58*'Assumptions'!$G$58</x:f>
        <x:v>0</x:v>
      </x:c>
      <x:c r="I179" s="27" t="n">
        <x:f>'Source Data'!G202*G179*'Assumptions'!$F$58*'Assumptions'!$G$58</x:f>
        <x:v>0</x:v>
      </x:c>
      <x:c r="J179" s="27" t="n">
        <x:f>'Source Data'!H202*G179*'Assumptions'!$F$58*'Assumptions'!$G$58</x:f>
        <x:v>0</x:v>
      </x:c>
      <x:c r="K179" s="27" t="n">
        <x:f>'Source Data'!I202*G179*'Assumptions'!$F$58*'Assumptions'!$G$58</x:f>
        <x:v>0</x:v>
      </x:c>
      <x:c r="L179" s="27" t="n">
        <x:f>'Source Data'!J202*G179*'Assumptions'!$F$58*'Assumptions'!$G$58</x:f>
        <x:v>0</x:v>
      </x:c>
      <x:c r="M179" s="27" t="n">
        <x:f>SUMPRODUCT(H179:L179,'Source Data'!D17:H17)</x:f>
        <x:v>0</x:v>
      </x:c>
      <x:c r="N179" s="27" t="n">
        <x:f>SUMPRODUCT(H179:L179,'Source Data'!D18:H18)</x:f>
        <x:v>0</x:v>
      </x:c>
      <x:c r="O179" s="27" t="n">
        <x:f>SUMPRODUCT(H179:L179,'Source Data'!D19:H19)</x:f>
        <x:v>0</x:v>
      </x:c>
      <x:c r="P179" s="27" t="n">
        <x:f>SUMPRODUCT(H179:L179,'Source Data'!D20:H20)</x:f>
        <x:v>0</x:v>
      </x:c>
      <x:c r="Q179" s="27" t="n">
        <x:f>SUMPRODUCT(H179:L179,'Source Data'!D21:H21)</x:f>
        <x:v>0</x:v>
      </x:c>
      <x:c r="R179" s="27" t="n">
        <x:f>SUMPRODUCT(H179:L179,'Source Data'!D22:H22)</x:f>
        <x:v>0</x:v>
      </x:c>
      <x:c r="S179" s="27" t="n">
        <x:f>SUMPRODUCT(H179:L179,'Source Data'!D23:H23)</x:f>
        <x:v>0</x:v>
      </x:c>
      <x:c r="T179" s="27" t="n">
        <x:f>SUMPRODUCT(H179:L179,'Source Data'!D24:H24)</x:f>
        <x:v>0</x:v>
      </x:c>
      <x:c r="U179" s="3"/>
      <x:c r="V179" s="3"/>
      <x:c r="W179" s="28" t="n">
        <x:f>M179*F179</x:f>
        <x:v>0</x:v>
      </x:c>
      <x:c r="X179" s="28" t="n">
        <x:f>N179*F179</x:f>
        <x:v>0</x:v>
      </x:c>
      <x:c r="Y179" s="28" t="n">
        <x:f>O179*F179</x:f>
        <x:v>0</x:v>
      </x:c>
      <x:c r="Z179" s="28" t="n">
        <x:f>P179*F179</x:f>
        <x:v>0</x:v>
      </x:c>
      <x:c r="AA179" s="28" t="n">
        <x:f>Q179*F179</x:f>
        <x:v>0</x:v>
      </x:c>
      <x:c r="AB179" s="28" t="n">
        <x:f>R179*F179</x:f>
        <x:v>0</x:v>
      </x:c>
      <x:c r="AC179" s="28" t="n">
        <x:f>S179*F179</x:f>
        <x:v>0</x:v>
      </x:c>
      <x:c r="AD179" s="28" t="n">
        <x:f>T179*F179</x:f>
        <x:v>0</x:v>
      </x:c>
    </x:row>
    <x:row r="180" ht="19" customHeight="1">
      <x:c r="A180" s="2"/>
      <x:c r="B180" s="2"/>
      <x:c r="C180" s="45" t="n">
        <x:f>'Source Data'!C203</x:f>
        <x:v>3</x:v>
      </x:c>
      <x:c r="D180" s="45" t="n">
        <x:f>'Source Data'!D203</x:f>
        <x:v>36</x:v>
      </x:c>
      <x:c r="E180" s="45" t="n">
        <x:f>'Source Data'!E203</x:f>
        <x:v>5</x:v>
      </x:c>
      <x:c r="F180" s="27" t="n">
        <x:f>IF(D180=0,0.5,1)*EXP(-'Assumptions'!$D$21*MAX(D180-6,0))</x:f>
        <x:v>0.0666633468228103</x:v>
      </x:c>
      <x:c r="G180" s="27" t="n">
        <x:f>IF(D180/'Assumptions'!$D$20&gt;=31,0,INDEX('Source Data'!$N$29:$N$60,INT(D180/'Assumptions'!$D$20)+1)+(D180/'Assumptions'!$D$20-INT(D180/'Assumptions'!$D$20))*(INDEX('Source Data'!$N$29:$N$60,MIN(32,INT(D180/'Assumptions'!$D$20)+2))-INDEX('Source Data'!$N$29:$N$60,INT(D180/'Assumptions'!$D$20)+1)))</x:f>
        <x:v>0</x:v>
      </x:c>
      <x:c r="H180" s="27" t="n">
        <x:f>'Source Data'!F203*G180*'Assumptions'!$F$58*'Assumptions'!$G$58</x:f>
        <x:v>0</x:v>
      </x:c>
      <x:c r="I180" s="27" t="n">
        <x:f>'Source Data'!G203*G180*'Assumptions'!$F$58*'Assumptions'!$G$58</x:f>
        <x:v>0</x:v>
      </x:c>
      <x:c r="J180" s="27" t="n">
        <x:f>'Source Data'!H203*G180*'Assumptions'!$F$58*'Assumptions'!$G$58</x:f>
        <x:v>0</x:v>
      </x:c>
      <x:c r="K180" s="27" t="n">
        <x:f>'Source Data'!I203*G180*'Assumptions'!$F$58*'Assumptions'!$G$58</x:f>
        <x:v>0</x:v>
      </x:c>
      <x:c r="L180" s="27" t="n">
        <x:f>'Source Data'!J203*G180*'Assumptions'!$F$58*'Assumptions'!$G$58</x:f>
        <x:v>0</x:v>
      </x:c>
      <x:c r="M180" s="27" t="n">
        <x:f>SUMPRODUCT(H180:L180,'Source Data'!D17:H17)</x:f>
        <x:v>0</x:v>
      </x:c>
      <x:c r="N180" s="27" t="n">
        <x:f>SUMPRODUCT(H180:L180,'Source Data'!D18:H18)</x:f>
        <x:v>0</x:v>
      </x:c>
      <x:c r="O180" s="27" t="n">
        <x:f>SUMPRODUCT(H180:L180,'Source Data'!D19:H19)</x:f>
        <x:v>0</x:v>
      </x:c>
      <x:c r="P180" s="27" t="n">
        <x:f>SUMPRODUCT(H180:L180,'Source Data'!D20:H20)</x:f>
        <x:v>0</x:v>
      </x:c>
      <x:c r="Q180" s="27" t="n">
        <x:f>SUMPRODUCT(H180:L180,'Source Data'!D21:H21)</x:f>
        <x:v>0</x:v>
      </x:c>
      <x:c r="R180" s="27" t="n">
        <x:f>SUMPRODUCT(H180:L180,'Source Data'!D22:H22)</x:f>
        <x:v>0</x:v>
      </x:c>
      <x:c r="S180" s="27" t="n">
        <x:f>SUMPRODUCT(H180:L180,'Source Data'!D23:H23)</x:f>
        <x:v>0</x:v>
      </x:c>
      <x:c r="T180" s="27" t="n">
        <x:f>SUMPRODUCT(H180:L180,'Source Data'!D24:H24)</x:f>
        <x:v>0</x:v>
      </x:c>
      <x:c r="U180" s="3"/>
      <x:c r="V180" s="3"/>
      <x:c r="W180" s="28" t="n">
        <x:f>M180*F180</x:f>
        <x:v>0</x:v>
      </x:c>
      <x:c r="X180" s="28" t="n">
        <x:f>N180*F180</x:f>
        <x:v>0</x:v>
      </x:c>
      <x:c r="Y180" s="28" t="n">
        <x:f>O180*F180</x:f>
        <x:v>0</x:v>
      </x:c>
      <x:c r="Z180" s="28" t="n">
        <x:f>P180*F180</x:f>
        <x:v>0</x:v>
      </x:c>
      <x:c r="AA180" s="28" t="n">
        <x:f>Q180*F180</x:f>
        <x:v>0</x:v>
      </x:c>
      <x:c r="AB180" s="28" t="n">
        <x:f>R180*F180</x:f>
        <x:v>0</x:v>
      </x:c>
      <x:c r="AC180" s="28" t="n">
        <x:f>S180*F180</x:f>
        <x:v>0</x:v>
      </x:c>
      <x:c r="AD180" s="28" t="n">
        <x:f>T180*F180</x:f>
        <x:v>0</x:v>
      </x:c>
    </x:row>
    <x:row r="181" ht="19" customHeight="1">
      <x:c r="A181" s="2"/>
      <x:c r="B181" s="2"/>
      <x:c r="C181" s="45" t="n">
        <x:f>'Source Data'!C204</x:f>
        <x:v>3</x:v>
      </x:c>
      <x:c r="D181" s="45" t="n">
        <x:f>'Source Data'!D204</x:f>
        <x:v>37</x:v>
      </x:c>
      <x:c r="E181" s="45" t="n">
        <x:f>'Source Data'!E204</x:f>
        <x:v>5</x:v>
      </x:c>
      <x:c r="F181" s="27" t="n">
        <x:f>IF(D181=0,0.5,1)*EXP(-'Assumptions'!$D$21*MAX(D181-6,0))</x:f>
        <x:v>0.06090926385433481</x:v>
      </x:c>
      <x:c r="G181" s="27" t="n">
        <x:f>IF(D181/'Assumptions'!$D$20&gt;=31,0,INDEX('Source Data'!$N$29:$N$60,INT(D181/'Assumptions'!$D$20)+1)+(D181/'Assumptions'!$D$20-INT(D181/'Assumptions'!$D$20))*(INDEX('Source Data'!$N$29:$N$60,MIN(32,INT(D181/'Assumptions'!$D$20)+2))-INDEX('Source Data'!$N$29:$N$60,INT(D181/'Assumptions'!$D$20)+1)))</x:f>
        <x:v>0</x:v>
      </x:c>
      <x:c r="H181" s="27" t="n">
        <x:f>'Source Data'!F204*G181*'Assumptions'!$F$58*'Assumptions'!$G$58</x:f>
        <x:v>0</x:v>
      </x:c>
      <x:c r="I181" s="27" t="n">
        <x:f>'Source Data'!G204*G181*'Assumptions'!$F$58*'Assumptions'!$G$58</x:f>
        <x:v>0</x:v>
      </x:c>
      <x:c r="J181" s="27" t="n">
        <x:f>'Source Data'!H204*G181*'Assumptions'!$F$58*'Assumptions'!$G$58</x:f>
        <x:v>0</x:v>
      </x:c>
      <x:c r="K181" s="27" t="n">
        <x:f>'Source Data'!I204*G181*'Assumptions'!$F$58*'Assumptions'!$G$58</x:f>
        <x:v>0</x:v>
      </x:c>
      <x:c r="L181" s="27" t="n">
        <x:f>'Source Data'!J204*G181*'Assumptions'!$F$58*'Assumptions'!$G$58</x:f>
        <x:v>0</x:v>
      </x:c>
      <x:c r="M181" s="27" t="n">
        <x:f>SUMPRODUCT(H181:L181,'Source Data'!D17:H17)</x:f>
        <x:v>0</x:v>
      </x:c>
      <x:c r="N181" s="27" t="n">
        <x:f>SUMPRODUCT(H181:L181,'Source Data'!D18:H18)</x:f>
        <x:v>0</x:v>
      </x:c>
      <x:c r="O181" s="27" t="n">
        <x:f>SUMPRODUCT(H181:L181,'Source Data'!D19:H19)</x:f>
        <x:v>0</x:v>
      </x:c>
      <x:c r="P181" s="27" t="n">
        <x:f>SUMPRODUCT(H181:L181,'Source Data'!D20:H20)</x:f>
        <x:v>0</x:v>
      </x:c>
      <x:c r="Q181" s="27" t="n">
        <x:f>SUMPRODUCT(H181:L181,'Source Data'!D21:H21)</x:f>
        <x:v>0</x:v>
      </x:c>
      <x:c r="R181" s="27" t="n">
        <x:f>SUMPRODUCT(H181:L181,'Source Data'!D22:H22)</x:f>
        <x:v>0</x:v>
      </x:c>
      <x:c r="S181" s="27" t="n">
        <x:f>SUMPRODUCT(H181:L181,'Source Data'!D23:H23)</x:f>
        <x:v>0</x:v>
      </x:c>
      <x:c r="T181" s="27" t="n">
        <x:f>SUMPRODUCT(H181:L181,'Source Data'!D24:H24)</x:f>
        <x:v>0</x:v>
      </x:c>
      <x:c r="U181" s="3"/>
      <x:c r="V181" s="3"/>
      <x:c r="W181" s="28" t="n">
        <x:f>M181*F181</x:f>
        <x:v>0</x:v>
      </x:c>
      <x:c r="X181" s="28" t="n">
        <x:f>N181*F181</x:f>
        <x:v>0</x:v>
      </x:c>
      <x:c r="Y181" s="28" t="n">
        <x:f>O181*F181</x:f>
        <x:v>0</x:v>
      </x:c>
      <x:c r="Z181" s="28" t="n">
        <x:f>P181*F181</x:f>
        <x:v>0</x:v>
      </x:c>
      <x:c r="AA181" s="28" t="n">
        <x:f>Q181*F181</x:f>
        <x:v>0</x:v>
      </x:c>
      <x:c r="AB181" s="28" t="n">
        <x:f>R181*F181</x:f>
        <x:v>0</x:v>
      </x:c>
      <x:c r="AC181" s="28" t="n">
        <x:f>S181*F181</x:f>
        <x:v>0</x:v>
      </x:c>
      <x:c r="AD181" s="28" t="n">
        <x:f>T181*F181</x:f>
        <x:v>0</x:v>
      </x:c>
    </x:row>
    <x:row r="182" ht="19" customHeight="1">
      <x:c r="A182" s="2"/>
      <x:c r="B182" s="2"/>
      <x:c r="C182" s="45" t="n">
        <x:f>'Source Data'!C205</x:f>
        <x:v>3</x:v>
      </x:c>
      <x:c r="D182" s="45" t="n">
        <x:f>'Source Data'!D205</x:f>
        <x:v>38</x:v>
      </x:c>
      <x:c r="E182" s="45" t="n">
        <x:f>'Source Data'!E205</x:f>
        <x:v>5</x:v>
      </x:c>
      <x:c r="F182" s="27" t="n">
        <x:f>IF(D182=0,0.5,1)*EXP(-'Assumptions'!$D$21*MAX(D182-6,0))</x:f>
        <x:v>0.05565184768082394</x:v>
      </x:c>
      <x:c r="G182" s="27" t="n">
        <x:f>IF(D182/'Assumptions'!$D$20&gt;=31,0,INDEX('Source Data'!$N$29:$N$60,INT(D182/'Assumptions'!$D$20)+1)+(D182/'Assumptions'!$D$20-INT(D182/'Assumptions'!$D$20))*(INDEX('Source Data'!$N$29:$N$60,MIN(32,INT(D182/'Assumptions'!$D$20)+2))-INDEX('Source Data'!$N$29:$N$60,INT(D182/'Assumptions'!$D$20)+1)))</x:f>
        <x:v>0</x:v>
      </x:c>
      <x:c r="H182" s="27" t="n">
        <x:f>'Source Data'!F205*G182*'Assumptions'!$F$58*'Assumptions'!$G$58</x:f>
        <x:v>0</x:v>
      </x:c>
      <x:c r="I182" s="27" t="n">
        <x:f>'Source Data'!G205*G182*'Assumptions'!$F$58*'Assumptions'!$G$58</x:f>
        <x:v>0</x:v>
      </x:c>
      <x:c r="J182" s="27" t="n">
        <x:f>'Source Data'!H205*G182*'Assumptions'!$F$58*'Assumptions'!$G$58</x:f>
        <x:v>0</x:v>
      </x:c>
      <x:c r="K182" s="27" t="n">
        <x:f>'Source Data'!I205*G182*'Assumptions'!$F$58*'Assumptions'!$G$58</x:f>
        <x:v>0</x:v>
      </x:c>
      <x:c r="L182" s="27" t="n">
        <x:f>'Source Data'!J205*G182*'Assumptions'!$F$58*'Assumptions'!$G$58</x:f>
        <x:v>0</x:v>
      </x:c>
      <x:c r="M182" s="27" t="n">
        <x:f>SUMPRODUCT(H182:L182,'Source Data'!D17:H17)</x:f>
        <x:v>0</x:v>
      </x:c>
      <x:c r="N182" s="27" t="n">
        <x:f>SUMPRODUCT(H182:L182,'Source Data'!D18:H18)</x:f>
        <x:v>0</x:v>
      </x:c>
      <x:c r="O182" s="27" t="n">
        <x:f>SUMPRODUCT(H182:L182,'Source Data'!D19:H19)</x:f>
        <x:v>0</x:v>
      </x:c>
      <x:c r="P182" s="27" t="n">
        <x:f>SUMPRODUCT(H182:L182,'Source Data'!D20:H20)</x:f>
        <x:v>0</x:v>
      </x:c>
      <x:c r="Q182" s="27" t="n">
        <x:f>SUMPRODUCT(H182:L182,'Source Data'!D21:H21)</x:f>
        <x:v>0</x:v>
      </x:c>
      <x:c r="R182" s="27" t="n">
        <x:f>SUMPRODUCT(H182:L182,'Source Data'!D22:H22)</x:f>
        <x:v>0</x:v>
      </x:c>
      <x:c r="S182" s="27" t="n">
        <x:f>SUMPRODUCT(H182:L182,'Source Data'!D23:H23)</x:f>
        <x:v>0</x:v>
      </x:c>
      <x:c r="T182" s="27" t="n">
        <x:f>SUMPRODUCT(H182:L182,'Source Data'!D24:H24)</x:f>
        <x:v>0</x:v>
      </x:c>
      <x:c r="U182" s="3"/>
      <x:c r="V182" s="3"/>
      <x:c r="W182" s="28" t="n">
        <x:f>M182*F182</x:f>
        <x:v>0</x:v>
      </x:c>
      <x:c r="X182" s="28" t="n">
        <x:f>N182*F182</x:f>
        <x:v>0</x:v>
      </x:c>
      <x:c r="Y182" s="28" t="n">
        <x:f>O182*F182</x:f>
        <x:v>0</x:v>
      </x:c>
      <x:c r="Z182" s="28" t="n">
        <x:f>P182*F182</x:f>
        <x:v>0</x:v>
      </x:c>
      <x:c r="AA182" s="28" t="n">
        <x:f>Q182*F182</x:f>
        <x:v>0</x:v>
      </x:c>
      <x:c r="AB182" s="28" t="n">
        <x:f>R182*F182</x:f>
        <x:v>0</x:v>
      </x:c>
      <x:c r="AC182" s="28" t="n">
        <x:f>S182*F182</x:f>
        <x:v>0</x:v>
      </x:c>
      <x:c r="AD182" s="28" t="n">
        <x:f>T182*F182</x:f>
        <x:v>0</x:v>
      </x:c>
    </x:row>
    <x:row r="183" ht="19" customHeight="1">
      <x:c r="A183" s="2"/>
      <x:c r="B183" s="2"/>
      <x:c r="C183" s="45" t="n">
        <x:f>'Source Data'!C206</x:f>
        <x:v>3</x:v>
      </x:c>
      <x:c r="D183" s="45" t="n">
        <x:f>'Source Data'!D206</x:f>
        <x:v>39</x:v>
      </x:c>
      <x:c r="E183" s="45" t="n">
        <x:f>'Source Data'!E206</x:f>
        <x:v>5</x:v>
      </x:c>
      <x:c r="F183" s="27" t="n">
        <x:f>IF(D183=0,0.5,1)*EXP(-'Assumptions'!$D$21*MAX(D183-6,0))</x:f>
        <x:v>0.05084822823826022</x:v>
      </x:c>
      <x:c r="G183" s="27" t="n">
        <x:f>IF(D183/'Assumptions'!$D$20&gt;=31,0,INDEX('Source Data'!$N$29:$N$60,INT(D183/'Assumptions'!$D$20)+1)+(D183/'Assumptions'!$D$20-INT(D183/'Assumptions'!$D$20))*(INDEX('Source Data'!$N$29:$N$60,MIN(32,INT(D183/'Assumptions'!$D$20)+2))-INDEX('Source Data'!$N$29:$N$60,INT(D183/'Assumptions'!$D$20)+1)))</x:f>
        <x:v>0</x:v>
      </x:c>
      <x:c r="H183" s="27" t="n">
        <x:f>'Source Data'!F206*G183*'Assumptions'!$F$58*'Assumptions'!$G$58</x:f>
        <x:v>0</x:v>
      </x:c>
      <x:c r="I183" s="27" t="n">
        <x:f>'Source Data'!G206*G183*'Assumptions'!$F$58*'Assumptions'!$G$58</x:f>
        <x:v>0</x:v>
      </x:c>
      <x:c r="J183" s="27" t="n">
        <x:f>'Source Data'!H206*G183*'Assumptions'!$F$58*'Assumptions'!$G$58</x:f>
        <x:v>0</x:v>
      </x:c>
      <x:c r="K183" s="27" t="n">
        <x:f>'Source Data'!I206*G183*'Assumptions'!$F$58*'Assumptions'!$G$58</x:f>
        <x:v>0</x:v>
      </x:c>
      <x:c r="L183" s="27" t="n">
        <x:f>'Source Data'!J206*G183*'Assumptions'!$F$58*'Assumptions'!$G$58</x:f>
        <x:v>0</x:v>
      </x:c>
      <x:c r="M183" s="27" t="n">
        <x:f>SUMPRODUCT(H183:L183,'Source Data'!D17:H17)</x:f>
        <x:v>0</x:v>
      </x:c>
      <x:c r="N183" s="27" t="n">
        <x:f>SUMPRODUCT(H183:L183,'Source Data'!D18:H18)</x:f>
        <x:v>0</x:v>
      </x:c>
      <x:c r="O183" s="27" t="n">
        <x:f>SUMPRODUCT(H183:L183,'Source Data'!D19:H19)</x:f>
        <x:v>0</x:v>
      </x:c>
      <x:c r="P183" s="27" t="n">
        <x:f>SUMPRODUCT(H183:L183,'Source Data'!D20:H20)</x:f>
        <x:v>0</x:v>
      </x:c>
      <x:c r="Q183" s="27" t="n">
        <x:f>SUMPRODUCT(H183:L183,'Source Data'!D21:H21)</x:f>
        <x:v>0</x:v>
      </x:c>
      <x:c r="R183" s="27" t="n">
        <x:f>SUMPRODUCT(H183:L183,'Source Data'!D22:H22)</x:f>
        <x:v>0</x:v>
      </x:c>
      <x:c r="S183" s="27" t="n">
        <x:f>SUMPRODUCT(H183:L183,'Source Data'!D23:H23)</x:f>
        <x:v>0</x:v>
      </x:c>
      <x:c r="T183" s="27" t="n">
        <x:f>SUMPRODUCT(H183:L183,'Source Data'!D24:H24)</x:f>
        <x:v>0</x:v>
      </x:c>
      <x:c r="U183" s="3"/>
      <x:c r="V183" s="3"/>
      <x:c r="W183" s="28" t="n">
        <x:f>M183*F183</x:f>
        <x:v>0</x:v>
      </x:c>
      <x:c r="X183" s="28" t="n">
        <x:f>N183*F183</x:f>
        <x:v>0</x:v>
      </x:c>
      <x:c r="Y183" s="28" t="n">
        <x:f>O183*F183</x:f>
        <x:v>0</x:v>
      </x:c>
      <x:c r="Z183" s="28" t="n">
        <x:f>P183*F183</x:f>
        <x:v>0</x:v>
      </x:c>
      <x:c r="AA183" s="28" t="n">
        <x:f>Q183*F183</x:f>
        <x:v>0</x:v>
      </x:c>
      <x:c r="AB183" s="28" t="n">
        <x:f>R183*F183</x:f>
        <x:v>0</x:v>
      </x:c>
      <x:c r="AC183" s="28" t="n">
        <x:f>S183*F183</x:f>
        <x:v>0</x:v>
      </x:c>
      <x:c r="AD183" s="28" t="n">
        <x:f>T183*F183</x:f>
        <x:v>0</x:v>
      </x:c>
    </x:row>
    <x:row r="184" ht="19" customHeight="1">
      <x:c r="A184" s="2"/>
      <x:c r="B184" s="2"/>
      <x:c r="C184" s="45" t="n">
        <x:f>'Source Data'!C207</x:f>
        <x:v>3</x:v>
      </x:c>
      <x:c r="D184" s="45" t="n">
        <x:f>'Source Data'!D207</x:f>
        <x:v>40</x:v>
      </x:c>
      <x:c r="E184" s="45" t="n">
        <x:f>'Source Data'!E207</x:f>
        <x:v>5</x:v>
      </x:c>
      <x:c r="F184" s="27" t="n">
        <x:f>IF(D184=0,0.5,1)*EXP(-'Assumptions'!$D$21*MAX(D184-6,0))</x:f>
        <x:v>0.04645923581547334</x:v>
      </x:c>
      <x:c r="G184" s="27" t="n">
        <x:f>IF(D184/'Assumptions'!$D$20&gt;=31,0,INDEX('Source Data'!$N$29:$N$60,INT(D184/'Assumptions'!$D$20)+1)+(D184/'Assumptions'!$D$20-INT(D184/'Assumptions'!$D$20))*(INDEX('Source Data'!$N$29:$N$60,MIN(32,INT(D184/'Assumptions'!$D$20)+2))-INDEX('Source Data'!$N$29:$N$60,INT(D184/'Assumptions'!$D$20)+1)))</x:f>
        <x:v>0</x:v>
      </x:c>
      <x:c r="H184" s="27" t="n">
        <x:f>'Source Data'!F207*G184*'Assumptions'!$F$58*'Assumptions'!$G$58</x:f>
        <x:v>0</x:v>
      </x:c>
      <x:c r="I184" s="27" t="n">
        <x:f>'Source Data'!G207*G184*'Assumptions'!$F$58*'Assumptions'!$G$58</x:f>
        <x:v>0</x:v>
      </x:c>
      <x:c r="J184" s="27" t="n">
        <x:f>'Source Data'!H207*G184*'Assumptions'!$F$58*'Assumptions'!$G$58</x:f>
        <x:v>0</x:v>
      </x:c>
      <x:c r="K184" s="27" t="n">
        <x:f>'Source Data'!I207*G184*'Assumptions'!$F$58*'Assumptions'!$G$58</x:f>
        <x:v>0</x:v>
      </x:c>
      <x:c r="L184" s="27" t="n">
        <x:f>'Source Data'!J207*G184*'Assumptions'!$F$58*'Assumptions'!$G$58</x:f>
        <x:v>0</x:v>
      </x:c>
      <x:c r="M184" s="27" t="n">
        <x:f>SUMPRODUCT(H184:L184,'Source Data'!D17:H17)</x:f>
        <x:v>0</x:v>
      </x:c>
      <x:c r="N184" s="27" t="n">
        <x:f>SUMPRODUCT(H184:L184,'Source Data'!D18:H18)</x:f>
        <x:v>0</x:v>
      </x:c>
      <x:c r="O184" s="27" t="n">
        <x:f>SUMPRODUCT(H184:L184,'Source Data'!D19:H19)</x:f>
        <x:v>0</x:v>
      </x:c>
      <x:c r="P184" s="27" t="n">
        <x:f>SUMPRODUCT(H184:L184,'Source Data'!D20:H20)</x:f>
        <x:v>0</x:v>
      </x:c>
      <x:c r="Q184" s="27" t="n">
        <x:f>SUMPRODUCT(H184:L184,'Source Data'!D21:H21)</x:f>
        <x:v>0</x:v>
      </x:c>
      <x:c r="R184" s="27" t="n">
        <x:f>SUMPRODUCT(H184:L184,'Source Data'!D22:H22)</x:f>
        <x:v>0</x:v>
      </x:c>
      <x:c r="S184" s="27" t="n">
        <x:f>SUMPRODUCT(H184:L184,'Source Data'!D23:H23)</x:f>
        <x:v>0</x:v>
      </x:c>
      <x:c r="T184" s="27" t="n">
        <x:f>SUMPRODUCT(H184:L184,'Source Data'!D24:H24)</x:f>
        <x:v>0</x:v>
      </x:c>
      <x:c r="U184" s="3"/>
      <x:c r="V184" s="3"/>
      <x:c r="W184" s="28" t="n">
        <x:f>M184*F184</x:f>
        <x:v>0</x:v>
      </x:c>
      <x:c r="X184" s="28" t="n">
        <x:f>N184*F184</x:f>
        <x:v>0</x:v>
      </x:c>
      <x:c r="Y184" s="28" t="n">
        <x:f>O184*F184</x:f>
        <x:v>0</x:v>
      </x:c>
      <x:c r="Z184" s="28" t="n">
        <x:f>P184*F184</x:f>
        <x:v>0</x:v>
      </x:c>
      <x:c r="AA184" s="28" t="n">
        <x:f>Q184*F184</x:f>
        <x:v>0</x:v>
      </x:c>
      <x:c r="AB184" s="28" t="n">
        <x:f>R184*F184</x:f>
        <x:v>0</x:v>
      </x:c>
      <x:c r="AC184" s="28" t="n">
        <x:f>S184*F184</x:f>
        <x:v>0</x:v>
      </x:c>
      <x:c r="AD184" s="28" t="n">
        <x:f>T184*F184</x:f>
        <x:v>0</x:v>
      </x:c>
    </x:row>
    <x:row r="185" ht="19" customHeight="1">
      <x:c r="A185" s="2"/>
      <x:c r="B185" s="2"/>
      <x:c r="C185" s="45" t="n">
        <x:f>'Source Data'!C208</x:f>
        <x:v>3</x:v>
      </x:c>
      <x:c r="D185" s="45" t="n">
        <x:f>'Source Data'!D208</x:f>
        <x:v>41</x:v>
      </x:c>
      <x:c r="E185" s="45" t="n">
        <x:f>'Source Data'!E208</x:f>
        <x:v>5</x:v>
      </x:c>
      <x:c r="F185" s="27" t="n">
        <x:f>IF(D185=0,0.5,1)*EXP(-'Assumptions'!$D$21*MAX(D185-6,0))</x:f>
        <x:v>0.0424490816561756</x:v>
      </x:c>
      <x:c r="G185" s="27" t="n">
        <x:f>IF(D185/'Assumptions'!$D$20&gt;=31,0,INDEX('Source Data'!$N$29:$N$60,INT(D185/'Assumptions'!$D$20)+1)+(D185/'Assumptions'!$D$20-INT(D185/'Assumptions'!$D$20))*(INDEX('Source Data'!$N$29:$N$60,MIN(32,INT(D185/'Assumptions'!$D$20)+2))-INDEX('Source Data'!$N$29:$N$60,INT(D185/'Assumptions'!$D$20)+1)))</x:f>
        <x:v>0</x:v>
      </x:c>
      <x:c r="H185" s="27" t="n">
        <x:f>'Source Data'!F208*G185*'Assumptions'!$F$58*'Assumptions'!$G$58</x:f>
        <x:v>0</x:v>
      </x:c>
      <x:c r="I185" s="27" t="n">
        <x:f>'Source Data'!G208*G185*'Assumptions'!$F$58*'Assumptions'!$G$58</x:f>
        <x:v>0</x:v>
      </x:c>
      <x:c r="J185" s="27" t="n">
        <x:f>'Source Data'!H208*G185*'Assumptions'!$F$58*'Assumptions'!$G$58</x:f>
        <x:v>0</x:v>
      </x:c>
      <x:c r="K185" s="27" t="n">
        <x:f>'Source Data'!I208*G185*'Assumptions'!$F$58*'Assumptions'!$G$58</x:f>
        <x:v>0</x:v>
      </x:c>
      <x:c r="L185" s="27" t="n">
        <x:f>'Source Data'!J208*G185*'Assumptions'!$F$58*'Assumptions'!$G$58</x:f>
        <x:v>0</x:v>
      </x:c>
      <x:c r="M185" s="27" t="n">
        <x:f>SUMPRODUCT(H185:L185,'Source Data'!D17:H17)</x:f>
        <x:v>0</x:v>
      </x:c>
      <x:c r="N185" s="27" t="n">
        <x:f>SUMPRODUCT(H185:L185,'Source Data'!D18:H18)</x:f>
        <x:v>0</x:v>
      </x:c>
      <x:c r="O185" s="27" t="n">
        <x:f>SUMPRODUCT(H185:L185,'Source Data'!D19:H19)</x:f>
        <x:v>0</x:v>
      </x:c>
      <x:c r="P185" s="27" t="n">
        <x:f>SUMPRODUCT(H185:L185,'Source Data'!D20:H20)</x:f>
        <x:v>0</x:v>
      </x:c>
      <x:c r="Q185" s="27" t="n">
        <x:f>SUMPRODUCT(H185:L185,'Source Data'!D21:H21)</x:f>
        <x:v>0</x:v>
      </x:c>
      <x:c r="R185" s="27" t="n">
        <x:f>SUMPRODUCT(H185:L185,'Source Data'!D22:H22)</x:f>
        <x:v>0</x:v>
      </x:c>
      <x:c r="S185" s="27" t="n">
        <x:f>SUMPRODUCT(H185:L185,'Source Data'!D23:H23)</x:f>
        <x:v>0</x:v>
      </x:c>
      <x:c r="T185" s="27" t="n">
        <x:f>SUMPRODUCT(H185:L185,'Source Data'!D24:H24)</x:f>
        <x:v>0</x:v>
      </x:c>
      <x:c r="U185" s="3"/>
      <x:c r="V185" s="3"/>
      <x:c r="W185" s="28" t="n">
        <x:f>M185*F185</x:f>
        <x:v>0</x:v>
      </x:c>
      <x:c r="X185" s="28" t="n">
        <x:f>N185*F185</x:f>
        <x:v>0</x:v>
      </x:c>
      <x:c r="Y185" s="28" t="n">
        <x:f>O185*F185</x:f>
        <x:v>0</x:v>
      </x:c>
      <x:c r="Z185" s="28" t="n">
        <x:f>P185*F185</x:f>
        <x:v>0</x:v>
      </x:c>
      <x:c r="AA185" s="28" t="n">
        <x:f>Q185*F185</x:f>
        <x:v>0</x:v>
      </x:c>
      <x:c r="AB185" s="28" t="n">
        <x:f>R185*F185</x:f>
        <x:v>0</x:v>
      </x:c>
      <x:c r="AC185" s="28" t="n">
        <x:f>S185*F185</x:f>
        <x:v>0</x:v>
      </x:c>
      <x:c r="AD185" s="28" t="n">
        <x:f>T185*F185</x:f>
        <x:v>0</x:v>
      </x:c>
    </x:row>
    <x:row r="186" ht="19" customHeight="1">
      <x:c r="A186" s="2"/>
      <x:c r="B186" s="2"/>
      <x:c r="C186" s="45" t="n">
        <x:f>'Source Data'!C209</x:f>
        <x:v>3</x:v>
      </x:c>
      <x:c r="D186" s="45" t="n">
        <x:f>'Source Data'!D209</x:f>
        <x:v>42</x:v>
      </x:c>
      <x:c r="E186" s="45" t="n">
        <x:f>'Source Data'!E209</x:f>
        <x:v>5</x:v>
      </x:c>
      <x:c r="F186" s="27" t="n">
        <x:f>IF(D186=0,0.5,1)*EXP(-'Assumptions'!$D$21*MAX(D186-6,0))</x:f>
        <x:v>0.038785066130005715</x:v>
      </x:c>
      <x:c r="G186" s="27" t="n">
        <x:f>IF(D186/'Assumptions'!$D$20&gt;=31,0,INDEX('Source Data'!$N$29:$N$60,INT(D186/'Assumptions'!$D$20)+1)+(D186/'Assumptions'!$D$20-INT(D186/'Assumptions'!$D$20))*(INDEX('Source Data'!$N$29:$N$60,MIN(32,INT(D186/'Assumptions'!$D$20)+2))-INDEX('Source Data'!$N$29:$N$60,INT(D186/'Assumptions'!$D$20)+1)))</x:f>
        <x:v>0</x:v>
      </x:c>
      <x:c r="H186" s="27" t="n">
        <x:f>'Source Data'!F209*G186*'Assumptions'!$F$58*'Assumptions'!$G$58</x:f>
        <x:v>0</x:v>
      </x:c>
      <x:c r="I186" s="27" t="n">
        <x:f>'Source Data'!G209*G186*'Assumptions'!$F$58*'Assumptions'!$G$58</x:f>
        <x:v>0</x:v>
      </x:c>
      <x:c r="J186" s="27" t="n">
        <x:f>'Source Data'!H209*G186*'Assumptions'!$F$58*'Assumptions'!$G$58</x:f>
        <x:v>0</x:v>
      </x:c>
      <x:c r="K186" s="27" t="n">
        <x:f>'Source Data'!I209*G186*'Assumptions'!$F$58*'Assumptions'!$G$58</x:f>
        <x:v>0</x:v>
      </x:c>
      <x:c r="L186" s="27" t="n">
        <x:f>'Source Data'!J209*G186*'Assumptions'!$F$58*'Assumptions'!$G$58</x:f>
        <x:v>0</x:v>
      </x:c>
      <x:c r="M186" s="27" t="n">
        <x:f>SUMPRODUCT(H186:L186,'Source Data'!D17:H17)</x:f>
        <x:v>0</x:v>
      </x:c>
      <x:c r="N186" s="27" t="n">
        <x:f>SUMPRODUCT(H186:L186,'Source Data'!D18:H18)</x:f>
        <x:v>0</x:v>
      </x:c>
      <x:c r="O186" s="27" t="n">
        <x:f>SUMPRODUCT(H186:L186,'Source Data'!D19:H19)</x:f>
        <x:v>0</x:v>
      </x:c>
      <x:c r="P186" s="27" t="n">
        <x:f>SUMPRODUCT(H186:L186,'Source Data'!D20:H20)</x:f>
        <x:v>0</x:v>
      </x:c>
      <x:c r="Q186" s="27" t="n">
        <x:f>SUMPRODUCT(H186:L186,'Source Data'!D21:H21)</x:f>
        <x:v>0</x:v>
      </x:c>
      <x:c r="R186" s="27" t="n">
        <x:f>SUMPRODUCT(H186:L186,'Source Data'!D22:H22)</x:f>
        <x:v>0</x:v>
      </x:c>
      <x:c r="S186" s="27" t="n">
        <x:f>SUMPRODUCT(H186:L186,'Source Data'!D23:H23)</x:f>
        <x:v>0</x:v>
      </x:c>
      <x:c r="T186" s="27" t="n">
        <x:f>SUMPRODUCT(H186:L186,'Source Data'!D24:H24)</x:f>
        <x:v>0</x:v>
      </x:c>
      <x:c r="U186" s="3"/>
      <x:c r="V186" s="3"/>
      <x:c r="W186" s="28" t="n">
        <x:f>M186*F186</x:f>
        <x:v>0</x:v>
      </x:c>
      <x:c r="X186" s="28" t="n">
        <x:f>N186*F186</x:f>
        <x:v>0</x:v>
      </x:c>
      <x:c r="Y186" s="28" t="n">
        <x:f>O186*F186</x:f>
        <x:v>0</x:v>
      </x:c>
      <x:c r="Z186" s="28" t="n">
        <x:f>P186*F186</x:f>
        <x:v>0</x:v>
      </x:c>
      <x:c r="AA186" s="28" t="n">
        <x:f>Q186*F186</x:f>
        <x:v>0</x:v>
      </x:c>
      <x:c r="AB186" s="28" t="n">
        <x:f>R186*F186</x:f>
        <x:v>0</x:v>
      </x:c>
      <x:c r="AC186" s="28" t="n">
        <x:f>S186*F186</x:f>
        <x:v>0</x:v>
      </x:c>
      <x:c r="AD186" s="28" t="n">
        <x:f>T186*F186</x:f>
        <x:v>0</x:v>
      </x:c>
    </x:row>
    <x:row r="187" ht="19" customHeight="1">
      <x:c r="A187" s="2"/>
      <x:c r="B187" s="2"/>
      <x:c r="C187" s="45" t="n">
        <x:f>'Source Data'!C210</x:f>
        <x:v>3</x:v>
      </x:c>
      <x:c r="D187" s="45" t="n">
        <x:f>'Source Data'!D210</x:f>
        <x:v>43</x:v>
      </x:c>
      <x:c r="E187" s="45" t="n">
        <x:f>'Source Data'!E210</x:f>
        <x:v>5</x:v>
      </x:c>
      <x:c r="F187" s="27" t="n">
        <x:f>IF(D187=0,0.5,1)*EXP(-'Assumptions'!$D$21*MAX(D187-6,0))</x:f>
        <x:v>0.0354373120929477</x:v>
      </x:c>
      <x:c r="G187" s="27" t="n">
        <x:f>IF(D187/'Assumptions'!$D$20&gt;=31,0,INDEX('Source Data'!$N$29:$N$60,INT(D187/'Assumptions'!$D$20)+1)+(D187/'Assumptions'!$D$20-INT(D187/'Assumptions'!$D$20))*(INDEX('Source Data'!$N$29:$N$60,MIN(32,INT(D187/'Assumptions'!$D$20)+2))-INDEX('Source Data'!$N$29:$N$60,INT(D187/'Assumptions'!$D$20)+1)))</x:f>
        <x:v>0</x:v>
      </x:c>
      <x:c r="H187" s="27" t="n">
        <x:f>'Source Data'!F210*G187*'Assumptions'!$F$58*'Assumptions'!$G$58</x:f>
        <x:v>0</x:v>
      </x:c>
      <x:c r="I187" s="27" t="n">
        <x:f>'Source Data'!G210*G187*'Assumptions'!$F$58*'Assumptions'!$G$58</x:f>
        <x:v>0</x:v>
      </x:c>
      <x:c r="J187" s="27" t="n">
        <x:f>'Source Data'!H210*G187*'Assumptions'!$F$58*'Assumptions'!$G$58</x:f>
        <x:v>0</x:v>
      </x:c>
      <x:c r="K187" s="27" t="n">
        <x:f>'Source Data'!I210*G187*'Assumptions'!$F$58*'Assumptions'!$G$58</x:f>
        <x:v>0</x:v>
      </x:c>
      <x:c r="L187" s="27" t="n">
        <x:f>'Source Data'!J210*G187*'Assumptions'!$F$58*'Assumptions'!$G$58</x:f>
        <x:v>0</x:v>
      </x:c>
      <x:c r="M187" s="27" t="n">
        <x:f>SUMPRODUCT(H187:L187,'Source Data'!D17:H17)</x:f>
        <x:v>0</x:v>
      </x:c>
      <x:c r="N187" s="27" t="n">
        <x:f>SUMPRODUCT(H187:L187,'Source Data'!D18:H18)</x:f>
        <x:v>0</x:v>
      </x:c>
      <x:c r="O187" s="27" t="n">
        <x:f>SUMPRODUCT(H187:L187,'Source Data'!D19:H19)</x:f>
        <x:v>0</x:v>
      </x:c>
      <x:c r="P187" s="27" t="n">
        <x:f>SUMPRODUCT(H187:L187,'Source Data'!D20:H20)</x:f>
        <x:v>0</x:v>
      </x:c>
      <x:c r="Q187" s="27" t="n">
        <x:f>SUMPRODUCT(H187:L187,'Source Data'!D21:H21)</x:f>
        <x:v>0</x:v>
      </x:c>
      <x:c r="R187" s="27" t="n">
        <x:f>SUMPRODUCT(H187:L187,'Source Data'!D22:H22)</x:f>
        <x:v>0</x:v>
      </x:c>
      <x:c r="S187" s="27" t="n">
        <x:f>SUMPRODUCT(H187:L187,'Source Data'!D23:H23)</x:f>
        <x:v>0</x:v>
      </x:c>
      <x:c r="T187" s="27" t="n">
        <x:f>SUMPRODUCT(H187:L187,'Source Data'!D24:H24)</x:f>
        <x:v>0</x:v>
      </x:c>
      <x:c r="U187" s="3"/>
      <x:c r="V187" s="3"/>
      <x:c r="W187" s="28" t="n">
        <x:f>M187*F187</x:f>
        <x:v>0</x:v>
      </x:c>
      <x:c r="X187" s="28" t="n">
        <x:f>N187*F187</x:f>
        <x:v>0</x:v>
      </x:c>
      <x:c r="Y187" s="28" t="n">
        <x:f>O187*F187</x:f>
        <x:v>0</x:v>
      </x:c>
      <x:c r="Z187" s="28" t="n">
        <x:f>P187*F187</x:f>
        <x:v>0</x:v>
      </x:c>
      <x:c r="AA187" s="28" t="n">
        <x:f>Q187*F187</x:f>
        <x:v>0</x:v>
      </x:c>
      <x:c r="AB187" s="28" t="n">
        <x:f>R187*F187</x:f>
        <x:v>0</x:v>
      </x:c>
      <x:c r="AC187" s="28" t="n">
        <x:f>S187*F187</x:f>
        <x:v>0</x:v>
      </x:c>
      <x:c r="AD187" s="28" t="n">
        <x:f>T187*F187</x:f>
        <x:v>0</x:v>
      </x:c>
    </x:row>
    <x:row r="188" ht="19" customHeight="1">
      <x:c r="A188" s="2"/>
      <x:c r="B188" s="2"/>
      <x:c r="C188" s="45" t="n">
        <x:f>'Source Data'!C211</x:f>
        <x:v>3</x:v>
      </x:c>
      <x:c r="D188" s="45" t="n">
        <x:f>'Source Data'!D211</x:f>
        <x:v>44</x:v>
      </x:c>
      <x:c r="E188" s="45" t="n">
        <x:f>'Source Data'!E211</x:f>
        <x:v>5</x:v>
      </x:c>
      <x:c r="F188" s="27" t="n">
        <x:f>IF(D188=0,0.5,1)*EXP(-'Assumptions'!$D$21*MAX(D188-6,0))</x:f>
        <x:v>0.032378521262889814</x:v>
      </x:c>
      <x:c r="G188" s="27" t="n">
        <x:f>IF(D188/'Assumptions'!$D$20&gt;=31,0,INDEX('Source Data'!$N$29:$N$60,INT(D188/'Assumptions'!$D$20)+1)+(D188/'Assumptions'!$D$20-INT(D188/'Assumptions'!$D$20))*(INDEX('Source Data'!$N$29:$N$60,MIN(32,INT(D188/'Assumptions'!$D$20)+2))-INDEX('Source Data'!$N$29:$N$60,INT(D188/'Assumptions'!$D$20)+1)))</x:f>
        <x:v>0</x:v>
      </x:c>
      <x:c r="H188" s="27" t="n">
        <x:f>'Source Data'!F211*G188*'Assumptions'!$F$58*'Assumptions'!$G$58</x:f>
        <x:v>0</x:v>
      </x:c>
      <x:c r="I188" s="27" t="n">
        <x:f>'Source Data'!G211*G188*'Assumptions'!$F$58*'Assumptions'!$G$58</x:f>
        <x:v>0</x:v>
      </x:c>
      <x:c r="J188" s="27" t="n">
        <x:f>'Source Data'!H211*G188*'Assumptions'!$F$58*'Assumptions'!$G$58</x:f>
        <x:v>0</x:v>
      </x:c>
      <x:c r="K188" s="27" t="n">
        <x:f>'Source Data'!I211*G188*'Assumptions'!$F$58*'Assumptions'!$G$58</x:f>
        <x:v>0</x:v>
      </x:c>
      <x:c r="L188" s="27" t="n">
        <x:f>'Source Data'!J211*G188*'Assumptions'!$F$58*'Assumptions'!$G$58</x:f>
        <x:v>0</x:v>
      </x:c>
      <x:c r="M188" s="27" t="n">
        <x:f>SUMPRODUCT(H188:L188,'Source Data'!D17:H17)</x:f>
        <x:v>0</x:v>
      </x:c>
      <x:c r="N188" s="27" t="n">
        <x:f>SUMPRODUCT(H188:L188,'Source Data'!D18:H18)</x:f>
        <x:v>0</x:v>
      </x:c>
      <x:c r="O188" s="27" t="n">
        <x:f>SUMPRODUCT(H188:L188,'Source Data'!D19:H19)</x:f>
        <x:v>0</x:v>
      </x:c>
      <x:c r="P188" s="27" t="n">
        <x:f>SUMPRODUCT(H188:L188,'Source Data'!D20:H20)</x:f>
        <x:v>0</x:v>
      </x:c>
      <x:c r="Q188" s="27" t="n">
        <x:f>SUMPRODUCT(H188:L188,'Source Data'!D21:H21)</x:f>
        <x:v>0</x:v>
      </x:c>
      <x:c r="R188" s="27" t="n">
        <x:f>SUMPRODUCT(H188:L188,'Source Data'!D22:H22)</x:f>
        <x:v>0</x:v>
      </x:c>
      <x:c r="S188" s="27" t="n">
        <x:f>SUMPRODUCT(H188:L188,'Source Data'!D23:H23)</x:f>
        <x:v>0</x:v>
      </x:c>
      <x:c r="T188" s="27" t="n">
        <x:f>SUMPRODUCT(H188:L188,'Source Data'!D24:H24)</x:f>
        <x:v>0</x:v>
      </x:c>
      <x:c r="U188" s="3"/>
      <x:c r="V188" s="3"/>
      <x:c r="W188" s="28" t="n">
        <x:f>M188*F188</x:f>
        <x:v>0</x:v>
      </x:c>
      <x:c r="X188" s="28" t="n">
        <x:f>N188*F188</x:f>
        <x:v>0</x:v>
      </x:c>
      <x:c r="Y188" s="28" t="n">
        <x:f>O188*F188</x:f>
        <x:v>0</x:v>
      </x:c>
      <x:c r="Z188" s="28" t="n">
        <x:f>P188*F188</x:f>
        <x:v>0</x:v>
      </x:c>
      <x:c r="AA188" s="28" t="n">
        <x:f>Q188*F188</x:f>
        <x:v>0</x:v>
      </x:c>
      <x:c r="AB188" s="28" t="n">
        <x:f>R188*F188</x:f>
        <x:v>0</x:v>
      </x:c>
      <x:c r="AC188" s="28" t="n">
        <x:f>S188*F188</x:f>
        <x:v>0</x:v>
      </x:c>
      <x:c r="AD188" s="28" t="n">
        <x:f>T188*F188</x:f>
        <x:v>0</x:v>
      </x:c>
    </x:row>
    <x:row r="189" ht="19" customHeight="1">
      <x:c r="A189" s="2"/>
      <x:c r="B189" s="2"/>
      <x:c r="C189" s="45" t="n">
        <x:f>'Source Data'!C212</x:f>
        <x:v>3</x:v>
      </x:c>
      <x:c r="D189" s="45" t="n">
        <x:f>'Source Data'!D212</x:f>
        <x:v>45</x:v>
      </x:c>
      <x:c r="E189" s="45" t="n">
        <x:f>'Source Data'!E212</x:f>
        <x:v>5</x:v>
      </x:c>
      <x:c r="F189" s="27" t="n">
        <x:f>IF(D189=0,0.5,1)*EXP(-'Assumptions'!$D$21*MAX(D189-6,0))</x:f>
        <x:v>0.02958375162375934</x:v>
      </x:c>
      <x:c r="G189" s="27" t="n">
        <x:f>IF(D189/'Assumptions'!$D$20&gt;=31,0,INDEX('Source Data'!$N$29:$N$60,INT(D189/'Assumptions'!$D$20)+1)+(D189/'Assumptions'!$D$20-INT(D189/'Assumptions'!$D$20))*(INDEX('Source Data'!$N$29:$N$60,MIN(32,INT(D189/'Assumptions'!$D$20)+2))-INDEX('Source Data'!$N$29:$N$60,INT(D189/'Assumptions'!$D$20)+1)))</x:f>
        <x:v>0</x:v>
      </x:c>
      <x:c r="H189" s="27" t="n">
        <x:f>'Source Data'!F212*G189*'Assumptions'!$F$58*'Assumptions'!$G$58</x:f>
        <x:v>0</x:v>
      </x:c>
      <x:c r="I189" s="27" t="n">
        <x:f>'Source Data'!G212*G189*'Assumptions'!$F$58*'Assumptions'!$G$58</x:f>
        <x:v>0</x:v>
      </x:c>
      <x:c r="J189" s="27" t="n">
        <x:f>'Source Data'!H212*G189*'Assumptions'!$F$58*'Assumptions'!$G$58</x:f>
        <x:v>0</x:v>
      </x:c>
      <x:c r="K189" s="27" t="n">
        <x:f>'Source Data'!I212*G189*'Assumptions'!$F$58*'Assumptions'!$G$58</x:f>
        <x:v>0</x:v>
      </x:c>
      <x:c r="L189" s="27" t="n">
        <x:f>'Source Data'!J212*G189*'Assumptions'!$F$58*'Assumptions'!$G$58</x:f>
        <x:v>0</x:v>
      </x:c>
      <x:c r="M189" s="27" t="n">
        <x:f>SUMPRODUCT(H189:L189,'Source Data'!D17:H17)</x:f>
        <x:v>0</x:v>
      </x:c>
      <x:c r="N189" s="27" t="n">
        <x:f>SUMPRODUCT(H189:L189,'Source Data'!D18:H18)</x:f>
        <x:v>0</x:v>
      </x:c>
      <x:c r="O189" s="27" t="n">
        <x:f>SUMPRODUCT(H189:L189,'Source Data'!D19:H19)</x:f>
        <x:v>0</x:v>
      </x:c>
      <x:c r="P189" s="27" t="n">
        <x:f>SUMPRODUCT(H189:L189,'Source Data'!D20:H20)</x:f>
        <x:v>0</x:v>
      </x:c>
      <x:c r="Q189" s="27" t="n">
        <x:f>SUMPRODUCT(H189:L189,'Source Data'!D21:H21)</x:f>
        <x:v>0</x:v>
      </x:c>
      <x:c r="R189" s="27" t="n">
        <x:f>SUMPRODUCT(H189:L189,'Source Data'!D22:H22)</x:f>
        <x:v>0</x:v>
      </x:c>
      <x:c r="S189" s="27" t="n">
        <x:f>SUMPRODUCT(H189:L189,'Source Data'!D23:H23)</x:f>
        <x:v>0</x:v>
      </x:c>
      <x:c r="T189" s="27" t="n">
        <x:f>SUMPRODUCT(H189:L189,'Source Data'!D24:H24)</x:f>
        <x:v>0</x:v>
      </x:c>
      <x:c r="U189" s="3"/>
      <x:c r="V189" s="3"/>
      <x:c r="W189" s="28" t="n">
        <x:f>M189*F189</x:f>
        <x:v>0</x:v>
      </x:c>
      <x:c r="X189" s="28" t="n">
        <x:f>N189*F189</x:f>
        <x:v>0</x:v>
      </x:c>
      <x:c r="Y189" s="28" t="n">
        <x:f>O189*F189</x:f>
        <x:v>0</x:v>
      </x:c>
      <x:c r="Z189" s="28" t="n">
        <x:f>P189*F189</x:f>
        <x:v>0</x:v>
      </x:c>
      <x:c r="AA189" s="28" t="n">
        <x:f>Q189*F189</x:f>
        <x:v>0</x:v>
      </x:c>
      <x:c r="AB189" s="28" t="n">
        <x:f>R189*F189</x:f>
        <x:v>0</x:v>
      </x:c>
      <x:c r="AC189" s="28" t="n">
        <x:f>S189*F189</x:f>
        <x:v>0</x:v>
      </x:c>
      <x:c r="AD189" s="28" t="n">
        <x:f>T189*F189</x:f>
        <x:v>0</x:v>
      </x:c>
    </x:row>
    <x:row r="190" ht="19" customHeight="1">
      <x:c r="A190" s="2"/>
      <x:c r="B190" s="2"/>
      <x:c r="C190" s="2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  <x:c r="AA190" s="3"/>
      <x:c r="AB190" s="3"/>
      <x:c r="AC190" s="3"/>
      <x:c r="AD190" s="3"/>
    </x:row>
    <x:row r="191" ht="19" customHeight="1">
      <x:c r="A191" s="2"/>
      <x:c r="B191" s="2"/>
      <x:c r="C191" s="2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  <x:c r="AA191" s="3"/>
      <x:c r="AB191" s="3"/>
      <x:c r="AC191" s="3"/>
      <x:c r="AD191" s="3"/>
    </x:row>
    <x:row r="192" ht="19" customHeight="1">
      <x:c r="A192" s="2"/>
      <x:c r="B192" s="2"/>
      <x:c r="C192" s="2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  <x:c r="AA192" s="3"/>
      <x:c r="AB192" s="3"/>
      <x:c r="AC192" s="3"/>
      <x:c r="AD192" s="3"/>
    </x:row>
    <x:row r="193" ht="30" customHeight="1">
      <x:c r="A193" s="2"/>
      <x:c r="B193" s="2"/>
      <x:c r="C193" s="8" t="str">
        <x:v>Body ID</x:v>
      </x:c>
      <x:c r="D193" s="11" t="str">
        <x:v>Bucket ID</x:v>
      </x:c>
      <x:c r="E193" s="11" t="str">
        <x:v>Representative age</x:v>
      </x:c>
      <x:c r="F193" s="11" t="str">
        <x:v>Q1 FY26A</x:v>
      </x:c>
      <x:c r="G193" s="11" t="str">
        <x:v>Q2 FY26A</x:v>
      </x:c>
      <x:c r="H193" s="11" t="str">
        <x:v>Q3 FY26A</x:v>
      </x:c>
      <x:c r="I193" s="11" t="str">
        <x:v>Q4 FY26A</x:v>
      </x:c>
      <x:c r="J193" s="11" t="str">
        <x:v>Q1 FY27E</x:v>
      </x:c>
      <x:c r="K193" s="11" t="str">
        <x:v>Q2 FY27E</x:v>
      </x:c>
      <x:c r="L193" s="11" t="str">
        <x:v>Q3 FY27E</x:v>
      </x:c>
      <x:c r="M193" s="11" t="str">
        <x:v>Q4 FY27E</x:v>
      </x:c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  <x:c r="AA193" s="3"/>
      <x:c r="AB193" s="3"/>
      <x:c r="AC193" s="3"/>
      <x:c r="AD193" s="3"/>
    </x:row>
    <x:row r="194" ht="19" customHeight="1">
      <x:c r="A194" s="2"/>
      <x:c r="B194" s="2"/>
      <x:c r="C194" s="46" t="n">
        <x:v>0</x:v>
      </x:c>
      <x:c r="D194" s="46" t="n">
        <x:v>0</x:v>
      </x:c>
      <x:c r="E194" s="45" t="n">
        <x:f>'Source Data'!D217</x:f>
        <x:v>0</x:v>
      </x:c>
      <x:c r="F194" s="28" t="n">
        <x:f>SUMIFS(W$6:W$189,$C$6:$C$189,C194,$E$6:$E$189,D194)</x:f>
        <x:v>1422.4645833333334</x:v>
      </x:c>
      <x:c r="G194" s="28" t="n">
        <x:f>SUMIFS(X$6:X$189,$C$6:$C$189,C194,$E$6:$E$189,D194)</x:f>
        <x:v>1389.8694444444445</x:v>
      </x:c>
      <x:c r="H194" s="28" t="n">
        <x:f>SUMIFS(Y$6:Y$189,$C$6:$C$189,C194,$E$6:$E$189,D194)</x:f>
        <x:v>1382.1999999999998</x:v>
      </x:c>
      <x:c r="I194" s="28" t="n">
        <x:f>SUMIFS(Z$6:Z$189,$C$6:$C$189,C194,$E$6:$E$189,D194)</x:f>
        <x:v>1382.2000000000003</x:v>
      </x:c>
      <x:c r="J194" s="28" t="n">
        <x:f>SUMIFS(AA$6:AA$189,$C$6:$C$189,C194,$E$6:$E$189,D194)</x:f>
        <x:v>1382.2</x:v>
      </x:c>
      <x:c r="K194" s="28" t="n">
        <x:f>SUMIFS(AB$6:AB$189,$C$6:$C$189,C194,$E$6:$E$189,D194)</x:f>
        <x:v>1382.2</x:v>
      </x:c>
      <x:c r="L194" s="28" t="n">
        <x:f>SUMIFS(AC$6:AC$189,$C$6:$C$189,C194,$E$6:$E$189,D194)</x:f>
        <x:v>1382.1999999999998</x:v>
      </x:c>
      <x:c r="M194" s="28" t="n">
        <x:f>SUMIFS(AD$6:AD$189,$C$6:$C$189,C194,$E$6:$E$189,D194)</x:f>
        <x:v>1382.2000000000003</x:v>
      </x:c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  <x:c r="AA194" s="3"/>
      <x:c r="AB194" s="3"/>
      <x:c r="AC194" s="3"/>
      <x:c r="AD194" s="3"/>
    </x:row>
    <x:row r="195" ht="19" customHeight="1">
      <x:c r="A195" s="2"/>
      <x:c r="B195" s="2"/>
      <x:c r="C195" s="46" t="n">
        <x:v>0</x:v>
      </x:c>
      <x:c r="D195" s="46" t="n">
        <x:v>1</x:v>
      </x:c>
      <x:c r="E195" s="45" t="n">
        <x:f>'Source Data'!D218</x:f>
        <x:v>2</x:v>
      </x:c>
      <x:c r="F195" s="28" t="n">
        <x:f>SUMIFS(W$6:W$189,$C$6:$C$189,C195,$E$6:$E$189,D195)</x:f>
        <x:v>9202.487332677165</x:v>
      </x:c>
      <x:c r="G195" s="28" t="n">
        <x:f>SUMIFS(X$6:X$189,$C$6:$C$189,C195,$E$6:$E$189,D195)</x:f>
        <x:v>9127.570034995624</x:v>
      </x:c>
      <x:c r="H195" s="28" t="n">
        <x:f>SUMIFS(Y$6:Y$189,$C$6:$C$189,C195,$E$6:$E$189,D195)</x:f>
        <x:v>9078.060643044617</x:v>
      </x:c>
      <x:c r="I195" s="28" t="n">
        <x:f>SUMIFS(Z$6:Z$189,$C$6:$C$189,C195,$E$6:$E$189,D195)</x:f>
        <x:v>9036.36906824147</x:v>
      </x:c>
      <x:c r="J195" s="28" t="n">
        <x:f>SUMIFS(AA$6:AA$189,$C$6:$C$189,C195,$E$6:$E$189,D195)</x:f>
        <x:v>8994.677493438321</x:v>
      </x:c>
      <x:c r="K195" s="28" t="n">
        <x:f>SUMIFS(AB$6:AB$189,$C$6:$C$189,C195,$E$6:$E$189,D195)</x:f>
        <x:v>8949.498305993002</x:v>
      </x:c>
      <x:c r="L195" s="28" t="n">
        <x:f>SUMIFS(AC$6:AC$189,$C$6:$C$189,C195,$E$6:$E$189,D195)</x:f>
        <x:v>8858.980154199475</x:v>
      </x:c>
      <x:c r="M195" s="28" t="n">
        <x:f>SUMIFS(AD$6:AD$189,$C$6:$C$189,C195,$E$6:$E$189,D195)</x:f>
        <x:v>8754.511551837271</x:v>
      </x:c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  <x:c r="AA195" s="3"/>
      <x:c r="AB195" s="3"/>
      <x:c r="AC195" s="3"/>
      <x:c r="AD195" s="3"/>
    </x:row>
    <x:row r="196" ht="19" customHeight="1">
      <x:c r="A196" s="2"/>
      <x:c r="B196" s="2"/>
      <x:c r="C196" s="46" t="n">
        <x:v>0</x:v>
      </x:c>
      <x:c r="D196" s="46" t="n">
        <x:v>2</x:v>
      </x:c>
      <x:c r="E196" s="45" t="n">
        <x:f>'Source Data'!D219</x:f>
        <x:v>5</x:v>
      </x:c>
      <x:c r="F196" s="28" t="n">
        <x:f>SUMIFS(W$6:W$189,$C$6:$C$189,C196,$E$6:$E$189,D196)</x:f>
        <x:v>11836.89558175853</x:v>
      </x:c>
      <x:c r="G196" s="28" t="n">
        <x:f>SUMIFS(X$6:X$189,$C$6:$C$189,C196,$E$6:$E$189,D196)</x:f>
        <x:v>11357.924015485565</x:v>
      </x:c>
      <x:c r="H196" s="28" t="n">
        <x:f>SUMIFS(Y$6:Y$189,$C$6:$C$189,C196,$E$6:$E$189,D196)</x:f>
        <x:v>10910.0258664042</x:v>
      </x:c>
      <x:c r="I196" s="28" t="n">
        <x:f>SUMIFS(Z$6:Z$189,$C$6:$C$189,C196,$E$6:$E$189,D196)</x:f>
        <x:v>10471.688768766406</x:v>
      </x:c>
      <x:c r="J196" s="28" t="n">
        <x:f>SUMIFS(AA$6:AA$189,$C$6:$C$189,C196,$E$6:$E$189,D196)</x:f>
        <x:v>10033.35167112861</x:v>
      </x:c>
      <x:c r="K196" s="28" t="n">
        <x:f>SUMIFS(AB$6:AB$189,$C$6:$C$189,C196,$E$6:$E$189,D196)</x:f>
        <x:v>9616.42185936133</x:v>
      </x:c>
      <x:c r="L196" s="28" t="n">
        <x:f>SUMIFS(AC$6:AC$189,$C$6:$C$189,C196,$E$6:$E$189,D196)</x:f>
        <x:v>9477.78676391076</x:v>
      </x:c>
      <x:c r="M196" s="28" t="n">
        <x:f>SUMIFS(AD$6:AD$189,$C$6:$C$189,C196,$E$6:$E$189,D196)</x:f>
        <x:v>9424.780811942259</x:v>
      </x:c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  <x:c r="AA196" s="3"/>
      <x:c r="AB196" s="3"/>
      <x:c r="AC196" s="3"/>
      <x:c r="AD196" s="3"/>
    </x:row>
    <x:row r="197" ht="19" customHeight="1">
      <x:c r="A197" s="2"/>
      <x:c r="B197" s="2"/>
      <x:c r="C197" s="46" t="n">
        <x:v>0</x:v>
      </x:c>
      <x:c r="D197" s="46" t="n">
        <x:v>3</x:v>
      </x:c>
      <x:c r="E197" s="45" t="n">
        <x:f>'Source Data'!D220</x:f>
        <x:v>8</x:v>
      </x:c>
      <x:c r="F197" s="28" t="n">
        <x:f>SUMIFS(W$6:W$189,$C$6:$C$189,C197,$E$6:$E$189,D197)</x:f>
        <x:v>15005.975743530049</x:v>
      </x:c>
      <x:c r="G197" s="28" t="n">
        <x:f>SUMIFS(X$6:X$189,$C$6:$C$189,C197,$E$6:$E$189,D197)</x:f>
        <x:v>14560.875333803531</x:v>
      </x:c>
      <x:c r="H197" s="28" t="n">
        <x:f>SUMIFS(Y$6:Y$189,$C$6:$C$189,C197,$E$6:$E$189,D197)</x:f>
        <x:v>14128.735144968277</x:v>
      </x:c>
      <x:c r="I197" s="28" t="n">
        <x:f>SUMIFS(Z$6:Z$189,$C$6:$C$189,C197,$E$6:$E$189,D197)</x:f>
        <x:v>13700.582716407263</x:v>
      </x:c>
      <x:c r="J197" s="28" t="n">
        <x:f>SUMIFS(AA$6:AA$189,$C$6:$C$189,C197,$E$6:$E$189,D197)</x:f>
        <x:v>13272.430287846248</x:v>
      </x:c>
      <x:c r="K197" s="28" t="n">
        <x:f>SUMIFS(AB$6:AB$189,$C$6:$C$189,C197,$E$6:$E$189,D197)</x:f>
        <x:v>12837.586857715742</x:v>
      </x:c>
      <x:c r="L197" s="28" t="n">
        <x:f>SUMIFS(AC$6:AC$189,$C$6:$C$189,C197,$E$6:$E$189,D197)</x:f>
        <x:v>12315.760407181846</x:v>
      </x:c>
      <x:c r="M197" s="28" t="n">
        <x:f>SUMIFS(AD$6:AD$189,$C$6:$C$189,C197,$E$6:$E$189,D197)</x:f>
        <x:v>11767.16995036999</x:v>
      </x:c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  <x:c r="AA197" s="3"/>
      <x:c r="AB197" s="3"/>
      <x:c r="AC197" s="3"/>
      <x:c r="AD197" s="3"/>
    </x:row>
    <x:row r="198" ht="19" customHeight="1">
      <x:c r="A198" s="2"/>
      <x:c r="B198" s="2"/>
      <x:c r="C198" s="46" t="n">
        <x:v>0</x:v>
      </x:c>
      <x:c r="D198" s="46" t="n">
        <x:v>4</x:v>
      </x:c>
      <x:c r="E198" s="45" t="n">
        <x:f>'Source Data'!D221</x:f>
        <x:v>11</x:v>
      </x:c>
      <x:c r="F198" s="28" t="n">
        <x:f>SUMIFS(W$6:W$189,$C$6:$C$189,C198,$E$6:$E$189,D198)</x:f>
        <x:v>13111.945150052237</x:v>
      </x:c>
      <x:c r="G198" s="28" t="n">
        <x:f>SUMIFS(X$6:X$189,$C$6:$C$189,C198,$E$6:$E$189,D198)</x:f>
        <x:v>13136.057002693913</x:v>
      </x:c>
      <x:c r="H198" s="28" t="n">
        <x:f>SUMIFS(Y$6:Y$189,$C$6:$C$189,C198,$E$6:$E$189,D198)</x:f>
        <x:v>13054.592312475652</x:v>
      </x:c>
      <x:c r="I198" s="28" t="n">
        <x:f>SUMIFS(Z$6:Z$189,$C$6:$C$189,C198,$E$6:$E$189,D198)</x:f>
        <x:v>12940.642532146636</x:v>
      </x:c>
      <x:c r="J198" s="28" t="n">
        <x:f>SUMIFS(AA$6:AA$189,$C$6:$C$189,C198,$E$6:$E$189,D198)</x:f>
        <x:v>12826.69275181762</x:v>
      </x:c>
      <x:c r="K198" s="28" t="n">
        <x:f>SUMIFS(AB$6:AB$189,$C$6:$C$189,C198,$E$6:$E$189,D198)</x:f>
        <x:v>12705.557801547833</x:v>
      </x:c>
      <x:c r="L198" s="28" t="n">
        <x:f>SUMIFS(AC$6:AC$189,$C$6:$C$189,C198,$E$6:$E$189,D198)</x:f>
        <x:v>12491.01564204806</x:v>
      </x:c>
      <x:c r="M198" s="28" t="n">
        <x:f>SUMIFS(AD$6:AD$189,$C$6:$C$189,C198,$E$6:$E$189,D198)</x:f>
        <x:v>12247.732802785216</x:v>
      </x:c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  <x:c r="AA198" s="3"/>
      <x:c r="AB198" s="3"/>
      <x:c r="AC198" s="3"/>
      <x:c r="AD198" s="3"/>
    </x:row>
    <x:row r="199" ht="19" customHeight="1">
      <x:c r="A199" s="2"/>
      <x:c r="B199" s="2"/>
      <x:c r="C199" s="46" t="n">
        <x:v>0</x:v>
      </x:c>
      <x:c r="D199" s="46" t="n">
        <x:v>5</x:v>
      </x:c>
      <x:c r="E199" s="45" t="n">
        <x:f>'Source Data'!D222</x:f>
        <x:v>17</x:v>
      </x:c>
      <x:c r="F199" s="28" t="n">
        <x:f>SUMIFS(W$6:W$189,$C$6:$C$189,C199,$E$6:$E$189,D199)</x:f>
        <x:v>17770.733489833183</x:v>
      </x:c>
      <x:c r="G199" s="28" t="n">
        <x:f>SUMIFS(X$6:X$189,$C$6:$C$189,C199,$E$6:$E$189,D199)</x:f>
        <x:v>17799.448434978887</x:v>
      </x:c>
      <x:c r="H199" s="28" t="n">
        <x:f>SUMIFS(Y$6:Y$189,$C$6:$C$189,C199,$E$6:$E$189,D199)</x:f>
        <x:v>17861.954119828915</x:v>
      </x:c>
      <x:c r="I199" s="28" t="n">
        <x:f>SUMIFS(Z$6:Z$189,$C$6:$C$189,C199,$E$6:$E$189,D199)</x:f>
        <x:v>17934.85695535721</x:v>
      </x:c>
      <x:c r="J199" s="28" t="n">
        <x:f>SUMIFS(AA$6:AA$189,$C$6:$C$189,C199,$E$6:$E$189,D199)</x:f>
        <x:v>18007.759790885495</x:v>
      </x:c>
      <x:c r="K199" s="28" t="n">
        <x:f>SUMIFS(AB$6:AB$189,$C$6:$C$189,C199,$E$6:$E$189,D199)</x:f>
        <x:v>18081.519048267914</x:v>
      </x:c>
      <x:c r="L199" s="28" t="n">
        <x:f>SUMIFS(AC$6:AC$189,$C$6:$C$189,C199,$E$6:$E$189,D199)</x:f>
        <x:v>18166.41178975409</x:v>
      </x:c>
      <x:c r="M199" s="28" t="n">
        <x:f>SUMIFS(AD$6:AD$189,$C$6:$C$189,C199,$E$6:$E$189,D199)</x:f>
        <x:v>18254.730218656816</x:v>
      </x:c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  <x:c r="AA199" s="3"/>
      <x:c r="AB199" s="3"/>
      <x:c r="AC199" s="3"/>
      <x:c r="AD199" s="3"/>
    </x:row>
    <x:row r="200" ht="19" customHeight="1">
      <x:c r="A200" s="2"/>
      <x:c r="B200" s="2"/>
      <x:c r="C200" s="46" t="n">
        <x:v>1</x:v>
      </x:c>
      <x:c r="D200" s="46" t="n">
        <x:v>0</x:v>
      </x:c>
      <x:c r="E200" s="45" t="n">
        <x:f>'Source Data'!D217</x:f>
        <x:v>0</x:v>
      </x:c>
      <x:c r="F200" s="28" t="n">
        <x:f>SUMIFS(W$6:W$189,$C$6:$C$189,C200,$E$6:$E$189,D200)</x:f>
        <x:v>4671.051460176992</x:v>
      </x:c>
      <x:c r="G200" s="28" t="n">
        <x:f>SUMIFS(X$6:X$189,$C$6:$C$189,C200,$E$6:$E$189,D200)</x:f>
        <x:v>4725.3012684365785</x:v>
      </x:c>
      <x:c r="H200" s="28" t="n">
        <x:f>SUMIFS(Y$6:Y$189,$C$6:$C$189,C200,$E$6:$E$189,D200)</x:f>
        <x:v>4738.06592920354</x:v>
      </x:c>
      <x:c r="I200" s="28" t="n">
        <x:f>SUMIFS(Z$6:Z$189,$C$6:$C$189,C200,$E$6:$E$189,D200)</x:f>
        <x:v>4738.065929203541</x:v>
      </x:c>
      <x:c r="J200" s="28" t="n">
        <x:f>SUMIFS(AA$6:AA$189,$C$6:$C$189,C200,$E$6:$E$189,D200)</x:f>
        <x:v>4738.06592920354</x:v>
      </x:c>
      <x:c r="K200" s="28" t="n">
        <x:f>SUMIFS(AB$6:AB$189,$C$6:$C$189,C200,$E$6:$E$189,D200)</x:f>
        <x:v>4738.06592920354</x:v>
      </x:c>
      <x:c r="L200" s="28" t="n">
        <x:f>SUMIFS(AC$6:AC$189,$C$6:$C$189,C200,$E$6:$E$189,D200)</x:f>
        <x:v>4738.06592920354</x:v>
      </x:c>
      <x:c r="M200" s="28" t="n">
        <x:f>SUMIFS(AD$6:AD$189,$C$6:$C$189,C200,$E$6:$E$189,D200)</x:f>
        <x:v>4738.065929203541</x:v>
      </x:c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  <x:c r="AA200" s="3"/>
      <x:c r="AB200" s="3"/>
      <x:c r="AC200" s="3"/>
      <x:c r="AD200" s="3"/>
    </x:row>
    <x:row r="201" ht="19" customHeight="1">
      <x:c r="A201" s="2"/>
      <x:c r="B201" s="2"/>
      <x:c r="C201" s="46" t="n">
        <x:v>1</x:v>
      </x:c>
      <x:c r="D201" s="46" t="n">
        <x:v>1</x:v>
      </x:c>
      <x:c r="E201" s="45" t="n">
        <x:f>'Source Data'!D218</x:f>
        <x:v>2</x:v>
      </x:c>
      <x:c r="F201" s="28" t="n">
        <x:f>SUMIFS(W$6:W$189,$C$6:$C$189,C201,$E$6:$E$189,D201)</x:f>
        <x:v>24660.391529112014</x:v>
      </x:c>
      <x:c r="G201" s="28" t="n">
        <x:f>SUMIFS(X$6:X$189,$C$6:$C$189,C201,$E$6:$E$189,D201)</x:f>
        <x:v>24894.870885535078</x:v>
      </x:c>
      <x:c r="H201" s="28" t="n">
        <x:f>SUMIFS(Y$6:Y$189,$C$6:$C$189,C201,$E$6:$E$189,D201)</x:f>
        <x:v>25296.082947107992</x:v>
      </x:c>
      <x:c r="I201" s="28" t="n">
        <x:f>SUMIFS(Z$6:Z$189,$C$6:$C$189,C201,$E$6:$E$189,D201)</x:f>
        <x:v>25748.59737949625</x:v>
      </x:c>
      <x:c r="J201" s="28" t="n">
        <x:f>SUMIFS(AA$6:AA$189,$C$6:$C$189,C201,$E$6:$E$189,D201)</x:f>
        <x:v>26201.111811884504</x:v>
      </x:c>
      <x:c r="K201" s="28" t="n">
        <x:f>SUMIFS(AB$6:AB$189,$C$6:$C$189,C201,$E$6:$E$189,D201)</x:f>
        <x:v>26639.396231901177</x:v>
      </x:c>
      <x:c r="L201" s="28" t="n">
        <x:f>SUMIFS(AC$6:AC$189,$C$6:$C$189,C201,$E$6:$E$189,D201)</x:f>
        <x:v>26892.69049108737</x:v>
      </x:c>
      <x:c r="M201" s="28" t="n">
        <x:f>SUMIFS(AD$6:AD$189,$C$6:$C$189,C201,$E$6:$E$189,D201)</x:f>
        <x:v>27089.064700787258</x:v>
      </x:c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  <x:c r="AA201" s="3"/>
      <x:c r="AB201" s="3"/>
      <x:c r="AC201" s="3"/>
      <x:c r="AD201" s="3"/>
    </x:row>
    <x:row r="202" ht="19" customHeight="1">
      <x:c r="A202" s="2"/>
      <x:c r="B202" s="2"/>
      <x:c r="C202" s="46" t="n">
        <x:v>1</x:v>
      </x:c>
      <x:c r="D202" s="46" t="n">
        <x:v>2</x:v>
      </x:c>
      <x:c r="E202" s="45" t="n">
        <x:f>'Source Data'!D219</x:f>
        <x:v>5</x:v>
      </x:c>
      <x:c r="F202" s="28" t="n">
        <x:f>SUMIFS(W$6:W$189,$C$6:$C$189,C202,$E$6:$E$189,D202)</x:f>
        <x:v>23308.53356919703</x:v>
      </x:c>
      <x:c r="G202" s="28" t="n">
        <x:f>SUMIFS(X$6:X$189,$C$6:$C$189,C202,$E$6:$E$189,D202)</x:f>
        <x:v>23232.76423202478</x:v>
      </x:c>
      <x:c r="H202" s="28" t="n">
        <x:f>SUMIFS(Y$6:Y$189,$C$6:$C$189,C202,$E$6:$E$189,D202)</x:f>
        <x:v>23036.713431383927</x:v>
      </x:c>
      <x:c r="I202" s="28" t="n">
        <x:f>SUMIFS(Z$6:Z$189,$C$6:$C$189,C202,$E$6:$E$189,D202)</x:f>
        <x:v>22803.652949675823</x:v>
      </x:c>
      <x:c r="J202" s="28" t="n">
        <x:f>SUMIFS(AA$6:AA$189,$C$6:$C$189,C202,$E$6:$E$189,D202)</x:f>
        <x:v>22570.592467967712</x:v>
      </x:c>
      <x:c r="K202" s="28" t="n">
        <x:f>SUMIFS(AB$6:AB$189,$C$6:$C$189,C202,$E$6:$E$189,D202)</x:f>
        <x:v>22362.655551111857</x:v>
      </x:c>
      <x:c r="L202" s="28" t="n">
        <x:f>SUMIFS(AC$6:AC$189,$C$6:$C$189,C202,$E$6:$E$189,D202)</x:f>
        <x:v>22481.324977335345</x:v>
      </x:c>
      <x:c r="M202" s="28" t="n">
        <x:f>SUMIFS(AD$6:AD$189,$C$6:$C$189,C202,$E$6:$E$189,D202)</x:f>
        <x:v>22700.48866296786</x:v>
      </x:c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  <x:c r="AA202" s="3"/>
      <x:c r="AB202" s="3"/>
      <x:c r="AC202" s="3"/>
      <x:c r="AD202" s="3"/>
    </x:row>
    <x:row r="203" ht="19" customHeight="1">
      <x:c r="A203" s="2"/>
      <x:c r="B203" s="2"/>
      <x:c r="C203" s="46" t="n">
        <x:v>1</x:v>
      </x:c>
      <x:c r="D203" s="46" t="n">
        <x:v>3</x:v>
      </x:c>
      <x:c r="E203" s="45" t="n">
        <x:f>'Source Data'!D220</x:f>
        <x:v>8</x:v>
      </x:c>
      <x:c r="F203" s="28" t="n">
        <x:f>SUMIFS(W$6:W$189,$C$6:$C$189,C203,$E$6:$E$189,D203)</x:f>
        <x:v>17225.714558695243</x:v>
      </x:c>
      <x:c r="G203" s="28" t="n">
        <x:f>SUMIFS(X$6:X$189,$C$6:$C$189,C203,$E$6:$E$189,D203)</x:f>
        <x:v>17496.547540923384</x:v>
      </x:c>
      <x:c r="H203" s="28" t="n">
        <x:f>SUMIFS(Y$6:Y$189,$C$6:$C$189,C203,$E$6:$E$189,D203)</x:f>
        <x:v>17723.432544375046</x:v>
      </x:c>
      <x:c r="I203" s="28" t="n">
        <x:f>SUMIFS(Z$6:Z$189,$C$6:$C$189,C203,$E$6:$E$189,D203)</x:f>
        <x:v>17936.795092818564</x:v>
      </x:c>
      <x:c r="J203" s="28" t="n">
        <x:f>SUMIFS(AA$6:AA$189,$C$6:$C$189,C203,$E$6:$E$189,D203)</x:f>
        <x:v>18150.157641262078</x:v>
      </x:c>
      <x:c r="K203" s="28" t="n">
        <x:f>SUMIFS(AB$6:AB$189,$C$6:$C$189,C203,$E$6:$E$189,D203)</x:f>
        <x:v>18349.66366346144</x:v>
      </x:c>
      <x:c r="L203" s="28" t="n">
        <x:f>SUMIFS(AC$6:AC$189,$C$6:$C$189,C203,$E$6:$E$189,D203)</x:f>
        <x:v>18369.03484448686</x:v>
      </x:c>
      <x:c r="M203" s="28" t="n">
        <x:f>SUMIFS(AD$6:AD$189,$C$6:$C$189,C203,$E$6:$E$189,D203)</x:f>
        <x:v>18332.979920535687</x:v>
      </x:c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  <x:c r="AA203" s="3"/>
      <x:c r="AB203" s="3"/>
      <x:c r="AC203" s="3"/>
      <x:c r="AD203" s="3"/>
    </x:row>
    <x:row r="204" ht="19" customHeight="1">
      <x:c r="A204" s="2"/>
      <x:c r="B204" s="2"/>
      <x:c r="C204" s="46" t="n">
        <x:v>1</x:v>
      </x:c>
      <x:c r="D204" s="46" t="n">
        <x:v>4</x:v>
      </x:c>
      <x:c r="E204" s="45" t="n">
        <x:f>'Source Data'!D221</x:f>
        <x:v>11</x:v>
      </x:c>
      <x:c r="F204" s="28" t="n">
        <x:f>SUMIFS(W$6:W$189,$C$6:$C$189,C204,$E$6:$E$189,D204)</x:f>
        <x:v>9153.764516733592</x:v>
      </x:c>
      <x:c r="G204" s="28" t="n">
        <x:f>SUMIFS(X$6:X$189,$C$6:$C$189,C204,$E$6:$E$189,D204)</x:f>
        <x:v>9394.241623230237</x:v>
      </x:c>
      <x:c r="H204" s="28" t="n">
        <x:f>SUMIFS(Y$6:Y$189,$C$6:$C$189,C204,$E$6:$E$189,D204)</x:f>
        <x:v>9630.531468138954</x:v>
      </x:c>
      <x:c r="I204" s="28" t="n">
        <x:f>SUMIFS(Z$6:Z$189,$C$6:$C$189,C204,$E$6:$E$189,D204)</x:f>
        <x:v>9865.532924866771</x:v>
      </x:c>
      <x:c r="J204" s="28" t="n">
        <x:f>SUMIFS(AA$6:AA$189,$C$6:$C$189,C204,$E$6:$E$189,D204)</x:f>
        <x:v>10100.534381594585</x:v>
      </x:c>
      <x:c r="K204" s="28" t="n">
        <x:f>SUMIFS(AB$6:AB$189,$C$6:$C$189,C204,$E$6:$E$189,D204)</x:f>
        <x:v>10333.3839542506</x:v>
      </x:c>
      <x:c r="L204" s="28" t="n">
        <x:f>SUMIFS(AC$6:AC$189,$C$6:$C$189,C204,$E$6:$E$189,D204)</x:f>
        <x:v>10538.25903397318</x:v>
      </x:c>
      <x:c r="M204" s="28" t="n">
        <x:f>SUMIFS(AD$6:AD$189,$C$6:$C$189,C204,$E$6:$E$189,D204)</x:f>
        <x:v>10734.526577408553</x:v>
      </x:c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  <x:c r="AA204" s="3"/>
      <x:c r="AB204" s="3"/>
      <x:c r="AC204" s="3"/>
      <x:c r="AD204" s="3"/>
    </x:row>
    <x:row r="205" ht="19" customHeight="1">
      <x:c r="A205" s="2"/>
      <x:c r="B205" s="2"/>
      <x:c r="C205" s="46" t="n">
        <x:v>1</x:v>
      </x:c>
      <x:c r="D205" s="46" t="n">
        <x:v>5</x:v>
      </x:c>
      <x:c r="E205" s="45" t="n">
        <x:f>'Source Data'!D222</x:f>
        <x:v>17</x:v>
      </x:c>
      <x:c r="F205" s="28" t="n">
        <x:f>SUMIFS(W$6:W$189,$C$6:$C$189,C205,$E$6:$E$189,D205)</x:f>
        <x:v>11635.091524983438</x:v>
      </x:c>
      <x:c r="G205" s="28" t="n">
        <x:f>SUMIFS(X$6:X$189,$C$6:$C$189,C205,$E$6:$E$189,D205)</x:f>
        <x:v>11630.620357565298</x:v>
      </x:c>
      <x:c r="H205" s="28" t="n">
        <x:f>SUMIFS(Y$6:Y$189,$C$6:$C$189,C205,$E$6:$E$189,D205)</x:f>
        <x:v>11663.20161567922</x:v>
      </x:c>
      <x:c r="I205" s="28" t="n">
        <x:f>SUMIFS(Z$6:Z$189,$C$6:$C$189,C205,$E$6:$E$189,D205)</x:f>
        <x:v>11707.1836201107</x:v>
      </x:c>
      <x:c r="J205" s="28" t="n">
        <x:f>SUMIFS(AA$6:AA$189,$C$6:$C$189,C205,$E$6:$E$189,D205)</x:f>
        <x:v>11751.16562454218</x:v>
      </x:c>
      <x:c r="K205" s="28" t="n">
        <x:f>SUMIFS(AB$6:AB$189,$C$6:$C$189,C205,$E$6:$E$189,D205)</x:f>
        <x:v>11797.820291252106</x:v>
      </x:c>
      <x:c r="L205" s="28" t="n">
        <x:f>SUMIFS(AC$6:AC$189,$C$6:$C$189,C205,$E$6:$E$189,D205)</x:f>
        <x:v>11879.219567581897</x:v>
      </x:c>
      <x:c r="M205" s="28" t="n">
        <x:f>SUMIFS(AD$6:AD$189,$C$6:$C$189,C205,$E$6:$E$189,D205)</x:f>
        <x:v>11971.309493025488</x:v>
      </x:c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  <x:c r="AA205" s="3"/>
      <x:c r="AB205" s="3"/>
      <x:c r="AC205" s="3"/>
      <x:c r="AD205" s="3"/>
    </x:row>
    <x:row r="206" ht="19" customHeight="1">
      <x:c r="A206" s="2"/>
      <x:c r="B206" s="2"/>
      <x:c r="C206" s="46" t="n">
        <x:v>2</x:v>
      </x:c>
      <x:c r="D206" s="46" t="n">
        <x:v>0</x:v>
      </x:c>
      <x:c r="E206" s="45" t="n">
        <x:f>'Source Data'!D217</x:f>
        <x:v>0</x:v>
      </x:c>
      <x:c r="F206" s="28" t="n">
        <x:f>SUMIFS(W$6:W$189,$C$6:$C$189,C206,$E$6:$E$189,D206)</x:f>
        <x:v>1244.8523451327435</x:v>
      </x:c>
      <x:c r="G206" s="28" t="n">
        <x:f>SUMIFS(X$6:X$189,$C$6:$C$189,C206,$E$6:$E$189,D206)</x:f>
        <x:v>1259.3101179941004</x:v>
      </x:c>
      <x:c r="H206" s="28" t="n">
        <x:f>SUMIFS(Y$6:Y$189,$C$6:$C$189,C206,$E$6:$E$189,D206)</x:f>
        <x:v>1262.711946902655</x:v>
      </x:c>
      <x:c r="I206" s="28" t="n">
        <x:f>SUMIFS(Z$6:Z$189,$C$6:$C$189,C206,$E$6:$E$189,D206)</x:f>
        <x:v>1262.7119469026552</x:v>
      </x:c>
      <x:c r="J206" s="28" t="n">
        <x:f>SUMIFS(AA$6:AA$189,$C$6:$C$189,C206,$E$6:$E$189,D206)</x:f>
        <x:v>1262.711946902655</x:v>
      </x:c>
      <x:c r="K206" s="28" t="n">
        <x:f>SUMIFS(AB$6:AB$189,$C$6:$C$189,C206,$E$6:$E$189,D206)</x:f>
        <x:v>1262.711946902655</x:v>
      </x:c>
      <x:c r="L206" s="28" t="n">
        <x:f>SUMIFS(AC$6:AC$189,$C$6:$C$189,C206,$E$6:$E$189,D206)</x:f>
        <x:v>1262.711946902655</x:v>
      </x:c>
      <x:c r="M206" s="28" t="n">
        <x:f>SUMIFS(AD$6:AD$189,$C$6:$C$189,C206,$E$6:$E$189,D206)</x:f>
        <x:v>1262.7119469026552</x:v>
      </x:c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  <x:c r="AA206" s="3"/>
      <x:c r="AB206" s="3"/>
      <x:c r="AC206" s="3"/>
      <x:c r="AD206" s="3"/>
    </x:row>
    <x:row r="207" ht="19" customHeight="1">
      <x:c r="A207" s="2"/>
      <x:c r="B207" s="2"/>
      <x:c r="C207" s="46" t="n">
        <x:v>2</x:v>
      </x:c>
      <x:c r="D207" s="46" t="n">
        <x:v>1</x:v>
      </x:c>
      <x:c r="E207" s="45" t="n">
        <x:f>'Source Data'!D218</x:f>
        <x:v>2</x:v>
      </x:c>
      <x:c r="F207" s="28" t="n">
        <x:f>SUMIFS(W$6:W$189,$C$6:$C$189,C207,$E$6:$E$189,D207)</x:f>
        <x:v>6572.084784042077</x:v>
      </x:c>
      <x:c r="G207" s="28" t="n">
        <x:f>SUMIFS(X$6:X$189,$C$6:$C$189,C207,$E$6:$E$189,D207)</x:f>
        <x:v>6634.574392477563</x:v>
      </x:c>
      <x:c r="H207" s="28" t="n">
        <x:f>SUMIFS(Y$6:Y$189,$C$6:$C$189,C207,$E$6:$E$189,D207)</x:f>
        <x:v>6741.498878324624</x:v>
      </x:c>
      <x:c r="I207" s="28" t="n">
        <x:f>SUMIFS(Z$6:Z$189,$C$6:$C$189,C207,$E$6:$E$189,D207)</x:f>
        <x:v>6862.095634144476</x:v>
      </x:c>
      <x:c r="J207" s="28" t="n">
        <x:f>SUMIFS(AA$6:AA$189,$C$6:$C$189,C207,$E$6:$E$189,D207)</x:f>
        <x:v>6982.692389964329</x:v>
      </x:c>
      <x:c r="K207" s="28" t="n">
        <x:f>SUMIFS(AB$6:AB$189,$C$6:$C$189,C207,$E$6:$E$189,D207)</x:f>
        <x:v>7099.496795298846</x:v>
      </x:c>
      <x:c r="L207" s="28" t="n">
        <x:f>SUMIFS(AC$6:AC$189,$C$6:$C$189,C207,$E$6:$E$189,D207)</x:f>
        <x:v>7167.000644324016</x:v>
      </x:c>
      <x:c r="M207" s="28" t="n">
        <x:f>SUMIFS(AD$6:AD$189,$C$6:$C$189,C207,$E$6:$E$189,D207)</x:f>
        <x:v>7219.335091407851</x:v>
      </x:c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  <x:c r="AA207" s="3"/>
      <x:c r="AB207" s="3"/>
      <x:c r="AC207" s="3"/>
      <x:c r="AD207" s="3"/>
    </x:row>
    <x:row r="208" ht="19" customHeight="1">
      <x:c r="A208" s="2"/>
      <x:c r="B208" s="2"/>
      <x:c r="C208" s="46" t="n">
        <x:v>2</x:v>
      </x:c>
      <x:c r="D208" s="46" t="n">
        <x:v>2</x:v>
      </x:c>
      <x:c r="E208" s="45" t="n">
        <x:f>'Source Data'!D219</x:f>
        <x:v>5</x:v>
      </x:c>
      <x:c r="F208" s="28" t="n">
        <x:f>SUMIFS(W$6:W$189,$C$6:$C$189,C208,$E$6:$E$189,D208)</x:f>
        <x:v>6211.809679810454</x:v>
      </x:c>
      <x:c r="G208" s="28" t="n">
        <x:f>SUMIFS(X$6:X$189,$C$6:$C$189,C208,$E$6:$E$189,D208)</x:f>
        <x:v>6191.616873571395</x:v>
      </x:c>
      <x:c r="H208" s="28" t="n">
        <x:f>SUMIFS(Y$6:Y$189,$C$6:$C$189,C208,$E$6:$E$189,D208)</x:f>
        <x:v>6139.368616187893</x:v>
      </x:c>
      <x:c r="I208" s="28" t="n">
        <x:f>SUMIFS(Z$6:Z$189,$C$6:$C$189,C208,$E$6:$E$189,D208)</x:f>
        <x:v>6077.25714306764</x:v>
      </x:c>
      <x:c r="J208" s="28" t="n">
        <x:f>SUMIFS(AA$6:AA$189,$C$6:$C$189,C208,$E$6:$E$189,D208)</x:f>
        <x:v>6015.145669947386</x:v>
      </x:c>
      <x:c r="K208" s="28" t="n">
        <x:f>SUMIFS(AB$6:AB$189,$C$6:$C$189,C208,$E$6:$E$189,D208)</x:f>
        <x:v>5959.72971900047</x:v>
      </x:c>
      <x:c r="L208" s="28" t="n">
        <x:f>SUMIFS(AC$6:AC$189,$C$6:$C$189,C208,$E$6:$E$189,D208)</x:f>
        <x:v>5991.355556306974</x:v>
      </x:c>
      <x:c r="M208" s="28" t="n">
        <x:f>SUMIFS(AD$6:AD$189,$C$6:$C$189,C208,$E$6:$E$189,D208)</x:f>
        <x:v>6049.763482306838</x:v>
      </x:c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  <x:c r="AA208" s="3"/>
      <x:c r="AB208" s="3"/>
      <x:c r="AC208" s="3"/>
      <x:c r="AD208" s="3"/>
    </x:row>
    <x:row r="209" ht="19" customHeight="1">
      <x:c r="A209" s="2"/>
      <x:c r="B209" s="2"/>
      <x:c r="C209" s="46" t="n">
        <x:v>2</x:v>
      </x:c>
      <x:c r="D209" s="46" t="n">
        <x:v>3</x:v>
      </x:c>
      <x:c r="E209" s="45" t="n">
        <x:f>'Source Data'!D220</x:f>
        <x:v>8</x:v>
      </x:c>
      <x:c r="F209" s="28" t="n">
        <x:f>SUMIFS(W$6:W$189,$C$6:$C$189,C209,$E$6:$E$189,D209)</x:f>
        <x:v>4590.71610488455</x:v>
      </x:c>
      <x:c r="G209" s="28" t="n">
        <x:f>SUMIFS(X$6:X$189,$C$6:$C$189,C209,$E$6:$E$189,D209)</x:f>
        <x:v>4662.894087923347</x:v>
      </x:c>
      <x:c r="H209" s="28" t="n">
        <x:f>SUMIFS(Y$6:Y$189,$C$6:$C$189,C209,$E$6:$E$189,D209)</x:f>
        <x:v>4723.359773439805</x:v>
      </x:c>
      <x:c r="I209" s="28" t="n">
        <x:f>SUMIFS(Z$6:Z$189,$C$6:$C$189,C209,$E$6:$E$189,D209)</x:f>
        <x:v>4780.221675103236</x:v>
      </x:c>
      <x:c r="J209" s="28" t="n">
        <x:f>SUMIFS(AA$6:AA$189,$C$6:$C$189,C209,$E$6:$E$189,D209)</x:f>
        <x:v>4837.083576766666</x:v>
      </x:c>
      <x:c r="K209" s="28" t="n">
        <x:f>SUMIFS(AB$6:AB$189,$C$6:$C$189,C209,$E$6:$E$189,D209)</x:f>
        <x:v>4890.252663367474</x:v>
      </x:c>
      <x:c r="L209" s="28" t="n">
        <x:f>SUMIFS(AC$6:AC$189,$C$6:$C$189,C209,$E$6:$E$189,D209)</x:f>
        <x:v>4895.4151541542</x:v>
      </x:c>
      <x:c r="M209" s="28" t="n">
        <x:f>SUMIFS(AD$6:AD$189,$C$6:$C$189,C209,$E$6:$E$189,D209)</x:f>
        <x:v>4885.80638469044</x:v>
      </x:c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  <x:c r="AA209" s="3"/>
      <x:c r="AB209" s="3"/>
      <x:c r="AC209" s="3"/>
      <x:c r="AD209" s="3"/>
    </x:row>
    <x:row r="210" ht="19" customHeight="1">
      <x:c r="A210" s="2"/>
      <x:c r="B210" s="2"/>
      <x:c r="C210" s="46" t="n">
        <x:v>2</x:v>
      </x:c>
      <x:c r="D210" s="46" t="n">
        <x:v>4</x:v>
      </x:c>
      <x:c r="E210" s="45" t="n">
        <x:f>'Source Data'!D221</x:f>
        <x:v>11</x:v>
      </x:c>
      <x:c r="F210" s="28" t="n">
        <x:f>SUMIFS(W$6:W$189,$C$6:$C$189,C210,$E$6:$E$189,D210)</x:f>
        <x:v>2439.511814973011</x:v>
      </x:c>
      <x:c r="G210" s="28" t="n">
        <x:f>SUMIFS(X$6:X$189,$C$6:$C$189,C210,$E$6:$E$189,D210)</x:f>
        <x:v>2503.5998457997453</x:v>
      </x:c>
      <x:c r="H210" s="28" t="n">
        <x:f>SUMIFS(Y$6:Y$189,$C$6:$C$189,C210,$E$6:$E$189,D210)</x:f>
        <x:v>2566.5719560565913</x:v>
      </x:c>
      <x:c r="I210" s="28" t="n">
        <x:f>SUMIFS(Z$6:Z$189,$C$6:$C$189,C210,$E$6:$E$189,D210)</x:f>
        <x:v>2629.2007061380878</x:v>
      </x:c>
      <x:c r="J210" s="28" t="n">
        <x:f>SUMIFS(AA$6:AA$189,$C$6:$C$189,C210,$E$6:$E$189,D210)</x:f>
        <x:v>2691.829456219584</x:v>
      </x:c>
      <x:c r="K210" s="28" t="n">
        <x:f>SUMIFS(AB$6:AB$189,$C$6:$C$189,C210,$E$6:$E$189,D210)</x:f>
        <x:v>2753.884721303949</x:v>
      </x:c>
      <x:c r="L210" s="28" t="n">
        <x:f>SUMIFS(AC$6:AC$189,$C$6:$C$189,C210,$E$6:$E$189,D210)</x:f>
        <x:v>2808.484681425615</x:v>
      </x:c>
      <x:c r="M210" s="28" t="n">
        <x:f>SUMIFS(AD$6:AD$189,$C$6:$C$189,C210,$E$6:$E$189,D210)</x:f>
        <x:v>2860.790701558758</x:v>
      </x:c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  <x:c r="AA210" s="3"/>
      <x:c r="AB210" s="3"/>
      <x:c r="AC210" s="3"/>
      <x:c r="AD210" s="3"/>
    </x:row>
    <x:row r="211" ht="19" customHeight="1">
      <x:c r="A211" s="2"/>
      <x:c r="B211" s="2"/>
      <x:c r="C211" s="46" t="n">
        <x:v>2</x:v>
      </x:c>
      <x:c r="D211" s="46" t="n">
        <x:v>5</x:v>
      </x:c>
      <x:c r="E211" s="45" t="n">
        <x:f>'Source Data'!D222</x:f>
        <x:v>17</x:v>
      </x:c>
      <x:c r="F211" s="28" t="n">
        <x:f>SUMIFS(W$6:W$189,$C$6:$C$189,C211,$E$6:$E$189,D211)</x:f>
        <x:v>3100.7945628928965</x:v>
      </x:c>
      <x:c r="G211" s="28" t="n">
        <x:f>SUMIFS(X$6:X$189,$C$6:$C$189,C211,$E$6:$E$189,D211)</x:f>
        <x:v>3099.602980378038</x:v>
      </x:c>
      <x:c r="H211" s="28" t="n">
        <x:f>SUMIFS(Y$6:Y$189,$C$6:$C$189,C211,$E$6:$E$189,D211)</x:f>
        <x:v>3108.2860051565644</x:v>
      </x:c>
      <x:c r="I211" s="28" t="n">
        <x:f>SUMIFS(Z$6:Z$189,$C$6:$C$189,C211,$E$6:$E$189,D211)</x:f>
        <x:v>3120.007370640749</x:v>
      </x:c>
      <x:c r="J211" s="28" t="n">
        <x:f>SUMIFS(AA$6:AA$189,$C$6:$C$189,C211,$E$6:$E$189,D211)</x:f>
        <x:v>3131.7287361249323</x:v>
      </x:c>
      <x:c r="K211" s="28" t="n">
        <x:f>SUMIFS(AB$6:AB$189,$C$6:$C$189,C211,$E$6:$E$189,D211)</x:f>
        <x:v>3144.162375908262</x:v>
      </x:c>
      <x:c r="L211" s="28" t="n">
        <x:f>SUMIFS(AC$6:AC$189,$C$6:$C$189,C211,$E$6:$E$189,D211)</x:f>
        <x:v>3165.8555815805057</x:v>
      </x:c>
      <x:c r="M211" s="28" t="n">
        <x:f>SUMIFS(AD$6:AD$189,$C$6:$C$189,C211,$E$6:$E$189,D211)</x:f>
        <x:v>3190.3978844493354</x:v>
      </x:c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  <x:c r="AA211" s="3"/>
      <x:c r="AB211" s="3"/>
      <x:c r="AC211" s="3"/>
      <x:c r="AD211" s="3"/>
    </x:row>
    <x:row r="212" ht="19" customHeight="1">
      <x:c r="A212" s="2"/>
      <x:c r="B212" s="2"/>
      <x:c r="C212" s="46" t="n">
        <x:v>3</x:v>
      </x:c>
      <x:c r="D212" s="46" t="n">
        <x:v>0</x:v>
      </x:c>
      <x:c r="E212" s="45" t="n">
        <x:f>'Source Data'!D217</x:f>
        <x:v>0</x:v>
      </x:c>
      <x:c r="F212" s="28" t="n">
        <x:f>SUMIFS(W$6:W$189,$C$6:$C$189,C212,$E$6:$E$189,D212)</x:f>
        <x:v>536.7711946902656</x:v>
      </x:c>
      <x:c r="G212" s="28" t="n">
        <x:f>SUMIFS(X$6:X$189,$C$6:$C$189,C212,$E$6:$E$189,D212)</x:f>
        <x:v>543.0052802359883</x:v>
      </x:c>
      <x:c r="H212" s="28" t="n">
        <x:f>SUMIFS(Y$6:Y$189,$C$6:$C$189,C212,$E$6:$E$189,D212)</x:f>
        <x:v>544.4721238938054</x:v>
      </x:c>
      <x:c r="I212" s="28" t="n">
        <x:f>SUMIFS(Z$6:Z$189,$C$6:$C$189,C212,$E$6:$E$189,D212)</x:f>
        <x:v>544.4721238938055</x:v>
      </x:c>
      <x:c r="J212" s="28" t="n">
        <x:f>SUMIFS(AA$6:AA$189,$C$6:$C$189,C212,$E$6:$E$189,D212)</x:f>
        <x:v>544.4721238938054</x:v>
      </x:c>
      <x:c r="K212" s="28" t="n">
        <x:f>SUMIFS(AB$6:AB$189,$C$6:$C$189,C212,$E$6:$E$189,D212)</x:f>
        <x:v>544.4721238938054</x:v>
      </x:c>
      <x:c r="L212" s="28" t="n">
        <x:f>SUMIFS(AC$6:AC$189,$C$6:$C$189,C212,$E$6:$E$189,D212)</x:f>
        <x:v>544.4721238938054</x:v>
      </x:c>
      <x:c r="M212" s="28" t="n">
        <x:f>SUMIFS(AD$6:AD$189,$C$6:$C$189,C212,$E$6:$E$189,D212)</x:f>
        <x:v>544.4721238938055</x:v>
      </x:c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  <x:c r="AA212" s="3"/>
      <x:c r="AB212" s="3"/>
      <x:c r="AC212" s="3"/>
      <x:c r="AD212" s="3"/>
    </x:row>
    <x:row r="213" ht="19" customHeight="1">
      <x:c r="A213" s="2"/>
      <x:c r="B213" s="2"/>
      <x:c r="C213" s="46" t="n">
        <x:v>3</x:v>
      </x:c>
      <x:c r="D213" s="46" t="n">
        <x:v>1</x:v>
      </x:c>
      <x:c r="E213" s="45" t="n">
        <x:f>'Source Data'!D218</x:f>
        <x:v>2</x:v>
      </x:c>
      <x:c r="F213" s="28" t="n">
        <x:f>SUMIFS(W$6:W$189,$C$6:$C$189,C213,$E$6:$E$189,D213)</x:f>
        <x:v>2833.8347233942904</x:v>
      </x:c>
      <x:c r="G213" s="28" t="n">
        <x:f>SUMIFS(X$6:X$189,$C$6:$C$189,C213,$E$6:$E$189,D213)</x:f>
        <x:v>2860.779783912344</x:v>
      </x:c>
      <x:c r="H213" s="28" t="n">
        <x:f>SUMIFS(Y$6:Y$189,$C$6:$C$189,C213,$E$6:$E$189,D213)</x:f>
        <x:v>2906.884837442728</x:v>
      </x:c>
      <x:c r="I213" s="28" t="n">
        <x:f>SUMIFS(Z$6:Z$189,$C$6:$C$189,C213,$E$6:$E$189,D213)</x:f>
        <x:v>2958.8852734384445</x:v>
      </x:c>
      <x:c r="J213" s="28" t="n">
        <x:f>SUMIFS(AA$6:AA$189,$C$6:$C$189,C213,$E$6:$E$189,D213)</x:f>
        <x:v>3010.88570943416</x:v>
      </x:c>
      <x:c r="K213" s="28" t="n">
        <x:f>SUMIFS(AB$6:AB$189,$C$6:$C$189,C213,$E$6:$E$189,D213)</x:f>
        <x:v>3061.2509117343657</x:v>
      </x:c>
      <x:c r="L213" s="28" t="n">
        <x:f>SUMIFS(AC$6:AC$189,$C$6:$C$189,C213,$E$6:$E$189,D213)</x:f>
        <x:v>3090.3580759929255</x:v>
      </x:c>
      <x:c r="M213" s="28" t="n">
        <x:f>SUMIFS(AD$6:AD$189,$C$6:$C$189,C213,$E$6:$E$189,D213)</x:f>
        <x:v>3112.9243054694407</x:v>
      </x:c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  <x:c r="AA213" s="3"/>
      <x:c r="AB213" s="3"/>
      <x:c r="AC213" s="3"/>
      <x:c r="AD213" s="3"/>
    </x:row>
    <x:row r="214" ht="19" customHeight="1">
      <x:c r="A214" s="2"/>
      <x:c r="B214" s="2"/>
      <x:c r="C214" s="46" t="n">
        <x:v>3</x:v>
      </x:c>
      <x:c r="D214" s="46" t="n">
        <x:v>2</x:v>
      </x:c>
      <x:c r="E214" s="45" t="n">
        <x:f>'Source Data'!D219</x:f>
        <x:v>5</x:v>
      </x:c>
      <x:c r="F214" s="28" t="n">
        <x:f>SUMIFS(W$6:W$189,$C$6:$C$189,C214,$E$6:$E$189,D214)</x:f>
        <x:v>2678.486742670563</x:v>
      </x:c>
      <x:c r="G214" s="28" t="n">
        <x:f>SUMIFS(X$6:X$189,$C$6:$C$189,C214,$E$6:$E$189,D214)</x:f>
        <x:v>2669.7797528243636</x:v>
      </x:c>
      <x:c r="H214" s="28" t="n">
        <x:f>SUMIFS(Y$6:Y$189,$C$6:$C$189,C214,$E$6:$E$189,D214)</x:f>
        <x:v>2647.250687714046</x:v>
      </x:c>
      <x:c r="I214" s="28" t="n">
        <x:f>SUMIFS(Z$6:Z$189,$C$6:$C$189,C214,$E$6:$E$189,D214)</x:f>
        <x:v>2620.468676368616</x:v>
      </x:c>
      <x:c r="J214" s="28" t="n">
        <x:f>SUMIFS(AA$6:AA$189,$C$6:$C$189,C214,$E$6:$E$189,D214)</x:f>
        <x:v>2593.686665023185</x:v>
      </x:c>
      <x:c r="K214" s="28" t="n">
        <x:f>SUMIFS(AB$6:AB$189,$C$6:$C$189,C214,$E$6:$E$189,D214)</x:f>
        <x:v>2569.791713697451</x:v>
      </x:c>
      <x:c r="L214" s="28" t="n">
        <x:f>SUMIFS(AC$6:AC$189,$C$6:$C$189,C214,$E$6:$E$189,D214)</x:f>
        <x:v>2583.428542627778</x:v>
      </x:c>
      <x:c r="M214" s="28" t="n">
        <x:f>SUMIFS(AD$6:AD$189,$C$6:$C$189,C214,$E$6:$E$189,D214)</x:f>
        <x:v>2608.6136116368934</x:v>
      </x:c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  <x:c r="AA214" s="3"/>
      <x:c r="AB214" s="3"/>
      <x:c r="AC214" s="3"/>
      <x:c r="AD214" s="3"/>
    </x:row>
    <x:row r="215" ht="19" customHeight="1">
      <x:c r="A215" s="2"/>
      <x:c r="B215" s="2"/>
      <x:c r="C215" s="46" t="n">
        <x:v>3</x:v>
      </x:c>
      <x:c r="D215" s="46" t="n">
        <x:v>3</x:v>
      </x:c>
      <x:c r="E215" s="45" t="n">
        <x:f>'Source Data'!D220</x:f>
        <x:v>8</x:v>
      </x:c>
      <x:c r="F215" s="28" t="n">
        <x:f>SUMIFS(W$6:W$189,$C$6:$C$189,C215,$E$6:$E$189,D215)</x:f>
        <x:v>1979.4830910970081</x:v>
      </x:c>
      <x:c r="G215" s="28" t="n">
        <x:f>SUMIFS(X$6:X$189,$C$6:$C$189,C215,$E$6:$E$189,D215)</x:f>
        <x:v>2010.6057076366728</x:v>
      </x:c>
      <x:c r="H215" s="28" t="n">
        <x:f>SUMIFS(Y$6:Y$189,$C$6:$C$189,C215,$E$6:$E$189,D215)</x:f>
        <x:v>2036.6780674465215</x:v>
      </x:c>
      <x:c r="I215" s="28" t="n">
        <x:f>SUMIFS(Z$6:Z$189,$C$6:$C$189,C215,$E$6:$E$189,D215)</x:f>
        <x:v>2061.196502108735</x:v>
      </x:c>
      <x:c r="J215" s="28" t="n">
        <x:f>SUMIFS(AA$6:AA$189,$C$6:$C$189,C215,$E$6:$E$189,D215)</x:f>
        <x:v>2085.7149367709476</x:v>
      </x:c>
      <x:c r="K215" s="28" t="n">
        <x:f>SUMIFS(AB$6:AB$189,$C$6:$C$189,C215,$E$6:$E$189,D215)</x:f>
        <x:v>2108.641056681388</x:v>
      </x:c>
      <x:c r="L215" s="28" t="n">
        <x:f>SUMIFS(AC$6:AC$189,$C$6:$C$189,C215,$E$6:$E$189,D215)</x:f>
        <x:v>2110.8670848187835</x:v>
      </x:c>
      <x:c r="M215" s="28" t="n">
        <x:f>SUMIFS(AD$6:AD$189,$C$6:$C$189,C215,$E$6:$E$189,D215)</x:f>
        <x:v>2106.723853949089</x:v>
      </x:c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  <x:c r="AA215" s="3"/>
      <x:c r="AB215" s="3"/>
      <x:c r="AC215" s="3"/>
      <x:c r="AD215" s="3"/>
    </x:row>
    <x:row r="216" ht="19" customHeight="1">
      <x:c r="A216" s="2"/>
      <x:c r="B216" s="2"/>
      <x:c r="C216" s="46" t="n">
        <x:v>3</x:v>
      </x:c>
      <x:c r="D216" s="46" t="n">
        <x:v>4</x:v>
      </x:c>
      <x:c r="E216" s="45" t="n">
        <x:f>'Source Data'!D221</x:f>
        <x:v>11</x:v>
      </x:c>
      <x:c r="F216" s="28" t="n">
        <x:f>SUMIFS(W$6:W$189,$C$6:$C$189,C216,$E$6:$E$189,D216)</x:f>
        <x:v>1051.899589942491</x:v>
      </x:c>
      <x:c r="G216" s="28" t="n">
        <x:f>SUMIFS(X$6:X$189,$C$6:$C$189,C216,$E$6:$E$189,D216)</x:f>
        <x:v>1079.5338784641103</x:v>
      </x:c>
      <x:c r="H216" s="28" t="n">
        <x:f>SUMIFS(Y$6:Y$189,$C$6:$C$189,C216,$E$6:$E$189,D216)</x:f>
        <x:v>1106.6869902262367</x:v>
      </x:c>
      <x:c r="I216" s="28" t="n">
        <x:f>SUMIFS(Z$6:Z$189,$C$6:$C$189,C216,$E$6:$E$189,D216)</x:f>
        <x:v>1133.6920476008268</x:v>
      </x:c>
      <x:c r="J216" s="28" t="n">
        <x:f>SUMIFS(AA$6:AA$189,$C$6:$C$189,C216,$E$6:$E$189,D216)</x:f>
        <x:v>1160.697104975417</x:v>
      </x:c>
      <x:c r="K216" s="28" t="n">
        <x:f>SUMIFS(AB$6:AB$189,$C$6:$C$189,C216,$E$6:$E$189,D216)</x:f>
        <x:v>1187.4548798283085</x:v>
      </x:c>
      <x:c r="L216" s="28" t="n">
        <x:f>SUMIFS(AC$6:AC$189,$C$6:$C$189,C216,$E$6:$E$189,D216)</x:f>
        <x:v>1210.9979818991185</x:v>
      </x:c>
      <x:c r="M216" s="28" t="n">
        <x:f>SUMIFS(AD$6:AD$189,$C$6:$C$189,C216,$E$6:$E$189,D216)</x:f>
        <x:v>1233.551953883134</x:v>
      </x:c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  <x:c r="AA216" s="3"/>
      <x:c r="AB216" s="3"/>
      <x:c r="AC216" s="3"/>
      <x:c r="AD216" s="3"/>
    </x:row>
    <x:row r="217" ht="19" customHeight="1">
      <x:c r="A217" s="2"/>
      <x:c r="B217" s="2"/>
      <x:c r="C217" s="46" t="n">
        <x:v>3</x:v>
      </x:c>
      <x:c r="D217" s="46" t="n">
        <x:v>5</x:v>
      </x:c>
      <x:c r="E217" s="45" t="n">
        <x:f>'Source Data'!D222</x:f>
        <x:v>17</x:v>
      </x:c>
      <x:c r="F217" s="28" t="n">
        <x:f>SUMIFS(W$6:W$189,$C$6:$C$189,C217,$E$6:$E$189,D217)</x:f>
        <x:v>1337.0398573941848</x:v>
      </x:c>
      <x:c r="G217" s="28" t="n">
        <x:f>SUMIFS(X$6:X$189,$C$6:$C$189,C217,$E$6:$E$189,D217)</x:f>
        <x:v>1336.5260557593379</x:v>
      </x:c>
      <x:c r="H217" s="28" t="n">
        <x:f>SUMIFS(Y$6:Y$189,$C$6:$C$189,C217,$E$6:$E$189,D217)</x:f>
        <x:v>1340.270112315216</x:v>
      </x:c>
      <x:c r="I217" s="28" t="n">
        <x:f>SUMIFS(Z$6:Z$189,$C$6:$C$189,C217,$E$6:$E$189,D217)</x:f>
        <x:v>1345.3242790836262</x:v>
      </x:c>
      <x:c r="J217" s="28" t="n">
        <x:f>SUMIFS(AA$6:AA$189,$C$6:$C$189,C217,$E$6:$E$189,D217)</x:f>
        <x:v>1350.378445852035</x:v>
      </x:c>
      <x:c r="K217" s="28" t="n">
        <x:f>SUMIFS(AB$6:AB$189,$C$6:$C$189,C217,$E$6:$E$189,D217)</x:f>
        <x:v>1355.7397400705356</x:v>
      </x:c>
      <x:c r="L217" s="28" t="n">
        <x:f>SUMIFS(AC$6:AC$189,$C$6:$C$189,C217,$E$6:$E$189,D217)</x:f>
        <x:v>1365.0936911402182</x:v>
      </x:c>
      <x:c r="M217" s="28" t="n">
        <x:f>SUMIFS(AD$6:AD$189,$C$6:$C$189,C217,$E$6:$E$189,D217)</x:f>
        <x:v>1375.6761520102636</x:v>
      </x:c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  <x:c r="AA217" s="3"/>
      <x:c r="AB217" s="3"/>
      <x:c r="AC217" s="3"/>
      <x:c r="AD217" s="3"/>
    </x:row>
    <x:row r="218" ht="19" customHeight="1">
      <x:c r="A218" s="2"/>
      <x:c r="B218" s="2"/>
      <x:c r="C218" s="2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  <x:c r="AA218" s="3"/>
      <x:c r="AB218" s="3"/>
      <x:c r="AC218" s="3"/>
      <x:c r="AD218" s="3"/>
    </x:row>
    <x:row r="219" ht="19" customHeight="1">
      <x:c r="A219" s="2"/>
      <x:c r="B219" s="2"/>
      <x:c r="C219" s="2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  <x:c r="AA219" s="3"/>
      <x:c r="AB219" s="3"/>
      <x:c r="AC219" s="3"/>
      <x:c r="AD219" s="3"/>
    </x:row>
    <x:row r="220" ht="19" customHeight="1">
      <x:c r="A220" s="2"/>
      <x:c r="B220" s="2"/>
      <x:c r="C220" s="2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  <x:c r="AA220" s="3"/>
      <x:c r="AB220" s="3"/>
      <x:c r="AC220" s="3"/>
      <x:c r="AD220" s="3"/>
    </x:row>
    <x:row r="221" ht="30" customHeight="1">
      <x:c r="A221" s="2"/>
      <x:c r="B221" s="2"/>
      <x:c r="C221" s="15" t="str">
        <x:v>Stocks are in thousands; weighted claim exposure is a relative quantity. A single base-period calibration supplies the claims scale.</x:v>
      </x:c>
      <x:c r="D221" s="16"/>
      <x:c r="E221" s="16"/>
      <x:c r="F221" s="16"/>
      <x:c r="G221" s="16"/>
      <x:c r="H221" s="16"/>
      <x:c r="I221" s="16"/>
      <x:c r="J221" s="16"/>
      <x:c r="K221" s="16"/>
      <x:c r="L221" s="16"/>
      <x:c r="M221" s="16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  <x:c r="AA221" s="3"/>
      <x:c r="AB221" s="3"/>
      <x:c r="AC221" s="3"/>
      <x:c r="AD221" s="3"/>
    </x:row>
    <x:row r="222" ht="19" customHeight="1">
      <x:c r="A222" s="2"/>
      <x:c r="B222" s="2"/>
      <x:c r="C222" s="2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  <x:c r="AA222" s="3"/>
      <x:c r="AB222" s="3"/>
      <x:c r="AC222" s="3"/>
      <x:c r="AD222" s="3"/>
    </x:row>
    <x:row r="223" ht="30" customHeight="1">
      <x:c r="A223" s="2"/>
      <x:c r="B223" s="2"/>
      <x:c r="C223" s="15" t="str">
        <x:v>Historical LT splits use a listed-pool proxy for all vintages. Carrier-specific age/body mixes are not measured and remain identical.</x:v>
      </x:c>
      <x:c r="D223" s="16"/>
      <x:c r="E223" s="16"/>
      <x:c r="F223" s="16"/>
      <x:c r="G223" s="16"/>
      <x:c r="H223" s="16"/>
      <x:c r="I223" s="16"/>
      <x:c r="J223" s="16"/>
      <x:c r="K223" s="16"/>
      <x:c r="L223" s="16"/>
      <x:c r="M223" s="16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  <x:c r="AA223" s="3"/>
      <x:c r="AB223" s="3"/>
      <x:c r="AC223" s="3"/>
      <x:c r="AD223" s="3"/>
    </x:row>
    <x:row r="224" ht="19" customHeight="1">
      <x:c r="A224" s="2"/>
      <x:c r="B224" s="2"/>
      <x:c r="C224" s="2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  <x:c r="AA224" s="3"/>
      <x:c r="AB224" s="3"/>
      <x:c r="AC224" s="3"/>
      <x:c r="AD224" s="3"/>
    </x:row>
    <x:row r="225" ht="19" customHeight="1">
      <x:c r="A225" s="2"/>
      <x:c r="B225" s="2"/>
      <x:c r="C225" s="2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  <x:c r="AA225" s="3"/>
      <x:c r="AB225" s="3"/>
      <x:c r="AC225" s="3"/>
      <x:c r="AD225" s="3"/>
    </x:row>
    <x:row r="226" ht="19" customHeight="1">
      <x:c r="A226" s="2"/>
      <x:c r="B226" s="2"/>
      <x:c r="C226" s="2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  <x:c r="AA226" s="3"/>
      <x:c r="AB226" s="3"/>
      <x:c r="AC226" s="3"/>
      <x:c r="AD226" s="3"/>
    </x:row>
    <x:row r="227" ht="19" customHeight="1">
      <x:c r="A227" s="2"/>
      <x:c r="B227" s="2"/>
      <x:c r="C227" s="2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  <x:c r="AA227" s="3"/>
      <x:c r="AB227" s="3"/>
      <x:c r="AC227" s="3"/>
      <x:c r="AD227" s="3"/>
    </x:row>
    <x:row r="228" ht="19" customHeight="1">
      <x:c r="A228" s="2"/>
      <x:c r="B228" s="2"/>
      <x:c r="C228" s="2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  <x:c r="AA228" s="3"/>
      <x:c r="AB228" s="3"/>
      <x:c r="AC228" s="3"/>
      <x:c r="AD228" s="3"/>
    </x:row>
    <x:row r="229" ht="19" customHeight="1">
      <x:c r="A229" s="2"/>
      <x:c r="B229" s="2"/>
      <x:c r="C229" s="2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  <x:c r="AA229" s="3"/>
      <x:c r="AB229" s="3"/>
      <x:c r="AC229" s="3"/>
      <x:c r="AD229" s="3"/>
    </x:row>
    <x:row r="230" ht="19" customHeight="1">
      <x:c r="A230" s="2"/>
      <x:c r="B230" s="2"/>
      <x:c r="C230" s="2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  <x:c r="AA230" s="3"/>
      <x:c r="AB230" s="3"/>
      <x:c r="AC230" s="3"/>
      <x:c r="AD230" s="3"/>
    </x:row>
    <x:row r="231" ht="19" customHeight="1">
      <x:c r="A231" s="2"/>
      <x:c r="B231" s="2"/>
      <x:c r="C231" s="2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  <x:c r="AA231" s="3"/>
      <x:c r="AB231" s="3"/>
      <x:c r="AC231" s="3"/>
      <x:c r="AD231" s="3"/>
    </x:row>
    <x:row r="232" ht="19" customHeight="1">
      <x:c r="A232" s="2"/>
      <x:c r="B232" s="2"/>
      <x:c r="C232" s="2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  <x:c r="AA232" s="3"/>
      <x:c r="AB232" s="3"/>
      <x:c r="AC232" s="3"/>
      <x:c r="AD232" s="3"/>
    </x:row>
    <x:row r="233" ht="19" customHeight="1">
      <x:c r="A233" s="2"/>
      <x:c r="B233" s="2"/>
      <x:c r="C233" s="2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  <x:c r="AA233" s="3"/>
      <x:c r="AB233" s="3"/>
      <x:c r="AC233" s="3"/>
      <x:c r="AD233" s="3"/>
    </x:row>
    <x:row r="234" ht="19" customHeight="1">
      <x:c r="A234" s="2"/>
      <x:c r="B234" s="2"/>
      <x:c r="C234" s="2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  <x:c r="AA234" s="3"/>
      <x:c r="AB234" s="3"/>
      <x:c r="AC234" s="3"/>
      <x:c r="AD234" s="3"/>
    </x:row>
    <x:row r="235" ht="19" customHeight="1">
      <x:c r="A235" s="2"/>
      <x:c r="B235" s="2"/>
      <x:c r="C235" s="2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  <x:c r="AA235" s="3"/>
      <x:c r="AB235" s="3"/>
      <x:c r="AC235" s="3"/>
      <x:c r="AD235" s="3"/>
    </x:row>
    <x:row r="236" ht="19" customHeight="1">
      <x:c r="A236" s="2"/>
      <x:c r="B236" s="2"/>
      <x:c r="C236" s="2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  <x:c r="AA236" s="3"/>
      <x:c r="AB236" s="3"/>
      <x:c r="AC236" s="3"/>
      <x:c r="AD236" s="3"/>
    </x:row>
    <x:row r="237" ht="19" customHeight="1">
      <x:c r="A237" s="2"/>
      <x:c r="B237" s="2"/>
      <x:c r="C237" s="2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  <x:c r="AA237" s="3"/>
      <x:c r="AB237" s="3"/>
      <x:c r="AC237" s="3"/>
      <x:c r="AD237" s="3"/>
    </x:row>
    <x:row r="238" ht="19" customHeight="1">
      <x:c r="A238" s="2"/>
      <x:c r="B238" s="2"/>
      <x:c r="C238" s="2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  <x:c r="AA238" s="3"/>
      <x:c r="AB238" s="3"/>
      <x:c r="AC238" s="3"/>
      <x:c r="AD238" s="3"/>
    </x:row>
    <x:row r="239" ht="19" customHeight="1">
      <x:c r="A239" s="2"/>
      <x:c r="B239" s="2"/>
      <x:c r="C239" s="2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  <x:c r="AA239" s="3"/>
      <x:c r="AB239" s="3"/>
      <x:c r="AC239" s="3"/>
      <x:c r="AD239" s="3"/>
    </x:row>
    <x:row r="240" ht="19" customHeight="1">
      <x:c r="A240" s="2"/>
      <x:c r="B240" s="2"/>
      <x:c r="C240" s="2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  <x:c r="AA240" s="3"/>
      <x:c r="AB240" s="3"/>
      <x:c r="AC240" s="3"/>
      <x:c r="AD240" s="3"/>
    </x:row>
    <x:row r="241" ht="19" customHeight="1">
      <x:c r="A241" s="2"/>
      <x:c r="B241" s="2"/>
      <x:c r="C241" s="2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  <x:c r="AA241" s="3"/>
      <x:c r="AB241" s="3"/>
      <x:c r="AC241" s="3"/>
      <x:c r="AD241" s="3"/>
    </x:row>
    <x:row r="242" ht="19" customHeight="1">
      <x:c r="A242" s="2"/>
      <x:c r="B242" s="2"/>
      <x:c r="C242" s="2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  <x:c r="AA242" s="3"/>
      <x:c r="AB242" s="3"/>
      <x:c r="AC242" s="3"/>
      <x:c r="AD242" s="3"/>
    </x:row>
    <x:row r="243" ht="19" customHeight="1">
      <x:c r="A243" s="2"/>
      <x:c r="B243" s="2"/>
      <x:c r="C243" s="2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  <x:c r="AA243" s="3"/>
      <x:c r="AB243" s="3"/>
      <x:c r="AC243" s="3"/>
      <x:c r="AD243" s="3"/>
    </x:row>
    <x:row r="244" ht="19" customHeight="1">
      <x:c r="A244" s="2"/>
      <x:c r="B244" s="2"/>
      <x:c r="C244" s="2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  <x:c r="AA244" s="3"/>
      <x:c r="AB244" s="3"/>
      <x:c r="AC244" s="3"/>
      <x:c r="AD244" s="3"/>
    </x:row>
    <x:row r="245" ht="19" customHeight="1">
      <x:c r="A245" s="2"/>
      <x:c r="B245" s="2"/>
      <x:c r="C245" s="2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  <x:c r="AA245" s="3"/>
      <x:c r="AB245" s="3"/>
      <x:c r="AC245" s="3"/>
      <x:c r="AD245" s="3"/>
    </x:row>
    <x:row r="246" ht="19" customHeight="1">
      <x:c r="A246" s="2"/>
      <x:c r="B246" s="2"/>
      <x:c r="C246" s="2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  <x:c r="AA246" s="3"/>
      <x:c r="AB246" s="3"/>
      <x:c r="AC246" s="3"/>
      <x:c r="AD246" s="3"/>
    </x:row>
    <x:row r="247" ht="19" customHeight="1">
      <x:c r="A247" s="2"/>
      <x:c r="B247" s="2"/>
      <x:c r="C247" s="2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  <x:c r="AA247" s="3"/>
      <x:c r="AB247" s="3"/>
      <x:c r="AC247" s="3"/>
      <x:c r="AD247" s="3"/>
    </x:row>
    <x:row r="248" ht="19" customHeight="1">
      <x:c r="A248" s="2"/>
      <x:c r="B248" s="2"/>
      <x:c r="C248" s="2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  <x:c r="AA248" s="3"/>
      <x:c r="AB248" s="3"/>
      <x:c r="AC248" s="3"/>
      <x:c r="AD248" s="3"/>
    </x:row>
    <x:row r="249" ht="19" customHeight="1">
      <x:c r="A249" s="2"/>
      <x:c r="B249" s="2"/>
      <x:c r="C249" s="2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  <x:c r="AA249" s="3"/>
      <x:c r="AB249" s="3"/>
      <x:c r="AC249" s="3"/>
      <x:c r="AD249" s="3"/>
    </x:row>
    <x:row r="250" ht="19" customHeight="1">
      <x:c r="A250" s="2"/>
      <x:c r="B250" s="2"/>
      <x:c r="C250" s="2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  <x:c r="AA250" s="3"/>
      <x:c r="AB250" s="3"/>
      <x:c r="AC250" s="3"/>
      <x:c r="AD250" s="3"/>
    </x:row>
    <x:row r="251" ht="19" customHeight="1">
      <x:c r="A251" s="2"/>
      <x:c r="B251" s="2"/>
      <x:c r="C251" s="2"/>
      <x:c r="D251" s="3"/>
      <x:c r="E251" s="3"/>
      <x:c r="F251" s="3"/>
      <x:c r="G251" s="3"/>
      <x:c r="H251" s="3"/>
      <x:c r="I251" s="3"/>
      <x:c r="J251" s="3"/>
      <x:c r="K251" s="3"/>
      <x:c r="L251" s="3"/>
      <x:c r="M251" s="3"/>
      <x:c r="N251" s="3"/>
      <x:c r="O251" s="3"/>
      <x:c r="P251" s="3"/>
      <x:c r="Q251" s="3"/>
      <x:c r="R251" s="3"/>
      <x:c r="S251" s="3"/>
      <x:c r="T251" s="3"/>
      <x:c r="U251" s="3"/>
      <x:c r="V251" s="3"/>
      <x:c r="W251" s="3"/>
      <x:c r="X251" s="3"/>
      <x:c r="Y251" s="3"/>
      <x:c r="Z251" s="3"/>
      <x:c r="AA251" s="3"/>
      <x:c r="AB251" s="3"/>
      <x:c r="AC251" s="3"/>
      <x:c r="AD251" s="3"/>
    </x:row>
    <x:row r="252" ht="19" customHeight="1">
      <x:c r="A252" s="2"/>
      <x:c r="B252" s="2"/>
      <x:c r="C252" s="2"/>
      <x:c r="D252" s="3"/>
      <x:c r="E252" s="3"/>
      <x:c r="F252" s="3"/>
      <x:c r="G252" s="3"/>
      <x:c r="H252" s="3"/>
      <x:c r="I252" s="3"/>
      <x:c r="J252" s="3"/>
      <x:c r="K252" s="3"/>
      <x:c r="L252" s="3"/>
      <x:c r="M252" s="3"/>
      <x:c r="N252" s="3"/>
      <x:c r="O252" s="3"/>
      <x:c r="P252" s="3"/>
      <x:c r="Q252" s="3"/>
      <x:c r="R252" s="3"/>
      <x:c r="S252" s="3"/>
      <x:c r="T252" s="3"/>
      <x:c r="U252" s="3"/>
      <x:c r="V252" s="3"/>
      <x:c r="W252" s="3"/>
      <x:c r="X252" s="3"/>
      <x:c r="Y252" s="3"/>
      <x:c r="Z252" s="3"/>
      <x:c r="AA252" s="3"/>
      <x:c r="AB252" s="3"/>
      <x:c r="AC252" s="3"/>
      <x:c r="AD252" s="3"/>
    </x:row>
  </x:sheetData>
  <x:mergeCells>
    <x:mergeCell ref="C221:M221"/>
    <x:mergeCell ref="C223:M22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</x:cols>
  <x:sheetData>
    <x:row r="1" ht="38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8" customHeight="1">
      <x:c r="A2" s="2"/>
      <x:c r="B2" s="2"/>
      <x:c r="C2" s="5" t="str">
        <x:v>Joint total-loss selection and auction fees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38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8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38" customHeight="1">
      <x:c r="A5" s="2"/>
      <x:c r="B5" s="2"/>
      <x:c r="C5" s="8" t="str">
        <x:v>Period ID</x:v>
      </x:c>
      <x:c r="D5" s="8" t="str">
        <x:v>Cohort ID</x:v>
      </x:c>
      <x:c r="E5" s="8" t="str">
        <x:v>Body ID</x:v>
      </x:c>
      <x:c r="F5" s="8" t="str">
        <x:v>Bucket</x:v>
      </x:c>
      <x:c r="G5" s="8" t="str">
        <x:v>Severity low</x:v>
      </x:c>
      <x:c r="H5" s="8" t="str">
        <x:v>Severity high</x:v>
      </x:c>
      <x:c r="I5" s="8" t="str">
        <x:v>Recovery / ACV</x:v>
      </x:c>
      <x:c r="J5" s="8" t="str">
        <x:v>Pre-loss value</x:v>
      </x:c>
      <x:c r="K5" s="8" t="str">
        <x:v>Log repair median</x:v>
      </x:c>
      <x:c r="L5" s="8" t="str">
        <x:v>Net loss threshold</x:v>
      </x:c>
      <x:c r="M5" s="8" t="str">
        <x:v>Repair CDF cutoff</x:v>
      </x:c>
      <x:c r="N5" s="8" t="str">
        <x:v>TL probability mass</x:v>
      </x:c>
      <x:c r="O5" s="8" t="str">
        <x:v>Auction price</x:v>
      </x:c>
      <x:c r="P5" s="8" t="str">
        <x:v>Standard buyer</x:v>
      </x:c>
      <x:c r="Q5" s="8" t="str">
        <x:v>Preferred buyer</x:v>
      </x:c>
      <x:c r="R5" s="8" t="str">
        <x:v>Buyer blend</x:v>
      </x:c>
      <x:c r="S5" s="8" t="str">
        <x:v>Seller fee</x:v>
      </x:c>
      <x:c r="T5" s="8" t="str">
        <x:v>Core fee</x:v>
      </x:c>
      <x:c r="U5" s="8" t="str">
        <x:v>Relative TL units</x:v>
      </x:c>
      <x:c r="V5" s="8" t="str">
        <x:v>Core fee weight</x:v>
      </x:c>
      <x:c r="W5" s="8" t="str">
        <x:v>Auction value weight</x:v>
      </x:c>
    </x:row>
    <x:row r="6" ht="19" customHeight="1">
      <x:c r="A6" s="2"/>
      <x:c r="B6" s="2"/>
      <x:c r="C6" s="46" t="n">
        <x:v>0</x:v>
      </x:c>
      <x:c r="D6" s="46" t="n">
        <x:v>0</x:v>
      </x:c>
      <x:c r="E6" s="46" t="n">
        <x:v>0</x:v>
      </x:c>
      <x:c r="F6" s="46" t="n">
        <x:v>0</x:v>
      </x:c>
      <x:c r="G6" s="12" t="n">
        <x:v>0</x:v>
      </x:c>
      <x:c r="H6" s="12" t="n">
        <x:v>0.1111111111111111</x:v>
      </x:c>
      <x:c r="I6" s="29" t="n">
        <x:f>'Assumptions'!$D$11+'Assumptions'!$D$12*(0.5-(G6+H6)/2)</x:f>
        <x:v>0.3888888888888889</x:v>
      </x:c>
      <x:c r="J6" s="27" t="n">
        <x:f>'Assumptions'!$D$8*EXP(-'Assumptions'!$D$9*('Fleet Engine'!E194-10))*'Assumptions'!E55*'Assumptions'!D36</x:f>
        <x:v>27182.818284590452</x:v>
      </x:c>
      <x:c r="K6" s="27" t="n">
        <x:f>'Source Data'!F217+LN('Assumptions'!D55)+LN('Assumptions'!D35)</x:f>
        <x:v>8.024343827519704</x:v>
      </x:c>
      <x:c r="L6" s="27" t="n">
        <x:f>J6*(1-I6*(1-'Carrier Engine'!E91))</x:f>
        <x:v>17034.566125010017</x:v>
      </x:c>
      <x:c r="M6" s="29" t="n">
        <x:f>NORM.S.DIST((LN(L6)-K6)/'Assumptions'!$D$10,TRUE)</x:f>
        <x:v>0.8631412857617822</x:v>
      </x:c>
      <x:c r="N6" s="30" t="n">
        <x:f>MAX(0,H6-MAX(G6,M6))</x:f>
        <x:v>0</x:v>
      </x:c>
      <x:c r="O6" s="28" t="n">
        <x:f>J6*I6</x:f>
        <x:v>10571.095999562955</x:v>
      </x:c>
      <x:c r="P6" s="27" t="n">
        <x:f>(VLOOKUP(O6,'Fee Data'!$C$6:$G$50,2,TRUE)+O6*VLOOKUP(O6,'Fee Data'!$C$6:$G$50,3,TRUE)+VLOOKUP(O6,'Fee Data'!$I$6:$J$14,2,TRUE)+'Fee Data'!$J$20+'Fee Data'!$J$21)*'Assumptions'!D37</x:f>
        <x:v>1250</x:v>
      </x:c>
      <x:c r="Q6" s="27" t="n">
        <x:f>(VLOOKUP(O6,'Fee Data'!$C$6:$G$50,4,TRUE)+O6*VLOOKUP(O6,'Fee Data'!$C$6:$G$50,5,TRUE)+VLOOKUP(O6,'Fee Data'!$I$6:$J$14,2,TRUE)+'Fee Data'!$J$20+'Fee Data'!$J$21)*'Assumptions'!D37</x:f>
        <x:v>1100</x:v>
      </x:c>
      <x:c r="R6" s="27" t="n">
        <x:f>P6*(1-'Assumptions'!$D$14)+Q6*'Assumptions'!$D$14</x:f>
        <x:v>1175</x:v>
      </x:c>
      <x:c r="S6" s="27" t="n">
        <x:f>O6*'Carrier Engine'!E91</x:f>
        <x:v>422.84383998251803</x:v>
      </x:c>
      <x:c r="T6" s="28" t="n">
        <x:f>R6+S6</x:f>
        <x:v>1597.8438399825181</x:v>
      </x:c>
      <x:c r="U6" s="27" t="n">
        <x:f>N6*'Fleet Engine'!F194</x:f>
        <x:v>0</x:v>
      </x:c>
      <x:c r="V6" s="28" t="n">
        <x:f>U6*T6</x:f>
        <x:v>0</x:v>
      </x:c>
      <x:c r="W6" s="28" t="n">
        <x:f>U6*O6</x:f>
        <x:v>0</x:v>
      </x:c>
    </x:row>
    <x:row r="7" ht="19" customHeight="1">
      <x:c r="A7" s="2"/>
      <x:c r="B7" s="2"/>
      <x:c r="C7" s="46" t="n">
        <x:v>0</x:v>
      </x:c>
      <x:c r="D7" s="46" t="n">
        <x:v>0</x:v>
      </x:c>
      <x:c r="E7" s="46" t="n">
        <x:v>0</x:v>
      </x:c>
      <x:c r="F7" s="46" t="n">
        <x:v>0</x:v>
      </x:c>
      <x:c r="G7" s="12" t="n">
        <x:v>0.1111111111111111</x:v>
      </x:c>
      <x:c r="H7" s="12" t="n">
        <x:v>0.2222222222222222</x:v>
      </x:c>
      <x:c r="I7" s="29" t="n">
        <x:f>'Assumptions'!$D$11+'Assumptions'!$D$12*(0.5-(G7+H7)/2)</x:f>
        <x:v>0.3666666666666667</x:v>
      </x:c>
      <x:c r="J7" s="27" t="n">
        <x:f>'Assumptions'!$D$8*EXP(-'Assumptions'!$D$9*('Fleet Engine'!E194-10))*'Assumptions'!E55*'Assumptions'!D36</x:f>
        <x:v>27182.818284590452</x:v>
      </x:c>
      <x:c r="K7" s="27" t="n">
        <x:f>'Source Data'!F217+LN('Assumptions'!D55)+LN('Assumptions'!D35)</x:f>
        <x:v>8.024343827519704</x:v>
      </x:c>
      <x:c r="L7" s="27" t="n">
        <x:f>J7*(1-I7*(1-'Carrier Engine'!E91))</x:f>
        <x:v>17614.46624841461</x:v>
      </x:c>
      <x:c r="M7" s="29" t="n">
        <x:f>NORM.S.DIST((LN(L7)-K7)/'Assumptions'!$D$10,TRUE)</x:f>
        <x:v>0.867759233179046</x:v>
      </x:c>
      <x:c r="N7" s="30" t="n">
        <x:f>MAX(0,H7-MAX(G7,M7))</x:f>
        <x:v>0</x:v>
      </x:c>
      <x:c r="O7" s="28" t="n">
        <x:f>J7*I7</x:f>
        <x:v>9967.0333710165</x:v>
      </x:c>
      <x:c r="P7" s="27" t="n">
        <x:f>(VLOOKUP(O7,'Fee Data'!$C$6:$G$50,2,TRUE)+O7*VLOOKUP(O7,'Fee Data'!$C$6:$G$50,3,TRUE)+VLOOKUP(O7,'Fee Data'!$I$6:$J$14,2,TRUE)+'Fee Data'!$J$20+'Fee Data'!$J$21)*'Assumptions'!D37</x:f>
        <x:v>1195</x:v>
      </x:c>
      <x:c r="Q7" s="27" t="n">
        <x:f>(VLOOKUP(O7,'Fee Data'!$C$6:$G$50,4,TRUE)+O7*VLOOKUP(O7,'Fee Data'!$C$6:$G$50,5,TRUE)+VLOOKUP(O7,'Fee Data'!$I$6:$J$14,2,TRUE)+'Fee Data'!$J$20+'Fee Data'!$J$21)*'Assumptions'!D37</x:f>
        <x:v>1070</x:v>
      </x:c>
      <x:c r="R7" s="27" t="n">
        <x:f>P7*(1-'Assumptions'!$D$14)+Q7*'Assumptions'!$D$14</x:f>
        <x:v>1132.5</x:v>
      </x:c>
      <x:c r="S7" s="27" t="n">
        <x:f>O7*'Carrier Engine'!E91</x:f>
        <x:v>398.6813348406599</x:v>
      </x:c>
      <x:c r="T7" s="28" t="n">
        <x:f>R7+S7</x:f>
        <x:v>1531.18133484066</x:v>
      </x:c>
      <x:c r="U7" s="27" t="n">
        <x:f>N7*'Fleet Engine'!F194</x:f>
        <x:v>0</x:v>
      </x:c>
      <x:c r="V7" s="28" t="n">
        <x:f>U7*T7</x:f>
        <x:v>0</x:v>
      </x:c>
      <x:c r="W7" s="28" t="n">
        <x:f>U7*O7</x:f>
        <x:v>0</x:v>
      </x:c>
    </x:row>
    <x:row r="8" ht="19" customHeight="1">
      <x:c r="A8" s="2"/>
      <x:c r="B8" s="2"/>
      <x:c r="C8" s="46" t="n">
        <x:v>0</x:v>
      </x:c>
      <x:c r="D8" s="46" t="n">
        <x:v>0</x:v>
      </x:c>
      <x:c r="E8" s="46" t="n">
        <x:v>0</x:v>
      </x:c>
      <x:c r="F8" s="46" t="n">
        <x:v>0</x:v>
      </x:c>
      <x:c r="G8" s="12" t="n">
        <x:v>0.2222222222222222</x:v>
      </x:c>
      <x:c r="H8" s="12" t="n">
        <x:v>0.3333333333333333</x:v>
      </x:c>
      <x:c r="I8" s="29" t="n">
        <x:f>'Assumptions'!$D$11+'Assumptions'!$D$12*(0.5-(G8+H8)/2)</x:f>
        <x:v>0.34444444444444444</x:v>
      </x:c>
      <x:c r="J8" s="27" t="n">
        <x:f>'Assumptions'!$D$8*EXP(-'Assumptions'!$D$9*('Fleet Engine'!E194-10))*'Assumptions'!E55*'Assumptions'!D36</x:f>
        <x:v>27182.818284590452</x:v>
      </x:c>
      <x:c r="K8" s="27" t="n">
        <x:f>'Source Data'!F217+LN('Assumptions'!D55)+LN('Assumptions'!D35)</x:f>
        <x:v>8.024343827519704</x:v>
      </x:c>
      <x:c r="L8" s="27" t="n">
        <x:f>J8*(1-I8*(1-'Carrier Engine'!E91))</x:f>
        <x:v>18194.36637181921</x:v>
      </x:c>
      <x:c r="M8" s="29" t="n">
        <x:f>NORM.S.DIST((LN(L8)-K8)/'Assumptions'!$D$10,TRUE)</x:f>
        <x:v>0.8721242391048682</x:v>
      </x:c>
      <x:c r="N8" s="30" t="n">
        <x:f>MAX(0,H8-MAX(G8,M8))</x:f>
        <x:v>0</x:v>
      </x:c>
      <x:c r="O8" s="28" t="n">
        <x:f>J8*I8</x:f>
        <x:v>9362.970742470045</x:v>
      </x:c>
      <x:c r="P8" s="27" t="n">
        <x:f>(VLOOKUP(O8,'Fee Data'!$C$6:$G$50,2,TRUE)+O8*VLOOKUP(O8,'Fee Data'!$C$6:$G$50,3,TRUE)+VLOOKUP(O8,'Fee Data'!$I$6:$J$14,2,TRUE)+'Fee Data'!$J$20+'Fee Data'!$J$21)*'Assumptions'!D37</x:f>
        <x:v>1195</x:v>
      </x:c>
      <x:c r="Q8" s="27" t="n">
        <x:f>(VLOOKUP(O8,'Fee Data'!$C$6:$G$50,4,TRUE)+O8*VLOOKUP(O8,'Fee Data'!$C$6:$G$50,5,TRUE)+VLOOKUP(O8,'Fee Data'!$I$6:$J$14,2,TRUE)+'Fee Data'!$J$20+'Fee Data'!$J$21)*'Assumptions'!D37</x:f>
        <x:v>1070</x:v>
      </x:c>
      <x:c r="R8" s="27" t="n">
        <x:f>P8*(1-'Assumptions'!$D$14)+Q8*'Assumptions'!$D$14</x:f>
        <x:v>1132.5</x:v>
      </x:c>
      <x:c r="S8" s="27" t="n">
        <x:f>O8*'Carrier Engine'!E91</x:f>
        <x:v>374.51882969880165</x:v>
      </x:c>
      <x:c r="T8" s="28" t="n">
        <x:f>R8+S8</x:f>
        <x:v>1507.0188296988017</x:v>
      </x:c>
      <x:c r="U8" s="27" t="n">
        <x:f>N8*'Fleet Engine'!F194</x:f>
        <x:v>0</x:v>
      </x:c>
      <x:c r="V8" s="28" t="n">
        <x:f>U8*T8</x:f>
        <x:v>0</x:v>
      </x:c>
      <x:c r="W8" s="28" t="n">
        <x:f>U8*O8</x:f>
        <x:v>0</x:v>
      </x:c>
    </x:row>
    <x:row r="9" ht="19" customHeight="1">
      <x:c r="A9" s="2"/>
      <x:c r="B9" s="2"/>
      <x:c r="C9" s="46" t="n">
        <x:v>0</x:v>
      </x:c>
      <x:c r="D9" s="46" t="n">
        <x:v>0</x:v>
      </x:c>
      <x:c r="E9" s="46" t="n">
        <x:v>0</x:v>
      </x:c>
      <x:c r="F9" s="46" t="n">
        <x:v>0</x:v>
      </x:c>
      <x:c r="G9" s="12" t="n">
        <x:v>0.3333333333333333</x:v>
      </x:c>
      <x:c r="H9" s="12" t="n">
        <x:v>0.4444444444444444</x:v>
      </x:c>
      <x:c r="I9" s="29" t="n">
        <x:f>'Assumptions'!$D$11+'Assumptions'!$D$12*(0.5-(G9+H9)/2)</x:f>
        <x:v>0.32222222222222224</x:v>
      </x:c>
      <x:c r="J9" s="27" t="n">
        <x:f>'Assumptions'!$D$8*EXP(-'Assumptions'!$D$9*('Fleet Engine'!E194-10))*'Assumptions'!E55*'Assumptions'!D36</x:f>
        <x:v>27182.818284590452</x:v>
      </x:c>
      <x:c r="K9" s="27" t="n">
        <x:f>'Source Data'!F217+LN('Assumptions'!D55)+LN('Assumptions'!D35)</x:f>
        <x:v>8.024343827519704</x:v>
      </x:c>
      <x:c r="L9" s="27" t="n">
        <x:f>J9*(1-I9*(1-'Carrier Engine'!E91))</x:f>
        <x:v>18774.266495223805</x:v>
      </x:c>
      <x:c r="M9" s="29" t="n">
        <x:f>NORM.S.DIST((LN(L9)-K9)/'Assumptions'!$D$10,TRUE)</x:f>
        <x:v>0.8762558445797033</x:v>
      </x:c>
      <x:c r="N9" s="30" t="n">
        <x:f>MAX(0,H9-MAX(G9,M9))</x:f>
        <x:v>0</x:v>
      </x:c>
      <x:c r="O9" s="28" t="n">
        <x:f>J9*I9</x:f>
        <x:v>8758.908113923591</x:v>
      </x:c>
      <x:c r="P9" s="27" t="n">
        <x:f>(VLOOKUP(O9,'Fee Data'!$C$6:$G$50,2,TRUE)+O9*VLOOKUP(O9,'Fee Data'!$C$6:$G$50,3,TRUE)+VLOOKUP(O9,'Fee Data'!$I$6:$J$14,2,TRUE)+'Fee Data'!$J$20+'Fee Data'!$J$21)*'Assumptions'!D37</x:f>
        <x:v>1195</x:v>
      </x:c>
      <x:c r="Q9" s="27" t="n">
        <x:f>(VLOOKUP(O9,'Fee Data'!$C$6:$G$50,4,TRUE)+O9*VLOOKUP(O9,'Fee Data'!$C$6:$G$50,5,TRUE)+VLOOKUP(O9,'Fee Data'!$I$6:$J$14,2,TRUE)+'Fee Data'!$J$20+'Fee Data'!$J$21)*'Assumptions'!D37</x:f>
        <x:v>1070</x:v>
      </x:c>
      <x:c r="R9" s="27" t="n">
        <x:f>P9*(1-'Assumptions'!$D$14)+Q9*'Assumptions'!$D$14</x:f>
        <x:v>1132.5</x:v>
      </x:c>
      <x:c r="S9" s="27" t="n">
        <x:f>O9*'Carrier Engine'!E91</x:f>
        <x:v>350.35632455694355</x:v>
      </x:c>
      <x:c r="T9" s="28" t="n">
        <x:f>R9+S9</x:f>
        <x:v>1482.8563245569435</x:v>
      </x:c>
      <x:c r="U9" s="27" t="n">
        <x:f>N9*'Fleet Engine'!F194</x:f>
        <x:v>0</x:v>
      </x:c>
      <x:c r="V9" s="28" t="n">
        <x:f>U9*T9</x:f>
        <x:v>0</x:v>
      </x:c>
      <x:c r="W9" s="28" t="n">
        <x:f>U9*O9</x:f>
        <x:v>0</x:v>
      </x:c>
    </x:row>
    <x:row r="10" ht="19" customHeight="1">
      <x:c r="A10" s="2"/>
      <x:c r="B10" s="2"/>
      <x:c r="C10" s="46" t="n">
        <x:v>0</x:v>
      </x:c>
      <x:c r="D10" s="46" t="n">
        <x:v>0</x:v>
      </x:c>
      <x:c r="E10" s="46" t="n">
        <x:v>0</x:v>
      </x:c>
      <x:c r="F10" s="46" t="n">
        <x:v>0</x:v>
      </x:c>
      <x:c r="G10" s="12" t="n">
        <x:v>0.4444444444444444</x:v>
      </x:c>
      <x:c r="H10" s="12" t="n">
        <x:v>0.5555555555555556</x:v>
      </x:c>
      <x:c r="I10" s="29" t="n">
        <x:f>'Assumptions'!$D$11+'Assumptions'!$D$12*(0.5-(G10+H10)/2)</x:f>
        <x:v>0.3</x:v>
      </x:c>
      <x:c r="J10" s="27" t="n">
        <x:f>'Assumptions'!$D$8*EXP(-'Assumptions'!$D$9*('Fleet Engine'!E194-10))*'Assumptions'!E55*'Assumptions'!D36</x:f>
        <x:v>27182.818284590452</x:v>
      </x:c>
      <x:c r="K10" s="27" t="n">
        <x:f>'Source Data'!F217+LN('Assumptions'!D55)+LN('Assumptions'!D35)</x:f>
        <x:v>8.024343827519704</x:v>
      </x:c>
      <x:c r="L10" s="27" t="n">
        <x:f>J10*(1-I10*(1-'Carrier Engine'!E91))</x:f>
        <x:v>19354.166618628402</x:v>
      </x:c>
      <x:c r="M10" s="29" t="n">
        <x:f>NORM.S.DIST((LN(L10)-K10)/'Assumptions'!$D$10,TRUE)</x:f>
        <x:v>0.8801716361024907</x:v>
      </x:c>
      <x:c r="N10" s="30" t="n">
        <x:f>MAX(0,H10-MAX(G10,M10))</x:f>
        <x:v>0</x:v>
      </x:c>
      <x:c r="O10" s="28" t="n">
        <x:f>J10*I10</x:f>
        <x:v>8154.845485377135</x:v>
      </x:c>
      <x:c r="P10" s="27" t="n">
        <x:f>(VLOOKUP(O10,'Fee Data'!$C$6:$G$50,2,TRUE)+O10*VLOOKUP(O10,'Fee Data'!$C$6:$G$50,3,TRUE)+VLOOKUP(O10,'Fee Data'!$I$6:$J$14,2,TRUE)+'Fee Data'!$J$20+'Fee Data'!$J$21)*'Assumptions'!D37</x:f>
        <x:v>1175</x:v>
      </x:c>
      <x:c r="Q10" s="27" t="n">
        <x:f>(VLOOKUP(O10,'Fee Data'!$C$6:$G$50,4,TRUE)+O10*VLOOKUP(O10,'Fee Data'!$C$6:$G$50,5,TRUE)+VLOOKUP(O10,'Fee Data'!$I$6:$J$14,2,TRUE)+'Fee Data'!$J$20+'Fee Data'!$J$21)*'Assumptions'!D37</x:f>
        <x:v>1050</x:v>
      </x:c>
      <x:c r="R10" s="27" t="n">
        <x:f>P10*(1-'Assumptions'!$D$14)+Q10*'Assumptions'!$D$14</x:f>
        <x:v>1112.5</x:v>
      </x:c>
      <x:c r="S10" s="27" t="n">
        <x:f>O10*'Carrier Engine'!E91</x:f>
        <x:v>326.19381941508533</x:v>
      </x:c>
      <x:c r="T10" s="28" t="n">
        <x:f>R10+S10</x:f>
        <x:v>1438.6938194150853</x:v>
      </x:c>
      <x:c r="U10" s="27" t="n">
        <x:f>N10*'Fleet Engine'!F194</x:f>
        <x:v>0</x:v>
      </x:c>
      <x:c r="V10" s="28" t="n">
        <x:f>U10*T10</x:f>
        <x:v>0</x:v>
      </x:c>
      <x:c r="W10" s="28" t="n">
        <x:f>U10*O10</x:f>
        <x:v>0</x:v>
      </x:c>
    </x:row>
    <x:row r="11" ht="19" customHeight="1">
      <x:c r="A11" s="2"/>
      <x:c r="B11" s="2"/>
      <x:c r="C11" s="46" t="n">
        <x:v>0</x:v>
      </x:c>
      <x:c r="D11" s="46" t="n">
        <x:v>0</x:v>
      </x:c>
      <x:c r="E11" s="46" t="n">
        <x:v>0</x:v>
      </x:c>
      <x:c r="F11" s="46" t="n">
        <x:v>0</x:v>
      </x:c>
      <x:c r="G11" s="12" t="n">
        <x:v>0.5555555555555556</x:v>
      </x:c>
      <x:c r="H11" s="12" t="n">
        <x:v>0.6666666666666666</x:v>
      </x:c>
      <x:c r="I11" s="29" t="n">
        <x:f>'Assumptions'!$D$11+'Assumptions'!$D$12*(0.5-(G11+H11)/2)</x:f>
        <x:v>0.27777777777777773</x:v>
      </x:c>
      <x:c r="J11" s="27" t="n">
        <x:f>'Assumptions'!$D$8*EXP(-'Assumptions'!$D$9*('Fleet Engine'!E194-10))*'Assumptions'!E55*'Assumptions'!D36</x:f>
        <x:v>27182.818284590452</x:v>
      </x:c>
      <x:c r="K11" s="27" t="n">
        <x:f>'Source Data'!F217+LN('Assumptions'!D55)+LN('Assumptions'!D35)</x:f>
        <x:v>8.024343827519704</x:v>
      </x:c>
      <x:c r="L11" s="27" t="n">
        <x:f>J11*(1-I11*(1-'Carrier Engine'!E91))</x:f>
        <x:v>19934.066742033</x:v>
      </x:c>
      <x:c r="M11" s="29" t="n">
        <x:f>NORM.S.DIST((LN(L11)-K11)/'Assumptions'!$D$10,TRUE)</x:f>
        <x:v>0.8838874850458363</x:v>
      </x:c>
      <x:c r="N11" s="30" t="n">
        <x:f>MAX(0,H11-MAX(G11,M11))</x:f>
        <x:v>0</x:v>
      </x:c>
      <x:c r="O11" s="28" t="n">
        <x:f>J11*I11</x:f>
        <x:v>7550.7828568306795</x:v>
      </x:c>
      <x:c r="P11" s="27" t="n">
        <x:f>(VLOOKUP(O11,'Fee Data'!$C$6:$G$50,2,TRUE)+O11*VLOOKUP(O11,'Fee Data'!$C$6:$G$50,3,TRUE)+VLOOKUP(O11,'Fee Data'!$I$6:$J$14,2,TRUE)+'Fee Data'!$J$20+'Fee Data'!$J$21)*'Assumptions'!D37</x:f>
        <x:v>1135</x:v>
      </x:c>
      <x:c r="Q11" s="27" t="n">
        <x:f>(VLOOKUP(O11,'Fee Data'!$C$6:$G$50,4,TRUE)+O11*VLOOKUP(O11,'Fee Data'!$C$6:$G$50,5,TRUE)+VLOOKUP(O11,'Fee Data'!$I$6:$J$14,2,TRUE)+'Fee Data'!$J$20+'Fee Data'!$J$21)*'Assumptions'!D37</x:f>
        <x:v>1010</x:v>
      </x:c>
      <x:c r="R11" s="27" t="n">
        <x:f>P11*(1-'Assumptions'!$D$14)+Q11*'Assumptions'!$D$14</x:f>
        <x:v>1072.5</x:v>
      </x:c>
      <x:c r="S11" s="27" t="n">
        <x:f>O11*'Carrier Engine'!E91</x:f>
        <x:v>302.0313142732271</x:v>
      </x:c>
      <x:c r="T11" s="28" t="n">
        <x:f>R11+S11</x:f>
        <x:v>1374.531314273227</x:v>
      </x:c>
      <x:c r="U11" s="27" t="n">
        <x:f>N11*'Fleet Engine'!F194</x:f>
        <x:v>0</x:v>
      </x:c>
      <x:c r="V11" s="28" t="n">
        <x:f>U11*T11</x:f>
        <x:v>0</x:v>
      </x:c>
      <x:c r="W11" s="28" t="n">
        <x:f>U11*O11</x:f>
        <x:v>0</x:v>
      </x:c>
    </x:row>
    <x:row r="12" ht="19" customHeight="1">
      <x:c r="A12" s="2"/>
      <x:c r="B12" s="2"/>
      <x:c r="C12" s="46" t="n">
        <x:v>0</x:v>
      </x:c>
      <x:c r="D12" s="46" t="n">
        <x:v>0</x:v>
      </x:c>
      <x:c r="E12" s="46" t="n">
        <x:v>0</x:v>
      </x:c>
      <x:c r="F12" s="46" t="n">
        <x:v>0</x:v>
      </x:c>
      <x:c r="G12" s="12" t="n">
        <x:v>0.6666666666666666</x:v>
      </x:c>
      <x:c r="H12" s="12" t="n">
        <x:v>0.7777777777777778</x:v>
      </x:c>
      <x:c r="I12" s="29" t="n">
        <x:f>'Assumptions'!$D$11+'Assumptions'!$D$12*(0.5-(G12+H12)/2)</x:f>
        <x:v>0.25555555555555554</x:v>
      </x:c>
      <x:c r="J12" s="27" t="n">
        <x:f>'Assumptions'!$D$8*EXP(-'Assumptions'!$D$9*('Fleet Engine'!E194-10))*'Assumptions'!E55*'Assumptions'!D36</x:f>
        <x:v>27182.818284590452</x:v>
      </x:c>
      <x:c r="K12" s="27" t="n">
        <x:f>'Source Data'!F217+LN('Assumptions'!D55)+LN('Assumptions'!D35)</x:f>
        <x:v>8.024343827519704</x:v>
      </x:c>
      <x:c r="L12" s="27" t="n">
        <x:f>J12*(1-I12*(1-'Carrier Engine'!E91))</x:f>
        <x:v>20513.966865437596</x:v>
      </x:c>
      <x:c r="M12" s="29" t="n">
        <x:f>NORM.S.DIST((LN(L12)-K12)/'Assumptions'!$D$10,TRUE)</x:f>
        <x:v>0.8874177525057891</x:v>
      </x:c>
      <x:c r="N12" s="30" t="n">
        <x:f>MAX(0,H12-MAX(G12,M12))</x:f>
        <x:v>0</x:v>
      </x:c>
      <x:c r="O12" s="28" t="n">
        <x:f>J12*I12</x:f>
        <x:v>6946.720228284226</x:v>
      </x:c>
      <x:c r="P12" s="27" t="n">
        <x:f>(VLOOKUP(O12,'Fee Data'!$C$6:$G$50,2,TRUE)+O12*VLOOKUP(O12,'Fee Data'!$C$6:$G$50,3,TRUE)+VLOOKUP(O12,'Fee Data'!$I$6:$J$14,2,TRUE)+'Fee Data'!$J$20+'Fee Data'!$J$21)*'Assumptions'!D37</x:f>
        <x:v>1080</x:v>
      </x:c>
      <x:c r="Q12" s="27" t="n">
        <x:f>(VLOOKUP(O12,'Fee Data'!$C$6:$G$50,4,TRUE)+O12*VLOOKUP(O12,'Fee Data'!$C$6:$G$50,5,TRUE)+VLOOKUP(O12,'Fee Data'!$I$6:$J$14,2,TRUE)+'Fee Data'!$J$20+'Fee Data'!$J$21)*'Assumptions'!D37</x:f>
        <x:v>955</x:v>
      </x:c>
      <x:c r="R12" s="27" t="n">
        <x:f>P12*(1-'Assumptions'!$D$14)+Q12*'Assumptions'!$D$14</x:f>
        <x:v>1017.5</x:v>
      </x:c>
      <x:c r="S12" s="27" t="n">
        <x:f>O12*'Carrier Engine'!E91</x:f>
        <x:v>277.86880913136895</x:v>
      </x:c>
      <x:c r="T12" s="28" t="n">
        <x:f>R12+S12</x:f>
        <x:v>1295.3688091313688</x:v>
      </x:c>
      <x:c r="U12" s="27" t="n">
        <x:f>N12*'Fleet Engine'!F194</x:f>
        <x:v>0</x:v>
      </x:c>
      <x:c r="V12" s="28" t="n">
        <x:f>U12*T12</x:f>
        <x:v>0</x:v>
      </x:c>
      <x:c r="W12" s="28" t="n">
        <x:f>U12*O12</x:f>
        <x:v>0</x:v>
      </x:c>
    </x:row>
    <x:row r="13" ht="19" customHeight="1">
      <x:c r="A13" s="2"/>
      <x:c r="B13" s="2"/>
      <x:c r="C13" s="46" t="n">
        <x:v>0</x:v>
      </x:c>
      <x:c r="D13" s="46" t="n">
        <x:v>0</x:v>
      </x:c>
      <x:c r="E13" s="46" t="n">
        <x:v>0</x:v>
      </x:c>
      <x:c r="F13" s="46" t="n">
        <x:v>0</x:v>
      </x:c>
      <x:c r="G13" s="12" t="n">
        <x:v>0.7777777777777778</x:v>
      </x:c>
      <x:c r="H13" s="12" t="n">
        <x:v>0.8888888888888888</x:v>
      </x:c>
      <x:c r="I13" s="29" t="n">
        <x:f>'Assumptions'!$D$11+'Assumptions'!$D$12*(0.5-(G13+H13)/2)</x:f>
        <x:v>0.23333333333333334</x:v>
      </x:c>
      <x:c r="J13" s="27" t="n">
        <x:f>'Assumptions'!$D$8*EXP(-'Assumptions'!$D$9*('Fleet Engine'!E194-10))*'Assumptions'!E55*'Assumptions'!D36</x:f>
        <x:v>27182.818284590452</x:v>
      </x:c>
      <x:c r="K13" s="27" t="n">
        <x:f>'Source Data'!F217+LN('Assumptions'!D55)+LN('Assumptions'!D35)</x:f>
        <x:v>8.024343827519704</x:v>
      </x:c>
      <x:c r="L13" s="27" t="n">
        <x:f>J13*(1-I13*(1-'Carrier Engine'!E91))</x:f>
        <x:v>21093.86698884219</x:v>
      </x:c>
      <x:c r="M13" s="29" t="n">
        <x:f>NORM.S.DIST((LN(L13)-K13)/'Assumptions'!$D$10,TRUE)</x:f>
        <x:v>0.8907754653078662</x:v>
      </x:c>
      <x:c r="N13" s="30" t="n">
        <x:f>MAX(0,H13-MAX(G13,M13))</x:f>
        <x:v>0</x:v>
      </x:c>
      <x:c r="O13" s="28" t="n">
        <x:f>J13*I13</x:f>
        <x:v>6342.657599737772</x:v>
      </x:c>
      <x:c r="P13" s="27" t="n">
        <x:f>(VLOOKUP(O13,'Fee Data'!$C$6:$G$50,2,TRUE)+O13*VLOOKUP(O13,'Fee Data'!$C$6:$G$50,3,TRUE)+VLOOKUP(O13,'Fee Data'!$I$6:$J$14,2,TRUE)+'Fee Data'!$J$20+'Fee Data'!$J$21)*'Assumptions'!D37</x:f>
        <x:v>1060</x:v>
      </x:c>
      <x:c r="Q13" s="27" t="n">
        <x:f>(VLOOKUP(O13,'Fee Data'!$C$6:$G$50,4,TRUE)+O13*VLOOKUP(O13,'Fee Data'!$C$6:$G$50,5,TRUE)+VLOOKUP(O13,'Fee Data'!$I$6:$J$14,2,TRUE)+'Fee Data'!$J$20+'Fee Data'!$J$21)*'Assumptions'!D37</x:f>
        <x:v>935</x:v>
      </x:c>
      <x:c r="R13" s="27" t="n">
        <x:f>P13*(1-'Assumptions'!$D$14)+Q13*'Assumptions'!$D$14</x:f>
        <x:v>997.5</x:v>
      </x:c>
      <x:c r="S13" s="27" t="n">
        <x:f>O13*'Carrier Engine'!E91</x:f>
        <x:v>253.70630398951081</x:v>
      </x:c>
      <x:c r="T13" s="28" t="n">
        <x:f>R13+S13</x:f>
        <x:v>1251.2063039895108</x:v>
      </x:c>
      <x:c r="U13" s="27" t="n">
        <x:f>N13*'Fleet Engine'!F194</x:f>
        <x:v>0</x:v>
      </x:c>
      <x:c r="V13" s="28" t="n">
        <x:f>U13*T13</x:f>
        <x:v>0</x:v>
      </x:c>
      <x:c r="W13" s="28" t="n">
        <x:f>U13*O13</x:f>
        <x:v>0</x:v>
      </x:c>
    </x:row>
    <x:row r="14" ht="19" customHeight="1">
      <x:c r="A14" s="2"/>
      <x:c r="B14" s="2"/>
      <x:c r="C14" s="46" t="n">
        <x:v>0</x:v>
      </x:c>
      <x:c r="D14" s="46" t="n">
        <x:v>0</x:v>
      </x:c>
      <x:c r="E14" s="46" t="n">
        <x:v>0</x:v>
      </x:c>
      <x:c r="F14" s="46" t="n">
        <x:v>0</x:v>
      </x:c>
      <x:c r="G14" s="12" t="n">
        <x:v>0.8888888888888888</x:v>
      </x:c>
      <x:c r="H14" s="12" t="n">
        <x:v>1</x:v>
      </x:c>
      <x:c r="I14" s="29" t="n">
        <x:f>'Assumptions'!$D$11+'Assumptions'!$D$12*(0.5-(G14+H14)/2)</x:f>
        <x:v>0.21111111111111108</x:v>
      </x:c>
      <x:c r="J14" s="27" t="n">
        <x:f>'Assumptions'!$D$8*EXP(-'Assumptions'!$D$9*('Fleet Engine'!E194-10))*'Assumptions'!E55*'Assumptions'!D36</x:f>
        <x:v>27182.818284590452</x:v>
      </x:c>
      <x:c r="K14" s="27" t="n">
        <x:f>'Source Data'!F217+LN('Assumptions'!D55)+LN('Assumptions'!D35)</x:f>
        <x:v>8.024343827519704</x:v>
      </x:c>
      <x:c r="L14" s="27" t="n">
        <x:f>J14*(1-I14*(1-'Carrier Engine'!E91))</x:f>
        <x:v>21673.767112246787</x:v>
      </x:c>
      <x:c r="M14" s="29" t="n">
        <x:f>NORM.S.DIST((LN(L14)-K14)/'Assumptions'!$D$10,TRUE)</x:f>
        <x:v>0.8939724678273033</x:v>
      </x:c>
      <x:c r="N14" s="30" t="n">
        <x:f>MAX(0,H14-MAX(G14,M14))</x:f>
        <x:v>0.10602753217269667</x:v>
      </x:c>
      <x:c r="O14" s="28" t="n">
        <x:f>J14*I14</x:f>
        <x:v>5738.594971191317</x:v>
      </x:c>
      <x:c r="P14" s="27" t="n">
        <x:f>(VLOOKUP(O14,'Fee Data'!$C$6:$G$50,2,TRUE)+O14*VLOOKUP(O14,'Fee Data'!$C$6:$G$50,3,TRUE)+VLOOKUP(O14,'Fee Data'!$I$6:$J$14,2,TRUE)+'Fee Data'!$J$20+'Fee Data'!$J$21)*'Assumptions'!D37</x:f>
        <x:v>1020</x:v>
      </x:c>
      <x:c r="Q14" s="27" t="n">
        <x:f>(VLOOKUP(O14,'Fee Data'!$C$6:$G$50,4,TRUE)+O14*VLOOKUP(O14,'Fee Data'!$C$6:$G$50,5,TRUE)+VLOOKUP(O14,'Fee Data'!$I$6:$J$14,2,TRUE)+'Fee Data'!$J$20+'Fee Data'!$J$21)*'Assumptions'!D37</x:f>
        <x:v>895</x:v>
      </x:c>
      <x:c r="R14" s="27" t="n">
        <x:f>P14*(1-'Assumptions'!$D$14)+Q14*'Assumptions'!$D$14</x:f>
        <x:v>957.5</x:v>
      </x:c>
      <x:c r="S14" s="27" t="n">
        <x:f>O14*'Carrier Engine'!E91</x:f>
        <x:v>229.54379884765262</x:v>
      </x:c>
      <x:c r="T14" s="28" t="n">
        <x:f>R14+S14</x:f>
        <x:v>1187.0437988476526</x:v>
      </x:c>
      <x:c r="U14" s="27" t="n">
        <x:f>N14*'Fleet Engine'!F194</x:f>
        <x:v>150.82040937389658</x:v>
      </x:c>
      <x:c r="V14" s="28" t="n">
        <x:f>U14*T14</x:f>
        <x:v>179030.43168694832</x:v>
      </x:c>
      <x:c r="W14" s="28" t="n">
        <x:f>U14*O14</x:f>
        <x:v>865497.2427860587</x:v>
      </x:c>
    </x:row>
    <x:row r="15" ht="19" customHeight="1">
      <x:c r="A15" s="2"/>
      <x:c r="B15" s="2"/>
      <x:c r="C15" s="46" t="n">
        <x:v>0</x:v>
      </x:c>
      <x:c r="D15" s="46" t="n">
        <x:v>1</x:v>
      </x:c>
      <x:c r="E15" s="46" t="n">
        <x:v>0</x:v>
      </x:c>
      <x:c r="F15" s="46" t="n">
        <x:v>1</x:v>
      </x:c>
      <x:c r="G15" s="12" t="n">
        <x:v>0</x:v>
      </x:c>
      <x:c r="H15" s="12" t="n">
        <x:v>0.1111111111111111</x:v>
      </x:c>
      <x:c r="I15" s="29" t="n">
        <x:f>'Assumptions'!$D$11+'Assumptions'!$D$12*(0.5-(G15+H15)/2)</x:f>
        <x:v>0.3888888888888889</x:v>
      </x:c>
      <x:c r="J15" s="27" t="n">
        <x:f>'Assumptions'!$D$8*EXP(-'Assumptions'!$D$9*('Fleet Engine'!E195-10))*'Assumptions'!E55*'Assumptions'!D36</x:f>
        <x:v>22255.409284924677</x:v>
      </x:c>
      <x:c r="K15" s="27" t="n">
        <x:f>'Source Data'!F218+LN('Assumptions'!D55)+LN('Assumptions'!D35)</x:f>
        <x:v>7.909903025975467</x:v>
      </x:c>
      <x:c r="L15" s="27" t="n">
        <x:f>J15*(1-I15*(1-'Carrier Engine'!E91))</x:f>
        <x:v>13946.723151886132</x:v>
      </x:c>
      <x:c r="M15" s="29" t="n">
        <x:f>NORM.S.DIST((LN(L15)-K15)/'Assumptions'!$D$10,TRUE)</x:f>
        <x:v>0.8508422763569413</x:v>
      </x:c>
      <x:c r="N15" s="30" t="n">
        <x:f>MAX(0,H15-MAX(G15,M15))</x:f>
        <x:v>0</x:v>
      </x:c>
      <x:c r="O15" s="28" t="n">
        <x:f>J15*I15</x:f>
        <x:v>8654.88138858182</x:v>
      </x:c>
      <x:c r="P15" s="27" t="n">
        <x:f>(VLOOKUP(O15,'Fee Data'!$C$6:$G$50,2,TRUE)+O15*VLOOKUP(O15,'Fee Data'!$C$6:$G$50,3,TRUE)+VLOOKUP(O15,'Fee Data'!$I$6:$J$14,2,TRUE)+'Fee Data'!$J$20+'Fee Data'!$J$21)*'Assumptions'!D37</x:f>
        <x:v>1195</x:v>
      </x:c>
      <x:c r="Q15" s="27" t="n">
        <x:f>(VLOOKUP(O15,'Fee Data'!$C$6:$G$50,4,TRUE)+O15*VLOOKUP(O15,'Fee Data'!$C$6:$G$50,5,TRUE)+VLOOKUP(O15,'Fee Data'!$I$6:$J$14,2,TRUE)+'Fee Data'!$J$20+'Fee Data'!$J$21)*'Assumptions'!D37</x:f>
        <x:v>1070</x:v>
      </x:c>
      <x:c r="R15" s="27" t="n">
        <x:f>P15*(1-'Assumptions'!$D$14)+Q15*'Assumptions'!$D$14</x:f>
        <x:v>1132.5</x:v>
      </x:c>
      <x:c r="S15" s="27" t="n">
        <x:f>O15*'Carrier Engine'!E91</x:f>
        <x:v>346.1952555432727</x:v>
      </x:c>
      <x:c r="T15" s="28" t="n">
        <x:f>R15+S15</x:f>
        <x:v>1478.6952555432727</x:v>
      </x:c>
      <x:c r="U15" s="27" t="n">
        <x:f>N15*'Fleet Engine'!F195</x:f>
        <x:v>0</x:v>
      </x:c>
      <x:c r="V15" s="28" t="n">
        <x:f>U15*T15</x:f>
        <x:v>0</x:v>
      </x:c>
      <x:c r="W15" s="28" t="n">
        <x:f>U15*O15</x:f>
        <x:v>0</x:v>
      </x:c>
    </x:row>
    <x:row r="16" ht="19" customHeight="1">
      <x:c r="A16" s="2"/>
      <x:c r="B16" s="2"/>
      <x:c r="C16" s="46" t="n">
        <x:v>0</x:v>
      </x:c>
      <x:c r="D16" s="46" t="n">
        <x:v>1</x:v>
      </x:c>
      <x:c r="E16" s="46" t="n">
        <x:v>0</x:v>
      </x:c>
      <x:c r="F16" s="46" t="n">
        <x:v>1</x:v>
      </x:c>
      <x:c r="G16" s="12" t="n">
        <x:v>0.1111111111111111</x:v>
      </x:c>
      <x:c r="H16" s="12" t="n">
        <x:v>0.2222222222222222</x:v>
      </x:c>
      <x:c r="I16" s="29" t="n">
        <x:f>'Assumptions'!$D$11+'Assumptions'!$D$12*(0.5-(G16+H16)/2)</x:f>
        <x:v>0.3666666666666667</x:v>
      </x:c>
      <x:c r="J16" s="27" t="n">
        <x:f>'Assumptions'!$D$8*EXP(-'Assumptions'!$D$9*('Fleet Engine'!E195-10))*'Assumptions'!E55*'Assumptions'!D36</x:f>
        <x:v>22255.409284924677</x:v>
      </x:c>
      <x:c r="K16" s="27" t="n">
        <x:f>'Source Data'!F218+LN('Assumptions'!D55)+LN('Assumptions'!D35)</x:f>
        <x:v>7.909903025975467</x:v>
      </x:c>
      <x:c r="L16" s="27" t="n">
        <x:f>J16*(1-I16*(1-'Carrier Engine'!E91))</x:f>
        <x:v>14421.505216631189</x:v>
      </x:c>
      <x:c r="M16" s="29" t="n">
        <x:f>NORM.S.DIST((LN(L16)-K16)/'Assumptions'!$D$10,TRUE)</x:f>
        <x:v>0.8557395814099102</x:v>
      </x:c>
      <x:c r="N16" s="30" t="n">
        <x:f>MAX(0,H16-MAX(G16,M16))</x:f>
        <x:v>0</x:v>
      </x:c>
      <x:c r="O16" s="28" t="n">
        <x:f>J16*I16</x:f>
        <x:v>8160.316737805716</x:v>
      </x:c>
      <x:c r="P16" s="27" t="n">
        <x:f>(VLOOKUP(O16,'Fee Data'!$C$6:$G$50,2,TRUE)+O16*VLOOKUP(O16,'Fee Data'!$C$6:$G$50,3,TRUE)+VLOOKUP(O16,'Fee Data'!$I$6:$J$14,2,TRUE)+'Fee Data'!$J$20+'Fee Data'!$J$21)*'Assumptions'!D37</x:f>
        <x:v>1175</x:v>
      </x:c>
      <x:c r="Q16" s="27" t="n">
        <x:f>(VLOOKUP(O16,'Fee Data'!$C$6:$G$50,4,TRUE)+O16*VLOOKUP(O16,'Fee Data'!$C$6:$G$50,5,TRUE)+VLOOKUP(O16,'Fee Data'!$I$6:$J$14,2,TRUE)+'Fee Data'!$J$20+'Fee Data'!$J$21)*'Assumptions'!D37</x:f>
        <x:v>1050</x:v>
      </x:c>
      <x:c r="R16" s="27" t="n">
        <x:f>P16*(1-'Assumptions'!$D$14)+Q16*'Assumptions'!$D$14</x:f>
        <x:v>1112.5</x:v>
      </x:c>
      <x:c r="S16" s="27" t="n">
        <x:f>O16*'Carrier Engine'!E91</x:f>
        <x:v>326.41266951222855</x:v>
      </x:c>
      <x:c r="T16" s="28" t="n">
        <x:f>R16+S16</x:f>
        <x:v>1438.9126695122286</x:v>
      </x:c>
      <x:c r="U16" s="27" t="n">
        <x:f>N16*'Fleet Engine'!F195</x:f>
        <x:v>0</x:v>
      </x:c>
      <x:c r="V16" s="28" t="n">
        <x:f>U16*T16</x:f>
        <x:v>0</x:v>
      </x:c>
      <x:c r="W16" s="28" t="n">
        <x:f>U16*O16</x:f>
        <x:v>0</x:v>
      </x:c>
    </x:row>
    <x:row r="17" ht="19" customHeight="1">
      <x:c r="A17" s="2"/>
      <x:c r="B17" s="2"/>
      <x:c r="C17" s="46" t="n">
        <x:v>0</x:v>
      </x:c>
      <x:c r="D17" s="46" t="n">
        <x:v>1</x:v>
      </x:c>
      <x:c r="E17" s="46" t="n">
        <x:v>0</x:v>
      </x:c>
      <x:c r="F17" s="46" t="n">
        <x:v>1</x:v>
      </x:c>
      <x:c r="G17" s="12" t="n">
        <x:v>0.2222222222222222</x:v>
      </x:c>
      <x:c r="H17" s="12" t="n">
        <x:v>0.3333333333333333</x:v>
      </x:c>
      <x:c r="I17" s="29" t="n">
        <x:f>'Assumptions'!$D$11+'Assumptions'!$D$12*(0.5-(G17+H17)/2)</x:f>
        <x:v>0.34444444444444444</x:v>
      </x:c>
      <x:c r="J17" s="27" t="n">
        <x:f>'Assumptions'!$D$8*EXP(-'Assumptions'!$D$9*('Fleet Engine'!E195-10))*'Assumptions'!E55*'Assumptions'!D36</x:f>
        <x:v>22255.409284924677</x:v>
      </x:c>
      <x:c r="K17" s="27" t="n">
        <x:f>'Source Data'!F218+LN('Assumptions'!D55)+LN('Assumptions'!D35)</x:f>
        <x:v>7.909903025975467</x:v>
      </x:c>
      <x:c r="L17" s="27" t="n">
        <x:f>J17*(1-I17*(1-'Carrier Engine'!E91))</x:f>
        <x:v>14896.287281376251</x:v>
      </x:c>
      <x:c r="M17" s="29" t="n">
        <x:f>NORM.S.DIST((LN(L17)-K17)/'Assumptions'!$D$10,TRUE)</x:f>
        <x:v>0.8603739374321665</x:v>
      </x:c>
      <x:c r="N17" s="30" t="n">
        <x:f>MAX(0,H17-MAX(G17,M17))</x:f>
        <x:v>0</x:v>
      </x:c>
      <x:c r="O17" s="28" t="n">
        <x:f>J17*I17</x:f>
        <x:v>7665.752087029611</x:v>
      </x:c>
      <x:c r="P17" s="27" t="n">
        <x:f>(VLOOKUP(O17,'Fee Data'!$C$6:$G$50,2,TRUE)+O17*VLOOKUP(O17,'Fee Data'!$C$6:$G$50,3,TRUE)+VLOOKUP(O17,'Fee Data'!$I$6:$J$14,2,TRUE)+'Fee Data'!$J$20+'Fee Data'!$J$21)*'Assumptions'!D37</x:f>
        <x:v>1135</x:v>
      </x:c>
      <x:c r="Q17" s="27" t="n">
        <x:f>(VLOOKUP(O17,'Fee Data'!$C$6:$G$50,4,TRUE)+O17*VLOOKUP(O17,'Fee Data'!$C$6:$G$50,5,TRUE)+VLOOKUP(O17,'Fee Data'!$I$6:$J$14,2,TRUE)+'Fee Data'!$J$20+'Fee Data'!$J$21)*'Assumptions'!D37</x:f>
        <x:v>1010</x:v>
      </x:c>
      <x:c r="R17" s="27" t="n">
        <x:f>P17*(1-'Assumptions'!$D$14)+Q17*'Assumptions'!$D$14</x:f>
        <x:v>1072.5</x:v>
      </x:c>
      <x:c r="S17" s="27" t="n">
        <x:f>O17*'Carrier Engine'!E91</x:f>
        <x:v>306.63008348118433</x:v>
      </x:c>
      <x:c r="T17" s="28" t="n">
        <x:f>R17+S17</x:f>
        <x:v>1379.1300834811843</x:v>
      </x:c>
      <x:c r="U17" s="27" t="n">
        <x:f>N17*'Fleet Engine'!F195</x:f>
        <x:v>0</x:v>
      </x:c>
      <x:c r="V17" s="28" t="n">
        <x:f>U17*T17</x:f>
        <x:v>0</x:v>
      </x:c>
      <x:c r="W17" s="28" t="n">
        <x:f>U17*O17</x:f>
        <x:v>0</x:v>
      </x:c>
    </x:row>
    <x:row r="18" ht="19" customHeight="1">
      <x:c r="A18" s="2"/>
      <x:c r="B18" s="2"/>
      <x:c r="C18" s="46" t="n">
        <x:v>0</x:v>
      </x:c>
      <x:c r="D18" s="46" t="n">
        <x:v>1</x:v>
      </x:c>
      <x:c r="E18" s="46" t="n">
        <x:v>0</x:v>
      </x:c>
      <x:c r="F18" s="46" t="n">
        <x:v>1</x:v>
      </x:c>
      <x:c r="G18" s="12" t="n">
        <x:v>0.3333333333333333</x:v>
      </x:c>
      <x:c r="H18" s="12" t="n">
        <x:v>0.4444444444444444</x:v>
      </x:c>
      <x:c r="I18" s="29" t="n">
        <x:f>'Assumptions'!$D$11+'Assumptions'!$D$12*(0.5-(G18+H18)/2)</x:f>
        <x:v>0.32222222222222224</x:v>
      </x:c>
      <x:c r="J18" s="27" t="n">
        <x:f>'Assumptions'!$D$8*EXP(-'Assumptions'!$D$9*('Fleet Engine'!E195-10))*'Assumptions'!E55*'Assumptions'!D36</x:f>
        <x:v>22255.409284924677</x:v>
      </x:c>
      <x:c r="K18" s="27" t="n">
        <x:f>'Source Data'!F218+LN('Assumptions'!D55)+LN('Assumptions'!D35)</x:f>
        <x:v>7.909903025975467</x:v>
      </x:c>
      <x:c r="L18" s="27" t="n">
        <x:f>J18*(1-I18*(1-'Carrier Engine'!E91))</x:f>
        <x:v>15371.06934612131</x:v>
      </x:c>
      <x:c r="M18" s="29" t="n">
        <x:f>NORM.S.DIST((LN(L18)-K18)/'Assumptions'!$D$10,TRUE)</x:f>
        <x:v>0.8647653470677638</x:v>
      </x:c>
      <x:c r="N18" s="30" t="n">
        <x:f>MAX(0,H18-MAX(G18,M18))</x:f>
        <x:v>0</x:v>
      </x:c>
      <x:c r="O18" s="28" t="n">
        <x:f>J18*I18</x:f>
        <x:v>7171.187436253507</x:v>
      </x:c>
      <x:c r="P18" s="27" t="n">
        <x:f>(VLOOKUP(O18,'Fee Data'!$C$6:$G$50,2,TRUE)+O18*VLOOKUP(O18,'Fee Data'!$C$6:$G$50,3,TRUE)+VLOOKUP(O18,'Fee Data'!$I$6:$J$14,2,TRUE)+'Fee Data'!$J$20+'Fee Data'!$J$21)*'Assumptions'!D37</x:f>
        <x:v>1115</x:v>
      </x:c>
      <x:c r="Q18" s="27" t="n">
        <x:f>(VLOOKUP(O18,'Fee Data'!$C$6:$G$50,4,TRUE)+O18*VLOOKUP(O18,'Fee Data'!$C$6:$G$50,5,TRUE)+VLOOKUP(O18,'Fee Data'!$I$6:$J$14,2,TRUE)+'Fee Data'!$J$20+'Fee Data'!$J$21)*'Assumptions'!D37</x:f>
        <x:v>990</x:v>
      </x:c>
      <x:c r="R18" s="27" t="n">
        <x:f>P18*(1-'Assumptions'!$D$14)+Q18*'Assumptions'!$D$14</x:f>
        <x:v>1052.5</x:v>
      </x:c>
      <x:c r="S18" s="27" t="n">
        <x:f>O18*'Carrier Engine'!E91</x:f>
        <x:v>286.8474974501402</x:v>
      </x:c>
      <x:c r="T18" s="28" t="n">
        <x:f>R18+S18</x:f>
        <x:v>1339.3474974501403</x:v>
      </x:c>
      <x:c r="U18" s="27" t="n">
        <x:f>N18*'Fleet Engine'!F195</x:f>
        <x:v>0</x:v>
      </x:c>
      <x:c r="V18" s="28" t="n">
        <x:f>U18*T18</x:f>
        <x:v>0</x:v>
      </x:c>
      <x:c r="W18" s="28" t="n">
        <x:f>U18*O18</x:f>
        <x:v>0</x:v>
      </x:c>
    </x:row>
    <x:row r="19" ht="19" customHeight="1">
      <x:c r="A19" s="2"/>
      <x:c r="B19" s="2"/>
      <x:c r="C19" s="46" t="n">
        <x:v>0</x:v>
      </x:c>
      <x:c r="D19" s="46" t="n">
        <x:v>1</x:v>
      </x:c>
      <x:c r="E19" s="46" t="n">
        <x:v>0</x:v>
      </x:c>
      <x:c r="F19" s="46" t="n">
        <x:v>1</x:v>
      </x:c>
      <x:c r="G19" s="12" t="n">
        <x:v>0.4444444444444444</x:v>
      </x:c>
      <x:c r="H19" s="12" t="n">
        <x:v>0.5555555555555556</x:v>
      </x:c>
      <x:c r="I19" s="29" t="n">
        <x:f>'Assumptions'!$D$11+'Assumptions'!$D$12*(0.5-(G19+H19)/2)</x:f>
        <x:v>0.3</x:v>
      </x:c>
      <x:c r="J19" s="27" t="n">
        <x:f>'Assumptions'!$D$8*EXP(-'Assumptions'!$D$9*('Fleet Engine'!E195-10))*'Assumptions'!E55*'Assumptions'!D36</x:f>
        <x:v>22255.409284924677</x:v>
      </x:c>
      <x:c r="K19" s="27" t="n">
        <x:f>'Source Data'!F218+LN('Assumptions'!D55)+LN('Assumptions'!D35)</x:f>
        <x:v>7.909903025975467</x:v>
      </x:c>
      <x:c r="L19" s="27" t="n">
        <x:f>J19*(1-I19*(1-'Carrier Engine'!E91))</x:f>
        <x:v>15845.85141086637</x:v>
      </x:c>
      <x:c r="M19" s="29" t="n">
        <x:f>NORM.S.DIST((LN(L19)-K19)/'Assumptions'!$D$10,TRUE)</x:f>
        <x:v>0.8689318372553634</x:v>
      </x:c>
      <x:c r="N19" s="30" t="n">
        <x:f>MAX(0,H19-MAX(G19,M19))</x:f>
        <x:v>0</x:v>
      </x:c>
      <x:c r="O19" s="28" t="n">
        <x:f>J19*I19</x:f>
        <x:v>6676.622785477403</x:v>
      </x:c>
      <x:c r="P19" s="27" t="n">
        <x:f>(VLOOKUP(O19,'Fee Data'!$C$6:$G$50,2,TRUE)+O19*VLOOKUP(O19,'Fee Data'!$C$6:$G$50,3,TRUE)+VLOOKUP(O19,'Fee Data'!$I$6:$J$14,2,TRUE)+'Fee Data'!$J$20+'Fee Data'!$J$21)*'Assumptions'!D37</x:f>
        <x:v>1080</x:v>
      </x:c>
      <x:c r="Q19" s="27" t="n">
        <x:f>(VLOOKUP(O19,'Fee Data'!$C$6:$G$50,4,TRUE)+O19*VLOOKUP(O19,'Fee Data'!$C$6:$G$50,5,TRUE)+VLOOKUP(O19,'Fee Data'!$I$6:$J$14,2,TRUE)+'Fee Data'!$J$20+'Fee Data'!$J$21)*'Assumptions'!D37</x:f>
        <x:v>955</x:v>
      </x:c>
      <x:c r="R19" s="27" t="n">
        <x:f>P19*(1-'Assumptions'!$D$14)+Q19*'Assumptions'!$D$14</x:f>
        <x:v>1017.5</x:v>
      </x:c>
      <x:c r="S19" s="27" t="n">
        <x:f>O19*'Carrier Engine'!E91</x:f>
        <x:v>267.06491141909606</x:v>
      </x:c>
      <x:c r="T19" s="28" t="n">
        <x:f>R19+S19</x:f>
        <x:v>1284.564911419096</x:v>
      </x:c>
      <x:c r="U19" s="27" t="n">
        <x:f>N19*'Fleet Engine'!F195</x:f>
        <x:v>0</x:v>
      </x:c>
      <x:c r="V19" s="28" t="n">
        <x:f>U19*T19</x:f>
        <x:v>0</x:v>
      </x:c>
      <x:c r="W19" s="28" t="n">
        <x:f>U19*O19</x:f>
        <x:v>0</x:v>
      </x:c>
    </x:row>
    <x:row r="20" ht="19" customHeight="1">
      <x:c r="A20" s="2"/>
      <x:c r="B20" s="2"/>
      <x:c r="C20" s="46" t="n">
        <x:v>0</x:v>
      </x:c>
      <x:c r="D20" s="46" t="n">
        <x:v>1</x:v>
      </x:c>
      <x:c r="E20" s="46" t="n">
        <x:v>0</x:v>
      </x:c>
      <x:c r="F20" s="46" t="n">
        <x:v>1</x:v>
      </x:c>
      <x:c r="G20" s="12" t="n">
        <x:v>0.5555555555555556</x:v>
      </x:c>
      <x:c r="H20" s="12" t="n">
        <x:v>0.6666666666666666</x:v>
      </x:c>
      <x:c r="I20" s="29" t="n">
        <x:f>'Assumptions'!$D$11+'Assumptions'!$D$12*(0.5-(G20+H20)/2)</x:f>
        <x:v>0.27777777777777773</x:v>
      </x:c>
      <x:c r="J20" s="27" t="n">
        <x:f>'Assumptions'!$D$8*EXP(-'Assumptions'!$D$9*('Fleet Engine'!E195-10))*'Assumptions'!E55*'Assumptions'!D36</x:f>
        <x:v>22255.409284924677</x:v>
      </x:c>
      <x:c r="K20" s="27" t="n">
        <x:f>'Source Data'!F218+LN('Assumptions'!D55)+LN('Assumptions'!D35)</x:f>
        <x:v>7.909903025975467</x:v>
      </x:c>
      <x:c r="L20" s="27" t="n">
        <x:f>J20*(1-I20*(1-'Carrier Engine'!E91))</x:f>
        <x:v>16320.633475611432</x:v>
      </x:c>
      <x:c r="M20" s="29" t="n">
        <x:f>NORM.S.DIST((LN(L20)-K20)/'Assumptions'!$D$10,TRUE)</x:f>
        <x:v>0.8728896986796358</x:v>
      </x:c>
      <x:c r="N20" s="30" t="n">
        <x:f>MAX(0,H20-MAX(G20,M20))</x:f>
        <x:v>0</x:v>
      </x:c>
      <x:c r="O20" s="28" t="n">
        <x:f>J20*I20</x:f>
        <x:v>6182.0581347012985</x:v>
      </x:c>
      <x:c r="P20" s="27" t="n">
        <x:f>(VLOOKUP(O20,'Fee Data'!$C$6:$G$50,2,TRUE)+O20*VLOOKUP(O20,'Fee Data'!$C$6:$G$50,3,TRUE)+VLOOKUP(O20,'Fee Data'!$I$6:$J$14,2,TRUE)+'Fee Data'!$J$20+'Fee Data'!$J$21)*'Assumptions'!D37</x:f>
        <x:v>1060</x:v>
      </x:c>
      <x:c r="Q20" s="27" t="n">
        <x:f>(VLOOKUP(O20,'Fee Data'!$C$6:$G$50,4,TRUE)+O20*VLOOKUP(O20,'Fee Data'!$C$6:$G$50,5,TRUE)+VLOOKUP(O20,'Fee Data'!$I$6:$J$14,2,TRUE)+'Fee Data'!$J$20+'Fee Data'!$J$21)*'Assumptions'!D37</x:f>
        <x:v>935</x:v>
      </x:c>
      <x:c r="R20" s="27" t="n">
        <x:f>P20*(1-'Assumptions'!$D$14)+Q20*'Assumptions'!$D$14</x:f>
        <x:v>997.5</x:v>
      </x:c>
      <x:c r="S20" s="27" t="n">
        <x:f>O20*'Carrier Engine'!E91</x:f>
        <x:v>247.28232538805187</x:v>
      </x:c>
      <x:c r="T20" s="28" t="n">
        <x:f>R20+S20</x:f>
        <x:v>1244.782325388052</x:v>
      </x:c>
      <x:c r="U20" s="27" t="n">
        <x:f>N20*'Fleet Engine'!F195</x:f>
        <x:v>0</x:v>
      </x:c>
      <x:c r="V20" s="28" t="n">
        <x:f>U20*T20</x:f>
        <x:v>0</x:v>
      </x:c>
      <x:c r="W20" s="28" t="n">
        <x:f>U20*O20</x:f>
        <x:v>0</x:v>
      </x:c>
    </x:row>
    <x:row r="21" ht="19" customHeight="1">
      <x:c r="A21" s="2"/>
      <x:c r="B21" s="2"/>
      <x:c r="C21" s="46" t="n">
        <x:v>0</x:v>
      </x:c>
      <x:c r="D21" s="46" t="n">
        <x:v>1</x:v>
      </x:c>
      <x:c r="E21" s="46" t="n">
        <x:v>0</x:v>
      </x:c>
      <x:c r="F21" s="46" t="n">
        <x:v>1</x:v>
      </x:c>
      <x:c r="G21" s="12" t="n">
        <x:v>0.6666666666666666</x:v>
      </x:c>
      <x:c r="H21" s="12" t="n">
        <x:v>0.7777777777777778</x:v>
      </x:c>
      <x:c r="I21" s="29" t="n">
        <x:f>'Assumptions'!$D$11+'Assumptions'!$D$12*(0.5-(G21+H21)/2)</x:f>
        <x:v>0.25555555555555554</x:v>
      </x:c>
      <x:c r="J21" s="27" t="n">
        <x:f>'Assumptions'!$D$8*EXP(-'Assumptions'!$D$9*('Fleet Engine'!E195-10))*'Assumptions'!E55*'Assumptions'!D36</x:f>
        <x:v>22255.409284924677</x:v>
      </x:c>
      <x:c r="K21" s="27" t="n">
        <x:f>'Source Data'!F218+LN('Assumptions'!D55)+LN('Assumptions'!D35)</x:f>
        <x:v>7.909903025975467</x:v>
      </x:c>
      <x:c r="L21" s="27" t="n">
        <x:f>J21*(1-I21*(1-'Carrier Engine'!E91))</x:f>
        <x:v>16795.41554035649</x:v>
      </x:c>
      <x:c r="M21" s="29" t="n">
        <x:f>NORM.S.DIST((LN(L21)-K21)/'Assumptions'!$D$10,TRUE)</x:f>
        <x:v>0.8766536909691995</x:v>
      </x:c>
      <x:c r="N21" s="30" t="n">
        <x:f>MAX(0,H21-MAX(G21,M21))</x:f>
        <x:v>0</x:v>
      </x:c>
      <x:c r="O21" s="28" t="n">
        <x:f>J21*I21</x:f>
        <x:v>5687.493483925195</x:v>
      </x:c>
      <x:c r="P21" s="27" t="n">
        <x:f>(VLOOKUP(O21,'Fee Data'!$C$6:$G$50,2,TRUE)+O21*VLOOKUP(O21,'Fee Data'!$C$6:$G$50,3,TRUE)+VLOOKUP(O21,'Fee Data'!$I$6:$J$14,2,TRUE)+'Fee Data'!$J$20+'Fee Data'!$J$21)*'Assumptions'!D37</x:f>
        <x:v>1020</x:v>
      </x:c>
      <x:c r="Q21" s="27" t="n">
        <x:f>(VLOOKUP(O21,'Fee Data'!$C$6:$G$50,4,TRUE)+O21*VLOOKUP(O21,'Fee Data'!$C$6:$G$50,5,TRUE)+VLOOKUP(O21,'Fee Data'!$I$6:$J$14,2,TRUE)+'Fee Data'!$J$20+'Fee Data'!$J$21)*'Assumptions'!D37</x:f>
        <x:v>895</x:v>
      </x:c>
      <x:c r="R21" s="27" t="n">
        <x:f>P21*(1-'Assumptions'!$D$14)+Q21*'Assumptions'!$D$14</x:f>
        <x:v>957.5</x:v>
      </x:c>
      <x:c r="S21" s="27" t="n">
        <x:f>O21*'Carrier Engine'!E91</x:f>
        <x:v>227.4997393570077</x:v>
      </x:c>
      <x:c r="T21" s="28" t="n">
        <x:f>R21+S21</x:f>
        <x:v>1184.9997393570077</x:v>
      </x:c>
      <x:c r="U21" s="27" t="n">
        <x:f>N21*'Fleet Engine'!F195</x:f>
        <x:v>0</x:v>
      </x:c>
      <x:c r="V21" s="28" t="n">
        <x:f>U21*T21</x:f>
        <x:v>0</x:v>
      </x:c>
      <x:c r="W21" s="28" t="n">
        <x:f>U21*O21</x:f>
        <x:v>0</x:v>
      </x:c>
    </x:row>
    <x:row r="22" ht="19" customHeight="1">
      <x:c r="A22" s="2"/>
      <x:c r="B22" s="2"/>
      <x:c r="C22" s="46" t="n">
        <x:v>0</x:v>
      </x:c>
      <x:c r="D22" s="46" t="n">
        <x:v>1</x:v>
      </x:c>
      <x:c r="E22" s="46" t="n">
        <x:v>0</x:v>
      </x:c>
      <x:c r="F22" s="46" t="n">
        <x:v>1</x:v>
      </x:c>
      <x:c r="G22" s="12" t="n">
        <x:v>0.7777777777777778</x:v>
      </x:c>
      <x:c r="H22" s="12" t="n">
        <x:v>0.8888888888888888</x:v>
      </x:c>
      <x:c r="I22" s="29" t="n">
        <x:f>'Assumptions'!$D$11+'Assumptions'!$D$12*(0.5-(G22+H22)/2)</x:f>
        <x:v>0.23333333333333334</x:v>
      </x:c>
      <x:c r="J22" s="27" t="n">
        <x:f>'Assumptions'!$D$8*EXP(-'Assumptions'!$D$9*('Fleet Engine'!E195-10))*'Assumptions'!E55*'Assumptions'!D36</x:f>
        <x:v>22255.409284924677</x:v>
      </x:c>
      <x:c r="K22" s="27" t="n">
        <x:f>'Source Data'!F218+LN('Assumptions'!D55)+LN('Assumptions'!D35)</x:f>
        <x:v>7.909903025975467</x:v>
      </x:c>
      <x:c r="L22" s="27" t="n">
        <x:f>J22*(1-I22*(1-'Carrier Engine'!E91))</x:f>
        <x:v>17270.19760510155</x:v>
      </x:c>
      <x:c r="M22" s="29" t="n">
        <x:f>NORM.S.DIST((LN(L22)-K22)/'Assumptions'!$D$10,TRUE)</x:f>
        <x:v>0.880237219264955</x:v>
      </x:c>
      <x:c r="N22" s="30" t="n">
        <x:f>MAX(0,H22-MAX(G22,M22))</x:f>
        <x:v>0.008651669623933822</x:v>
      </x:c>
      <x:c r="O22" s="28" t="n">
        <x:f>J22*I22</x:f>
        <x:v>5192.928833149092</x:v>
      </x:c>
      <x:c r="P22" s="27" t="n">
        <x:f>(VLOOKUP(O22,'Fee Data'!$C$6:$G$50,2,TRUE)+O22*VLOOKUP(O22,'Fee Data'!$C$6:$G$50,3,TRUE)+VLOOKUP(O22,'Fee Data'!$I$6:$J$14,2,TRUE)+'Fee Data'!$J$20+'Fee Data'!$J$21)*'Assumptions'!D37</x:f>
        <x:v>995</x:v>
      </x:c>
      <x:c r="Q22" s="27" t="n">
        <x:f>(VLOOKUP(O22,'Fee Data'!$C$6:$G$50,4,TRUE)+O22*VLOOKUP(O22,'Fee Data'!$C$6:$G$50,5,TRUE)+VLOOKUP(O22,'Fee Data'!$I$6:$J$14,2,TRUE)+'Fee Data'!$J$20+'Fee Data'!$J$21)*'Assumptions'!D37</x:f>
        <x:v>870</x:v>
      </x:c>
      <x:c r="R22" s="27" t="n">
        <x:f>P22*(1-'Assumptions'!$D$14)+Q22*'Assumptions'!$D$14</x:f>
        <x:v>932.5</x:v>
      </x:c>
      <x:c r="S22" s="27" t="n">
        <x:f>O22*'Carrier Engine'!E91</x:f>
        <x:v>207.7171533259636</x:v>
      </x:c>
      <x:c r="T22" s="28" t="n">
        <x:f>R22+S22</x:f>
        <x:v>1140.2171533259636</x:v>
      </x:c>
      <x:c r="U22" s="27" t="n">
        <x:f>N22*'Fleet Engine'!F195</x:f>
        <x:v>79.61688012075881</x:v>
      </x:c>
      <x:c r="V22" s="28" t="n">
        <x:f>U22*T22</x:f>
        <x:v>90780.53240798612</x:v>
      </x:c>
      <x:c r="W22" s="28" t="n">
        <x:f>U22*O22</x:f>
        <x:v>413444.79238446313</x:v>
      </x:c>
    </x:row>
    <x:row r="23" ht="19" customHeight="1">
      <x:c r="A23" s="2"/>
      <x:c r="B23" s="2"/>
      <x:c r="C23" s="46" t="n">
        <x:v>0</x:v>
      </x:c>
      <x:c r="D23" s="46" t="n">
        <x:v>1</x:v>
      </x:c>
      <x:c r="E23" s="46" t="n">
        <x:v>0</x:v>
      </x:c>
      <x:c r="F23" s="46" t="n">
        <x:v>1</x:v>
      </x:c>
      <x:c r="G23" s="12" t="n">
        <x:v>0.8888888888888888</x:v>
      </x:c>
      <x:c r="H23" s="12" t="n">
        <x:v>1</x:v>
      </x:c>
      <x:c r="I23" s="29" t="n">
        <x:f>'Assumptions'!$D$11+'Assumptions'!$D$12*(0.5-(G23+H23)/2)</x:f>
        <x:v>0.21111111111111108</x:v>
      </x:c>
      <x:c r="J23" s="27" t="n">
        <x:f>'Assumptions'!$D$8*EXP(-'Assumptions'!$D$9*('Fleet Engine'!E195-10))*'Assumptions'!E55*'Assumptions'!D36</x:f>
        <x:v>22255.409284924677</x:v>
      </x:c>
      <x:c r="K23" s="27" t="n">
        <x:f>'Source Data'!F218+LN('Assumptions'!D55)+LN('Assumptions'!D35)</x:f>
        <x:v>7.909903025975467</x:v>
      </x:c>
      <x:c r="L23" s="27" t="n">
        <x:f>J23*(1-I23*(1-'Carrier Engine'!E91))</x:f>
        <x:v>17744.97966984661</x:v>
      </x:c>
      <x:c r="M23" s="29" t="n">
        <x:f>NORM.S.DIST((LN(L23)-K23)/'Assumptions'!$D$10,TRUE)</x:f>
        <x:v>0.8836524867448694</x:v>
      </x:c>
      <x:c r="N23" s="30" t="n">
        <x:f>MAX(0,H23-MAX(G23,M23))</x:f>
        <x:v>0.11111111111111116</x:v>
      </x:c>
      <x:c r="O23" s="28" t="n">
        <x:f>J23*I23</x:f>
        <x:v>4698.364182372987</x:v>
      </x:c>
      <x:c r="P23" s="27" t="n">
        <x:f>(VLOOKUP(O23,'Fee Data'!$C$6:$G$50,2,TRUE)+O23*VLOOKUP(O23,'Fee Data'!$C$6:$G$50,3,TRUE)+VLOOKUP(O23,'Fee Data'!$I$6:$J$14,2,TRUE)+'Fee Data'!$J$20+'Fee Data'!$J$21)*'Assumptions'!D37</x:f>
        <x:v>970</x:v>
      </x:c>
      <x:c r="Q23" s="27" t="n">
        <x:f>(VLOOKUP(O23,'Fee Data'!$C$6:$G$50,4,TRUE)+O23*VLOOKUP(O23,'Fee Data'!$C$6:$G$50,5,TRUE)+VLOOKUP(O23,'Fee Data'!$I$6:$J$14,2,TRUE)+'Fee Data'!$J$20+'Fee Data'!$J$21)*'Assumptions'!D37</x:f>
        <x:v>845</x:v>
      </x:c>
      <x:c r="R23" s="27" t="n">
        <x:f>P23*(1-'Assumptions'!$D$14)+Q23*'Assumptions'!$D$14</x:f>
        <x:v>907.5</x:v>
      </x:c>
      <x:c r="S23" s="27" t="n">
        <x:f>O23*'Carrier Engine'!E91</x:f>
        <x:v>187.93456729491942</x:v>
      </x:c>
      <x:c r="T23" s="28" t="n">
        <x:f>R23+S23</x:f>
        <x:v>1095.4345672949194</x:v>
      </x:c>
      <x:c r="U23" s="27" t="n">
        <x:f>N23*'Fleet Engine'!F195</x:f>
        <x:v>1022.4985925196854</x:v>
      </x:c>
      <x:c r="V23" s="28" t="n">
        <x:f>U23*T23</x:f>
        <x:v>1120080.3032564656</x:v>
      </x:c>
      <x:c r="W23" s="28" t="n">
        <x:f>U23*O23</x:f>
        <x:v>4804070.763621282</x:v>
      </x:c>
    </x:row>
    <x:row r="24" ht="19" customHeight="1">
      <x:c r="A24" s="2"/>
      <x:c r="B24" s="2"/>
      <x:c r="C24" s="46" t="n">
        <x:v>0</x:v>
      </x:c>
      <x:c r="D24" s="46" t="n">
        <x:v>2</x:v>
      </x:c>
      <x:c r="E24" s="46" t="n">
        <x:v>0</x:v>
      </x:c>
      <x:c r="F24" s="46" t="n">
        <x:v>2</x:v>
      </x:c>
      <x:c r="G24" s="12" t="n">
        <x:v>0</x:v>
      </x:c>
      <x:c r="H24" s="12" t="n">
        <x:v>0.1111111111111111</x:v>
      </x:c>
      <x:c r="I24" s="29" t="n">
        <x:f>'Assumptions'!$D$11+'Assumptions'!$D$12*(0.5-(G24+H24)/2)</x:f>
        <x:v>0.3888888888888889</x:v>
      </x:c>
      <x:c r="J24" s="27" t="n">
        <x:f>'Assumptions'!$D$8*EXP(-'Assumptions'!$D$9*('Fleet Engine'!E196-10))*'Assumptions'!E55*'Assumptions'!D36</x:f>
        <x:v>16487.212707001283</x:v>
      </x:c>
      <x:c r="K24" s="27" t="n">
        <x:f>'Source Data'!F219+LN('Assumptions'!D55)+LN('Assumptions'!D35)</x:f>
        <x:v>7.955584867261274</x:v>
      </x:c>
      <x:c r="L24" s="27" t="n">
        <x:f>J24*(1-I24*(1-'Carrier Engine'!E91))</x:f>
        <x:v>10331.986629720805</x:v>
      </x:c>
      <x:c r="M24" s="29" t="n">
        <x:f>NORM.S.DIST((LN(L24)-K24)/'Assumptions'!$D$10,TRUE)</x:f>
        <x:v>0.7938640109511643</x:v>
      </x:c>
      <x:c r="N24" s="30" t="n">
        <x:f>MAX(0,H24-MAX(G24,M24))</x:f>
        <x:v>0</x:v>
      </x:c>
      <x:c r="O24" s="28" t="n">
        <x:f>J24*I24</x:f>
        <x:v>6411.693830500499</x:v>
      </x:c>
      <x:c r="P24" s="27" t="n">
        <x:f>(VLOOKUP(O24,'Fee Data'!$C$6:$G$50,2,TRUE)+O24*VLOOKUP(O24,'Fee Data'!$C$6:$G$50,3,TRUE)+VLOOKUP(O24,'Fee Data'!$I$6:$J$14,2,TRUE)+'Fee Data'!$J$20+'Fee Data'!$J$21)*'Assumptions'!D37</x:f>
        <x:v>1060</x:v>
      </x:c>
      <x:c r="Q24" s="27" t="n">
        <x:f>(VLOOKUP(O24,'Fee Data'!$C$6:$G$50,4,TRUE)+O24*VLOOKUP(O24,'Fee Data'!$C$6:$G$50,5,TRUE)+VLOOKUP(O24,'Fee Data'!$I$6:$J$14,2,TRUE)+'Fee Data'!$J$20+'Fee Data'!$J$21)*'Assumptions'!D37</x:f>
        <x:v>935</x:v>
      </x:c>
      <x:c r="R24" s="27" t="n">
        <x:f>P24*(1-'Assumptions'!$D$14)+Q24*'Assumptions'!$D$14</x:f>
        <x:v>997.5</x:v>
      </x:c>
      <x:c r="S24" s="27" t="n">
        <x:f>O24*'Carrier Engine'!E91</x:f>
        <x:v>256.46775322001986</x:v>
      </x:c>
      <x:c r="T24" s="28" t="n">
        <x:f>R24+S24</x:f>
        <x:v>1253.9677532200199</x:v>
      </x:c>
      <x:c r="U24" s="27" t="n">
        <x:f>N24*'Fleet Engine'!F196</x:f>
        <x:v>0</x:v>
      </x:c>
      <x:c r="V24" s="28" t="n">
        <x:f>U24*T24</x:f>
        <x:v>0</x:v>
      </x:c>
      <x:c r="W24" s="28" t="n">
        <x:f>U24*O24</x:f>
        <x:v>0</x:v>
      </x:c>
    </x:row>
    <x:row r="25" ht="19" customHeight="1">
      <x:c r="A25" s="2"/>
      <x:c r="B25" s="2"/>
      <x:c r="C25" s="46" t="n">
        <x:v>0</x:v>
      </x:c>
      <x:c r="D25" s="46" t="n">
        <x:v>2</x:v>
      </x:c>
      <x:c r="E25" s="46" t="n">
        <x:v>0</x:v>
      </x:c>
      <x:c r="F25" s="46" t="n">
        <x:v>2</x:v>
      </x:c>
      <x:c r="G25" s="12" t="n">
        <x:v>0.1111111111111111</x:v>
      </x:c>
      <x:c r="H25" s="12" t="n">
        <x:v>0.2222222222222222</x:v>
      </x:c>
      <x:c r="I25" s="29" t="n">
        <x:f>'Assumptions'!$D$11+'Assumptions'!$D$12*(0.5-(G25+H25)/2)</x:f>
        <x:v>0.3666666666666667</x:v>
      </x:c>
      <x:c r="J25" s="27" t="n">
        <x:f>'Assumptions'!$D$8*EXP(-'Assumptions'!$D$9*('Fleet Engine'!E196-10))*'Assumptions'!E55*'Assumptions'!D36</x:f>
        <x:v>16487.212707001283</x:v>
      </x:c>
      <x:c r="K25" s="27" t="n">
        <x:f>'Source Data'!F219+LN('Assumptions'!D55)+LN('Assumptions'!D35)</x:f>
        <x:v>7.955584867261274</x:v>
      </x:c>
      <x:c r="L25" s="27" t="n">
        <x:f>J25*(1-I25*(1-'Carrier Engine'!E91))</x:f>
        <x:v>10683.71383413683</x:v>
      </x:c>
      <x:c r="M25" s="29" t="n">
        <x:f>NORM.S.DIST((LN(L25)-K25)/'Assumptions'!$D$10,TRUE)</x:f>
        <x:v>0.7998880565872375</x:v>
      </x:c>
      <x:c r="N25" s="30" t="n">
        <x:f>MAX(0,H25-MAX(G25,M25))</x:f>
        <x:v>0</x:v>
      </x:c>
      <x:c r="O25" s="28" t="n">
        <x:f>J25*I25</x:f>
        <x:v>6045.311325900471</x:v>
      </x:c>
      <x:c r="P25" s="27" t="n">
        <x:f>(VLOOKUP(O25,'Fee Data'!$C$6:$G$50,2,TRUE)+O25*VLOOKUP(O25,'Fee Data'!$C$6:$G$50,3,TRUE)+VLOOKUP(O25,'Fee Data'!$I$6:$J$14,2,TRUE)+'Fee Data'!$J$20+'Fee Data'!$J$21)*'Assumptions'!D37</x:f>
        <x:v>1060</x:v>
      </x:c>
      <x:c r="Q25" s="27" t="n">
        <x:f>(VLOOKUP(O25,'Fee Data'!$C$6:$G$50,4,TRUE)+O25*VLOOKUP(O25,'Fee Data'!$C$6:$G$50,5,TRUE)+VLOOKUP(O25,'Fee Data'!$I$6:$J$14,2,TRUE)+'Fee Data'!$J$20+'Fee Data'!$J$21)*'Assumptions'!D37</x:f>
        <x:v>935</x:v>
      </x:c>
      <x:c r="R25" s="27" t="n">
        <x:f>P25*(1-'Assumptions'!$D$14)+Q25*'Assumptions'!$D$14</x:f>
        <x:v>997.5</x:v>
      </x:c>
      <x:c r="S25" s="27" t="n">
        <x:f>O25*'Carrier Engine'!E91</x:f>
        <x:v>241.81245303601878</x:v>
      </x:c>
      <x:c r="T25" s="28" t="n">
        <x:f>R25+S25</x:f>
        <x:v>1239.3124530360187</x:v>
      </x:c>
      <x:c r="U25" s="27" t="n">
        <x:f>N25*'Fleet Engine'!F196</x:f>
        <x:v>0</x:v>
      </x:c>
      <x:c r="V25" s="28" t="n">
        <x:f>U25*T25</x:f>
        <x:v>0</x:v>
      </x:c>
      <x:c r="W25" s="28" t="n">
        <x:f>U25*O25</x:f>
        <x:v>0</x:v>
      </x:c>
    </x:row>
    <x:row r="26" ht="19" customHeight="1">
      <x:c r="A26" s="2"/>
      <x:c r="B26" s="2"/>
      <x:c r="C26" s="46" t="n">
        <x:v>0</x:v>
      </x:c>
      <x:c r="D26" s="46" t="n">
        <x:v>2</x:v>
      </x:c>
      <x:c r="E26" s="46" t="n">
        <x:v>0</x:v>
      </x:c>
      <x:c r="F26" s="46" t="n">
        <x:v>2</x:v>
      </x:c>
      <x:c r="G26" s="12" t="n">
        <x:v>0.2222222222222222</x:v>
      </x:c>
      <x:c r="H26" s="12" t="n">
        <x:v>0.3333333333333333</x:v>
      </x:c>
      <x:c r="I26" s="29" t="n">
        <x:f>'Assumptions'!$D$11+'Assumptions'!$D$12*(0.5-(G26+H26)/2)</x:f>
        <x:v>0.34444444444444444</x:v>
      </x:c>
      <x:c r="J26" s="27" t="n">
        <x:f>'Assumptions'!$D$8*EXP(-'Assumptions'!$D$9*('Fleet Engine'!E196-10))*'Assumptions'!E55*'Assumptions'!D36</x:f>
        <x:v>16487.212707001283</x:v>
      </x:c>
      <x:c r="K26" s="27" t="n">
        <x:f>'Source Data'!F219+LN('Assumptions'!D55)+LN('Assumptions'!D35)</x:f>
        <x:v>7.955584867261274</x:v>
      </x:c>
      <x:c r="L26" s="27" t="n">
        <x:f>J26*(1-I26*(1-'Carrier Engine'!E91))</x:f>
        <x:v>11035.441038552859</x:v>
      </x:c>
      <x:c r="M26" s="29" t="n">
        <x:f>NORM.S.DIST((LN(L26)-K26)/'Assumptions'!$D$10,TRUE)</x:f>
        <x:v>0.8056150406948284</x:v>
      </x:c>
      <x:c r="N26" s="30" t="n">
        <x:f>MAX(0,H26-MAX(G26,M26))</x:f>
        <x:v>0</x:v>
      </x:c>
      <x:c r="O26" s="28" t="n">
        <x:f>J26*I26</x:f>
        <x:v>5678.928821300442</x:v>
      </x:c>
      <x:c r="P26" s="27" t="n">
        <x:f>(VLOOKUP(O26,'Fee Data'!$C$6:$G$50,2,TRUE)+O26*VLOOKUP(O26,'Fee Data'!$C$6:$G$50,3,TRUE)+VLOOKUP(O26,'Fee Data'!$I$6:$J$14,2,TRUE)+'Fee Data'!$J$20+'Fee Data'!$J$21)*'Assumptions'!D37</x:f>
        <x:v>1020</x:v>
      </x:c>
      <x:c r="Q26" s="27" t="n">
        <x:f>(VLOOKUP(O26,'Fee Data'!$C$6:$G$50,4,TRUE)+O26*VLOOKUP(O26,'Fee Data'!$C$6:$G$50,5,TRUE)+VLOOKUP(O26,'Fee Data'!$I$6:$J$14,2,TRUE)+'Fee Data'!$J$20+'Fee Data'!$J$21)*'Assumptions'!D37</x:f>
        <x:v>895</x:v>
      </x:c>
      <x:c r="R26" s="27" t="n">
        <x:f>P26*(1-'Assumptions'!$D$14)+Q26*'Assumptions'!$D$14</x:f>
        <x:v>957.5</x:v>
      </x:c>
      <x:c r="S26" s="27" t="n">
        <x:f>O26*'Carrier Engine'!E91</x:f>
        <x:v>227.15715285201762</x:v>
      </x:c>
      <x:c r="T26" s="28" t="n">
        <x:f>R26+S26</x:f>
        <x:v>1184.6571528520176</x:v>
      </x:c>
      <x:c r="U26" s="27" t="n">
        <x:f>N26*'Fleet Engine'!F196</x:f>
        <x:v>0</x:v>
      </x:c>
      <x:c r="V26" s="28" t="n">
        <x:f>U26*T26</x:f>
        <x:v>0</x:v>
      </x:c>
      <x:c r="W26" s="28" t="n">
        <x:f>U26*O26</x:f>
        <x:v>0</x:v>
      </x:c>
    </x:row>
    <x:row r="27" ht="19" customHeight="1">
      <x:c r="A27" s="2"/>
      <x:c r="B27" s="2"/>
      <x:c r="C27" s="46" t="n">
        <x:v>0</x:v>
      </x:c>
      <x:c r="D27" s="46" t="n">
        <x:v>2</x:v>
      </x:c>
      <x:c r="E27" s="46" t="n">
        <x:v>0</x:v>
      </x:c>
      <x:c r="F27" s="46" t="n">
        <x:v>2</x:v>
      </x:c>
      <x:c r="G27" s="12" t="n">
        <x:v>0.3333333333333333</x:v>
      </x:c>
      <x:c r="H27" s="12" t="n">
        <x:v>0.4444444444444444</x:v>
      </x:c>
      <x:c r="I27" s="29" t="n">
        <x:f>'Assumptions'!$D$11+'Assumptions'!$D$12*(0.5-(G27+H27)/2)</x:f>
        <x:v>0.32222222222222224</x:v>
      </x:c>
      <x:c r="J27" s="27" t="n">
        <x:f>'Assumptions'!$D$8*EXP(-'Assumptions'!$D$9*('Fleet Engine'!E196-10))*'Assumptions'!E55*'Assumptions'!D36</x:f>
        <x:v>16487.212707001283</x:v>
      </x:c>
      <x:c r="K27" s="27" t="n">
        <x:f>'Source Data'!F219+LN('Assumptions'!D55)+LN('Assumptions'!D35)</x:f>
        <x:v>7.955584867261274</x:v>
      </x:c>
      <x:c r="L27" s="27" t="n">
        <x:f>J27*(1-I27*(1-'Carrier Engine'!E91))</x:f>
        <x:v>11387.168242968886</x:v>
      </x:c>
      <x:c r="M27" s="29" t="n">
        <x:f>NORM.S.DIST((LN(L27)-K27)/'Assumptions'!$D$10,TRUE)</x:f>
        <x:v>0.8110661143853564</x:v>
      </x:c>
      <x:c r="N27" s="30" t="n">
        <x:f>MAX(0,H27-MAX(G27,M27))</x:f>
        <x:v>0</x:v>
      </x:c>
      <x:c r="O27" s="28" t="n">
        <x:f>J27*I27</x:f>
        <x:v>5312.546316700414</x:v>
      </x:c>
      <x:c r="P27" s="27" t="n">
        <x:f>(VLOOKUP(O27,'Fee Data'!$C$6:$G$50,2,TRUE)+O27*VLOOKUP(O27,'Fee Data'!$C$6:$G$50,3,TRUE)+VLOOKUP(O27,'Fee Data'!$I$6:$J$14,2,TRUE)+'Fee Data'!$J$20+'Fee Data'!$J$21)*'Assumptions'!D37</x:f>
        <x:v>995</x:v>
      </x:c>
      <x:c r="Q27" s="27" t="n">
        <x:f>(VLOOKUP(O27,'Fee Data'!$C$6:$G$50,4,TRUE)+O27*VLOOKUP(O27,'Fee Data'!$C$6:$G$50,5,TRUE)+VLOOKUP(O27,'Fee Data'!$I$6:$J$14,2,TRUE)+'Fee Data'!$J$20+'Fee Data'!$J$21)*'Assumptions'!D37</x:f>
        <x:v>870</x:v>
      </x:c>
      <x:c r="R27" s="27" t="n">
        <x:f>P27*(1-'Assumptions'!$D$14)+Q27*'Assumptions'!$D$14</x:f>
        <x:v>932.5</x:v>
      </x:c>
      <x:c r="S27" s="27" t="n">
        <x:f>O27*'Carrier Engine'!E91</x:f>
        <x:v>212.50185266801648</x:v>
      </x:c>
      <x:c r="T27" s="28" t="n">
        <x:f>R27+S27</x:f>
        <x:v>1145.0018526680165</x:v>
      </x:c>
      <x:c r="U27" s="27" t="n">
        <x:f>N27*'Fleet Engine'!F196</x:f>
        <x:v>0</x:v>
      </x:c>
      <x:c r="V27" s="28" t="n">
        <x:f>U27*T27</x:f>
        <x:v>0</x:v>
      </x:c>
      <x:c r="W27" s="28" t="n">
        <x:f>U27*O27</x:f>
        <x:v>0</x:v>
      </x:c>
    </x:row>
    <x:row r="28" ht="19" customHeight="1">
      <x:c r="A28" s="2"/>
      <x:c r="B28" s="2"/>
      <x:c r="C28" s="46" t="n">
        <x:v>0</x:v>
      </x:c>
      <x:c r="D28" s="46" t="n">
        <x:v>2</x:v>
      </x:c>
      <x:c r="E28" s="46" t="n">
        <x:v>0</x:v>
      </x:c>
      <x:c r="F28" s="46" t="n">
        <x:v>2</x:v>
      </x:c>
      <x:c r="G28" s="12" t="n">
        <x:v>0.4444444444444444</x:v>
      </x:c>
      <x:c r="H28" s="12" t="n">
        <x:v>0.5555555555555556</x:v>
      </x:c>
      <x:c r="I28" s="29" t="n">
        <x:f>'Assumptions'!$D$11+'Assumptions'!$D$12*(0.5-(G28+H28)/2)</x:f>
        <x:v>0.3</x:v>
      </x:c>
      <x:c r="J28" s="27" t="n">
        <x:f>'Assumptions'!$D$8*EXP(-'Assumptions'!$D$9*('Fleet Engine'!E196-10))*'Assumptions'!E55*'Assumptions'!D36</x:f>
        <x:v>16487.212707001283</x:v>
      </x:c>
      <x:c r="K28" s="27" t="n">
        <x:f>'Source Data'!F219+LN('Assumptions'!D55)+LN('Assumptions'!D35)</x:f>
        <x:v>7.955584867261274</x:v>
      </x:c>
      <x:c r="L28" s="27" t="n">
        <x:f>J28*(1-I28*(1-'Carrier Engine'!E91))</x:f>
        <x:v>11738.895447384913</x:v>
      </x:c>
      <x:c r="M28" s="29" t="n">
        <x:f>NORM.S.DIST((LN(L28)-K28)/'Assumptions'!$D$10,TRUE)</x:f>
        <x:v>0.816260449587562</x:v>
      </x:c>
      <x:c r="N28" s="30" t="n">
        <x:f>MAX(0,H28-MAX(G28,M28))</x:f>
        <x:v>0</x:v>
      </x:c>
      <x:c r="O28" s="28" t="n">
        <x:f>J28*I28</x:f>
        <x:v>4946.163812100384</x:v>
      </x:c>
      <x:c r="P28" s="27" t="n">
        <x:f>(VLOOKUP(O28,'Fee Data'!$C$6:$G$50,2,TRUE)+O28*VLOOKUP(O28,'Fee Data'!$C$6:$G$50,3,TRUE)+VLOOKUP(O28,'Fee Data'!$I$6:$J$14,2,TRUE)+'Fee Data'!$J$20+'Fee Data'!$J$21)*'Assumptions'!D37</x:f>
        <x:v>970</x:v>
      </x:c>
      <x:c r="Q28" s="27" t="n">
        <x:f>(VLOOKUP(O28,'Fee Data'!$C$6:$G$50,4,TRUE)+O28*VLOOKUP(O28,'Fee Data'!$C$6:$G$50,5,TRUE)+VLOOKUP(O28,'Fee Data'!$I$6:$J$14,2,TRUE)+'Fee Data'!$J$20+'Fee Data'!$J$21)*'Assumptions'!D37</x:f>
        <x:v>845</x:v>
      </x:c>
      <x:c r="R28" s="27" t="n">
        <x:f>P28*(1-'Assumptions'!$D$14)+Q28*'Assumptions'!$D$14</x:f>
        <x:v>907.5</x:v>
      </x:c>
      <x:c r="S28" s="27" t="n">
        <x:f>O28*'Carrier Engine'!E91</x:f>
        <x:v>197.84655248401532</x:v>
      </x:c>
      <x:c r="T28" s="28" t="n">
        <x:f>R28+S28</x:f>
        <x:v>1105.3465524840153</x:v>
      </x:c>
      <x:c r="U28" s="27" t="n">
        <x:f>N28*'Fleet Engine'!F196</x:f>
        <x:v>0</x:v>
      </x:c>
      <x:c r="V28" s="28" t="n">
        <x:f>U28*T28</x:f>
        <x:v>0</x:v>
      </x:c>
      <x:c r="W28" s="28" t="n">
        <x:f>U28*O28</x:f>
        <x:v>0</x:v>
      </x:c>
    </x:row>
    <x:row r="29" ht="19" customHeight="1">
      <x:c r="A29" s="2"/>
      <x:c r="B29" s="2"/>
      <x:c r="C29" s="46" t="n">
        <x:v>0</x:v>
      </x:c>
      <x:c r="D29" s="46" t="n">
        <x:v>2</x:v>
      </x:c>
      <x:c r="E29" s="46" t="n">
        <x:v>0</x:v>
      </x:c>
      <x:c r="F29" s="46" t="n">
        <x:v>2</x:v>
      </x:c>
      <x:c r="G29" s="12" t="n">
        <x:v>0.5555555555555556</x:v>
      </x:c>
      <x:c r="H29" s="12" t="n">
        <x:v>0.6666666666666666</x:v>
      </x:c>
      <x:c r="I29" s="29" t="n">
        <x:f>'Assumptions'!$D$11+'Assumptions'!$D$12*(0.5-(G29+H29)/2)</x:f>
        <x:v>0.27777777777777773</x:v>
      </x:c>
      <x:c r="J29" s="27" t="n">
        <x:f>'Assumptions'!$D$8*EXP(-'Assumptions'!$D$9*('Fleet Engine'!E196-10))*'Assumptions'!E55*'Assumptions'!D36</x:f>
        <x:v>16487.212707001283</x:v>
      </x:c>
      <x:c r="K29" s="27" t="n">
        <x:f>'Source Data'!F219+LN('Assumptions'!D55)+LN('Assumptions'!D35)</x:f>
        <x:v>7.955584867261274</x:v>
      </x:c>
      <x:c r="L29" s="27" t="n">
        <x:f>J29*(1-I29*(1-'Carrier Engine'!E91))</x:f>
        <x:v>12090.622651800943</x:v>
      </x:c>
      <x:c r="M29" s="29" t="n">
        <x:f>NORM.S.DIST((LN(L29)-K29)/'Assumptions'!$D$10,TRUE)</x:f>
        <x:v>0.8212154681565336</x:v>
      </x:c>
      <x:c r="N29" s="30" t="n">
        <x:f>MAX(0,H29-MAX(G29,M29))</x:f>
        <x:v>0</x:v>
      </x:c>
      <x:c r="O29" s="28" t="n">
        <x:f>J29*I29</x:f>
        <x:v>4579.781307500356</x:v>
      </x:c>
      <x:c r="P29" s="27" t="n">
        <x:f>(VLOOKUP(O29,'Fee Data'!$C$6:$G$50,2,TRUE)+O29*VLOOKUP(O29,'Fee Data'!$C$6:$G$50,3,TRUE)+VLOOKUP(O29,'Fee Data'!$I$6:$J$14,2,TRUE)+'Fee Data'!$J$20+'Fee Data'!$J$21)*'Assumptions'!D37</x:f>
        <x:v>970</x:v>
      </x:c>
      <x:c r="Q29" s="27" t="n">
        <x:f>(VLOOKUP(O29,'Fee Data'!$C$6:$G$50,4,TRUE)+O29*VLOOKUP(O29,'Fee Data'!$C$6:$G$50,5,TRUE)+VLOOKUP(O29,'Fee Data'!$I$6:$J$14,2,TRUE)+'Fee Data'!$J$20+'Fee Data'!$J$21)*'Assumptions'!D37</x:f>
        <x:v>845</x:v>
      </x:c>
      <x:c r="R29" s="27" t="n">
        <x:f>P29*(1-'Assumptions'!$D$14)+Q29*'Assumptions'!$D$14</x:f>
        <x:v>907.5</x:v>
      </x:c>
      <x:c r="S29" s="27" t="n">
        <x:f>O29*'Carrier Engine'!E91</x:f>
        <x:v>183.19125230001418</x:v>
      </x:c>
      <x:c r="T29" s="28" t="n">
        <x:f>R29+S29</x:f>
        <x:v>1090.6912523000142</x:v>
      </x:c>
      <x:c r="U29" s="27" t="n">
        <x:f>N29*'Fleet Engine'!F196</x:f>
        <x:v>0</x:v>
      </x:c>
      <x:c r="V29" s="28" t="n">
        <x:f>U29*T29</x:f>
        <x:v>0</x:v>
      </x:c>
      <x:c r="W29" s="28" t="n">
        <x:f>U29*O29</x:f>
        <x:v>0</x:v>
      </x:c>
    </x:row>
    <x:row r="30" ht="19" customHeight="1">
      <x:c r="A30" s="2"/>
      <x:c r="B30" s="2"/>
      <x:c r="C30" s="46" t="n">
        <x:v>0</x:v>
      </x:c>
      <x:c r="D30" s="46" t="n">
        <x:v>2</x:v>
      </x:c>
      <x:c r="E30" s="46" t="n">
        <x:v>0</x:v>
      </x:c>
      <x:c r="F30" s="46" t="n">
        <x:v>2</x:v>
      </x:c>
      <x:c r="G30" s="12" t="n">
        <x:v>0.6666666666666666</x:v>
      </x:c>
      <x:c r="H30" s="12" t="n">
        <x:v>0.7777777777777778</x:v>
      </x:c>
      <x:c r="I30" s="29" t="n">
        <x:f>'Assumptions'!$D$11+'Assumptions'!$D$12*(0.5-(G30+H30)/2)</x:f>
        <x:v>0.25555555555555554</x:v>
      </x:c>
      <x:c r="J30" s="27" t="n">
        <x:f>'Assumptions'!$D$8*EXP(-'Assumptions'!$D$9*('Fleet Engine'!E196-10))*'Assumptions'!E55*'Assumptions'!D36</x:f>
        <x:v>16487.212707001283</x:v>
      </x:c>
      <x:c r="K30" s="27" t="n">
        <x:f>'Source Data'!F219+LN('Assumptions'!D55)+LN('Assumptions'!D35)</x:f>
        <x:v>7.955584867261274</x:v>
      </x:c>
      <x:c r="L30" s="27" t="n">
        <x:f>J30*(1-I30*(1-'Carrier Engine'!E91))</x:f>
        <x:v>12442.34985621697</x:v>
      </x:c>
      <x:c r="M30" s="29" t="n">
        <x:f>NORM.S.DIST((LN(L30)-K30)/'Assumptions'!$D$10,TRUE)</x:f>
        <x:v>0.8259470394978756</x:v>
      </x:c>
      <x:c r="N30" s="30" t="n">
        <x:f>MAX(0,H30-MAX(G30,M30))</x:f>
        <x:v>0</x:v>
      </x:c>
      <x:c r="O30" s="28" t="n">
        <x:f>J30*I30</x:f>
        <x:v>4213.398802900328</x:v>
      </x:c>
      <x:c r="P30" s="27" t="n">
        <x:f>(VLOOKUP(O30,'Fee Data'!$C$6:$G$50,2,TRUE)+O30*VLOOKUP(O30,'Fee Data'!$C$6:$G$50,3,TRUE)+VLOOKUP(O30,'Fee Data'!$I$6:$J$14,2,TRUE)+'Fee Data'!$J$20+'Fee Data'!$J$21)*'Assumptions'!D37</x:f>
        <x:v>945</x:v>
      </x:c>
      <x:c r="Q30" s="27" t="n">
        <x:f>(VLOOKUP(O30,'Fee Data'!$C$6:$G$50,4,TRUE)+O30*VLOOKUP(O30,'Fee Data'!$C$6:$G$50,5,TRUE)+VLOOKUP(O30,'Fee Data'!$I$6:$J$14,2,TRUE)+'Fee Data'!$J$20+'Fee Data'!$J$21)*'Assumptions'!D37</x:f>
        <x:v>820</x:v>
      </x:c>
      <x:c r="R30" s="27" t="n">
        <x:f>P30*(1-'Assumptions'!$D$14)+Q30*'Assumptions'!$D$14</x:f>
        <x:v>882.5</x:v>
      </x:c>
      <x:c r="S30" s="27" t="n">
        <x:f>O30*'Carrier Engine'!E91</x:f>
        <x:v>168.53595211601305</x:v>
      </x:c>
      <x:c r="T30" s="28" t="n">
        <x:f>R30+S30</x:f>
        <x:v>1051.035952116013</x:v>
      </x:c>
      <x:c r="U30" s="27" t="n">
        <x:f>N30*'Fleet Engine'!F196</x:f>
        <x:v>0</x:v>
      </x:c>
      <x:c r="V30" s="28" t="n">
        <x:f>U30*T30</x:f>
        <x:v>0</x:v>
      </x:c>
      <x:c r="W30" s="28" t="n">
        <x:f>U30*O30</x:f>
        <x:v>0</x:v>
      </x:c>
    </x:row>
    <x:row r="31" ht="19" customHeight="1">
      <x:c r="A31" s="2"/>
      <x:c r="B31" s="2"/>
      <x:c r="C31" s="46" t="n">
        <x:v>0</x:v>
      </x:c>
      <x:c r="D31" s="46" t="n">
        <x:v>2</x:v>
      </x:c>
      <x:c r="E31" s="46" t="n">
        <x:v>0</x:v>
      </x:c>
      <x:c r="F31" s="46" t="n">
        <x:v>2</x:v>
      </x:c>
      <x:c r="G31" s="12" t="n">
        <x:v>0.7777777777777778</x:v>
      </x:c>
      <x:c r="H31" s="12" t="n">
        <x:v>0.8888888888888888</x:v>
      </x:c>
      <x:c r="I31" s="29" t="n">
        <x:f>'Assumptions'!$D$11+'Assumptions'!$D$12*(0.5-(G31+H31)/2)</x:f>
        <x:v>0.23333333333333334</x:v>
      </x:c>
      <x:c r="J31" s="27" t="n">
        <x:f>'Assumptions'!$D$8*EXP(-'Assumptions'!$D$9*('Fleet Engine'!E196-10))*'Assumptions'!E55*'Assumptions'!D36</x:f>
        <x:v>16487.212707001283</x:v>
      </x:c>
      <x:c r="K31" s="27" t="n">
        <x:f>'Source Data'!F219+LN('Assumptions'!D55)+LN('Assumptions'!D35)</x:f>
        <x:v>7.955584867261274</x:v>
      </x:c>
      <x:c r="L31" s="27" t="n">
        <x:f>J31*(1-I31*(1-'Carrier Engine'!E91))</x:f>
        <x:v>12794.077060632995</x:v>
      </x:c>
      <x:c r="M31" s="29" t="n">
        <x:f>NORM.S.DIST((LN(L31)-K31)/'Assumptions'!$D$10,TRUE)</x:f>
        <x:v>0.8304696516941905</x:v>
      </x:c>
      <x:c r="N31" s="30" t="n">
        <x:f>MAX(0,H31-MAX(G31,M31))</x:f>
        <x:v>0.058419237194698326</x:v>
      </x:c>
      <x:c r="O31" s="28" t="n">
        <x:f>J31*I31</x:f>
        <x:v>3847.0162983002992</x:v>
      </x:c>
      <x:c r="P31" s="27" t="n">
        <x:f>(VLOOKUP(O31,'Fee Data'!$C$6:$G$50,2,TRUE)+O31*VLOOKUP(O31,'Fee Data'!$C$6:$G$50,3,TRUE)+VLOOKUP(O31,'Fee Data'!$I$6:$J$14,2,TRUE)+'Fee Data'!$J$20+'Fee Data'!$J$21)*'Assumptions'!D37</x:f>
        <x:v>915</x:v>
      </x:c>
      <x:c r="Q31" s="27" t="n">
        <x:f>(VLOOKUP(O31,'Fee Data'!$C$6:$G$50,4,TRUE)+O31*VLOOKUP(O31,'Fee Data'!$C$6:$G$50,5,TRUE)+VLOOKUP(O31,'Fee Data'!$I$6:$J$14,2,TRUE)+'Fee Data'!$J$20+'Fee Data'!$J$21)*'Assumptions'!D37</x:f>
        <x:v>765</x:v>
      </x:c>
      <x:c r="R31" s="27" t="n">
        <x:f>P31*(1-'Assumptions'!$D$14)+Q31*'Assumptions'!$D$14</x:f>
        <x:v>840</x:v>
      </x:c>
      <x:c r="S31" s="27" t="n">
        <x:f>O31*'Carrier Engine'!E91</x:f>
        <x:v>153.88065193201192</x:v>
      </x:c>
      <x:c r="T31" s="28" t="n">
        <x:f>R31+S31</x:f>
        <x:v>993.8806519320119</x:v>
      </x:c>
      <x:c r="U31" s="27" t="n">
        <x:f>N31*'Fleet Engine'!F196</x:f>
        <x:v>691.5024106396282</x:v>
      </x:c>
      <x:c r="V31" s="28" t="n">
        <x:f>U31*T31</x:f>
        <x:v>687270.8666990715</x:v>
      </x:c>
      <x:c r="W31" s="28" t="n">
        <x:f>U31*O31</x:f>
        <x:v>2660221.044044596</x:v>
      </x:c>
    </x:row>
    <x:row r="32" ht="19" customHeight="1">
      <x:c r="A32" s="2"/>
      <x:c r="B32" s="2"/>
      <x:c r="C32" s="46" t="n">
        <x:v>0</x:v>
      </x:c>
      <x:c r="D32" s="46" t="n">
        <x:v>2</x:v>
      </x:c>
      <x:c r="E32" s="46" t="n">
        <x:v>0</x:v>
      </x:c>
      <x:c r="F32" s="46" t="n">
        <x:v>2</x:v>
      </x:c>
      <x:c r="G32" s="12" t="n">
        <x:v>0.8888888888888888</x:v>
      </x:c>
      <x:c r="H32" s="12" t="n">
        <x:v>1</x:v>
      </x:c>
      <x:c r="I32" s="29" t="n">
        <x:f>'Assumptions'!$D$11+'Assumptions'!$D$12*(0.5-(G32+H32)/2)</x:f>
        <x:v>0.21111111111111108</x:v>
      </x:c>
      <x:c r="J32" s="27" t="n">
        <x:f>'Assumptions'!$D$8*EXP(-'Assumptions'!$D$9*('Fleet Engine'!E196-10))*'Assumptions'!E55*'Assumptions'!D36</x:f>
        <x:v>16487.212707001283</x:v>
      </x:c>
      <x:c r="K32" s="27" t="n">
        <x:f>'Source Data'!F219+LN('Assumptions'!D55)+LN('Assumptions'!D35)</x:f>
        <x:v>7.955584867261274</x:v>
      </x:c>
      <x:c r="L32" s="27" t="n">
        <x:f>J32*(1-I32*(1-'Carrier Engine'!E91))</x:f>
        <x:v>13145.804265049022</x:v>
      </x:c>
      <x:c r="M32" s="29" t="n">
        <x:f>NORM.S.DIST((LN(L32)-K32)/'Assumptions'!$D$10,TRUE)</x:f>
        <x:v>0.8347965602302723</x:v>
      </x:c>
      <x:c r="N32" s="30" t="n">
        <x:f>MAX(0,H32-MAX(G32,M32))</x:f>
        <x:v>0.11111111111111116</x:v>
      </x:c>
      <x:c r="O32" s="28" t="n">
        <x:f>J32*I32</x:f>
        <x:v>3480.6337937002704</x:v>
      </x:c>
      <x:c r="P32" s="27" t="n">
        <x:f>(VLOOKUP(O32,'Fee Data'!$C$6:$G$50,2,TRUE)+O32*VLOOKUP(O32,'Fee Data'!$C$6:$G$50,3,TRUE)+VLOOKUP(O32,'Fee Data'!$I$6:$J$14,2,TRUE)+'Fee Data'!$J$20+'Fee Data'!$J$21)*'Assumptions'!D37</x:f>
        <x:v>865</x:v>
      </x:c>
      <x:c r="Q32" s="27" t="n">
        <x:f>(VLOOKUP(O32,'Fee Data'!$C$6:$G$50,4,TRUE)+O32*VLOOKUP(O32,'Fee Data'!$C$6:$G$50,5,TRUE)+VLOOKUP(O32,'Fee Data'!$I$6:$J$14,2,TRUE)+'Fee Data'!$J$20+'Fee Data'!$J$21)*'Assumptions'!D37</x:f>
        <x:v>715</x:v>
      </x:c>
      <x:c r="R32" s="27" t="n">
        <x:f>P32*(1-'Assumptions'!$D$14)+Q32*'Assumptions'!$D$14</x:f>
        <x:v>790</x:v>
      </x:c>
      <x:c r="S32" s="27" t="n">
        <x:f>O32*'Carrier Engine'!E91</x:f>
        <x:v>139.22535174801078</x:v>
      </x:c>
      <x:c r="T32" s="28" t="n">
        <x:f>R32+S32</x:f>
        <x:v>929.2253517480108</x:v>
      </x:c>
      <x:c r="U32" s="27" t="n">
        <x:f>N32*'Fleet Engine'!F196</x:f>
        <x:v>1315.2106201953927</x:v>
      </x:c>
      <x:c r="V32" s="28" t="n">
        <x:f>U32*T32</x:f>
        <x:v>1222127.0511737831</x:v>
      </x:c>
      <x:c r="W32" s="28" t="n">
        <x:f>U32*O32</x:f>
        <x:v>4577766.530485575</x:v>
      </x:c>
    </x:row>
    <x:row r="33" ht="19" customHeight="1">
      <x:c r="A33" s="2"/>
      <x:c r="B33" s="2"/>
      <x:c r="C33" s="46" t="n">
        <x:v>0</x:v>
      </x:c>
      <x:c r="D33" s="46" t="n">
        <x:v>3</x:v>
      </x:c>
      <x:c r="E33" s="46" t="n">
        <x:v>0</x:v>
      </x:c>
      <x:c r="F33" s="46" t="n">
        <x:v>3</x:v>
      </x:c>
      <x:c r="G33" s="12" t="n">
        <x:v>0</x:v>
      </x:c>
      <x:c r="H33" s="12" t="n">
        <x:v>0.1111111111111111</x:v>
      </x:c>
      <x:c r="I33" s="29" t="n">
        <x:f>'Assumptions'!$D$11+'Assumptions'!$D$12*(0.5-(G33+H33)/2)</x:f>
        <x:v>0.3888888888888889</x:v>
      </x:c>
      <x:c r="J33" s="27" t="n">
        <x:f>'Assumptions'!$D$8*EXP(-'Assumptions'!$D$9*('Fleet Engine'!E197-10))*'Assumptions'!E55*'Assumptions'!D36</x:f>
        <x:v>12214.027581601698</x:v>
      </x:c>
      <x:c r="K33" s="27" t="n">
        <x:f>'Source Data'!F220+LN('Assumptions'!D55)+LN('Assumptions'!D35)</x:f>
        <x:v>8.062717438528928</x:v>
      </x:c>
      <x:c r="L33" s="27" t="n">
        <x:f>J33*(1-I33*(1-'Carrier Engine'!E91))</x:f>
        <x:v>7654.123951137065</x:v>
      </x:c>
      <x:c r="M33" s="29" t="n">
        <x:f>NORM.S.DIST((LN(L33)-K33)/'Assumptions'!$D$10,TRUE)</x:f>
        <x:v>0.7124702952152316</x:v>
      </x:c>
      <x:c r="N33" s="30" t="n">
        <x:f>MAX(0,H33-MAX(G33,M33))</x:f>
        <x:v>0</x:v>
      </x:c>
      <x:c r="O33" s="28" t="n">
        <x:f>J33*I33</x:f>
        <x:v>4749.899615067327</x:v>
      </x:c>
      <x:c r="P33" s="27" t="n">
        <x:f>(VLOOKUP(O33,'Fee Data'!$C$6:$G$50,2,TRUE)+O33*VLOOKUP(O33,'Fee Data'!$C$6:$G$50,3,TRUE)+VLOOKUP(O33,'Fee Data'!$I$6:$J$14,2,TRUE)+'Fee Data'!$J$20+'Fee Data'!$J$21)*'Assumptions'!D37</x:f>
        <x:v>970</x:v>
      </x:c>
      <x:c r="Q33" s="27" t="n">
        <x:f>(VLOOKUP(O33,'Fee Data'!$C$6:$G$50,4,TRUE)+O33*VLOOKUP(O33,'Fee Data'!$C$6:$G$50,5,TRUE)+VLOOKUP(O33,'Fee Data'!$I$6:$J$14,2,TRUE)+'Fee Data'!$J$20+'Fee Data'!$J$21)*'Assumptions'!D37</x:f>
        <x:v>845</x:v>
      </x:c>
      <x:c r="R33" s="27" t="n">
        <x:f>P33*(1-'Assumptions'!$D$14)+Q33*'Assumptions'!$D$14</x:f>
        <x:v>907.5</x:v>
      </x:c>
      <x:c r="S33" s="27" t="n">
        <x:f>O33*'Carrier Engine'!E91</x:f>
        <x:v>189.99598460269303</x:v>
      </x:c>
      <x:c r="T33" s="28" t="n">
        <x:f>R33+S33</x:f>
        <x:v>1097.495984602693</x:v>
      </x:c>
      <x:c r="U33" s="27" t="n">
        <x:f>N33*'Fleet Engine'!F197</x:f>
        <x:v>0</x:v>
      </x:c>
      <x:c r="V33" s="28" t="n">
        <x:f>U33*T33</x:f>
        <x:v>0</x:v>
      </x:c>
      <x:c r="W33" s="28" t="n">
        <x:f>U33*O33</x:f>
        <x:v>0</x:v>
      </x:c>
    </x:row>
    <x:row r="34" ht="19" customHeight="1">
      <x:c r="A34" s="2"/>
      <x:c r="B34" s="2"/>
      <x:c r="C34" s="46" t="n">
        <x:v>0</x:v>
      </x:c>
      <x:c r="D34" s="46" t="n">
        <x:v>3</x:v>
      </x:c>
      <x:c r="E34" s="46" t="n">
        <x:v>0</x:v>
      </x:c>
      <x:c r="F34" s="46" t="n">
        <x:v>3</x:v>
      </x:c>
      <x:c r="G34" s="12" t="n">
        <x:v>0.1111111111111111</x:v>
      </x:c>
      <x:c r="H34" s="12" t="n">
        <x:v>0.2222222222222222</x:v>
      </x:c>
      <x:c r="I34" s="29" t="n">
        <x:f>'Assumptions'!$D$11+'Assumptions'!$D$12*(0.5-(G34+H34)/2)</x:f>
        <x:v>0.3666666666666667</x:v>
      </x:c>
      <x:c r="J34" s="27" t="n">
        <x:f>'Assumptions'!$D$8*EXP(-'Assumptions'!$D$9*('Fleet Engine'!E197-10))*'Assumptions'!E55*'Assumptions'!D36</x:f>
        <x:v>12214.027581601698</x:v>
      </x:c>
      <x:c r="K34" s="27" t="n">
        <x:f>'Source Data'!F220+LN('Assumptions'!D55)+LN('Assumptions'!D35)</x:f>
        <x:v>8.062717438528928</x:v>
      </x:c>
      <x:c r="L34" s="27" t="n">
        <x:f>J34*(1-I34*(1-'Carrier Engine'!E91))</x:f>
        <x:v>7914.6898728779</x:v>
      </x:c>
      <x:c r="M34" s="29" t="n">
        <x:f>NORM.S.DIST((LN(L34)-K34)/'Assumptions'!$D$10,TRUE)</x:f>
        <x:v>0.7196948864067317</x:v>
      </x:c>
      <x:c r="N34" s="30" t="n">
        <x:f>MAX(0,H34-MAX(G34,M34))</x:f>
        <x:v>0</x:v>
      </x:c>
      <x:c r="O34" s="28" t="n">
        <x:f>J34*I34</x:f>
        <x:v>4478.476779920623</x:v>
      </x:c>
      <x:c r="P34" s="27" t="n">
        <x:f>(VLOOKUP(O34,'Fee Data'!$C$6:$G$50,2,TRUE)+O34*VLOOKUP(O34,'Fee Data'!$C$6:$G$50,3,TRUE)+VLOOKUP(O34,'Fee Data'!$I$6:$J$14,2,TRUE)+'Fee Data'!$J$20+'Fee Data'!$J$21)*'Assumptions'!D37</x:f>
        <x:v>945</x:v>
      </x:c>
      <x:c r="Q34" s="27" t="n">
        <x:f>(VLOOKUP(O34,'Fee Data'!$C$6:$G$50,4,TRUE)+O34*VLOOKUP(O34,'Fee Data'!$C$6:$G$50,5,TRUE)+VLOOKUP(O34,'Fee Data'!$I$6:$J$14,2,TRUE)+'Fee Data'!$J$20+'Fee Data'!$J$21)*'Assumptions'!D37</x:f>
        <x:v>820</x:v>
      </x:c>
      <x:c r="R34" s="27" t="n">
        <x:f>P34*(1-'Assumptions'!$D$14)+Q34*'Assumptions'!$D$14</x:f>
        <x:v>882.5</x:v>
      </x:c>
      <x:c r="S34" s="27" t="n">
        <x:f>O34*'Carrier Engine'!E91</x:f>
        <x:v>179.13907119682486</x:v>
      </x:c>
      <x:c r="T34" s="28" t="n">
        <x:f>R34+S34</x:f>
        <x:v>1061.639071196825</x:v>
      </x:c>
      <x:c r="U34" s="27" t="n">
        <x:f>N34*'Fleet Engine'!F197</x:f>
        <x:v>0</x:v>
      </x:c>
      <x:c r="V34" s="28" t="n">
        <x:f>U34*T34</x:f>
        <x:v>0</x:v>
      </x:c>
      <x:c r="W34" s="28" t="n">
        <x:f>U34*O34</x:f>
        <x:v>0</x:v>
      </x:c>
    </x:row>
    <x:row r="35" ht="19" customHeight="1">
      <x:c r="A35" s="2"/>
      <x:c r="B35" s="2"/>
      <x:c r="C35" s="46" t="n">
        <x:v>0</x:v>
      </x:c>
      <x:c r="D35" s="46" t="n">
        <x:v>3</x:v>
      </x:c>
      <x:c r="E35" s="46" t="n">
        <x:v>0</x:v>
      </x:c>
      <x:c r="F35" s="46" t="n">
        <x:v>3</x:v>
      </x:c>
      <x:c r="G35" s="12" t="n">
        <x:v>0.2222222222222222</x:v>
      </x:c>
      <x:c r="H35" s="12" t="n">
        <x:v>0.3333333333333333</x:v>
      </x:c>
      <x:c r="I35" s="29" t="n">
        <x:f>'Assumptions'!$D$11+'Assumptions'!$D$12*(0.5-(G35+H35)/2)</x:f>
        <x:v>0.34444444444444444</x:v>
      </x:c>
      <x:c r="J35" s="27" t="n">
        <x:f>'Assumptions'!$D$8*EXP(-'Assumptions'!$D$9*('Fleet Engine'!E197-10))*'Assumptions'!E55*'Assumptions'!D36</x:f>
        <x:v>12214.027581601698</x:v>
      </x:c>
      <x:c r="K35" s="27" t="n">
        <x:f>'Source Data'!F220+LN('Assumptions'!D55)+LN('Assumptions'!D35)</x:f>
        <x:v>8.062717438528928</x:v>
      </x:c>
      <x:c r="L35" s="27" t="n">
        <x:f>J35*(1-I35*(1-'Carrier Engine'!E91))</x:f>
        <x:v>8175.255794618737</x:v>
      </x:c>
      <x:c r="M35" s="29" t="n">
        <x:f>NORM.S.DIST((LN(L35)-K35)/'Assumptions'!$D$10,TRUE)</x:f>
        <x:v>0.7266006694983298</x:v>
      </x:c>
      <x:c r="N35" s="30" t="n">
        <x:f>MAX(0,H35-MAX(G35,M35))</x:f>
        <x:v>0</x:v>
      </x:c>
      <x:c r="O35" s="28" t="n">
        <x:f>J35*I35</x:f>
        <x:v>4207.053944773918</x:v>
      </x:c>
      <x:c r="P35" s="27" t="n">
        <x:f>(VLOOKUP(O35,'Fee Data'!$C$6:$G$50,2,TRUE)+O35*VLOOKUP(O35,'Fee Data'!$C$6:$G$50,3,TRUE)+VLOOKUP(O35,'Fee Data'!$I$6:$J$14,2,TRUE)+'Fee Data'!$J$20+'Fee Data'!$J$21)*'Assumptions'!D37</x:f>
        <x:v>945</x:v>
      </x:c>
      <x:c r="Q35" s="27" t="n">
        <x:f>(VLOOKUP(O35,'Fee Data'!$C$6:$G$50,4,TRUE)+O35*VLOOKUP(O35,'Fee Data'!$C$6:$G$50,5,TRUE)+VLOOKUP(O35,'Fee Data'!$I$6:$J$14,2,TRUE)+'Fee Data'!$J$20+'Fee Data'!$J$21)*'Assumptions'!D37</x:f>
        <x:v>820</x:v>
      </x:c>
      <x:c r="R35" s="27" t="n">
        <x:f>P35*(1-'Assumptions'!$D$14)+Q35*'Assumptions'!$D$14</x:f>
        <x:v>882.5</x:v>
      </x:c>
      <x:c r="S35" s="27" t="n">
        <x:f>O35*'Carrier Engine'!E91</x:f>
        <x:v>168.2821577909567</x:v>
      </x:c>
      <x:c r="T35" s="28" t="n">
        <x:f>R35+S35</x:f>
        <x:v>1050.7821577909567</x:v>
      </x:c>
      <x:c r="U35" s="27" t="n">
        <x:f>N35*'Fleet Engine'!F197</x:f>
        <x:v>0</x:v>
      </x:c>
      <x:c r="V35" s="28" t="n">
        <x:f>U35*T35</x:f>
        <x:v>0</x:v>
      </x:c>
      <x:c r="W35" s="28" t="n">
        <x:f>U35*O35</x:f>
        <x:v>0</x:v>
      </x:c>
    </x:row>
    <x:row r="36" ht="19" customHeight="1">
      <x:c r="A36" s="2"/>
      <x:c r="B36" s="2"/>
      <x:c r="C36" s="46" t="n">
        <x:v>0</x:v>
      </x:c>
      <x:c r="D36" s="46" t="n">
        <x:v>3</x:v>
      </x:c>
      <x:c r="E36" s="46" t="n">
        <x:v>0</x:v>
      </x:c>
      <x:c r="F36" s="46" t="n">
        <x:v>3</x:v>
      </x:c>
      <x:c r="G36" s="12" t="n">
        <x:v>0.3333333333333333</x:v>
      </x:c>
      <x:c r="H36" s="12" t="n">
        <x:v>0.4444444444444444</x:v>
      </x:c>
      <x:c r="I36" s="29" t="n">
        <x:f>'Assumptions'!$D$11+'Assumptions'!$D$12*(0.5-(G36+H36)/2)</x:f>
        <x:v>0.32222222222222224</x:v>
      </x:c>
      <x:c r="J36" s="27" t="n">
        <x:f>'Assumptions'!$D$8*EXP(-'Assumptions'!$D$9*('Fleet Engine'!E197-10))*'Assumptions'!E55*'Assumptions'!D36</x:f>
        <x:v>12214.027581601698</x:v>
      </x:c>
      <x:c r="K36" s="27" t="n">
        <x:f>'Source Data'!F220+LN('Assumptions'!D55)+LN('Assumptions'!D35)</x:f>
        <x:v>8.062717438528928</x:v>
      </x:c>
      <x:c r="L36" s="27" t="n">
        <x:f>J36*(1-I36*(1-'Carrier Engine'!E91))</x:f>
        <x:v>8435.821716359573</x:v>
      </x:c>
      <x:c r="M36" s="29" t="n">
        <x:f>NORM.S.DIST((LN(L36)-K36)/'Assumptions'!$D$10,TRUE)</x:f>
        <x:v>0.7332084499624358</x:v>
      </x:c>
      <x:c r="N36" s="30" t="n">
        <x:f>MAX(0,H36-MAX(G36,M36))</x:f>
        <x:v>0</x:v>
      </x:c>
      <x:c r="O36" s="28" t="n">
        <x:f>J36*I36</x:f>
        <x:v>3935.6311096272143</x:v>
      </x:c>
      <x:c r="P36" s="27" t="n">
        <x:f>(VLOOKUP(O36,'Fee Data'!$C$6:$G$50,2,TRUE)+O36*VLOOKUP(O36,'Fee Data'!$C$6:$G$50,3,TRUE)+VLOOKUP(O36,'Fee Data'!$I$6:$J$14,2,TRUE)+'Fee Data'!$J$20+'Fee Data'!$J$21)*'Assumptions'!D37</x:f>
        <x:v>915</x:v>
      </x:c>
      <x:c r="Q36" s="27" t="n">
        <x:f>(VLOOKUP(O36,'Fee Data'!$C$6:$G$50,4,TRUE)+O36*VLOOKUP(O36,'Fee Data'!$C$6:$G$50,5,TRUE)+VLOOKUP(O36,'Fee Data'!$I$6:$J$14,2,TRUE)+'Fee Data'!$J$20+'Fee Data'!$J$21)*'Assumptions'!D37</x:f>
        <x:v>765</x:v>
      </x:c>
      <x:c r="R36" s="27" t="n">
        <x:f>P36*(1-'Assumptions'!$D$14)+Q36*'Assumptions'!$D$14</x:f>
        <x:v>840</x:v>
      </x:c>
      <x:c r="S36" s="27" t="n">
        <x:f>O36*'Carrier Engine'!E91</x:f>
        <x:v>157.42524438508852</x:v>
      </x:c>
      <x:c r="T36" s="28" t="n">
        <x:f>R36+S36</x:f>
        <x:v>997.4252443850885</x:v>
      </x:c>
      <x:c r="U36" s="27" t="n">
        <x:f>N36*'Fleet Engine'!F197</x:f>
        <x:v>0</x:v>
      </x:c>
      <x:c r="V36" s="28" t="n">
        <x:f>U36*T36</x:f>
        <x:v>0</x:v>
      </x:c>
      <x:c r="W36" s="28" t="n">
        <x:f>U36*O36</x:f>
        <x:v>0</x:v>
      </x:c>
    </x:row>
    <x:row r="37" ht="19" customHeight="1">
      <x:c r="A37" s="2"/>
      <x:c r="B37" s="2"/>
      <x:c r="C37" s="46" t="n">
        <x:v>0</x:v>
      </x:c>
      <x:c r="D37" s="46" t="n">
        <x:v>3</x:v>
      </x:c>
      <x:c r="E37" s="46" t="n">
        <x:v>0</x:v>
      </x:c>
      <x:c r="F37" s="46" t="n">
        <x:v>3</x:v>
      </x:c>
      <x:c r="G37" s="12" t="n">
        <x:v>0.4444444444444444</x:v>
      </x:c>
      <x:c r="H37" s="12" t="n">
        <x:v>0.5555555555555556</x:v>
      </x:c>
      <x:c r="I37" s="29" t="n">
        <x:f>'Assumptions'!$D$11+'Assumptions'!$D$12*(0.5-(G37+H37)/2)</x:f>
        <x:v>0.3</x:v>
      </x:c>
      <x:c r="J37" s="27" t="n">
        <x:f>'Assumptions'!$D$8*EXP(-'Assumptions'!$D$9*('Fleet Engine'!E197-10))*'Assumptions'!E55*'Assumptions'!D36</x:f>
        <x:v>12214.027581601698</x:v>
      </x:c>
      <x:c r="K37" s="27" t="n">
        <x:f>'Source Data'!F220+LN('Assumptions'!D55)+LN('Assumptions'!D35)</x:f>
        <x:v>8.062717438528928</x:v>
      </x:c>
      <x:c r="L37" s="27" t="n">
        <x:f>J37*(1-I37*(1-'Carrier Engine'!E91))</x:f>
        <x:v>8696.387638100408</x:v>
      </x:c>
      <x:c r="M37" s="29" t="n">
        <x:f>NORM.S.DIST((LN(L37)-K37)/'Assumptions'!$D$10,TRUE)</x:f>
        <x:v>0.7395372219077186</x:v>
      </x:c>
      <x:c r="N37" s="30" t="n">
        <x:f>MAX(0,H37-MAX(G37,M37))</x:f>
        <x:v>0</x:v>
      </x:c>
      <x:c r="O37" s="28" t="n">
        <x:f>J37*I37</x:f>
        <x:v>3664.2082744805093</x:v>
      </x:c>
      <x:c r="P37" s="27" t="n">
        <x:f>(VLOOKUP(O37,'Fee Data'!$C$6:$G$50,2,TRUE)+O37*VLOOKUP(O37,'Fee Data'!$C$6:$G$50,3,TRUE)+VLOOKUP(O37,'Fee Data'!$I$6:$J$14,2,TRUE)+'Fee Data'!$J$20+'Fee Data'!$J$21)*'Assumptions'!D37</x:f>
        <x:v>915</x:v>
      </x:c>
      <x:c r="Q37" s="27" t="n">
        <x:f>(VLOOKUP(O37,'Fee Data'!$C$6:$G$50,4,TRUE)+O37*VLOOKUP(O37,'Fee Data'!$C$6:$G$50,5,TRUE)+VLOOKUP(O37,'Fee Data'!$I$6:$J$14,2,TRUE)+'Fee Data'!$J$20+'Fee Data'!$J$21)*'Assumptions'!D37</x:f>
        <x:v>765</x:v>
      </x:c>
      <x:c r="R37" s="27" t="n">
        <x:f>P37*(1-'Assumptions'!$D$14)+Q37*'Assumptions'!$D$14</x:f>
        <x:v>840</x:v>
      </x:c>
      <x:c r="S37" s="27" t="n">
        <x:f>O37*'Carrier Engine'!E91</x:f>
        <x:v>146.56833097922032</x:v>
      </x:c>
      <x:c r="T37" s="28" t="n">
        <x:f>R37+S37</x:f>
        <x:v>986.5683309792203</x:v>
      </x:c>
      <x:c r="U37" s="27" t="n">
        <x:f>N37*'Fleet Engine'!F197</x:f>
        <x:v>0</x:v>
      </x:c>
      <x:c r="V37" s="28" t="n">
        <x:f>U37*T37</x:f>
        <x:v>0</x:v>
      </x:c>
      <x:c r="W37" s="28" t="n">
        <x:f>U37*O37</x:f>
        <x:v>0</x:v>
      </x:c>
    </x:row>
    <x:row r="38" ht="19" customHeight="1">
      <x:c r="A38" s="2"/>
      <x:c r="B38" s="2"/>
      <x:c r="C38" s="46" t="n">
        <x:v>0</x:v>
      </x:c>
      <x:c r="D38" s="46" t="n">
        <x:v>3</x:v>
      </x:c>
      <x:c r="E38" s="46" t="n">
        <x:v>0</x:v>
      </x:c>
      <x:c r="F38" s="46" t="n">
        <x:v>3</x:v>
      </x:c>
      <x:c r="G38" s="12" t="n">
        <x:v>0.5555555555555556</x:v>
      </x:c>
      <x:c r="H38" s="12" t="n">
        <x:v>0.6666666666666666</x:v>
      </x:c>
      <x:c r="I38" s="29" t="n">
        <x:f>'Assumptions'!$D$11+'Assumptions'!$D$12*(0.5-(G38+H38)/2)</x:f>
        <x:v>0.27777777777777773</x:v>
      </x:c>
      <x:c r="J38" s="27" t="n">
        <x:f>'Assumptions'!$D$8*EXP(-'Assumptions'!$D$9*('Fleet Engine'!E197-10))*'Assumptions'!E55*'Assumptions'!D36</x:f>
        <x:v>12214.027581601698</x:v>
      </x:c>
      <x:c r="K38" s="27" t="n">
        <x:f>'Source Data'!F220+LN('Assumptions'!D55)+LN('Assumptions'!D35)</x:f>
        <x:v>8.062717438528928</x:v>
      </x:c>
      <x:c r="L38" s="27" t="n">
        <x:f>J38*(1-I38*(1-'Carrier Engine'!E91))</x:f>
        <x:v>8956.953559841246</x:v>
      </x:c>
      <x:c r="M38" s="29" t="n">
        <x:f>NORM.S.DIST((LN(L38)-K38)/'Assumptions'!$D$10,TRUE)</x:f>
        <x:v>0.7456043651066011</x:v>
      </x:c>
      <x:c r="N38" s="30" t="n">
        <x:f>MAX(0,H38-MAX(G38,M38))</x:f>
        <x:v>0</x:v>
      </x:c>
      <x:c r="O38" s="28" t="n">
        <x:f>J38*I38</x:f>
        <x:v>3392.785439333805</x:v>
      </x:c>
      <x:c r="P38" s="27" t="n">
        <x:f>(VLOOKUP(O38,'Fee Data'!$C$6:$G$50,2,TRUE)+O38*VLOOKUP(O38,'Fee Data'!$C$6:$G$50,3,TRUE)+VLOOKUP(O38,'Fee Data'!$I$6:$J$14,2,TRUE)+'Fee Data'!$J$20+'Fee Data'!$J$21)*'Assumptions'!D37</x:f>
        <x:v>865</x:v>
      </x:c>
      <x:c r="Q38" s="27" t="n">
        <x:f>(VLOOKUP(O38,'Fee Data'!$C$6:$G$50,4,TRUE)+O38*VLOOKUP(O38,'Fee Data'!$C$6:$G$50,5,TRUE)+VLOOKUP(O38,'Fee Data'!$I$6:$J$14,2,TRUE)+'Fee Data'!$J$20+'Fee Data'!$J$21)*'Assumptions'!D37</x:f>
        <x:v>715</x:v>
      </x:c>
      <x:c r="R38" s="27" t="n">
        <x:f>P38*(1-'Assumptions'!$D$14)+Q38*'Assumptions'!$D$14</x:f>
        <x:v>790</x:v>
      </x:c>
      <x:c r="S38" s="27" t="n">
        <x:f>O38*'Carrier Engine'!E91</x:f>
        <x:v>135.71141757335215</x:v>
      </x:c>
      <x:c r="T38" s="28" t="n">
        <x:f>R38+S38</x:f>
        <x:v>925.7114175733522</x:v>
      </x:c>
      <x:c r="U38" s="27" t="n">
        <x:f>N38*'Fleet Engine'!F197</x:f>
        <x:v>0</x:v>
      </x:c>
      <x:c r="V38" s="28" t="n">
        <x:f>U38*T38</x:f>
        <x:v>0</x:v>
      </x:c>
      <x:c r="W38" s="28" t="n">
        <x:f>U38*O38</x:f>
        <x:v>0</x:v>
      </x:c>
    </x:row>
    <x:row r="39" ht="19" customHeight="1">
      <x:c r="A39" s="2"/>
      <x:c r="B39" s="2"/>
      <x:c r="C39" s="46" t="n">
        <x:v>0</x:v>
      </x:c>
      <x:c r="D39" s="46" t="n">
        <x:v>3</x:v>
      </x:c>
      <x:c r="E39" s="46" t="n">
        <x:v>0</x:v>
      </x:c>
      <x:c r="F39" s="46" t="n">
        <x:v>3</x:v>
      </x:c>
      <x:c r="G39" s="12" t="n">
        <x:v>0.6666666666666666</x:v>
      </x:c>
      <x:c r="H39" s="12" t="n">
        <x:v>0.7777777777777778</x:v>
      </x:c>
      <x:c r="I39" s="29" t="n">
        <x:f>'Assumptions'!$D$11+'Assumptions'!$D$12*(0.5-(G39+H39)/2)</x:f>
        <x:v>0.25555555555555554</x:v>
      </x:c>
      <x:c r="J39" s="27" t="n">
        <x:f>'Assumptions'!$D$8*EXP(-'Assumptions'!$D$9*('Fleet Engine'!E197-10))*'Assumptions'!E55*'Assumptions'!D36</x:f>
        <x:v>12214.027581601698</x:v>
      </x:c>
      <x:c r="K39" s="27" t="n">
        <x:f>'Source Data'!F220+LN('Assumptions'!D55)+LN('Assumptions'!D35)</x:f>
        <x:v>8.062717438528928</x:v>
      </x:c>
      <x:c r="L39" s="27" t="n">
        <x:f>J39*(1-I39*(1-'Carrier Engine'!E91))</x:f>
        <x:v>9217.519481582081</x:v>
      </x:c>
      <x:c r="M39" s="29" t="n">
        <x:f>NORM.S.DIST((LN(L39)-K39)/'Assumptions'!$D$10,TRUE)</x:f>
        <x:v>0.7514258164078012</x:v>
      </x:c>
      <x:c r="N39" s="30" t="n">
        <x:f>MAX(0,H39-MAX(G39,M39))</x:f>
        <x:v>0.02635196136997664</x:v>
      </x:c>
      <x:c r="O39" s="28" t="n">
        <x:f>J39*I39</x:f>
        <x:v>3121.3626041871003</x:v>
      </x:c>
      <x:c r="P39" s="27" t="n">
        <x:f>(VLOOKUP(O39,'Fee Data'!$C$6:$G$50,2,TRUE)+O39*VLOOKUP(O39,'Fee Data'!$C$6:$G$50,3,TRUE)+VLOOKUP(O39,'Fee Data'!$I$6:$J$14,2,TRUE)+'Fee Data'!$J$20+'Fee Data'!$J$21)*'Assumptions'!D37</x:f>
        <x:v>865</x:v>
      </x:c>
      <x:c r="Q39" s="27" t="n">
        <x:f>(VLOOKUP(O39,'Fee Data'!$C$6:$G$50,4,TRUE)+O39*VLOOKUP(O39,'Fee Data'!$C$6:$G$50,5,TRUE)+VLOOKUP(O39,'Fee Data'!$I$6:$J$14,2,TRUE)+'Fee Data'!$J$20+'Fee Data'!$J$21)*'Assumptions'!D37</x:f>
        <x:v>715</x:v>
      </x:c>
      <x:c r="R39" s="27" t="n">
        <x:f>P39*(1-'Assumptions'!$D$14)+Q39*'Assumptions'!$D$14</x:f>
        <x:v>790</x:v>
      </x:c>
      <x:c r="S39" s="27" t="n">
        <x:f>O39*'Carrier Engine'!E91</x:f>
        <x:v>124.85450416748397</x:v>
      </x:c>
      <x:c r="T39" s="28" t="n">
        <x:f>R39+S39</x:f>
        <x:v>914.8545041674839</x:v>
      </x:c>
      <x:c r="U39" s="27" t="n">
        <x:f>N39*'Fleet Engine'!F197</x:f>
        <x:v>395.4368931123103</x:v>
      </x:c>
      <x:c r="V39" s="28" t="n">
        <x:f>U39*T39</x:f>
        <x:v>361767.222777793</x:v>
      </x:c>
      <x:c r="W39" s="28" t="n">
        <x:f>U39*O39</x:f>
        <x:v>1234301.930476697</x:v>
      </x:c>
    </x:row>
    <x:row r="40" ht="19" customHeight="1">
      <x:c r="A40" s="2"/>
      <x:c r="B40" s="2"/>
      <x:c r="C40" s="46" t="n">
        <x:v>0</x:v>
      </x:c>
      <x:c r="D40" s="46" t="n">
        <x:v>3</x:v>
      </x:c>
      <x:c r="E40" s="46" t="n">
        <x:v>0</x:v>
      </x:c>
      <x:c r="F40" s="46" t="n">
        <x:v>3</x:v>
      </x:c>
      <x:c r="G40" s="12" t="n">
        <x:v>0.7777777777777778</x:v>
      </x:c>
      <x:c r="H40" s="12" t="n">
        <x:v>0.8888888888888888</x:v>
      </x:c>
      <x:c r="I40" s="29" t="n">
        <x:f>'Assumptions'!$D$11+'Assumptions'!$D$12*(0.5-(G40+H40)/2)</x:f>
        <x:v>0.23333333333333334</x:v>
      </x:c>
      <x:c r="J40" s="27" t="n">
        <x:f>'Assumptions'!$D$8*EXP(-'Assumptions'!$D$9*('Fleet Engine'!E197-10))*'Assumptions'!E55*'Assumptions'!D36</x:f>
        <x:v>12214.027581601698</x:v>
      </x:c>
      <x:c r="K40" s="27" t="n">
        <x:f>'Source Data'!F220+LN('Assumptions'!D55)+LN('Assumptions'!D35)</x:f>
        <x:v>8.062717438528928</x:v>
      </x:c>
      <x:c r="L40" s="27" t="n">
        <x:f>J40*(1-I40*(1-'Carrier Engine'!E91))</x:f>
        <x:v>9478.085403322919</x:v>
      </x:c>
      <x:c r="M40" s="29" t="n">
        <x:f>NORM.S.DIST((LN(L40)-K40)/'Assumptions'!$D$10,TRUE)</x:f>
        <x:v>0.7570162193907342</x:v>
      </x:c>
      <x:c r="N40" s="30" t="n">
        <x:f>MAX(0,H40-MAX(G40,M40))</x:f>
        <x:v>0.11111111111111105</x:v>
      </x:c>
      <x:c r="O40" s="28" t="n">
        <x:f>J40*I40</x:f>
        <x:v>2849.939769040396</x:v>
      </x:c>
      <x:c r="P40" s="27" t="n">
        <x:f>(VLOOKUP(O40,'Fee Data'!$C$6:$G$50,2,TRUE)+O40*VLOOKUP(O40,'Fee Data'!$C$6:$G$50,3,TRUE)+VLOOKUP(O40,'Fee Data'!$I$6:$J$14,2,TRUE)+'Fee Data'!$J$20+'Fee Data'!$J$21)*'Assumptions'!D37</x:f>
        <x:v>820</x:v>
      </x:c>
      <x:c r="Q40" s="27" t="n">
        <x:f>(VLOOKUP(O40,'Fee Data'!$C$6:$G$50,4,TRUE)+O40*VLOOKUP(O40,'Fee Data'!$C$6:$G$50,5,TRUE)+VLOOKUP(O40,'Fee Data'!$I$6:$J$14,2,TRUE)+'Fee Data'!$J$20+'Fee Data'!$J$21)*'Assumptions'!D37</x:f>
        <x:v>670</x:v>
      </x:c>
      <x:c r="R40" s="27" t="n">
        <x:f>P40*(1-'Assumptions'!$D$14)+Q40*'Assumptions'!$D$14</x:f>
        <x:v>745</x:v>
      </x:c>
      <x:c r="S40" s="27" t="n">
        <x:f>O40*'Carrier Engine'!E91</x:f>
        <x:v>113.99759076161581</x:v>
      </x:c>
      <x:c r="T40" s="28" t="n">
        <x:f>R40+S40</x:f>
        <x:v>858.9975907616158</x:v>
      </x:c>
      <x:c r="U40" s="27" t="n">
        <x:f>N40*'Fleet Engine'!F197</x:f>
        <x:v>1667.3306381700045</x:v>
      </x:c>
      <x:c r="V40" s="28" t="n">
        <x:f>U40*T40</x:f>
        <x:v>1432233.0011910612</x:v>
      </x:c>
      <x:c r="W40" s="28" t="n">
        <x:f>U40*O40</x:f>
        <x:v>4751791.893860199</x:v>
      </x:c>
    </x:row>
    <x:row r="41" ht="19" customHeight="1">
      <x:c r="A41" s="2"/>
      <x:c r="B41" s="2"/>
      <x:c r="C41" s="46" t="n">
        <x:v>0</x:v>
      </x:c>
      <x:c r="D41" s="46" t="n">
        <x:v>3</x:v>
      </x:c>
      <x:c r="E41" s="46" t="n">
        <x:v>0</x:v>
      </x:c>
      <x:c r="F41" s="46" t="n">
        <x:v>3</x:v>
      </x:c>
      <x:c r="G41" s="12" t="n">
        <x:v>0.8888888888888888</x:v>
      </x:c>
      <x:c r="H41" s="12" t="n">
        <x:v>1</x:v>
      </x:c>
      <x:c r="I41" s="29" t="n">
        <x:f>'Assumptions'!$D$11+'Assumptions'!$D$12*(0.5-(G41+H41)/2)</x:f>
        <x:v>0.21111111111111108</x:v>
      </x:c>
      <x:c r="J41" s="27" t="n">
        <x:f>'Assumptions'!$D$8*EXP(-'Assumptions'!$D$9*('Fleet Engine'!E197-10))*'Assumptions'!E55*'Assumptions'!D36</x:f>
        <x:v>12214.027581601698</x:v>
      </x:c>
      <x:c r="K41" s="27" t="n">
        <x:f>'Source Data'!F220+LN('Assumptions'!D55)+LN('Assumptions'!D35)</x:f>
        <x:v>8.062717438528928</x:v>
      </x:c>
      <x:c r="L41" s="27" t="n">
        <x:f>J41*(1-I41*(1-'Carrier Engine'!E91))</x:f>
        <x:v>9738.651325063754</x:v>
      </x:c>
      <x:c r="M41" s="29" t="n">
        <x:f>NORM.S.DIST((LN(L41)-K41)/'Assumptions'!$D$10,TRUE)</x:f>
        <x:v>0.76238905546153</x:v>
      </x:c>
      <x:c r="N41" s="30" t="n">
        <x:f>MAX(0,H41-MAX(G41,M41))</x:f>
        <x:v>0.11111111111111116</x:v>
      </x:c>
      <x:c r="O41" s="28" t="n">
        <x:f>J41*I41</x:f>
        <x:v>2578.5169338936917</x:v>
      </x:c>
      <x:c r="P41" s="27" t="n">
        <x:f>(VLOOKUP(O41,'Fee Data'!$C$6:$G$50,2,TRUE)+O41*VLOOKUP(O41,'Fee Data'!$C$6:$G$50,3,TRUE)+VLOOKUP(O41,'Fee Data'!$I$6:$J$14,2,TRUE)+'Fee Data'!$J$20+'Fee Data'!$J$21)*'Assumptions'!D37</x:f>
        <x:v>820</x:v>
      </x:c>
      <x:c r="Q41" s="27" t="n">
        <x:f>(VLOOKUP(O41,'Fee Data'!$C$6:$G$50,4,TRUE)+O41*VLOOKUP(O41,'Fee Data'!$C$6:$G$50,5,TRUE)+VLOOKUP(O41,'Fee Data'!$I$6:$J$14,2,TRUE)+'Fee Data'!$J$20+'Fee Data'!$J$21)*'Assumptions'!D37</x:f>
        <x:v>670</x:v>
      </x:c>
      <x:c r="R41" s="27" t="n">
        <x:f>P41*(1-'Assumptions'!$D$14)+Q41*'Assumptions'!$D$14</x:f>
        <x:v>745</x:v>
      </x:c>
      <x:c r="S41" s="27" t="n">
        <x:f>O41*'Carrier Engine'!E91</x:f>
        <x:v>103.14067735574763</x:v>
      </x:c>
      <x:c r="T41" s="28" t="n">
        <x:f>R41+S41</x:f>
        <x:v>848.1406773557476</x:v>
      </x:c>
      <x:c r="U41" s="27" t="n">
        <x:f>N41*'Fleet Engine'!F197</x:f>
        <x:v>1667.330638170006</x:v>
      </x:c>
      <x:c r="V41" s="28" t="n">
        <x:f>U41*T41</x:f>
        <x:v>1414130.9368335</x:v>
      </x:c>
      <x:c r="W41" s="28" t="n">
        <x:f>U41*O41</x:f>
        <x:v>4299240.284921137</x:v>
      </x:c>
    </x:row>
    <x:row r="42" ht="19" customHeight="1">
      <x:c r="A42" s="2"/>
      <x:c r="B42" s="2"/>
      <x:c r="C42" s="46" t="n">
        <x:v>0</x:v>
      </x:c>
      <x:c r="D42" s="46" t="n">
        <x:v>4</x:v>
      </x:c>
      <x:c r="E42" s="46" t="n">
        <x:v>0</x:v>
      </x:c>
      <x:c r="F42" s="46" t="n">
        <x:v>4</x:v>
      </x:c>
      <x:c r="G42" s="12" t="n">
        <x:v>0</x:v>
      </x:c>
      <x:c r="H42" s="12" t="n">
        <x:v>0.1111111111111111</x:v>
      </x:c>
      <x:c r="I42" s="29" t="n">
        <x:f>'Assumptions'!$D$11+'Assumptions'!$D$12*(0.5-(G42+H42)/2)</x:f>
        <x:v>0.3888888888888889</x:v>
      </x:c>
      <x:c r="J42" s="27" t="n">
        <x:f>'Assumptions'!$D$8*EXP(-'Assumptions'!$D$9*('Fleet Engine'!E198-10))*'Assumptions'!E55*'Assumptions'!D36</x:f>
        <x:v>9048.374180359595</x:v>
      </x:c>
      <x:c r="K42" s="27" t="n">
        <x:f>'Source Data'!F221+LN('Assumptions'!D55)+LN('Assumptions'!D35)</x:f>
        <x:v>8.14856556744418</x:v>
      </x:c>
      <x:c r="L42" s="27" t="n">
        <x:f>J42*(1-I42*(1-'Carrier Engine'!E91))</x:f>
        <x:v>5670.3144863586795</x:v>
      </x:c>
      <x:c r="M42" s="29" t="n">
        <x:f>NORM.S.DIST((LN(L42)-K42)/'Assumptions'!$D$10,TRUE)</x:f>
        <x:v>0.6235755127669419</x:v>
      </x:c>
      <x:c r="N42" s="30" t="n">
        <x:f>MAX(0,H42-MAX(G42,M42))</x:f>
        <x:v>0</x:v>
      </x:c>
      <x:c r="O42" s="28" t="n">
        <x:f>J42*I42</x:f>
        <x:v>3518.8121812509535</x:v>
      </x:c>
      <x:c r="P42" s="27" t="n">
        <x:f>(VLOOKUP(O42,'Fee Data'!$C$6:$G$50,2,TRUE)+O42*VLOOKUP(O42,'Fee Data'!$C$6:$G$50,3,TRUE)+VLOOKUP(O42,'Fee Data'!$I$6:$J$14,2,TRUE)+'Fee Data'!$J$20+'Fee Data'!$J$21)*'Assumptions'!D37</x:f>
        <x:v>915</x:v>
      </x:c>
      <x:c r="Q42" s="27" t="n">
        <x:f>(VLOOKUP(O42,'Fee Data'!$C$6:$G$50,4,TRUE)+O42*VLOOKUP(O42,'Fee Data'!$C$6:$G$50,5,TRUE)+VLOOKUP(O42,'Fee Data'!$I$6:$J$14,2,TRUE)+'Fee Data'!$J$20+'Fee Data'!$J$21)*'Assumptions'!D37</x:f>
        <x:v>765</x:v>
      </x:c>
      <x:c r="R42" s="27" t="n">
        <x:f>P42*(1-'Assumptions'!$D$14)+Q42*'Assumptions'!$D$14</x:f>
        <x:v>840</x:v>
      </x:c>
      <x:c r="S42" s="27" t="n">
        <x:f>O42*'Carrier Engine'!E91</x:f>
        <x:v>140.7524872500381</x:v>
      </x:c>
      <x:c r="T42" s="28" t="n">
        <x:f>R42+S42</x:f>
        <x:v>980.752487250038</x:v>
      </x:c>
      <x:c r="U42" s="27" t="n">
        <x:f>N42*'Fleet Engine'!F198</x:f>
        <x:v>0</x:v>
      </x:c>
      <x:c r="V42" s="28" t="n">
        <x:f>U42*T42</x:f>
        <x:v>0</x:v>
      </x:c>
      <x:c r="W42" s="28" t="n">
        <x:f>U42*O42</x:f>
        <x:v>0</x:v>
      </x:c>
    </x:row>
    <x:row r="43" ht="19" customHeight="1">
      <x:c r="A43" s="2"/>
      <x:c r="B43" s="2"/>
      <x:c r="C43" s="46" t="n">
        <x:v>0</x:v>
      </x:c>
      <x:c r="D43" s="46" t="n">
        <x:v>4</x:v>
      </x:c>
      <x:c r="E43" s="46" t="n">
        <x:v>0</x:v>
      </x:c>
      <x:c r="F43" s="46" t="n">
        <x:v>4</x:v>
      </x:c>
      <x:c r="G43" s="12" t="n">
        <x:v>0.1111111111111111</x:v>
      </x:c>
      <x:c r="H43" s="12" t="n">
        <x:v>0.2222222222222222</x:v>
      </x:c>
      <x:c r="I43" s="29" t="n">
        <x:f>'Assumptions'!$D$11+'Assumptions'!$D$12*(0.5-(G43+H43)/2)</x:f>
        <x:v>0.3666666666666667</x:v>
      </x:c>
      <x:c r="J43" s="27" t="n">
        <x:f>'Assumptions'!$D$8*EXP(-'Assumptions'!$D$9*('Fleet Engine'!E198-10))*'Assumptions'!E55*'Assumptions'!D36</x:f>
        <x:v>9048.374180359595</x:v>
      </x:c>
      <x:c r="K43" s="27" t="n">
        <x:f>'Source Data'!F221+LN('Assumptions'!D55)+LN('Assumptions'!D35)</x:f>
        <x:v>8.14856556744418</x:v>
      </x:c>
      <x:c r="L43" s="27" t="n">
        <x:f>J43*(1-I43*(1-'Carrier Engine'!E91))</x:f>
        <x:v>5863.346468873016</x:v>
      </x:c>
      <x:c r="M43" s="29" t="n">
        <x:f>NORM.S.DIST((LN(L43)-K43)/'Assumptions'!$D$10,TRUE)</x:f>
        <x:v>0.6316416500338942</x:v>
      </x:c>
      <x:c r="N43" s="30" t="n">
        <x:f>MAX(0,H43-MAX(G43,M43))</x:f>
        <x:v>0</x:v>
      </x:c>
      <x:c r="O43" s="28" t="n">
        <x:f>J43*I43</x:f>
        <x:v>3317.737199465185</x:v>
      </x:c>
      <x:c r="P43" s="27" t="n">
        <x:f>(VLOOKUP(O43,'Fee Data'!$C$6:$G$50,2,TRUE)+O43*VLOOKUP(O43,'Fee Data'!$C$6:$G$50,3,TRUE)+VLOOKUP(O43,'Fee Data'!$I$6:$J$14,2,TRUE)+'Fee Data'!$J$20+'Fee Data'!$J$21)*'Assumptions'!D37</x:f>
        <x:v>865</x:v>
      </x:c>
      <x:c r="Q43" s="27" t="n">
        <x:f>(VLOOKUP(O43,'Fee Data'!$C$6:$G$50,4,TRUE)+O43*VLOOKUP(O43,'Fee Data'!$C$6:$G$50,5,TRUE)+VLOOKUP(O43,'Fee Data'!$I$6:$J$14,2,TRUE)+'Fee Data'!$J$20+'Fee Data'!$J$21)*'Assumptions'!D37</x:f>
        <x:v>715</x:v>
      </x:c>
      <x:c r="R43" s="27" t="n">
        <x:f>P43*(1-'Assumptions'!$D$14)+Q43*'Assumptions'!$D$14</x:f>
        <x:v>790</x:v>
      </x:c>
      <x:c r="S43" s="27" t="n">
        <x:f>O43*'Carrier Engine'!E91</x:f>
        <x:v>132.70948797860734</x:v>
      </x:c>
      <x:c r="T43" s="28" t="n">
        <x:f>R43+S43</x:f>
        <x:v>922.7094879786073</x:v>
      </x:c>
      <x:c r="U43" s="27" t="n">
        <x:f>N43*'Fleet Engine'!F198</x:f>
        <x:v>0</x:v>
      </x:c>
      <x:c r="V43" s="28" t="n">
        <x:f>U43*T43</x:f>
        <x:v>0</x:v>
      </x:c>
      <x:c r="W43" s="28" t="n">
        <x:f>U43*O43</x:f>
        <x:v>0</x:v>
      </x:c>
    </x:row>
    <x:row r="44" ht="19" customHeight="1">
      <x:c r="A44" s="2"/>
      <x:c r="B44" s="2"/>
      <x:c r="C44" s="46" t="n">
        <x:v>0</x:v>
      </x:c>
      <x:c r="D44" s="46" t="n">
        <x:v>4</x:v>
      </x:c>
      <x:c r="E44" s="46" t="n">
        <x:v>0</x:v>
      </x:c>
      <x:c r="F44" s="46" t="n">
        <x:v>4</x:v>
      </x:c>
      <x:c r="G44" s="12" t="n">
        <x:v>0.2222222222222222</x:v>
      </x:c>
      <x:c r="H44" s="12" t="n">
        <x:v>0.3333333333333333</x:v>
      </x:c>
      <x:c r="I44" s="29" t="n">
        <x:f>'Assumptions'!$D$11+'Assumptions'!$D$12*(0.5-(G44+H44)/2)</x:f>
        <x:v>0.34444444444444444</x:v>
      </x:c>
      <x:c r="J44" s="27" t="n">
        <x:f>'Assumptions'!$D$8*EXP(-'Assumptions'!$D$9*('Fleet Engine'!E198-10))*'Assumptions'!E55*'Assumptions'!D36</x:f>
        <x:v>9048.374180359595</x:v>
      </x:c>
      <x:c r="K44" s="27" t="n">
        <x:f>'Source Data'!F221+LN('Assumptions'!D55)+LN('Assumptions'!D35)</x:f>
        <x:v>8.14856556744418</x:v>
      </x:c>
      <x:c r="L44" s="27" t="n">
        <x:f>J44*(1-I44*(1-'Carrier Engine'!E91))</x:f>
        <x:v>6056.378451387355</x:v>
      </x:c>
      <x:c r="M44" s="29" t="n">
        <x:f>NORM.S.DIST((LN(L44)-K44)/'Assumptions'!$D$10,TRUE)</x:f>
        <x:v>0.6393916848110384</x:v>
      </x:c>
      <x:c r="N44" s="30" t="n">
        <x:f>MAX(0,H44-MAX(G44,M44))</x:f>
        <x:v>0</x:v>
      </x:c>
      <x:c r="O44" s="28" t="n">
        <x:f>J44*I44</x:f>
        <x:v>3116.662217679416</x:v>
      </x:c>
      <x:c r="P44" s="27" t="n">
        <x:f>(VLOOKUP(O44,'Fee Data'!$C$6:$G$50,2,TRUE)+O44*VLOOKUP(O44,'Fee Data'!$C$6:$G$50,3,TRUE)+VLOOKUP(O44,'Fee Data'!$I$6:$J$14,2,TRUE)+'Fee Data'!$J$20+'Fee Data'!$J$21)*'Assumptions'!D37</x:f>
        <x:v>865</x:v>
      </x:c>
      <x:c r="Q44" s="27" t="n">
        <x:f>(VLOOKUP(O44,'Fee Data'!$C$6:$G$50,4,TRUE)+O44*VLOOKUP(O44,'Fee Data'!$C$6:$G$50,5,TRUE)+VLOOKUP(O44,'Fee Data'!$I$6:$J$14,2,TRUE)+'Fee Data'!$J$20+'Fee Data'!$J$21)*'Assumptions'!D37</x:f>
        <x:v>715</x:v>
      </x:c>
      <x:c r="R44" s="27" t="n">
        <x:f>P44*(1-'Assumptions'!$D$14)+Q44*'Assumptions'!$D$14</x:f>
        <x:v>790</x:v>
      </x:c>
      <x:c r="S44" s="27" t="n">
        <x:f>O44*'Carrier Engine'!E91</x:f>
        <x:v>124.6664887071766</x:v>
      </x:c>
      <x:c r="T44" s="28" t="n">
        <x:f>R44+S44</x:f>
        <x:v>914.6664887071765</x:v>
      </x:c>
      <x:c r="U44" s="27" t="n">
        <x:f>N44*'Fleet Engine'!F198</x:f>
        <x:v>0</x:v>
      </x:c>
      <x:c r="V44" s="28" t="n">
        <x:f>U44*T44</x:f>
        <x:v>0</x:v>
      </x:c>
      <x:c r="W44" s="28" t="n">
        <x:f>U44*O44</x:f>
        <x:v>0</x:v>
      </x:c>
    </x:row>
    <x:row r="45" ht="19" customHeight="1">
      <x:c r="A45" s="2"/>
      <x:c r="B45" s="2"/>
      <x:c r="C45" s="46" t="n">
        <x:v>0</x:v>
      </x:c>
      <x:c r="D45" s="46" t="n">
        <x:v>4</x:v>
      </x:c>
      <x:c r="E45" s="46" t="n">
        <x:v>0</x:v>
      </x:c>
      <x:c r="F45" s="46" t="n">
        <x:v>4</x:v>
      </x:c>
      <x:c r="G45" s="12" t="n">
        <x:v>0.3333333333333333</x:v>
      </x:c>
      <x:c r="H45" s="12" t="n">
        <x:v>0.4444444444444444</x:v>
      </x:c>
      <x:c r="I45" s="29" t="n">
        <x:f>'Assumptions'!$D$11+'Assumptions'!$D$12*(0.5-(G45+H45)/2)</x:f>
        <x:v>0.32222222222222224</x:v>
      </x:c>
      <x:c r="J45" s="27" t="n">
        <x:f>'Assumptions'!$D$8*EXP(-'Assumptions'!$D$9*('Fleet Engine'!E198-10))*'Assumptions'!E55*'Assumptions'!D36</x:f>
        <x:v>9048.374180359595</x:v>
      </x:c>
      <x:c r="K45" s="27" t="n">
        <x:f>'Source Data'!F221+LN('Assumptions'!D55)+LN('Assumptions'!D35)</x:f>
        <x:v>8.14856556744418</x:v>
      </x:c>
      <x:c r="L45" s="27" t="n">
        <x:f>J45*(1-I45*(1-'Carrier Engine'!E91))</x:f>
        <x:v>6249.410433901693</x:v>
      </x:c>
      <x:c r="M45" s="29" t="n">
        <x:f>NORM.S.DIST((LN(L45)-K45)/'Assumptions'!$D$10,TRUE)</x:f>
        <x:v>0.6468443793490292</x:v>
      </x:c>
      <x:c r="N45" s="30" t="n">
        <x:f>MAX(0,H45-MAX(G45,M45))</x:f>
        <x:v>0</x:v>
      </x:c>
      <x:c r="O45" s="28" t="n">
        <x:f>J45*I45</x:f>
        <x:v>2915.5872358936476</x:v>
      </x:c>
      <x:c r="P45" s="27" t="n">
        <x:f>(VLOOKUP(O45,'Fee Data'!$C$6:$G$50,2,TRUE)+O45*VLOOKUP(O45,'Fee Data'!$C$6:$G$50,3,TRUE)+VLOOKUP(O45,'Fee Data'!$I$6:$J$14,2,TRUE)+'Fee Data'!$J$20+'Fee Data'!$J$21)*'Assumptions'!D37</x:f>
        <x:v>820</x:v>
      </x:c>
      <x:c r="Q45" s="27" t="n">
        <x:f>(VLOOKUP(O45,'Fee Data'!$C$6:$G$50,4,TRUE)+O45*VLOOKUP(O45,'Fee Data'!$C$6:$G$50,5,TRUE)+VLOOKUP(O45,'Fee Data'!$I$6:$J$14,2,TRUE)+'Fee Data'!$J$20+'Fee Data'!$J$21)*'Assumptions'!D37</x:f>
        <x:v>670</x:v>
      </x:c>
      <x:c r="R45" s="27" t="n">
        <x:f>P45*(1-'Assumptions'!$D$14)+Q45*'Assumptions'!$D$14</x:f>
        <x:v>745</x:v>
      </x:c>
      <x:c r="S45" s="27" t="n">
        <x:f>O45*'Carrier Engine'!E91</x:f>
        <x:v>116.62348943574587</x:v>
      </x:c>
      <x:c r="T45" s="28" t="n">
        <x:f>R45+S45</x:f>
        <x:v>861.6234894357459</x:v>
      </x:c>
      <x:c r="U45" s="27" t="n">
        <x:f>N45*'Fleet Engine'!F198</x:f>
        <x:v>0</x:v>
      </x:c>
      <x:c r="V45" s="28" t="n">
        <x:f>U45*T45</x:f>
        <x:v>0</x:v>
      </x:c>
      <x:c r="W45" s="28" t="n">
        <x:f>U45*O45</x:f>
        <x:v>0</x:v>
      </x:c>
    </x:row>
    <x:row r="46" ht="19" customHeight="1">
      <x:c r="A46" s="2"/>
      <x:c r="B46" s="2"/>
      <x:c r="C46" s="46" t="n">
        <x:v>0</x:v>
      </x:c>
      <x:c r="D46" s="46" t="n">
        <x:v>4</x:v>
      </x:c>
      <x:c r="E46" s="46" t="n">
        <x:v>0</x:v>
      </x:c>
      <x:c r="F46" s="46" t="n">
        <x:v>4</x:v>
      </x:c>
      <x:c r="G46" s="12" t="n">
        <x:v>0.4444444444444444</x:v>
      </x:c>
      <x:c r="H46" s="12" t="n">
        <x:v>0.5555555555555556</x:v>
      </x:c>
      <x:c r="I46" s="29" t="n">
        <x:f>'Assumptions'!$D$11+'Assumptions'!$D$12*(0.5-(G46+H46)/2)</x:f>
        <x:v>0.3</x:v>
      </x:c>
      <x:c r="J46" s="27" t="n">
        <x:f>'Assumptions'!$D$8*EXP(-'Assumptions'!$D$9*('Fleet Engine'!E198-10))*'Assumptions'!E55*'Assumptions'!D36</x:f>
        <x:v>9048.374180359595</x:v>
      </x:c>
      <x:c r="K46" s="27" t="n">
        <x:f>'Source Data'!F221+LN('Assumptions'!D55)+LN('Assumptions'!D35)</x:f>
        <x:v>8.14856556744418</x:v>
      </x:c>
      <x:c r="L46" s="27" t="n">
        <x:f>J46*(1-I46*(1-'Carrier Engine'!E91))</x:f>
        <x:v>6442.442416416031</x:v>
      </x:c>
      <x:c r="M46" s="29" t="n">
        <x:f>NORM.S.DIST((LN(L46)-K46)/'Assumptions'!$D$10,TRUE)</x:f>
        <x:v>0.654016988796613</x:v>
      </x:c>
      <x:c r="N46" s="30" t="n">
        <x:f>MAX(0,H46-MAX(G46,M46))</x:f>
        <x:v>0</x:v>
      </x:c>
      <x:c r="O46" s="28" t="n">
        <x:f>J46*I46</x:f>
        <x:v>2714.5122541078786</x:v>
      </x:c>
      <x:c r="P46" s="27" t="n">
        <x:f>(VLOOKUP(O46,'Fee Data'!$C$6:$G$50,2,TRUE)+O46*VLOOKUP(O46,'Fee Data'!$C$6:$G$50,3,TRUE)+VLOOKUP(O46,'Fee Data'!$I$6:$J$14,2,TRUE)+'Fee Data'!$J$20+'Fee Data'!$J$21)*'Assumptions'!D37</x:f>
        <x:v>820</x:v>
      </x:c>
      <x:c r="Q46" s="27" t="n">
        <x:f>(VLOOKUP(O46,'Fee Data'!$C$6:$G$50,4,TRUE)+O46*VLOOKUP(O46,'Fee Data'!$C$6:$G$50,5,TRUE)+VLOOKUP(O46,'Fee Data'!$I$6:$J$14,2,TRUE)+'Fee Data'!$J$20+'Fee Data'!$J$21)*'Assumptions'!D37</x:f>
        <x:v>670</x:v>
      </x:c>
      <x:c r="R46" s="27" t="n">
        <x:f>P46*(1-'Assumptions'!$D$14)+Q46*'Assumptions'!$D$14</x:f>
        <x:v>745</x:v>
      </x:c>
      <x:c r="S46" s="27" t="n">
        <x:f>O46*'Carrier Engine'!E91</x:f>
        <x:v>108.58049016431511</x:v>
      </x:c>
      <x:c r="T46" s="28" t="n">
        <x:f>R46+S46</x:f>
        <x:v>853.580490164315</x:v>
      </x:c>
      <x:c r="U46" s="27" t="n">
        <x:f>N46*'Fleet Engine'!F198</x:f>
        <x:v>0</x:v>
      </x:c>
      <x:c r="V46" s="28" t="n">
        <x:f>U46*T46</x:f>
        <x:v>0</x:v>
      </x:c>
      <x:c r="W46" s="28" t="n">
        <x:f>U46*O46</x:f>
        <x:v>0</x:v>
      </x:c>
    </x:row>
    <x:row r="47" ht="19" customHeight="1">
      <x:c r="A47" s="2"/>
      <x:c r="B47" s="2"/>
      <x:c r="C47" s="46" t="n">
        <x:v>0</x:v>
      </x:c>
      <x:c r="D47" s="46" t="n">
        <x:v>4</x:v>
      </x:c>
      <x:c r="E47" s="46" t="n">
        <x:v>0</x:v>
      </x:c>
      <x:c r="F47" s="46" t="n">
        <x:v>4</x:v>
      </x:c>
      <x:c r="G47" s="12" t="n">
        <x:v>0.5555555555555556</x:v>
      </x:c>
      <x:c r="H47" s="12" t="n">
        <x:v>0.6666666666666666</x:v>
      </x:c>
      <x:c r="I47" s="29" t="n">
        <x:f>'Assumptions'!$D$11+'Assumptions'!$D$12*(0.5-(G47+H47)/2)</x:f>
        <x:v>0.27777777777777773</x:v>
      </x:c>
      <x:c r="J47" s="27" t="n">
        <x:f>'Assumptions'!$D$8*EXP(-'Assumptions'!$D$9*('Fleet Engine'!E198-10))*'Assumptions'!E55*'Assumptions'!D36</x:f>
        <x:v>9048.374180359595</x:v>
      </x:c>
      <x:c r="K47" s="27" t="n">
        <x:f>'Source Data'!F221+LN('Assumptions'!D55)+LN('Assumptions'!D35)</x:f>
        <x:v>8.14856556744418</x:v>
      </x:c>
      <x:c r="L47" s="27" t="n">
        <x:f>J47*(1-I47*(1-'Carrier Engine'!E91))</x:f>
        <x:v>6635.47439893037</x:v>
      </x:c>
      <x:c r="M47" s="29" t="n">
        <x:f>NORM.S.DIST((LN(L47)-K47)/'Assumptions'!$D$10,TRUE)</x:f>
        <x:v>0.6609254137826943</x:v>
      </x:c>
      <x:c r="N47" s="30" t="n">
        <x:f>MAX(0,H47-MAX(G47,M47))</x:f>
        <x:v>0.005741252883972314</x:v>
      </x:c>
      <x:c r="O47" s="28" t="n">
        <x:f>J47*I47</x:f>
        <x:v>2513.4372723221095</x:v>
      </x:c>
      <x:c r="P47" s="27" t="n">
        <x:f>(VLOOKUP(O47,'Fee Data'!$C$6:$G$50,2,TRUE)+O47*VLOOKUP(O47,'Fee Data'!$C$6:$G$50,3,TRUE)+VLOOKUP(O47,'Fee Data'!$I$6:$J$14,2,TRUE)+'Fee Data'!$J$20+'Fee Data'!$J$21)*'Assumptions'!D37</x:f>
        <x:v>820</x:v>
      </x:c>
      <x:c r="Q47" s="27" t="n">
        <x:f>(VLOOKUP(O47,'Fee Data'!$C$6:$G$50,4,TRUE)+O47*VLOOKUP(O47,'Fee Data'!$C$6:$G$50,5,TRUE)+VLOOKUP(O47,'Fee Data'!$I$6:$J$14,2,TRUE)+'Fee Data'!$J$20+'Fee Data'!$J$21)*'Assumptions'!D37</x:f>
        <x:v>670</x:v>
      </x:c>
      <x:c r="R47" s="27" t="n">
        <x:f>P47*(1-'Assumptions'!$D$14)+Q47*'Assumptions'!$D$14</x:f>
        <x:v>745</x:v>
      </x:c>
      <x:c r="S47" s="27" t="n">
        <x:f>O47*'Carrier Engine'!E91</x:f>
        <x:v>100.53749089288435</x:v>
      </x:c>
      <x:c r="T47" s="28" t="n">
        <x:f>R47+S47</x:f>
        <x:v>845.5374908928843</x:v>
      </x:c>
      <x:c r="U47" s="27" t="n">
        <x:f>N47*'Fleet Engine'!F198</x:f>
        <x:v>75.27899290722421</x:v>
      </x:c>
      <x:c r="V47" s="28" t="n">
        <x:f>U47*T47</x:f>
        <x:v>63651.21077971759</x:v>
      </x:c>
      <x:c r="W47" s="28" t="n">
        <x:f>U47*O47</x:f>
        <x:v>189209.02659588904</x:v>
      </x:c>
    </x:row>
    <x:row r="48" ht="19" customHeight="1">
      <x:c r="A48" s="2"/>
      <x:c r="B48" s="2"/>
      <x:c r="C48" s="46" t="n">
        <x:v>0</x:v>
      </x:c>
      <x:c r="D48" s="46" t="n">
        <x:v>4</x:v>
      </x:c>
      <x:c r="E48" s="46" t="n">
        <x:v>0</x:v>
      </x:c>
      <x:c r="F48" s="46" t="n">
        <x:v>4</x:v>
      </x:c>
      <x:c r="G48" s="12" t="n">
        <x:v>0.6666666666666666</x:v>
      </x:c>
      <x:c r="H48" s="12" t="n">
        <x:v>0.7777777777777778</x:v>
      </x:c>
      <x:c r="I48" s="29" t="n">
        <x:f>'Assumptions'!$D$11+'Assumptions'!$D$12*(0.5-(G48+H48)/2)</x:f>
        <x:v>0.25555555555555554</x:v>
      </x:c>
      <x:c r="J48" s="27" t="n">
        <x:f>'Assumptions'!$D$8*EXP(-'Assumptions'!$D$9*('Fleet Engine'!E198-10))*'Assumptions'!E55*'Assumptions'!D36</x:f>
        <x:v>9048.374180359595</x:v>
      </x:c>
      <x:c r="K48" s="27" t="n">
        <x:f>'Source Data'!F221+LN('Assumptions'!D55)+LN('Assumptions'!D35)</x:f>
        <x:v>8.14856556744418</x:v>
      </x:c>
      <x:c r="L48" s="27" t="n">
        <x:f>J48*(1-I48*(1-'Carrier Engine'!E91))</x:f>
        <x:v>6828.506381444708</x:v>
      </x:c>
      <x:c r="M48" s="29" t="n">
        <x:f>NORM.S.DIST((LN(L48)-K48)/'Assumptions'!$D$10,TRUE)</x:f>
        <x:v>0.6675843344367494</x:v>
      </x:c>
      <x:c r="N48" s="30" t="n">
        <x:f>MAX(0,H48-MAX(G48,M48))</x:f>
        <x:v>0.11019344334102843</x:v>
      </x:c>
      <x:c r="O48" s="28" t="n">
        <x:f>J48*I48</x:f>
        <x:v>2312.362290536341</x:v>
      </x:c>
      <x:c r="P48" s="27" t="n">
        <x:f>(VLOOKUP(O48,'Fee Data'!$C$6:$G$50,2,TRUE)+O48*VLOOKUP(O48,'Fee Data'!$C$6:$G$50,3,TRUE)+VLOOKUP(O48,'Fee Data'!$I$6:$J$14,2,TRUE)+'Fee Data'!$J$20+'Fee Data'!$J$21)*'Assumptions'!D37</x:f>
        <x:v>745</x:v>
      </x:c>
      <x:c r="Q48" s="27" t="n">
        <x:f>(VLOOKUP(O48,'Fee Data'!$C$6:$G$50,4,TRUE)+O48*VLOOKUP(O48,'Fee Data'!$C$6:$G$50,5,TRUE)+VLOOKUP(O48,'Fee Data'!$I$6:$J$14,2,TRUE)+'Fee Data'!$J$20+'Fee Data'!$J$21)*'Assumptions'!D37</x:f>
        <x:v>600</x:v>
      </x:c>
      <x:c r="R48" s="27" t="n">
        <x:f>P48*(1-'Assumptions'!$D$14)+Q48*'Assumptions'!$D$14</x:f>
        <x:v>672.5</x:v>
      </x:c>
      <x:c r="S48" s="27" t="n">
        <x:f>O48*'Carrier Engine'!E91</x:f>
        <x:v>92.4944916214536</x:v>
      </x:c>
      <x:c r="T48" s="28" t="n">
        <x:f>R48+S48</x:f>
        <x:v>764.9944916214536</x:v>
      </x:c>
      <x:c r="U48" s="27" t="n">
        <x:f>N48*'Fleet Engine'!F198</x:f>
        <x:v>1444.8503849829538</x:v>
      </x:c>
      <x:c r="V48" s="28" t="n">
        <x:f>U48*T48</x:f>
        <x:v>1105302.585729096</x:v>
      </x:c>
      <x:c r="W48" s="28" t="n">
        <x:f>U48*O48</x:f>
        <x:v>3341017.545701497</x:v>
      </x:c>
    </x:row>
    <x:row r="49" ht="19" customHeight="1">
      <x:c r="A49" s="2"/>
      <x:c r="B49" s="2"/>
      <x:c r="C49" s="46" t="n">
        <x:v>0</x:v>
      </x:c>
      <x:c r="D49" s="46" t="n">
        <x:v>4</x:v>
      </x:c>
      <x:c r="E49" s="46" t="n">
        <x:v>0</x:v>
      </x:c>
      <x:c r="F49" s="46" t="n">
        <x:v>4</x:v>
      </x:c>
      <x:c r="G49" s="12" t="n">
        <x:v>0.7777777777777778</x:v>
      </x:c>
      <x:c r="H49" s="12" t="n">
        <x:v>0.8888888888888888</x:v>
      </x:c>
      <x:c r="I49" s="29" t="n">
        <x:f>'Assumptions'!$D$11+'Assumptions'!$D$12*(0.5-(G49+H49)/2)</x:f>
        <x:v>0.23333333333333334</x:v>
      </x:c>
      <x:c r="J49" s="27" t="n">
        <x:f>'Assumptions'!$D$8*EXP(-'Assumptions'!$D$9*('Fleet Engine'!E198-10))*'Assumptions'!E55*'Assumptions'!D36</x:f>
        <x:v>9048.374180359595</x:v>
      </x:c>
      <x:c r="K49" s="27" t="n">
        <x:f>'Source Data'!F221+LN('Assumptions'!D55)+LN('Assumptions'!D35)</x:f>
        <x:v>8.14856556744418</x:v>
      </x:c>
      <x:c r="L49" s="27" t="n">
        <x:f>J49*(1-I49*(1-'Carrier Engine'!E91))</x:f>
        <x:v>7021.5383639590455</x:v>
      </x:c>
      <x:c r="M49" s="29" t="n">
        <x:f>NORM.S.DIST((LN(L49)-K49)/'Assumptions'!$D$10,TRUE)</x:f>
        <x:v>0.6740073284704973</x:v>
      </x:c>
      <x:c r="N49" s="30" t="n">
        <x:f>MAX(0,H49-MAX(G49,M49))</x:f>
        <x:v>0.11111111111111105</x:v>
      </x:c>
      <x:c r="O49" s="28" t="n">
        <x:f>J49*I49</x:f>
        <x:v>2111.2873087505723</x:v>
      </x:c>
      <x:c r="P49" s="27" t="n">
        <x:f>(VLOOKUP(O49,'Fee Data'!$C$6:$G$50,2,TRUE)+O49*VLOOKUP(O49,'Fee Data'!$C$6:$G$50,3,TRUE)+VLOOKUP(O49,'Fee Data'!$I$6:$J$14,2,TRUE)+'Fee Data'!$J$20+'Fee Data'!$J$21)*'Assumptions'!D37</x:f>
        <x:v>745</x:v>
      </x:c>
      <x:c r="Q49" s="27" t="n">
        <x:f>(VLOOKUP(O49,'Fee Data'!$C$6:$G$50,4,TRUE)+O49*VLOOKUP(O49,'Fee Data'!$C$6:$G$50,5,TRUE)+VLOOKUP(O49,'Fee Data'!$I$6:$J$14,2,TRUE)+'Fee Data'!$J$20+'Fee Data'!$J$21)*'Assumptions'!D37</x:f>
        <x:v>600</x:v>
      </x:c>
      <x:c r="R49" s="27" t="n">
        <x:f>P49*(1-'Assumptions'!$D$14)+Q49*'Assumptions'!$D$14</x:f>
        <x:v>672.5</x:v>
      </x:c>
      <x:c r="S49" s="27" t="n">
        <x:f>O49*'Carrier Engine'!E91</x:f>
        <x:v>84.45149235002286</x:v>
      </x:c>
      <x:c r="T49" s="28" t="n">
        <x:f>R49+S49</x:f>
        <x:v>756.9514923500228</x:v>
      </x:c>
      <x:c r="U49" s="27" t="n">
        <x:f>N49*'Fleet Engine'!F198</x:f>
        <x:v>1456.8827944502477</x:v>
      </x:c>
      <x:c r="V49" s="28" t="n">
        <x:f>U49*T49</x:f>
        <x:v>1102789.6054381866</x:v>
      </x:c>
      <x:c r="W49" s="28" t="n">
        <x:f>U49*O49</x:f>
        <x:v>3075898.154259877</x:v>
      </x:c>
    </x:row>
    <x:row r="50" ht="19" customHeight="1">
      <x:c r="A50" s="2"/>
      <x:c r="B50" s="2"/>
      <x:c r="C50" s="46" t="n">
        <x:v>0</x:v>
      </x:c>
      <x:c r="D50" s="46" t="n">
        <x:v>4</x:v>
      </x:c>
      <x:c r="E50" s="46" t="n">
        <x:v>0</x:v>
      </x:c>
      <x:c r="F50" s="46" t="n">
        <x:v>4</x:v>
      </x:c>
      <x:c r="G50" s="12" t="n">
        <x:v>0.8888888888888888</x:v>
      </x:c>
      <x:c r="H50" s="12" t="n">
        <x:v>1</x:v>
      </x:c>
      <x:c r="I50" s="29" t="n">
        <x:f>'Assumptions'!$D$11+'Assumptions'!$D$12*(0.5-(G50+H50)/2)</x:f>
        <x:v>0.21111111111111108</x:v>
      </x:c>
      <x:c r="J50" s="27" t="n">
        <x:f>'Assumptions'!$D$8*EXP(-'Assumptions'!$D$9*('Fleet Engine'!E198-10))*'Assumptions'!E55*'Assumptions'!D36</x:f>
        <x:v>9048.374180359595</x:v>
      </x:c>
      <x:c r="K50" s="27" t="n">
        <x:f>'Source Data'!F221+LN('Assumptions'!D55)+LN('Assumptions'!D35)</x:f>
        <x:v>8.14856556744418</x:v>
      </x:c>
      <x:c r="L50" s="27" t="n">
        <x:f>J50*(1-I50*(1-'Carrier Engine'!E91))</x:f>
        <x:v>7214.570346473383</x:v>
      </x:c>
      <x:c r="M50" s="29" t="n">
        <x:f>NORM.S.DIST((LN(L50)-K50)/'Assumptions'!$D$10,TRUE)</x:f>
        <x:v>0.680206975523874</x:v>
      </x:c>
      <x:c r="N50" s="30" t="n">
        <x:f>MAX(0,H50-MAX(G50,M50))</x:f>
        <x:v>0.11111111111111116</x:v>
      </x:c>
      <x:c r="O50" s="28" t="n">
        <x:f>J50*I50</x:f>
        <x:v>1910.2123269648032</x:v>
      </x:c>
      <x:c r="P50" s="27" t="n">
        <x:f>(VLOOKUP(O50,'Fee Data'!$C$6:$G$50,2,TRUE)+O50*VLOOKUP(O50,'Fee Data'!$C$6:$G$50,3,TRUE)+VLOOKUP(O50,'Fee Data'!$I$6:$J$14,2,TRUE)+'Fee Data'!$J$20+'Fee Data'!$J$21)*'Assumptions'!D37</x:f>
        <x:v>705</x:v>
      </x:c>
      <x:c r="Q50" s="27" t="n">
        <x:f>(VLOOKUP(O50,'Fee Data'!$C$6:$G$50,4,TRUE)+O50*VLOOKUP(O50,'Fee Data'!$C$6:$G$50,5,TRUE)+VLOOKUP(O50,'Fee Data'!$I$6:$J$14,2,TRUE)+'Fee Data'!$J$20+'Fee Data'!$J$21)*'Assumptions'!D37</x:f>
        <x:v>565</x:v>
      </x:c>
      <x:c r="R50" s="27" t="n">
        <x:f>P50*(1-'Assumptions'!$D$14)+Q50*'Assumptions'!$D$14</x:f>
        <x:v>635</x:v>
      </x:c>
      <x:c r="S50" s="27" t="n">
        <x:f>O50*'Carrier Engine'!E91</x:f>
        <x:v>76.4084930785921</x:v>
      </x:c>
      <x:c r="T50" s="28" t="n">
        <x:f>R50+S50</x:f>
        <x:v>711.4084930785921</x:v>
      </x:c>
      <x:c r="U50" s="27" t="n">
        <x:f>N50*'Fleet Engine'!F198</x:f>
        <x:v>1456.8827944502493</x:v>
      </x:c>
      <x:c r="V50" s="28" t="n">
        <x:f>U50*T50</x:f>
        <x:v>1036438.7933919801</x:v>
      </x:c>
      <x:c r="W50" s="28" t="n">
        <x:f>U50*O50</x:f>
        <x:v>2782955.472901796</x:v>
      </x:c>
    </x:row>
    <x:row r="51" ht="19" customHeight="1">
      <x:c r="A51" s="2"/>
      <x:c r="B51" s="2"/>
      <x:c r="C51" s="46" t="n">
        <x:v>0</x:v>
      </x:c>
      <x:c r="D51" s="46" t="n">
        <x:v>5</x:v>
      </x:c>
      <x:c r="E51" s="46" t="n">
        <x:v>0</x:v>
      </x:c>
      <x:c r="F51" s="46" t="n">
        <x:v>5</x:v>
      </x:c>
      <x:c r="G51" s="12" t="n">
        <x:v>0</x:v>
      </x:c>
      <x:c r="H51" s="12" t="n">
        <x:v>0.1111111111111111</x:v>
      </x:c>
      <x:c r="I51" s="29" t="n">
        <x:f>'Assumptions'!$D$11+'Assumptions'!$D$12*(0.5-(G51+H51)/2)</x:f>
        <x:v>0.3888888888888889</x:v>
      </x:c>
      <x:c r="J51" s="27" t="n">
        <x:f>'Assumptions'!$D$8*EXP(-'Assumptions'!$D$9*('Fleet Engine'!E199-10))*'Assumptions'!E55*'Assumptions'!D36</x:f>
        <x:v>4965.853037914095</x:v>
      </x:c>
      <x:c r="K51" s="27" t="n">
        <x:f>'Source Data'!F222+LN('Assumptions'!D55)+LN('Assumptions'!D35)</x:f>
        <x:v>8.0496367177205</x:v>
      </x:c>
      <x:c r="L51" s="27" t="n">
        <x:f>J51*(1-I51*(1-'Carrier Engine'!E91))</x:f>
        <x:v>3111.9345704261664</x:v>
      </x:c>
      <x:c r="M51" s="29" t="n">
        <x:f>NORM.S.DIST((LN(L51)-K51)/'Assumptions'!$D$10,TRUE)</x:f>
        <x:v>0.4983137783845791</x:v>
      </x:c>
      <x:c r="N51" s="30" t="n">
        <x:f>MAX(0,H51-MAX(G51,M51))</x:f>
        <x:v>0</x:v>
      </x:c>
      <x:c r="O51" s="28" t="n">
        <x:f>J51*I51</x:f>
        <x:v>1931.1650702999257</x:v>
      </x:c>
      <x:c r="P51" s="27" t="n">
        <x:f>(VLOOKUP(O51,'Fee Data'!$C$6:$G$50,2,TRUE)+O51*VLOOKUP(O51,'Fee Data'!$C$6:$G$50,3,TRUE)+VLOOKUP(O51,'Fee Data'!$I$6:$J$14,2,TRUE)+'Fee Data'!$J$20+'Fee Data'!$J$21)*'Assumptions'!D37</x:f>
        <x:v>705</x:v>
      </x:c>
      <x:c r="Q51" s="27" t="n">
        <x:f>(VLOOKUP(O51,'Fee Data'!$C$6:$G$50,4,TRUE)+O51*VLOOKUP(O51,'Fee Data'!$C$6:$G$50,5,TRUE)+VLOOKUP(O51,'Fee Data'!$I$6:$J$14,2,TRUE)+'Fee Data'!$J$20+'Fee Data'!$J$21)*'Assumptions'!D37</x:f>
        <x:v>565</x:v>
      </x:c>
      <x:c r="R51" s="27" t="n">
        <x:f>P51*(1-'Assumptions'!$D$14)+Q51*'Assumptions'!$D$14</x:f>
        <x:v>635</x:v>
      </x:c>
      <x:c r="S51" s="27" t="n">
        <x:f>O51*'Carrier Engine'!E91</x:f>
        <x:v>77.24660281199701</x:v>
      </x:c>
      <x:c r="T51" s="28" t="n">
        <x:f>R51+S51</x:f>
        <x:v>712.246602811997</x:v>
      </x:c>
      <x:c r="U51" s="27" t="n">
        <x:f>N51*'Fleet Engine'!F199</x:f>
        <x:v>0</x:v>
      </x:c>
      <x:c r="V51" s="28" t="n">
        <x:f>U51*T51</x:f>
        <x:v>0</x:v>
      </x:c>
      <x:c r="W51" s="28" t="n">
        <x:f>U51*O51</x:f>
        <x:v>0</x:v>
      </x:c>
    </x:row>
    <x:row r="52" ht="19" customHeight="1">
      <x:c r="A52" s="2"/>
      <x:c r="B52" s="2"/>
      <x:c r="C52" s="46" t="n">
        <x:v>0</x:v>
      </x:c>
      <x:c r="D52" s="46" t="n">
        <x:v>5</x:v>
      </x:c>
      <x:c r="E52" s="46" t="n">
        <x:v>0</x:v>
      </x:c>
      <x:c r="F52" s="46" t="n">
        <x:v>5</x:v>
      </x:c>
      <x:c r="G52" s="12" t="n">
        <x:v>0.1111111111111111</x:v>
      </x:c>
      <x:c r="H52" s="12" t="n">
        <x:v>0.2222222222222222</x:v>
      </x:c>
      <x:c r="I52" s="29" t="n">
        <x:f>'Assumptions'!$D$11+'Assumptions'!$D$12*(0.5-(G52+H52)/2)</x:f>
        <x:v>0.3666666666666667</x:v>
      </x:c>
      <x:c r="J52" s="27" t="n">
        <x:f>'Assumptions'!$D$8*EXP(-'Assumptions'!$D$9*('Fleet Engine'!E199-10))*'Assumptions'!E55*'Assumptions'!D36</x:f>
        <x:v>4965.853037914095</x:v>
      </x:c>
      <x:c r="K52" s="27" t="n">
        <x:f>'Source Data'!F222+LN('Assumptions'!D55)+LN('Assumptions'!D35)</x:f>
        <x:v>8.0496367177205</x:v>
      </x:c>
      <x:c r="L52" s="27" t="n">
        <x:f>J52*(1-I52*(1-'Carrier Engine'!E91))</x:f>
        <x:v>3217.872768568333</x:v>
      </x:c>
      <x:c r="M52" s="29" t="n">
        <x:f>NORM.S.DIST((LN(L52)-K52)/'Assumptions'!$D$10,TRUE)</x:f>
        <x:v>0.5068186718451688</x:v>
      </x:c>
      <x:c r="N52" s="30" t="n">
        <x:f>MAX(0,H52-MAX(G52,M52))</x:f>
        <x:v>0</x:v>
      </x:c>
      <x:c r="O52" s="28" t="n">
        <x:f>J52*I52</x:f>
        <x:v>1820.8127805685015</x:v>
      </x:c>
      <x:c r="P52" s="27" t="n">
        <x:f>(VLOOKUP(O52,'Fee Data'!$C$6:$G$50,2,TRUE)+O52*VLOOKUP(O52,'Fee Data'!$C$6:$G$50,3,TRUE)+VLOOKUP(O52,'Fee Data'!$I$6:$J$14,2,TRUE)+'Fee Data'!$J$20+'Fee Data'!$J$21)*'Assumptions'!D37</x:f>
        <x:v>705</x:v>
      </x:c>
      <x:c r="Q52" s="27" t="n">
        <x:f>(VLOOKUP(O52,'Fee Data'!$C$6:$G$50,4,TRUE)+O52*VLOOKUP(O52,'Fee Data'!$C$6:$G$50,5,TRUE)+VLOOKUP(O52,'Fee Data'!$I$6:$J$14,2,TRUE)+'Fee Data'!$J$20+'Fee Data'!$J$21)*'Assumptions'!D37</x:f>
        <x:v>565</x:v>
      </x:c>
      <x:c r="R52" s="27" t="n">
        <x:f>P52*(1-'Assumptions'!$D$14)+Q52*'Assumptions'!$D$14</x:f>
        <x:v>635</x:v>
      </x:c>
      <x:c r="S52" s="27" t="n">
        <x:f>O52*'Carrier Engine'!E91</x:f>
        <x:v>72.83251122274004</x:v>
      </x:c>
      <x:c r="T52" s="28" t="n">
        <x:f>R52+S52</x:f>
        <x:v>707.8325112227401</x:v>
      </x:c>
      <x:c r="U52" s="27" t="n">
        <x:f>N52*'Fleet Engine'!F199</x:f>
        <x:v>0</x:v>
      </x:c>
      <x:c r="V52" s="28" t="n">
        <x:f>U52*T52</x:f>
        <x:v>0</x:v>
      </x:c>
      <x:c r="W52" s="28" t="n">
        <x:f>U52*O52</x:f>
        <x:v>0</x:v>
      </x:c>
    </x:row>
    <x:row r="53" ht="19" customHeight="1">
      <x:c r="A53" s="2"/>
      <x:c r="B53" s="2"/>
      <x:c r="C53" s="46" t="n">
        <x:v>0</x:v>
      </x:c>
      <x:c r="D53" s="46" t="n">
        <x:v>5</x:v>
      </x:c>
      <x:c r="E53" s="46" t="n">
        <x:v>0</x:v>
      </x:c>
      <x:c r="F53" s="46" t="n">
        <x:v>5</x:v>
      </x:c>
      <x:c r="G53" s="12" t="n">
        <x:v>0.2222222222222222</x:v>
      </x:c>
      <x:c r="H53" s="12" t="n">
        <x:v>0.3333333333333333</x:v>
      </x:c>
      <x:c r="I53" s="29" t="n">
        <x:f>'Assumptions'!$D$11+'Assumptions'!$D$12*(0.5-(G53+H53)/2)</x:f>
        <x:v>0.34444444444444444</x:v>
      </x:c>
      <x:c r="J53" s="27" t="n">
        <x:f>'Assumptions'!$D$8*EXP(-'Assumptions'!$D$9*('Fleet Engine'!E199-10))*'Assumptions'!E55*'Assumptions'!D36</x:f>
        <x:v>4965.853037914095</x:v>
      </x:c>
      <x:c r="K53" s="27" t="n">
        <x:f>'Source Data'!F222+LN('Assumptions'!D55)+LN('Assumptions'!D35)</x:f>
        <x:v>8.0496367177205</x:v>
      </x:c>
      <x:c r="L53" s="27" t="n">
        <x:f>J53*(1-I53*(1-'Carrier Engine'!E91))</x:f>
        <x:v>3323.810966710501</x:v>
      </x:c>
      <x:c r="M53" s="29" t="n">
        <x:f>NORM.S.DIST((LN(L53)-K53)/'Assumptions'!$D$10,TRUE)</x:f>
        <x:v>0.5150451442708714</x:v>
      </x:c>
      <x:c r="N53" s="30" t="n">
        <x:f>MAX(0,H53-MAX(G53,M53))</x:f>
        <x:v>0</x:v>
      </x:c>
      <x:c r="O53" s="28" t="n">
        <x:f>J53*I53</x:f>
        <x:v>1710.460490837077</x:v>
      </x:c>
      <x:c r="P53" s="27" t="n">
        <x:f>(VLOOKUP(O53,'Fee Data'!$C$6:$G$50,2,TRUE)+O53*VLOOKUP(O53,'Fee Data'!$C$6:$G$50,3,TRUE)+VLOOKUP(O53,'Fee Data'!$I$6:$J$14,2,TRUE)+'Fee Data'!$J$20+'Fee Data'!$J$21)*'Assumptions'!D37</x:f>
        <x:v>680</x:v>
      </x:c>
      <x:c r="Q53" s="27" t="n">
        <x:f>(VLOOKUP(O53,'Fee Data'!$C$6:$G$50,4,TRUE)+O53*VLOOKUP(O53,'Fee Data'!$C$6:$G$50,5,TRUE)+VLOOKUP(O53,'Fee Data'!$I$6:$J$14,2,TRUE)+'Fee Data'!$J$20+'Fee Data'!$J$21)*'Assumptions'!D37</x:f>
        <x:v>545</x:v>
      </x:c>
      <x:c r="R53" s="27" t="n">
        <x:f>P53*(1-'Assumptions'!$D$14)+Q53*'Assumptions'!$D$14</x:f>
        <x:v>612.5</x:v>
      </x:c>
      <x:c r="S53" s="27" t="n">
        <x:f>O53*'Carrier Engine'!E91</x:f>
        <x:v>68.41841963348305</x:v>
      </x:c>
      <x:c r="T53" s="28" t="n">
        <x:f>R53+S53</x:f>
        <x:v>680.918419633483</x:v>
      </x:c>
      <x:c r="U53" s="27" t="n">
        <x:f>N53*'Fleet Engine'!F199</x:f>
        <x:v>0</x:v>
      </x:c>
      <x:c r="V53" s="28" t="n">
        <x:f>U53*T53</x:f>
        <x:v>0</x:v>
      </x:c>
      <x:c r="W53" s="28" t="n">
        <x:f>U53*O53</x:f>
        <x:v>0</x:v>
      </x:c>
    </x:row>
    <x:row r="54" ht="19" customHeight="1">
      <x:c r="A54" s="2"/>
      <x:c r="B54" s="2"/>
      <x:c r="C54" s="46" t="n">
        <x:v>0</x:v>
      </x:c>
      <x:c r="D54" s="46" t="n">
        <x:v>5</x:v>
      </x:c>
      <x:c r="E54" s="46" t="n">
        <x:v>0</x:v>
      </x:c>
      <x:c r="F54" s="46" t="n">
        <x:v>5</x:v>
      </x:c>
      <x:c r="G54" s="12" t="n">
        <x:v>0.3333333333333333</x:v>
      </x:c>
      <x:c r="H54" s="12" t="n">
        <x:v>0.4444444444444444</x:v>
      </x:c>
      <x:c r="I54" s="29" t="n">
        <x:f>'Assumptions'!$D$11+'Assumptions'!$D$12*(0.5-(G54+H54)/2)</x:f>
        <x:v>0.32222222222222224</x:v>
      </x:c>
      <x:c r="J54" s="27" t="n">
        <x:f>'Assumptions'!$D$8*EXP(-'Assumptions'!$D$9*('Fleet Engine'!E199-10))*'Assumptions'!E55*'Assumptions'!D36</x:f>
        <x:v>4965.853037914095</x:v>
      </x:c>
      <x:c r="K54" s="27" t="n">
        <x:f>'Source Data'!F222+LN('Assumptions'!D55)+LN('Assumptions'!D35)</x:f>
        <x:v>8.0496367177205</x:v>
      </x:c>
      <x:c r="L54" s="27" t="n">
        <x:f>J54*(1-I54*(1-'Carrier Engine'!E91))</x:f>
        <x:v>3429.749164852668</x:v>
      </x:c>
      <x:c r="M54" s="29" t="n">
        <x:f>NORM.S.DIST((LN(L54)-K54)/'Assumptions'!$D$10,TRUE)</x:f>
        <x:v>0.5230074223798904</x:v>
      </x:c>
      <x:c r="N54" s="30" t="n">
        <x:f>MAX(0,H54-MAX(G54,M54))</x:f>
        <x:v>0</x:v>
      </x:c>
      <x:c r="O54" s="28" t="n">
        <x:f>J54*I54</x:f>
        <x:v>1600.1082011056528</x:v>
      </x:c>
      <x:c r="P54" s="27" t="n">
        <x:f>(VLOOKUP(O54,'Fee Data'!$C$6:$G$50,2,TRUE)+O54*VLOOKUP(O54,'Fee Data'!$C$6:$G$50,3,TRUE)+VLOOKUP(O54,'Fee Data'!$I$6:$J$14,2,TRUE)+'Fee Data'!$J$20+'Fee Data'!$J$21)*'Assumptions'!D37</x:f>
        <x:v>660</x:v>
      </x:c>
      <x:c r="Q54" s="27" t="n">
        <x:f>(VLOOKUP(O54,'Fee Data'!$C$6:$G$50,4,TRUE)+O54*VLOOKUP(O54,'Fee Data'!$C$6:$G$50,5,TRUE)+VLOOKUP(O54,'Fee Data'!$I$6:$J$14,2,TRUE)+'Fee Data'!$J$20+'Fee Data'!$J$21)*'Assumptions'!D37</x:f>
        <x:v>525</x:v>
      </x:c>
      <x:c r="R54" s="27" t="n">
        <x:f>P54*(1-'Assumptions'!$D$14)+Q54*'Assumptions'!$D$14</x:f>
        <x:v>592.5</x:v>
      </x:c>
      <x:c r="S54" s="27" t="n">
        <x:f>O54*'Carrier Engine'!E91</x:f>
        <x:v>64.00432804422609</x:v>
      </x:c>
      <x:c r="T54" s="28" t="n">
        <x:f>R54+S54</x:f>
        <x:v>656.5043280442261</x:v>
      </x:c>
      <x:c r="U54" s="27" t="n">
        <x:f>N54*'Fleet Engine'!F199</x:f>
        <x:v>0</x:v>
      </x:c>
      <x:c r="V54" s="28" t="n">
        <x:f>U54*T54</x:f>
        <x:v>0</x:v>
      </x:c>
      <x:c r="W54" s="28" t="n">
        <x:f>U54*O54</x:f>
        <x:v>0</x:v>
      </x:c>
    </x:row>
    <x:row r="55" ht="19" customHeight="1">
      <x:c r="A55" s="2"/>
      <x:c r="B55" s="2"/>
      <x:c r="C55" s="46" t="n">
        <x:v>0</x:v>
      </x:c>
      <x:c r="D55" s="46" t="n">
        <x:v>5</x:v>
      </x:c>
      <x:c r="E55" s="46" t="n">
        <x:v>0</x:v>
      </x:c>
      <x:c r="F55" s="46" t="n">
        <x:v>5</x:v>
      </x:c>
      <x:c r="G55" s="12" t="n">
        <x:v>0.4444444444444444</x:v>
      </x:c>
      <x:c r="H55" s="12" t="n">
        <x:v>0.5555555555555556</x:v>
      </x:c>
      <x:c r="I55" s="29" t="n">
        <x:f>'Assumptions'!$D$11+'Assumptions'!$D$12*(0.5-(G55+H55)/2)</x:f>
        <x:v>0.3</x:v>
      </x:c>
      <x:c r="J55" s="27" t="n">
        <x:f>'Assumptions'!$D$8*EXP(-'Assumptions'!$D$9*('Fleet Engine'!E199-10))*'Assumptions'!E55*'Assumptions'!D36</x:f>
        <x:v>4965.853037914095</x:v>
      </x:c>
      <x:c r="K55" s="27" t="n">
        <x:f>'Source Data'!F222+LN('Assumptions'!D55)+LN('Assumptions'!D35)</x:f>
        <x:v>8.0496367177205</x:v>
      </x:c>
      <x:c r="L55" s="27" t="n">
        <x:f>J55*(1-I55*(1-'Carrier Engine'!E91))</x:f>
        <x:v>3535.6873629948354</x:v>
      </x:c>
      <x:c r="M55" s="29" t="n">
        <x:f>NORM.S.DIST((LN(L55)-K55)/'Assumptions'!$D$10,TRUE)</x:f>
        <x:v>0.530718734175407</x:v>
      </x:c>
      <x:c r="N55" s="30" t="n">
        <x:f>MAX(0,H55-MAX(G55,M55))</x:f>
        <x:v>0.024836821380148533</x:v>
      </x:c>
      <x:c r="O55" s="28" t="n">
        <x:f>J55*I55</x:f>
        <x:v>1489.7559113742284</x:v>
      </x:c>
      <x:c r="P55" s="27" t="n">
        <x:f>(VLOOKUP(O55,'Fee Data'!$C$6:$G$50,2,TRUE)+O55*VLOOKUP(O55,'Fee Data'!$C$6:$G$50,3,TRUE)+VLOOKUP(O55,'Fee Data'!$I$6:$J$14,2,TRUE)+'Fee Data'!$J$20+'Fee Data'!$J$21)*'Assumptions'!D37</x:f>
        <x:v>615</x:v>
      </x:c>
      <x:c r="Q55" s="27" t="n">
        <x:f>(VLOOKUP(O55,'Fee Data'!$C$6:$G$50,4,TRUE)+O55*VLOOKUP(O55,'Fee Data'!$C$6:$G$50,5,TRUE)+VLOOKUP(O55,'Fee Data'!$I$6:$J$14,2,TRUE)+'Fee Data'!$J$20+'Fee Data'!$J$21)*'Assumptions'!D37</x:f>
        <x:v>485</x:v>
      </x:c>
      <x:c r="R55" s="27" t="n">
        <x:f>P55*(1-'Assumptions'!$D$14)+Q55*'Assumptions'!$D$14</x:f>
        <x:v>550</x:v>
      </x:c>
      <x:c r="S55" s="27" t="n">
        <x:f>O55*'Carrier Engine'!E91</x:f>
        <x:v>59.590236454969116</x:v>
      </x:c>
      <x:c r="T55" s="28" t="n">
        <x:f>R55+S55</x:f>
        <x:v>609.5902364549692</x:v>
      </x:c>
      <x:c r="U55" s="27" t="n">
        <x:f>N55*'Fleet Engine'!F199</x:f>
        <x:v>441.36853348121036</x:v>
      </x:c>
      <x:c r="V55" s="28" t="n">
        <x:f>U55*T55</x:f>
        <x:v>269053.948688594</x:v>
      </x:c>
      <x:c r="W55" s="28" t="n">
        <x:f>U55*O55</x:f>
        <x:v>657531.3818482072</x:v>
      </x:c>
    </x:row>
    <x:row r="56" ht="19" customHeight="1">
      <x:c r="A56" s="2"/>
      <x:c r="B56" s="2"/>
      <x:c r="C56" s="46" t="n">
        <x:v>0</x:v>
      </x:c>
      <x:c r="D56" s="46" t="n">
        <x:v>5</x:v>
      </x:c>
      <x:c r="E56" s="46" t="n">
        <x:v>0</x:v>
      </x:c>
      <x:c r="F56" s="46" t="n">
        <x:v>5</x:v>
      </x:c>
      <x:c r="G56" s="12" t="n">
        <x:v>0.5555555555555556</x:v>
      </x:c>
      <x:c r="H56" s="12" t="n">
        <x:v>0.6666666666666666</x:v>
      </x:c>
      <x:c r="I56" s="29" t="n">
        <x:f>'Assumptions'!$D$11+'Assumptions'!$D$12*(0.5-(G56+H56)/2)</x:f>
        <x:v>0.27777777777777773</x:v>
      </x:c>
      <x:c r="J56" s="27" t="n">
        <x:f>'Assumptions'!$D$8*EXP(-'Assumptions'!$D$9*('Fleet Engine'!E199-10))*'Assumptions'!E55*'Assumptions'!D36</x:f>
        <x:v>4965.853037914095</x:v>
      </x:c>
      <x:c r="K56" s="27" t="n">
        <x:f>'Source Data'!F222+LN('Assumptions'!D55)+LN('Assumptions'!D35)</x:f>
        <x:v>8.0496367177205</x:v>
      </x:c>
      <x:c r="L56" s="27" t="n">
        <x:f>J56*(1-I56*(1-'Carrier Engine'!E91))</x:f>
        <x:v>3641.625561137003</x:v>
      </x:c>
      <x:c r="M56" s="29" t="n">
        <x:f>NORM.S.DIST((LN(L56)-K56)/'Assumptions'!$D$10,TRUE)</x:f>
        <x:v>0.5381913977645012</x:v>
      </x:c>
      <x:c r="N56" s="30" t="n">
        <x:f>MAX(0,H56-MAX(G56,M56))</x:f>
        <x:v>0.11111111111111105</x:v>
      </x:c>
      <x:c r="O56" s="28" t="n">
        <x:f>J56*I56</x:f>
        <x:v>1379.403621642804</x:v>
      </x:c>
      <x:c r="P56" s="27" t="n">
        <x:f>(VLOOKUP(O56,'Fee Data'!$C$6:$G$50,2,TRUE)+O56*VLOOKUP(O56,'Fee Data'!$C$6:$G$50,3,TRUE)+VLOOKUP(O56,'Fee Data'!$I$6:$J$14,2,TRUE)+'Fee Data'!$J$20+'Fee Data'!$J$21)*'Assumptions'!D37</x:f>
        <x:v>595</x:v>
      </x:c>
      <x:c r="Q56" s="27" t="n">
        <x:f>(VLOOKUP(O56,'Fee Data'!$C$6:$G$50,4,TRUE)+O56*VLOOKUP(O56,'Fee Data'!$C$6:$G$50,5,TRUE)+VLOOKUP(O56,'Fee Data'!$I$6:$J$14,2,TRUE)+'Fee Data'!$J$20+'Fee Data'!$J$21)*'Assumptions'!D37</x:f>
        <x:v>470</x:v>
      </x:c>
      <x:c r="R56" s="27" t="n">
        <x:f>P56*(1-'Assumptions'!$D$14)+Q56*'Assumptions'!$D$14</x:f>
        <x:v>532.5</x:v>
      </x:c>
      <x:c r="S56" s="27" t="n">
        <x:f>O56*'Carrier Engine'!E91</x:f>
        <x:v>55.17614486571214</x:v>
      </x:c>
      <x:c r="T56" s="28" t="n">
        <x:f>R56+S56</x:f>
        <x:v>587.6761448657121</x:v>
      </x:c>
      <x:c r="U56" s="27" t="n">
        <x:f>N56*'Fleet Engine'!F199</x:f>
        <x:v>1974.525943314797</x:v>
      </x:c>
      <x:c r="V56" s="28" t="n">
        <x:f>U56*T56</x:f>
        <x:v>1160381.7943045734</x:v>
      </x:c>
      <x:c r="W56" s="28" t="n">
        <x:f>U56*O56</x:f>
        <x:v>2723668.237236105</x:v>
      </x:c>
    </x:row>
    <x:row r="57" ht="19" customHeight="1">
      <x:c r="A57" s="2"/>
      <x:c r="B57" s="2"/>
      <x:c r="C57" s="46" t="n">
        <x:v>0</x:v>
      </x:c>
      <x:c r="D57" s="46" t="n">
        <x:v>5</x:v>
      </x:c>
      <x:c r="E57" s="46" t="n">
        <x:v>0</x:v>
      </x:c>
      <x:c r="F57" s="46" t="n">
        <x:v>5</x:v>
      </x:c>
      <x:c r="G57" s="12" t="n">
        <x:v>0.6666666666666666</x:v>
      </x:c>
      <x:c r="H57" s="12" t="n">
        <x:v>0.7777777777777778</x:v>
      </x:c>
      <x:c r="I57" s="29" t="n">
        <x:f>'Assumptions'!$D$11+'Assumptions'!$D$12*(0.5-(G57+H57)/2)</x:f>
        <x:v>0.25555555555555554</x:v>
      </x:c>
      <x:c r="J57" s="27" t="n">
        <x:f>'Assumptions'!$D$8*EXP(-'Assumptions'!$D$9*('Fleet Engine'!E199-10))*'Assumptions'!E55*'Assumptions'!D36</x:f>
        <x:v>4965.853037914095</x:v>
      </x:c>
      <x:c r="K57" s="27" t="n">
        <x:f>'Source Data'!F222+LN('Assumptions'!D55)+LN('Assumptions'!D35)</x:f>
        <x:v>8.0496367177205</x:v>
      </x:c>
      <x:c r="L57" s="27" t="n">
        <x:f>J57*(1-I57*(1-'Carrier Engine'!E91))</x:f>
        <x:v>3747.5637592791704</x:v>
      </x:c>
      <x:c r="M57" s="29" t="n">
        <x:f>NORM.S.DIST((LN(L57)-K57)/'Assumptions'!$D$10,TRUE)</x:f>
        <x:v>0.5454369007114661</x:v>
      </x:c>
      <x:c r="N57" s="30" t="n">
        <x:f>MAX(0,H57-MAX(G57,M57))</x:f>
        <x:v>0.11111111111111116</x:v>
      </x:c>
      <x:c r="O57" s="28" t="n">
        <x:f>J57*I57</x:f>
        <x:v>1269.0513319113797</x:v>
      </x:c>
      <x:c r="P57" s="27" t="n">
        <x:f>(VLOOKUP(O57,'Fee Data'!$C$6:$G$50,2,TRUE)+O57*VLOOKUP(O57,'Fee Data'!$C$6:$G$50,3,TRUE)+VLOOKUP(O57,'Fee Data'!$I$6:$J$14,2,TRUE)+'Fee Data'!$J$20+'Fee Data'!$J$21)*'Assumptions'!D37</x:f>
        <x:v>580</x:v>
      </x:c>
      <x:c r="Q57" s="27" t="n">
        <x:f>(VLOOKUP(O57,'Fee Data'!$C$6:$G$50,4,TRUE)+O57*VLOOKUP(O57,'Fee Data'!$C$6:$G$50,5,TRUE)+VLOOKUP(O57,'Fee Data'!$I$6:$J$14,2,TRUE)+'Fee Data'!$J$20+'Fee Data'!$J$21)*'Assumptions'!D37</x:f>
        <x:v>455</x:v>
      </x:c>
      <x:c r="R57" s="27" t="n">
        <x:f>P57*(1-'Assumptions'!$D$14)+Q57*'Assumptions'!$D$14</x:f>
        <x:v>517.5</x:v>
      </x:c>
      <x:c r="S57" s="27" t="n">
        <x:f>O57*'Carrier Engine'!E91</x:f>
        <x:v>50.76205327645518</x:v>
      </x:c>
      <x:c r="T57" s="28" t="n">
        <x:f>R57+S57</x:f>
        <x:v>568.2620532764552</x:v>
      </x:c>
      <x:c r="U57" s="27" t="n">
        <x:f>N57*'Fleet Engine'!F199</x:f>
        <x:v>1974.525943314799</x:v>
      </x:c>
      <x:c r="V57" s="28" t="n">
        <x:f>U57*T57</x:f>
        <x:v>1122048.166795697</x:v>
      </x:c>
      <x:c r="W57" s="28" t="n">
        <x:f>U57*O57</x:f>
        <x:v>2505774.778257219</x:v>
      </x:c>
    </x:row>
    <x:row r="58" ht="19" customHeight="1">
      <x:c r="A58" s="2"/>
      <x:c r="B58" s="2"/>
      <x:c r="C58" s="46" t="n">
        <x:v>0</x:v>
      </x:c>
      <x:c r="D58" s="46" t="n">
        <x:v>5</x:v>
      </x:c>
      <x:c r="E58" s="46" t="n">
        <x:v>0</x:v>
      </x:c>
      <x:c r="F58" s="46" t="n">
        <x:v>5</x:v>
      </x:c>
      <x:c r="G58" s="12" t="n">
        <x:v>0.7777777777777778</x:v>
      </x:c>
      <x:c r="H58" s="12" t="n">
        <x:v>0.8888888888888888</x:v>
      </x:c>
      <x:c r="I58" s="29" t="n">
        <x:f>'Assumptions'!$D$11+'Assumptions'!$D$12*(0.5-(G58+H58)/2)</x:f>
        <x:v>0.23333333333333334</x:v>
      </x:c>
      <x:c r="J58" s="27" t="n">
        <x:f>'Assumptions'!$D$8*EXP(-'Assumptions'!$D$9*('Fleet Engine'!E199-10))*'Assumptions'!E55*'Assumptions'!D36</x:f>
        <x:v>4965.853037914095</x:v>
      </x:c>
      <x:c r="K58" s="27" t="n">
        <x:f>'Source Data'!F222+LN('Assumptions'!D55)+LN('Assumptions'!D35)</x:f>
        <x:v>8.0496367177205</x:v>
      </x:c>
      <x:c r="L58" s="27" t="n">
        <x:f>J58*(1-I58*(1-'Carrier Engine'!E91))</x:f>
        <x:v>3853.5019574213375</x:v>
      </x:c>
      <x:c r="M58" s="29" t="n">
        <x:f>NORM.S.DIST((LN(L58)-K58)/'Assumptions'!$D$10,TRUE)</x:f>
        <x:v>0.5524659710850595</x:v>
      </x:c>
      <x:c r="N58" s="30" t="n">
        <x:f>MAX(0,H58-MAX(G58,M58))</x:f>
        <x:v>0.11111111111111105</x:v>
      </x:c>
      <x:c r="O58" s="28" t="n">
        <x:f>J58*I58</x:f>
        <x:v>1158.6990421799555</x:v>
      </x:c>
      <x:c r="P58" s="27" t="n">
        <x:f>(VLOOKUP(O58,'Fee Data'!$C$6:$G$50,2,TRUE)+O58*VLOOKUP(O58,'Fee Data'!$C$6:$G$50,3,TRUE)+VLOOKUP(O58,'Fee Data'!$I$6:$J$14,2,TRUE)+'Fee Data'!$J$20+'Fee Data'!$J$21)*'Assumptions'!D37</x:f>
        <x:v>560</x:v>
      </x:c>
      <x:c r="Q58" s="27" t="n">
        <x:f>(VLOOKUP(O58,'Fee Data'!$C$6:$G$50,4,TRUE)+O58*VLOOKUP(O58,'Fee Data'!$C$6:$G$50,5,TRUE)+VLOOKUP(O58,'Fee Data'!$I$6:$J$14,2,TRUE)+'Fee Data'!$J$20+'Fee Data'!$J$21)*'Assumptions'!D37</x:f>
        <x:v>435</x:v>
      </x:c>
      <x:c r="R58" s="27" t="n">
        <x:f>P58*(1-'Assumptions'!$D$14)+Q58*'Assumptions'!$D$14</x:f>
        <x:v>497.5</x:v>
      </x:c>
      <x:c r="S58" s="27" t="n">
        <x:f>O58*'Carrier Engine'!E91</x:f>
        <x:v>46.34796168719821</x:v>
      </x:c>
      <x:c r="T58" s="28" t="n">
        <x:f>R58+S58</x:f>
        <x:v>543.8479616871982</x:v>
      </x:c>
      <x:c r="U58" s="27" t="n">
        <x:f>N58*'Fleet Engine'!F199</x:f>
        <x:v>1974.525943314797</x:v>
      </x:c>
      <x:c r="V58" s="28" t="n">
        <x:f>U58*T58</x:f>
        <x:v>1073841.9095702446</x:v>
      </x:c>
      <x:c r="W58" s="28" t="n">
        <x:f>U58*O58</x:f>
        <x:v>2287881.319278328</x:v>
      </x:c>
    </x:row>
    <x:row r="59" ht="19" customHeight="1">
      <x:c r="A59" s="2"/>
      <x:c r="B59" s="2"/>
      <x:c r="C59" s="46" t="n">
        <x:v>0</x:v>
      </x:c>
      <x:c r="D59" s="46" t="n">
        <x:v>5</x:v>
      </x:c>
      <x:c r="E59" s="46" t="n">
        <x:v>0</x:v>
      </x:c>
      <x:c r="F59" s="46" t="n">
        <x:v>5</x:v>
      </x:c>
      <x:c r="G59" s="12" t="n">
        <x:v>0.8888888888888888</x:v>
      </x:c>
      <x:c r="H59" s="12" t="n">
        <x:v>1</x:v>
      </x:c>
      <x:c r="I59" s="29" t="n">
        <x:f>'Assumptions'!$D$11+'Assumptions'!$D$12*(0.5-(G59+H59)/2)</x:f>
        <x:v>0.21111111111111108</x:v>
      </x:c>
      <x:c r="J59" s="27" t="n">
        <x:f>'Assumptions'!$D$8*EXP(-'Assumptions'!$D$9*('Fleet Engine'!E199-10))*'Assumptions'!E55*'Assumptions'!D36</x:f>
        <x:v>4965.853037914095</x:v>
      </x:c>
      <x:c r="K59" s="27" t="n">
        <x:f>'Source Data'!F222+LN('Assumptions'!D55)+LN('Assumptions'!D35)</x:f>
        <x:v>8.0496367177205</x:v>
      </x:c>
      <x:c r="L59" s="27" t="n">
        <x:f>J59*(1-I59*(1-'Carrier Engine'!E91))</x:f>
        <x:v>3959.440155563505</x:v>
      </x:c>
      <x:c r="M59" s="29" t="n">
        <x:f>NORM.S.DIST((LN(L59)-K59)/'Assumptions'!$D$10,TRUE)</x:f>
        <x:v>0.5592886412015461</x:v>
      </x:c>
      <x:c r="N59" s="30" t="n">
        <x:f>MAX(0,H59-MAX(G59,M59))</x:f>
        <x:v>0.11111111111111116</x:v>
      </x:c>
      <x:c r="O59" s="28" t="n">
        <x:f>J59*I59</x:f>
        <x:v>1048.3467524485309</x:v>
      </x:c>
      <x:c r="P59" s="27" t="n">
        <x:f>(VLOOKUP(O59,'Fee Data'!$C$6:$G$50,2,TRUE)+O59*VLOOKUP(O59,'Fee Data'!$C$6:$G$50,3,TRUE)+VLOOKUP(O59,'Fee Data'!$I$6:$J$14,2,TRUE)+'Fee Data'!$J$20+'Fee Data'!$J$21)*'Assumptions'!D37</x:f>
        <x:v>560</x:v>
      </x:c>
      <x:c r="Q59" s="27" t="n">
        <x:f>(VLOOKUP(O59,'Fee Data'!$C$6:$G$50,4,TRUE)+O59*VLOOKUP(O59,'Fee Data'!$C$6:$G$50,5,TRUE)+VLOOKUP(O59,'Fee Data'!$I$6:$J$14,2,TRUE)+'Fee Data'!$J$20+'Fee Data'!$J$21)*'Assumptions'!D37</x:f>
        <x:v>435</x:v>
      </x:c>
      <x:c r="R59" s="27" t="n">
        <x:f>P59*(1-'Assumptions'!$D$14)+Q59*'Assumptions'!$D$14</x:f>
        <x:v>497.5</x:v>
      </x:c>
      <x:c r="S59" s="27" t="n">
        <x:f>O59*'Carrier Engine'!E91</x:f>
        <x:v>41.933870097941224</x:v>
      </x:c>
      <x:c r="T59" s="28" t="n">
        <x:f>R59+S59</x:f>
        <x:v>539.4338700979413</x:v>
      </x:c>
      <x:c r="U59" s="27" t="n">
        <x:f>N59*'Fleet Engine'!F199</x:f>
        <x:v>1974.525943314799</x:v>
      </x:c>
      <x:c r="V59" s="28" t="n">
        <x:f>U59*T59</x:f>
        <x:v>1065126.1712110902</x:v>
      </x:c>
      <x:c r="W59" s="28" t="n">
        <x:f>U59*O59</x:f>
        <x:v>2069987.8602994415</x:v>
      </x:c>
    </x:row>
    <x:row r="60" ht="19" customHeight="1">
      <x:c r="A60" s="2"/>
      <x:c r="B60" s="2"/>
      <x:c r="C60" s="46" t="n">
        <x:v>0</x:v>
      </x:c>
      <x:c r="D60" s="46" t="n">
        <x:v>6</x:v>
      </x:c>
      <x:c r="E60" s="46" t="n">
        <x:v>1</x:v>
      </x:c>
      <x:c r="F60" s="46" t="n">
        <x:v>0</x:v>
      </x:c>
      <x:c r="G60" s="12" t="n">
        <x:v>0</x:v>
      </x:c>
      <x:c r="H60" s="12" t="n">
        <x:v>0.1111111111111111</x:v>
      </x:c>
      <x:c r="I60" s="29" t="n">
        <x:f>'Assumptions'!$D$11+'Assumptions'!$D$12*(0.5-(G60+H60)/2)</x:f>
        <x:v>0.3888888888888889</x:v>
      </x:c>
      <x:c r="J60" s="27" t="n">
        <x:f>'Assumptions'!$D$8*EXP(-'Assumptions'!$D$9*('Fleet Engine'!E200-10))*'Assumptions'!E56*'Assumptions'!D36</x:f>
        <x:v>30662.21902501803</x:v>
      </x:c>
      <x:c r="K60" s="27" t="n">
        <x:f>'Source Data'!F217+LN('Assumptions'!D56)+LN('Assumptions'!D35)</x:f>
        <x:v>8.031104662881733</x:v>
      </x:c>
      <x:c r="L60" s="27" t="n">
        <x:f>J60*(1-I60*(1-'Carrier Engine'!E91))</x:f>
        <x:v>19214.9905890113</x:v>
      </x:c>
      <x:c r="M60" s="29" t="n">
        <x:f>NORM.S.DIST((LN(L60)-K60)/'Assumptions'!$D$10,TRUE)</x:f>
        <x:v>0.8783833710855731</x:v>
      </x:c>
      <x:c r="N60" s="30" t="n">
        <x:f>MAX(0,H60-MAX(G60,M60))</x:f>
        <x:v>0</x:v>
      </x:c>
      <x:c r="O60" s="28" t="n">
        <x:f>J60*I60</x:f>
        <x:v>11924.196287507011</x:v>
      </x:c>
      <x:c r="P60" s="27" t="n">
        <x:f>(VLOOKUP(O60,'Fee Data'!$C$6:$G$50,2,TRUE)+O60*VLOOKUP(O60,'Fee Data'!$C$6:$G$50,3,TRUE)+VLOOKUP(O60,'Fee Data'!$I$6:$J$14,2,TRUE)+'Fee Data'!$J$20+'Fee Data'!$J$21)*'Assumptions'!D37</x:f>
        <x:v>1250</x:v>
      </x:c>
      <x:c r="Q60" s="27" t="n">
        <x:f>(VLOOKUP(O60,'Fee Data'!$C$6:$G$50,4,TRUE)+O60*VLOOKUP(O60,'Fee Data'!$C$6:$G$50,5,TRUE)+VLOOKUP(O60,'Fee Data'!$I$6:$J$14,2,TRUE)+'Fee Data'!$J$20+'Fee Data'!$J$21)*'Assumptions'!D37</x:f>
        <x:v>1110</x:v>
      </x:c>
      <x:c r="R60" s="27" t="n">
        <x:f>P60*(1-'Assumptions'!$D$14)+Q60*'Assumptions'!$D$14</x:f>
        <x:v>1180</x:v>
      </x:c>
      <x:c r="S60" s="27" t="n">
        <x:f>O60*'Carrier Engine'!E91</x:f>
        <x:v>476.9678515002803</x:v>
      </x:c>
      <x:c r="T60" s="28" t="n">
        <x:f>R60+S60</x:f>
        <x:v>1656.9678515002802</x:v>
      </x:c>
      <x:c r="U60" s="27" t="n">
        <x:f>N60*'Fleet Engine'!F200</x:f>
        <x:v>0</x:v>
      </x:c>
      <x:c r="V60" s="28" t="n">
        <x:f>U60*T60</x:f>
        <x:v>0</x:v>
      </x:c>
      <x:c r="W60" s="28" t="n">
        <x:f>U60*O60</x:f>
        <x:v>0</x:v>
      </x:c>
    </x:row>
    <x:row r="61" ht="19" customHeight="1">
      <x:c r="A61" s="2"/>
      <x:c r="B61" s="2"/>
      <x:c r="C61" s="46" t="n">
        <x:v>0</x:v>
      </x:c>
      <x:c r="D61" s="46" t="n">
        <x:v>6</x:v>
      </x:c>
      <x:c r="E61" s="46" t="n">
        <x:v>1</x:v>
      </x:c>
      <x:c r="F61" s="46" t="n">
        <x:v>0</x:v>
      </x:c>
      <x:c r="G61" s="12" t="n">
        <x:v>0.1111111111111111</x:v>
      </x:c>
      <x:c r="H61" s="12" t="n">
        <x:v>0.2222222222222222</x:v>
      </x:c>
      <x:c r="I61" s="29" t="n">
        <x:f>'Assumptions'!$D$11+'Assumptions'!$D$12*(0.5-(G61+H61)/2)</x:f>
        <x:v>0.3666666666666667</x:v>
      </x:c>
      <x:c r="J61" s="27" t="n">
        <x:f>'Assumptions'!$D$8*EXP(-'Assumptions'!$D$9*('Fleet Engine'!E200-10))*'Assumptions'!E56*'Assumptions'!D36</x:f>
        <x:v>30662.21902501803</x:v>
      </x:c>
      <x:c r="K61" s="27" t="n">
        <x:f>'Source Data'!F217+LN('Assumptions'!D56)+LN('Assumptions'!D35)</x:f>
        <x:v>8.031104662881733</x:v>
      </x:c>
      <x:c r="L61" s="27" t="n">
        <x:f>J61*(1-I61*(1-'Carrier Engine'!E91))</x:f>
        <x:v>19869.11792821168</x:v>
      </x:c>
      <x:c r="M61" s="29" t="n">
        <x:f>NORM.S.DIST((LN(L61)-K61)/'Assumptions'!$D$10,TRUE)</x:f>
        <x:v>0.8826350510019572</x:v>
      </x:c>
      <x:c r="N61" s="30" t="n">
        <x:f>MAX(0,H61-MAX(G61,M61))</x:f>
        <x:v>0</x:v>
      </x:c>
      <x:c r="O61" s="28" t="n">
        <x:f>J61*I61</x:f>
        <x:v>11242.813642506611</x:v>
      </x:c>
      <x:c r="P61" s="27" t="n">
        <x:f>(VLOOKUP(O61,'Fee Data'!$C$6:$G$50,2,TRUE)+O61*VLOOKUP(O61,'Fee Data'!$C$6:$G$50,3,TRUE)+VLOOKUP(O61,'Fee Data'!$I$6:$J$14,2,TRUE)+'Fee Data'!$J$20+'Fee Data'!$J$21)*'Assumptions'!D37</x:f>
        <x:v>1250</x:v>
      </x:c>
      <x:c r="Q61" s="27" t="n">
        <x:f>(VLOOKUP(O61,'Fee Data'!$C$6:$G$50,4,TRUE)+O61*VLOOKUP(O61,'Fee Data'!$C$6:$G$50,5,TRUE)+VLOOKUP(O61,'Fee Data'!$I$6:$J$14,2,TRUE)+'Fee Data'!$J$20+'Fee Data'!$J$21)*'Assumptions'!D37</x:f>
        <x:v>1100</x:v>
      </x:c>
      <x:c r="R61" s="27" t="n">
        <x:f>P61*(1-'Assumptions'!$D$14)+Q61*'Assumptions'!$D$14</x:f>
        <x:v>1175</x:v>
      </x:c>
      <x:c r="S61" s="27" t="n">
        <x:f>O61*'Carrier Engine'!E91</x:f>
        <x:v>449.7125457002643</x:v>
      </x:c>
      <x:c r="T61" s="28" t="n">
        <x:f>R61+S61</x:f>
        <x:v>1624.7125457002644</x:v>
      </x:c>
      <x:c r="U61" s="27" t="n">
        <x:f>N61*'Fleet Engine'!F200</x:f>
        <x:v>0</x:v>
      </x:c>
      <x:c r="V61" s="28" t="n">
        <x:f>U61*T61</x:f>
        <x:v>0</x:v>
      </x:c>
      <x:c r="W61" s="28" t="n">
        <x:f>U61*O61</x:f>
        <x:v>0</x:v>
      </x:c>
    </x:row>
    <x:row r="62" ht="19" customHeight="1">
      <x:c r="A62" s="2"/>
      <x:c r="B62" s="2"/>
      <x:c r="C62" s="46" t="n">
        <x:v>0</x:v>
      </x:c>
      <x:c r="D62" s="46" t="n">
        <x:v>6</x:v>
      </x:c>
      <x:c r="E62" s="46" t="n">
        <x:v>1</x:v>
      </x:c>
      <x:c r="F62" s="46" t="n">
        <x:v>0</x:v>
      </x:c>
      <x:c r="G62" s="12" t="n">
        <x:v>0.2222222222222222</x:v>
      </x:c>
      <x:c r="H62" s="12" t="n">
        <x:v>0.3333333333333333</x:v>
      </x:c>
      <x:c r="I62" s="29" t="n">
        <x:f>'Assumptions'!$D$11+'Assumptions'!$D$12*(0.5-(G62+H62)/2)</x:f>
        <x:v>0.34444444444444444</x:v>
      </x:c>
      <x:c r="J62" s="27" t="n">
        <x:f>'Assumptions'!$D$8*EXP(-'Assumptions'!$D$9*('Fleet Engine'!E200-10))*'Assumptions'!E56*'Assumptions'!D36</x:f>
        <x:v>30662.21902501803</x:v>
      </x:c>
      <x:c r="K62" s="27" t="n">
        <x:f>'Source Data'!F217+LN('Assumptions'!D56)+LN('Assumptions'!D35)</x:f>
        <x:v>8.031104662881733</x:v>
      </x:c>
      <x:c r="L62" s="27" t="n">
        <x:f>J62*(1-I62*(1-'Carrier Engine'!E91))</x:f>
        <x:v>20523.24526741207</x:v>
      </x:c>
      <x:c r="M62" s="29" t="n">
        <x:f>NORM.S.DIST((LN(L62)-K62)/'Assumptions'!$D$10,TRUE)</x:f>
        <x:v>0.8866477524669126</x:v>
      </x:c>
      <x:c r="N62" s="30" t="n">
        <x:f>MAX(0,H62-MAX(G62,M62))</x:f>
        <x:v>0</x:v>
      </x:c>
      <x:c r="O62" s="28" t="n">
        <x:f>J62*I62</x:f>
        <x:v>10561.43099750621</x:v>
      </x:c>
      <x:c r="P62" s="27" t="n">
        <x:f>(VLOOKUP(O62,'Fee Data'!$C$6:$G$50,2,TRUE)+O62*VLOOKUP(O62,'Fee Data'!$C$6:$G$50,3,TRUE)+VLOOKUP(O62,'Fee Data'!$I$6:$J$14,2,TRUE)+'Fee Data'!$J$20+'Fee Data'!$J$21)*'Assumptions'!D37</x:f>
        <x:v>1250</x:v>
      </x:c>
      <x:c r="Q62" s="27" t="n">
        <x:f>(VLOOKUP(O62,'Fee Data'!$C$6:$G$50,4,TRUE)+O62*VLOOKUP(O62,'Fee Data'!$C$6:$G$50,5,TRUE)+VLOOKUP(O62,'Fee Data'!$I$6:$J$14,2,TRUE)+'Fee Data'!$J$20+'Fee Data'!$J$21)*'Assumptions'!D37</x:f>
        <x:v>1100</x:v>
      </x:c>
      <x:c r="R62" s="27" t="n">
        <x:f>P62*(1-'Assumptions'!$D$14)+Q62*'Assumptions'!$D$14</x:f>
        <x:v>1175</x:v>
      </x:c>
      <x:c r="S62" s="27" t="n">
        <x:f>O62*'Carrier Engine'!E91</x:f>
        <x:v>422.4572399002482</x:v>
      </x:c>
      <x:c r="T62" s="28" t="n">
        <x:f>R62+S62</x:f>
        <x:v>1597.4572399002482</x:v>
      </x:c>
      <x:c r="U62" s="27" t="n">
        <x:f>N62*'Fleet Engine'!F200</x:f>
        <x:v>0</x:v>
      </x:c>
      <x:c r="V62" s="28" t="n">
        <x:f>U62*T62</x:f>
        <x:v>0</x:v>
      </x:c>
      <x:c r="W62" s="28" t="n">
        <x:f>U62*O62</x:f>
        <x:v>0</x:v>
      </x:c>
    </x:row>
    <x:row r="63" ht="19" customHeight="1">
      <x:c r="A63" s="2"/>
      <x:c r="B63" s="2"/>
      <x:c r="C63" s="46" t="n">
        <x:v>0</x:v>
      </x:c>
      <x:c r="D63" s="46" t="n">
        <x:v>6</x:v>
      </x:c>
      <x:c r="E63" s="46" t="n">
        <x:v>1</x:v>
      </x:c>
      <x:c r="F63" s="46" t="n">
        <x:v>0</x:v>
      </x:c>
      <x:c r="G63" s="12" t="n">
        <x:v>0.3333333333333333</x:v>
      </x:c>
      <x:c r="H63" s="12" t="n">
        <x:v>0.4444444444444444</x:v>
      </x:c>
      <x:c r="I63" s="29" t="n">
        <x:f>'Assumptions'!$D$11+'Assumptions'!$D$12*(0.5-(G63+H63)/2)</x:f>
        <x:v>0.32222222222222224</x:v>
      </x:c>
      <x:c r="J63" s="27" t="n">
        <x:f>'Assumptions'!$D$8*EXP(-'Assumptions'!$D$9*('Fleet Engine'!E200-10))*'Assumptions'!E56*'Assumptions'!D36</x:f>
        <x:v>30662.21902501803</x:v>
      </x:c>
      <x:c r="K63" s="27" t="n">
        <x:f>'Source Data'!F217+LN('Assumptions'!D56)+LN('Assumptions'!D35)</x:f>
        <x:v>8.031104662881733</x:v>
      </x:c>
      <x:c r="L63" s="27" t="n">
        <x:f>J63*(1-I63*(1-'Carrier Engine'!E91))</x:f>
        <x:v>21177.37260661245</x:v>
      </x:c>
      <x:c r="M63" s="29" t="n">
        <x:f>NORM.S.DIST((LN(L63)-K63)/'Assumptions'!$D$10,TRUE)</x:f>
        <x:v>0.8904403113358262</x:v>
      </x:c>
      <x:c r="N63" s="30" t="n">
        <x:f>MAX(0,H63-MAX(G63,M63))</x:f>
        <x:v>0</x:v>
      </x:c>
      <x:c r="O63" s="28" t="n">
        <x:f>J63*I63</x:f>
        <x:v>9880.04835250581</x:v>
      </x:c>
      <x:c r="P63" s="27" t="n">
        <x:f>(VLOOKUP(O63,'Fee Data'!$C$6:$G$50,2,TRUE)+O63*VLOOKUP(O63,'Fee Data'!$C$6:$G$50,3,TRUE)+VLOOKUP(O63,'Fee Data'!$I$6:$J$14,2,TRUE)+'Fee Data'!$J$20+'Fee Data'!$J$21)*'Assumptions'!D37</x:f>
        <x:v>1195</x:v>
      </x:c>
      <x:c r="Q63" s="27" t="n">
        <x:f>(VLOOKUP(O63,'Fee Data'!$C$6:$G$50,4,TRUE)+O63*VLOOKUP(O63,'Fee Data'!$C$6:$G$50,5,TRUE)+VLOOKUP(O63,'Fee Data'!$I$6:$J$14,2,TRUE)+'Fee Data'!$J$20+'Fee Data'!$J$21)*'Assumptions'!D37</x:f>
        <x:v>1070</x:v>
      </x:c>
      <x:c r="R63" s="27" t="n">
        <x:f>P63*(1-'Assumptions'!$D$14)+Q63*'Assumptions'!$D$14</x:f>
        <x:v>1132.5</x:v>
      </x:c>
      <x:c r="S63" s="27" t="n">
        <x:f>O63*'Carrier Engine'!E91</x:f>
        <x:v>395.2019341002323</x:v>
      </x:c>
      <x:c r="T63" s="28" t="n">
        <x:f>R63+S63</x:f>
        <x:v>1527.7019341002324</x:v>
      </x:c>
      <x:c r="U63" s="27" t="n">
        <x:f>N63*'Fleet Engine'!F200</x:f>
        <x:v>0</x:v>
      </x:c>
      <x:c r="V63" s="28" t="n">
        <x:f>U63*T63</x:f>
        <x:v>0</x:v>
      </x:c>
      <x:c r="W63" s="28" t="n">
        <x:f>U63*O63</x:f>
        <x:v>0</x:v>
      </x:c>
    </x:row>
    <x:row r="64" ht="19" customHeight="1">
      <x:c r="A64" s="2"/>
      <x:c r="B64" s="2"/>
      <x:c r="C64" s="46" t="n">
        <x:v>0</x:v>
      </x:c>
      <x:c r="D64" s="46" t="n">
        <x:v>6</x:v>
      </x:c>
      <x:c r="E64" s="46" t="n">
        <x:v>1</x:v>
      </x:c>
      <x:c r="F64" s="46" t="n">
        <x:v>0</x:v>
      </x:c>
      <x:c r="G64" s="12" t="n">
        <x:v>0.4444444444444444</x:v>
      </x:c>
      <x:c r="H64" s="12" t="n">
        <x:v>0.5555555555555556</x:v>
      </x:c>
      <x:c r="I64" s="29" t="n">
        <x:f>'Assumptions'!$D$11+'Assumptions'!$D$12*(0.5-(G64+H64)/2)</x:f>
        <x:v>0.3</x:v>
      </x:c>
      <x:c r="J64" s="27" t="n">
        <x:f>'Assumptions'!$D$8*EXP(-'Assumptions'!$D$9*('Fleet Engine'!E200-10))*'Assumptions'!E56*'Assumptions'!D36</x:f>
        <x:v>30662.21902501803</x:v>
      </x:c>
      <x:c r="K64" s="27" t="n">
        <x:f>'Source Data'!F217+LN('Assumptions'!D56)+LN('Assumptions'!D35)</x:f>
        <x:v>8.031104662881733</x:v>
      </x:c>
      <x:c r="L64" s="27" t="n">
        <x:f>J64*(1-I64*(1-'Carrier Engine'!E91))</x:f>
        <x:v>21831.499945812837</x:v>
      </x:c>
      <x:c r="M64" s="29" t="n">
        <x:f>NORM.S.DIST((LN(L64)-K64)/'Assumptions'!$D$10,TRUE)</x:f>
        <x:v>0.8940296485335917</x:v>
      </x:c>
      <x:c r="N64" s="30" t="n">
        <x:f>MAX(0,H64-MAX(G64,M64))</x:f>
        <x:v>0</x:v>
      </x:c>
      <x:c r="O64" s="28" t="n">
        <x:f>J64*I64</x:f>
        <x:v>9198.665707505408</x:v>
      </x:c>
      <x:c r="P64" s="27" t="n">
        <x:f>(VLOOKUP(O64,'Fee Data'!$C$6:$G$50,2,TRUE)+O64*VLOOKUP(O64,'Fee Data'!$C$6:$G$50,3,TRUE)+VLOOKUP(O64,'Fee Data'!$I$6:$J$14,2,TRUE)+'Fee Data'!$J$20+'Fee Data'!$J$21)*'Assumptions'!D37</x:f>
        <x:v>1195</x:v>
      </x:c>
      <x:c r="Q64" s="27" t="n">
        <x:f>(VLOOKUP(O64,'Fee Data'!$C$6:$G$50,4,TRUE)+O64*VLOOKUP(O64,'Fee Data'!$C$6:$G$50,5,TRUE)+VLOOKUP(O64,'Fee Data'!$I$6:$J$14,2,TRUE)+'Fee Data'!$J$20+'Fee Data'!$J$21)*'Assumptions'!D37</x:f>
        <x:v>1070</x:v>
      </x:c>
      <x:c r="R64" s="27" t="n">
        <x:f>P64*(1-'Assumptions'!$D$14)+Q64*'Assumptions'!$D$14</x:f>
        <x:v>1132.5</x:v>
      </x:c>
      <x:c r="S64" s="27" t="n">
        <x:f>O64*'Carrier Engine'!E91</x:f>
        <x:v>367.9466283002162</x:v>
      </x:c>
      <x:c r="T64" s="28" t="n">
        <x:f>R64+S64</x:f>
        <x:v>1500.4466283002162</x:v>
      </x:c>
      <x:c r="U64" s="27" t="n">
        <x:f>N64*'Fleet Engine'!F200</x:f>
        <x:v>0</x:v>
      </x:c>
      <x:c r="V64" s="28" t="n">
        <x:f>U64*T64</x:f>
        <x:v>0</x:v>
      </x:c>
      <x:c r="W64" s="28" t="n">
        <x:f>U64*O64</x:f>
        <x:v>0</x:v>
      </x:c>
    </x:row>
    <x:row r="65" ht="19" customHeight="1">
      <x:c r="A65" s="2"/>
      <x:c r="B65" s="2"/>
      <x:c r="C65" s="46" t="n">
        <x:v>0</x:v>
      </x:c>
      <x:c r="D65" s="46" t="n">
        <x:v>6</x:v>
      </x:c>
      <x:c r="E65" s="46" t="n">
        <x:v>1</x:v>
      </x:c>
      <x:c r="F65" s="46" t="n">
        <x:v>0</x:v>
      </x:c>
      <x:c r="G65" s="12" t="n">
        <x:v>0.5555555555555556</x:v>
      </x:c>
      <x:c r="H65" s="12" t="n">
        <x:v>0.6666666666666666</x:v>
      </x:c>
      <x:c r="I65" s="29" t="n">
        <x:f>'Assumptions'!$D$11+'Assumptions'!$D$12*(0.5-(G65+H65)/2)</x:f>
        <x:v>0.27777777777777773</x:v>
      </x:c>
      <x:c r="J65" s="27" t="n">
        <x:f>'Assumptions'!$D$8*EXP(-'Assumptions'!$D$9*('Fleet Engine'!E200-10))*'Assumptions'!E56*'Assumptions'!D36</x:f>
        <x:v>30662.21902501803</x:v>
      </x:c>
      <x:c r="K65" s="27" t="n">
        <x:f>'Source Data'!F217+LN('Assumptions'!D56)+LN('Assumptions'!D35)</x:f>
        <x:v>8.031104662881733</x:v>
      </x:c>
      <x:c r="L65" s="27" t="n">
        <x:f>J65*(1-I65*(1-'Carrier Engine'!E91))</x:f>
        <x:v>22485.627285013223</x:v>
      </x:c>
      <x:c r="M65" s="29" t="n">
        <x:f>NORM.S.DIST((LN(L65)-K65)/'Assumptions'!$D$10,TRUE)</x:f>
        <x:v>0.8974310078578442</x:v>
      </x:c>
      <x:c r="N65" s="30" t="n">
        <x:f>MAX(0,H65-MAX(G65,M65))</x:f>
        <x:v>0</x:v>
      </x:c>
      <x:c r="O65" s="28" t="n">
        <x:f>J65*I65</x:f>
        <x:v>8517.283062505006</x:v>
      </x:c>
      <x:c r="P65" s="27" t="n">
        <x:f>(VLOOKUP(O65,'Fee Data'!$C$6:$G$50,2,TRUE)+O65*VLOOKUP(O65,'Fee Data'!$C$6:$G$50,3,TRUE)+VLOOKUP(O65,'Fee Data'!$I$6:$J$14,2,TRUE)+'Fee Data'!$J$20+'Fee Data'!$J$21)*'Assumptions'!D37</x:f>
        <x:v>1195</x:v>
      </x:c>
      <x:c r="Q65" s="27" t="n">
        <x:f>(VLOOKUP(O65,'Fee Data'!$C$6:$G$50,4,TRUE)+O65*VLOOKUP(O65,'Fee Data'!$C$6:$G$50,5,TRUE)+VLOOKUP(O65,'Fee Data'!$I$6:$J$14,2,TRUE)+'Fee Data'!$J$20+'Fee Data'!$J$21)*'Assumptions'!D37</x:f>
        <x:v>1070</x:v>
      </x:c>
      <x:c r="R65" s="27" t="n">
        <x:f>P65*(1-'Assumptions'!$D$14)+Q65*'Assumptions'!$D$14</x:f>
        <x:v>1132.5</x:v>
      </x:c>
      <x:c r="S65" s="27" t="n">
        <x:f>O65*'Carrier Engine'!E91</x:f>
        <x:v>340.69132250020016</x:v>
      </x:c>
      <x:c r="T65" s="28" t="n">
        <x:f>R65+S65</x:f>
        <x:v>1473.1913225002002</x:v>
      </x:c>
      <x:c r="U65" s="27" t="n">
        <x:f>N65*'Fleet Engine'!F200</x:f>
        <x:v>0</x:v>
      </x:c>
      <x:c r="V65" s="28" t="n">
        <x:f>U65*T65</x:f>
        <x:v>0</x:v>
      </x:c>
      <x:c r="W65" s="28" t="n">
        <x:f>U65*O65</x:f>
        <x:v>0</x:v>
      </x:c>
    </x:row>
    <x:row r="66" ht="19" customHeight="1">
      <x:c r="A66" s="2"/>
      <x:c r="B66" s="2"/>
      <x:c r="C66" s="46" t="n">
        <x:v>0</x:v>
      </x:c>
      <x:c r="D66" s="46" t="n">
        <x:v>6</x:v>
      </x:c>
      <x:c r="E66" s="46" t="n">
        <x:v>1</x:v>
      </x:c>
      <x:c r="F66" s="46" t="n">
        <x:v>0</x:v>
      </x:c>
      <x:c r="G66" s="12" t="n">
        <x:v>0.6666666666666666</x:v>
      </x:c>
      <x:c r="H66" s="12" t="n">
        <x:v>0.7777777777777778</x:v>
      </x:c>
      <x:c r="I66" s="29" t="n">
        <x:f>'Assumptions'!$D$11+'Assumptions'!$D$12*(0.5-(G66+H66)/2)</x:f>
        <x:v>0.25555555555555554</x:v>
      </x:c>
      <x:c r="J66" s="27" t="n">
        <x:f>'Assumptions'!$D$8*EXP(-'Assumptions'!$D$9*('Fleet Engine'!E200-10))*'Assumptions'!E56*'Assumptions'!D36</x:f>
        <x:v>30662.21902501803</x:v>
      </x:c>
      <x:c r="K66" s="27" t="n">
        <x:f>'Source Data'!F217+LN('Assumptions'!D56)+LN('Assumptions'!D35)</x:f>
        <x:v>8.031104662881733</x:v>
      </x:c>
      <x:c r="L66" s="27" t="n">
        <x:f>J66*(1-I66*(1-'Carrier Engine'!E91))</x:f>
        <x:v>23139.754624213605</x:v>
      </x:c>
      <x:c r="M66" s="29" t="n">
        <x:f>NORM.S.DIST((LN(L66)-K66)/'Assumptions'!$D$10,TRUE)</x:f>
        <x:v>0.9006581590391973</x:v>
      </x:c>
      <x:c r="N66" s="30" t="n">
        <x:f>MAX(0,H66-MAX(G66,M66))</x:f>
        <x:v>0</x:v>
      </x:c>
      <x:c r="O66" s="28" t="n">
        <x:f>J66*I66</x:f>
        <x:v>7835.900417504607</x:v>
      </x:c>
      <x:c r="P66" s="27" t="n">
        <x:f>(VLOOKUP(O66,'Fee Data'!$C$6:$G$50,2,TRUE)+O66*VLOOKUP(O66,'Fee Data'!$C$6:$G$50,3,TRUE)+VLOOKUP(O66,'Fee Data'!$I$6:$J$14,2,TRUE)+'Fee Data'!$J$20+'Fee Data'!$J$21)*'Assumptions'!D37</x:f>
        <x:v>1135</x:v>
      </x:c>
      <x:c r="Q66" s="27" t="n">
        <x:f>(VLOOKUP(O66,'Fee Data'!$C$6:$G$50,4,TRUE)+O66*VLOOKUP(O66,'Fee Data'!$C$6:$G$50,5,TRUE)+VLOOKUP(O66,'Fee Data'!$I$6:$J$14,2,TRUE)+'Fee Data'!$J$20+'Fee Data'!$J$21)*'Assumptions'!D37</x:f>
        <x:v>1010</x:v>
      </x:c>
      <x:c r="R66" s="27" t="n">
        <x:f>P66*(1-'Assumptions'!$D$14)+Q66*'Assumptions'!$D$14</x:f>
        <x:v>1072.5</x:v>
      </x:c>
      <x:c r="S66" s="27" t="n">
        <x:f>O66*'Carrier Engine'!E91</x:f>
        <x:v>313.43601670018415</x:v>
      </x:c>
      <x:c r="T66" s="28" t="n">
        <x:f>R66+S66</x:f>
        <x:v>1385.9360167001842</x:v>
      </x:c>
      <x:c r="U66" s="27" t="n">
        <x:f>N66*'Fleet Engine'!F200</x:f>
        <x:v>0</x:v>
      </x:c>
      <x:c r="V66" s="28" t="n">
        <x:f>U66*T66</x:f>
        <x:v>0</x:v>
      </x:c>
      <x:c r="W66" s="28" t="n">
        <x:f>U66*O66</x:f>
        <x:v>0</x:v>
      </x:c>
    </x:row>
    <x:row r="67" ht="19" customHeight="1">
      <x:c r="A67" s="2"/>
      <x:c r="B67" s="2"/>
      <x:c r="C67" s="46" t="n">
        <x:v>0</x:v>
      </x:c>
      <x:c r="D67" s="46" t="n">
        <x:v>6</x:v>
      </x:c>
      <x:c r="E67" s="46" t="n">
        <x:v>1</x:v>
      </x:c>
      <x:c r="F67" s="46" t="n">
        <x:v>0</x:v>
      </x:c>
      <x:c r="G67" s="12" t="n">
        <x:v>0.7777777777777778</x:v>
      </x:c>
      <x:c r="H67" s="12" t="n">
        <x:v>0.8888888888888888</x:v>
      </x:c>
      <x:c r="I67" s="29" t="n">
        <x:f>'Assumptions'!$D$11+'Assumptions'!$D$12*(0.5-(G67+H67)/2)</x:f>
        <x:v>0.23333333333333334</x:v>
      </x:c>
      <x:c r="J67" s="27" t="n">
        <x:f>'Assumptions'!$D$8*EXP(-'Assumptions'!$D$9*('Fleet Engine'!E200-10))*'Assumptions'!E56*'Assumptions'!D36</x:f>
        <x:v>30662.21902501803</x:v>
      </x:c>
      <x:c r="K67" s="27" t="n">
        <x:f>'Source Data'!F217+LN('Assumptions'!D56)+LN('Assumptions'!D35)</x:f>
        <x:v>8.031104662881733</x:v>
      </x:c>
      <x:c r="L67" s="27" t="n">
        <x:f>J67*(1-I67*(1-'Carrier Engine'!E91))</x:f>
        <x:v>23793.88196341399</x:v>
      </x:c>
      <x:c r="M67" s="29" t="n">
        <x:f>NORM.S.DIST((LN(L67)-K67)/'Assumptions'!$D$10,TRUE)</x:f>
        <x:v>0.9037235718702767</x:v>
      </x:c>
      <x:c r="N67" s="30" t="n">
        <x:f>MAX(0,H67-MAX(G67,M67))</x:f>
        <x:v>0</x:v>
      </x:c>
      <x:c r="O67" s="28" t="n">
        <x:f>J67*I67</x:f>
        <x:v>7154.517772504207</x:v>
      </x:c>
      <x:c r="P67" s="27" t="n">
        <x:f>(VLOOKUP(O67,'Fee Data'!$C$6:$G$50,2,TRUE)+O67*VLOOKUP(O67,'Fee Data'!$C$6:$G$50,3,TRUE)+VLOOKUP(O67,'Fee Data'!$I$6:$J$14,2,TRUE)+'Fee Data'!$J$20+'Fee Data'!$J$21)*'Assumptions'!D37</x:f>
        <x:v>1115</x:v>
      </x:c>
      <x:c r="Q67" s="27" t="n">
        <x:f>(VLOOKUP(O67,'Fee Data'!$C$6:$G$50,4,TRUE)+O67*VLOOKUP(O67,'Fee Data'!$C$6:$G$50,5,TRUE)+VLOOKUP(O67,'Fee Data'!$I$6:$J$14,2,TRUE)+'Fee Data'!$J$20+'Fee Data'!$J$21)*'Assumptions'!D37</x:f>
        <x:v>990</x:v>
      </x:c>
      <x:c r="R67" s="27" t="n">
        <x:f>P67*(1-'Assumptions'!$D$14)+Q67*'Assumptions'!$D$14</x:f>
        <x:v>1052.5</x:v>
      </x:c>
      <x:c r="S67" s="27" t="n">
        <x:f>O67*'Carrier Engine'!E91</x:f>
        <x:v>286.18071090016815</x:v>
      </x:c>
      <x:c r="T67" s="28" t="n">
        <x:f>R67+S67</x:f>
        <x:v>1338.6807109001682</x:v>
      </x:c>
      <x:c r="U67" s="27" t="n">
        <x:f>N67*'Fleet Engine'!F200</x:f>
        <x:v>0</x:v>
      </x:c>
      <x:c r="V67" s="28" t="n">
        <x:f>U67*T67</x:f>
        <x:v>0</x:v>
      </x:c>
      <x:c r="W67" s="28" t="n">
        <x:f>U67*O67</x:f>
        <x:v>0</x:v>
      </x:c>
    </x:row>
    <x:row r="68" ht="19" customHeight="1">
      <x:c r="A68" s="2"/>
      <x:c r="B68" s="2"/>
      <x:c r="C68" s="46" t="n">
        <x:v>0</x:v>
      </x:c>
      <x:c r="D68" s="46" t="n">
        <x:v>6</x:v>
      </x:c>
      <x:c r="E68" s="46" t="n">
        <x:v>1</x:v>
      </x:c>
      <x:c r="F68" s="46" t="n">
        <x:v>0</x:v>
      </x:c>
      <x:c r="G68" s="12" t="n">
        <x:v>0.8888888888888888</x:v>
      </x:c>
      <x:c r="H68" s="12" t="n">
        <x:v>1</x:v>
      </x:c>
      <x:c r="I68" s="29" t="n">
        <x:f>'Assumptions'!$D$11+'Assumptions'!$D$12*(0.5-(G68+H68)/2)</x:f>
        <x:v>0.21111111111111108</x:v>
      </x:c>
      <x:c r="J68" s="27" t="n">
        <x:f>'Assumptions'!$D$8*EXP(-'Assumptions'!$D$9*('Fleet Engine'!E200-10))*'Assumptions'!E56*'Assumptions'!D36</x:f>
        <x:v>30662.21902501803</x:v>
      </x:c>
      <x:c r="K68" s="27" t="n">
        <x:f>'Source Data'!F217+LN('Assumptions'!D56)+LN('Assumptions'!D35)</x:f>
        <x:v>8.031104662881733</x:v>
      </x:c>
      <x:c r="L68" s="27" t="n">
        <x:f>J68*(1-I68*(1-'Carrier Engine'!E91))</x:f>
        <x:v>24448.009302614373</x:v>
      </x:c>
      <x:c r="M68" s="29" t="n">
        <x:f>NORM.S.DIST((LN(L68)-K68)/'Assumptions'!$D$10,TRUE)</x:f>
        <x:v>0.9066385661246656</x:v>
      </x:c>
      <x:c r="N68" s="30" t="n">
        <x:f>MAX(0,H68-MAX(G68,M68))</x:f>
        <x:v>0.09336143387533435</x:v>
      </x:c>
      <x:c r="O68" s="28" t="n">
        <x:f>J68*I68</x:f>
        <x:v>6473.135127503805</x:v>
      </x:c>
      <x:c r="P68" s="27" t="n">
        <x:f>(VLOOKUP(O68,'Fee Data'!$C$6:$G$50,2,TRUE)+O68*VLOOKUP(O68,'Fee Data'!$C$6:$G$50,3,TRUE)+VLOOKUP(O68,'Fee Data'!$I$6:$J$14,2,TRUE)+'Fee Data'!$J$20+'Fee Data'!$J$21)*'Assumptions'!D37</x:f>
        <x:v>1060</x:v>
      </x:c>
      <x:c r="Q68" s="27" t="n">
        <x:f>(VLOOKUP(O68,'Fee Data'!$C$6:$G$50,4,TRUE)+O68*VLOOKUP(O68,'Fee Data'!$C$6:$G$50,5,TRUE)+VLOOKUP(O68,'Fee Data'!$I$6:$J$14,2,TRUE)+'Fee Data'!$J$20+'Fee Data'!$J$21)*'Assumptions'!D37</x:f>
        <x:v>935</x:v>
      </x:c>
      <x:c r="R68" s="27" t="n">
        <x:f>P68*(1-'Assumptions'!$D$14)+Q68*'Assumptions'!$D$14</x:f>
        <x:v>997.5</x:v>
      </x:c>
      <x:c r="S68" s="27" t="n">
        <x:f>O68*'Carrier Engine'!E91</x:f>
        <x:v>258.9254051001521</x:v>
      </x:c>
      <x:c r="T68" s="28" t="n">
        <x:f>R68+S68</x:f>
        <x:v>1256.4254051001521</x:v>
      </x:c>
      <x:c r="U68" s="27" t="n">
        <x:f>N68*'Fleet Engine'!F200</x:f>
        <x:v>436.09606202759824</x:v>
      </x:c>
      <x:c r="V68" s="28" t="n">
        <x:f>U68*T68</x:f>
        <x:v>547922.1713956062</x:v>
      </x:c>
      <x:c r="W68" s="28" t="n">
        <x:f>U68*O68</x:f>
        <x:v>2822908.7380769243</x:v>
      </x:c>
    </x:row>
    <x:row r="69" ht="19" customHeight="1">
      <x:c r="A69" s="2"/>
      <x:c r="B69" s="2"/>
      <x:c r="C69" s="46" t="n">
        <x:v>0</x:v>
      </x:c>
      <x:c r="D69" s="46" t="n">
        <x:v>7</x:v>
      </x:c>
      <x:c r="E69" s="46" t="n">
        <x:v>1</x:v>
      </x:c>
      <x:c r="F69" s="46" t="n">
        <x:v>1</x:v>
      </x:c>
      <x:c r="G69" s="12" t="n">
        <x:v>0</x:v>
      </x:c>
      <x:c r="H69" s="12" t="n">
        <x:v>0.1111111111111111</x:v>
      </x:c>
      <x:c r="I69" s="29" t="n">
        <x:f>'Assumptions'!$D$11+'Assumptions'!$D$12*(0.5-(G69+H69)/2)</x:f>
        <x:v>0.3888888888888889</x:v>
      </x:c>
      <x:c r="J69" s="27" t="n">
        <x:f>'Assumptions'!$D$8*EXP(-'Assumptions'!$D$9*('Fleet Engine'!E201-10))*'Assumptions'!E56*'Assumptions'!D36</x:f>
        <x:v>25104.101673395035</x:v>
      </x:c>
      <x:c r="K69" s="27" t="n">
        <x:f>'Source Data'!F218+LN('Assumptions'!D56)+LN('Assumptions'!D35)</x:f>
        <x:v>7.916663861337495</x:v>
      </x:c>
      <x:c r="L69" s="27" t="n">
        <x:f>J69*(1-I69*(1-'Carrier Engine'!E91))</x:f>
        <x:v>15731.903715327557</x:v>
      </x:c>
      <x:c r="M69" s="29" t="n">
        <x:f>NORM.S.DIST((LN(L69)-K69)/'Assumptions'!$D$10,TRUE)</x:f>
        <x:v>0.867028537246276</x:v>
      </x:c>
      <x:c r="N69" s="30" t="n">
        <x:f>MAX(0,H69-MAX(G69,M69))</x:f>
        <x:v>0</x:v>
      </x:c>
      <x:c r="O69" s="28" t="n">
        <x:f>J69*I69</x:f>
        <x:v>9762.706206320292</x:v>
      </x:c>
      <x:c r="P69" s="27" t="n">
        <x:f>(VLOOKUP(O69,'Fee Data'!$C$6:$G$50,2,TRUE)+O69*VLOOKUP(O69,'Fee Data'!$C$6:$G$50,3,TRUE)+VLOOKUP(O69,'Fee Data'!$I$6:$J$14,2,TRUE)+'Fee Data'!$J$20+'Fee Data'!$J$21)*'Assumptions'!D37</x:f>
        <x:v>1195</x:v>
      </x:c>
      <x:c r="Q69" s="27" t="n">
        <x:f>(VLOOKUP(O69,'Fee Data'!$C$6:$G$50,4,TRUE)+O69*VLOOKUP(O69,'Fee Data'!$C$6:$G$50,5,TRUE)+VLOOKUP(O69,'Fee Data'!$I$6:$J$14,2,TRUE)+'Fee Data'!$J$20+'Fee Data'!$J$21)*'Assumptions'!D37</x:f>
        <x:v>1070</x:v>
      </x:c>
      <x:c r="R69" s="27" t="n">
        <x:f>P69*(1-'Assumptions'!$D$14)+Q69*'Assumptions'!$D$14</x:f>
        <x:v>1132.5</x:v>
      </x:c>
      <x:c r="S69" s="27" t="n">
        <x:f>O69*'Carrier Engine'!E91</x:f>
        <x:v>390.50824825281154</x:v>
      </x:c>
      <x:c r="T69" s="28" t="n">
        <x:f>R69+S69</x:f>
        <x:v>1523.0082482528114</x:v>
      </x:c>
      <x:c r="U69" s="27" t="n">
        <x:f>N69*'Fleet Engine'!F201</x:f>
        <x:v>0</x:v>
      </x:c>
      <x:c r="V69" s="28" t="n">
        <x:f>U69*T69</x:f>
        <x:v>0</x:v>
      </x:c>
      <x:c r="W69" s="28" t="n">
        <x:f>U69*O69</x:f>
        <x:v>0</x:v>
      </x:c>
    </x:row>
    <x:row r="70" ht="19" customHeight="1">
      <x:c r="A70" s="2"/>
      <x:c r="B70" s="2"/>
      <x:c r="C70" s="46" t="n">
        <x:v>0</x:v>
      </x:c>
      <x:c r="D70" s="46" t="n">
        <x:v>7</x:v>
      </x:c>
      <x:c r="E70" s="46" t="n">
        <x:v>1</x:v>
      </x:c>
      <x:c r="F70" s="46" t="n">
        <x:v>1</x:v>
      </x:c>
      <x:c r="G70" s="12" t="n">
        <x:v>0.1111111111111111</x:v>
      </x:c>
      <x:c r="H70" s="12" t="n">
        <x:v>0.2222222222222222</x:v>
      </x:c>
      <x:c r="I70" s="29" t="n">
        <x:f>'Assumptions'!$D$11+'Assumptions'!$D$12*(0.5-(G70+H70)/2)</x:f>
        <x:v>0.3666666666666667</x:v>
      </x:c>
      <x:c r="J70" s="27" t="n">
        <x:f>'Assumptions'!$D$8*EXP(-'Assumptions'!$D$9*('Fleet Engine'!E201-10))*'Assumptions'!E56*'Assumptions'!D36</x:f>
        <x:v>25104.101673395035</x:v>
      </x:c>
      <x:c r="K70" s="27" t="n">
        <x:f>'Source Data'!F218+LN('Assumptions'!D56)+LN('Assumptions'!D35)</x:f>
        <x:v>7.916663861337495</x:v>
      </x:c>
      <x:c r="L70" s="27" t="n">
        <x:f>J70*(1-I70*(1-'Carrier Engine'!E91))</x:f>
        <x:v>16267.45788435998</x:v>
      </x:c>
      <x:c r="M70" s="29" t="n">
        <x:f>NORM.S.DIST((LN(L70)-K70)/'Assumptions'!$D$10,TRUE)</x:f>
        <x:v>0.8715552402854367</x:v>
      </x:c>
      <x:c r="N70" s="30" t="n">
        <x:f>MAX(0,H70-MAX(G70,M70))</x:f>
        <x:v>0</x:v>
      </x:c>
      <x:c r="O70" s="28" t="n">
        <x:f>J70*I70</x:f>
        <x:v>9204.837280244847</x:v>
      </x:c>
      <x:c r="P70" s="27" t="n">
        <x:f>(VLOOKUP(O70,'Fee Data'!$C$6:$G$50,2,TRUE)+O70*VLOOKUP(O70,'Fee Data'!$C$6:$G$50,3,TRUE)+VLOOKUP(O70,'Fee Data'!$I$6:$J$14,2,TRUE)+'Fee Data'!$J$20+'Fee Data'!$J$21)*'Assumptions'!D37</x:f>
        <x:v>1195</x:v>
      </x:c>
      <x:c r="Q70" s="27" t="n">
        <x:f>(VLOOKUP(O70,'Fee Data'!$C$6:$G$50,4,TRUE)+O70*VLOOKUP(O70,'Fee Data'!$C$6:$G$50,5,TRUE)+VLOOKUP(O70,'Fee Data'!$I$6:$J$14,2,TRUE)+'Fee Data'!$J$20+'Fee Data'!$J$21)*'Assumptions'!D37</x:f>
        <x:v>1070</x:v>
      </x:c>
      <x:c r="R70" s="27" t="n">
        <x:f>P70*(1-'Assumptions'!$D$14)+Q70*'Assumptions'!$D$14</x:f>
        <x:v>1132.5</x:v>
      </x:c>
      <x:c r="S70" s="27" t="n">
        <x:f>O70*'Carrier Engine'!E91</x:f>
        <x:v>368.19349120979376</x:v>
      </x:c>
      <x:c r="T70" s="28" t="n">
        <x:f>R70+S70</x:f>
        <x:v>1500.6934912097938</x:v>
      </x:c>
      <x:c r="U70" s="27" t="n">
        <x:f>N70*'Fleet Engine'!F201</x:f>
        <x:v>0</x:v>
      </x:c>
      <x:c r="V70" s="28" t="n">
        <x:f>U70*T70</x:f>
        <x:v>0</x:v>
      </x:c>
      <x:c r="W70" s="28" t="n">
        <x:f>U70*O70</x:f>
        <x:v>0</x:v>
      </x:c>
    </x:row>
    <x:row r="71" ht="19" customHeight="1">
      <x:c r="A71" s="2"/>
      <x:c r="B71" s="2"/>
      <x:c r="C71" s="46" t="n">
        <x:v>0</x:v>
      </x:c>
      <x:c r="D71" s="46" t="n">
        <x:v>7</x:v>
      </x:c>
      <x:c r="E71" s="46" t="n">
        <x:v>1</x:v>
      </x:c>
      <x:c r="F71" s="46" t="n">
        <x:v>1</x:v>
      </x:c>
      <x:c r="G71" s="12" t="n">
        <x:v>0.2222222222222222</x:v>
      </x:c>
      <x:c r="H71" s="12" t="n">
        <x:v>0.3333333333333333</x:v>
      </x:c>
      <x:c r="I71" s="29" t="n">
        <x:f>'Assumptions'!$D$11+'Assumptions'!$D$12*(0.5-(G71+H71)/2)</x:f>
        <x:v>0.34444444444444444</x:v>
      </x:c>
      <x:c r="J71" s="27" t="n">
        <x:f>'Assumptions'!$D$8*EXP(-'Assumptions'!$D$9*('Fleet Engine'!E201-10))*'Assumptions'!E56*'Assumptions'!D36</x:f>
        <x:v>25104.101673395035</x:v>
      </x:c>
      <x:c r="K71" s="27" t="n">
        <x:f>'Source Data'!F218+LN('Assumptions'!D56)+LN('Assumptions'!D35)</x:f>
        <x:v>7.916663861337495</x:v>
      </x:c>
      <x:c r="L71" s="27" t="n">
        <x:f>J71*(1-I71*(1-'Carrier Engine'!E91))</x:f>
        <x:v>16803.01205339241</x:v>
      </x:c>
      <x:c r="M71" s="29" t="n">
        <x:f>NORM.S.DIST((LN(L71)-K71)/'Assumptions'!$D$10,TRUE)</x:f>
        <x:v>0.8758323922514895</x:v>
      </x:c>
      <x:c r="N71" s="30" t="n">
        <x:f>MAX(0,H71-MAX(G71,M71))</x:f>
        <x:v>0</x:v>
      </x:c>
      <x:c r="O71" s="28" t="n">
        <x:f>J71*I71</x:f>
        <x:v>8646.968354169401</x:v>
      </x:c>
      <x:c r="P71" s="27" t="n">
        <x:f>(VLOOKUP(O71,'Fee Data'!$C$6:$G$50,2,TRUE)+O71*VLOOKUP(O71,'Fee Data'!$C$6:$G$50,3,TRUE)+VLOOKUP(O71,'Fee Data'!$I$6:$J$14,2,TRUE)+'Fee Data'!$J$20+'Fee Data'!$J$21)*'Assumptions'!D37</x:f>
        <x:v>1195</x:v>
      </x:c>
      <x:c r="Q71" s="27" t="n">
        <x:f>(VLOOKUP(O71,'Fee Data'!$C$6:$G$50,4,TRUE)+O71*VLOOKUP(O71,'Fee Data'!$C$6:$G$50,5,TRUE)+VLOOKUP(O71,'Fee Data'!$I$6:$J$14,2,TRUE)+'Fee Data'!$J$20+'Fee Data'!$J$21)*'Assumptions'!D37</x:f>
        <x:v>1070</x:v>
      </x:c>
      <x:c r="R71" s="27" t="n">
        <x:f>P71*(1-'Assumptions'!$D$14)+Q71*'Assumptions'!$D$14</x:f>
        <x:v>1132.5</x:v>
      </x:c>
      <x:c r="S71" s="27" t="n">
        <x:f>O71*'Carrier Engine'!E91</x:f>
        <x:v>345.8787341667759</x:v>
      </x:c>
      <x:c r="T71" s="28" t="n">
        <x:f>R71+S71</x:f>
        <x:v>1478.378734166776</x:v>
      </x:c>
      <x:c r="U71" s="27" t="n">
        <x:f>N71*'Fleet Engine'!F201</x:f>
        <x:v>0</x:v>
      </x:c>
      <x:c r="V71" s="28" t="n">
        <x:f>U71*T71</x:f>
        <x:v>0</x:v>
      </x:c>
      <x:c r="W71" s="28" t="n">
        <x:f>U71*O71</x:f>
        <x:v>0</x:v>
      </x:c>
    </x:row>
    <x:row r="72" ht="19" customHeight="1">
      <x:c r="A72" s="2"/>
      <x:c r="B72" s="2"/>
      <x:c r="C72" s="46" t="n">
        <x:v>0</x:v>
      </x:c>
      <x:c r="D72" s="46" t="n">
        <x:v>7</x:v>
      </x:c>
      <x:c r="E72" s="46" t="n">
        <x:v>1</x:v>
      </x:c>
      <x:c r="F72" s="46" t="n">
        <x:v>1</x:v>
      </x:c>
      <x:c r="G72" s="12" t="n">
        <x:v>0.3333333333333333</x:v>
      </x:c>
      <x:c r="H72" s="12" t="n">
        <x:v>0.4444444444444444</x:v>
      </x:c>
      <x:c r="I72" s="29" t="n">
        <x:f>'Assumptions'!$D$11+'Assumptions'!$D$12*(0.5-(G72+H72)/2)</x:f>
        <x:v>0.32222222222222224</x:v>
      </x:c>
      <x:c r="J72" s="27" t="n">
        <x:f>'Assumptions'!$D$8*EXP(-'Assumptions'!$D$9*('Fleet Engine'!E201-10))*'Assumptions'!E56*'Assumptions'!D36</x:f>
        <x:v>25104.101673395035</x:v>
      </x:c>
      <x:c r="K72" s="27" t="n">
        <x:f>'Source Data'!F218+LN('Assumptions'!D56)+LN('Assumptions'!D35)</x:f>
        <x:v>7.916663861337495</x:v>
      </x:c>
      <x:c r="L72" s="27" t="n">
        <x:f>J72*(1-I72*(1-'Carrier Engine'!E91))</x:f>
        <x:v>17338.566222424837</x:v>
      </x:c>
      <x:c r="M72" s="29" t="n">
        <x:f>NORM.S.DIST((LN(L72)-K72)/'Assumptions'!$D$10,TRUE)</x:f>
        <x:v>0.8798793690489362</x:v>
      </x:c>
      <x:c r="N72" s="30" t="n">
        <x:f>MAX(0,H72-MAX(G72,M72))</x:f>
        <x:v>0</x:v>
      </x:c>
      <x:c r="O72" s="28" t="n">
        <x:f>J72*I72</x:f>
        <x:v>8089.099428093956</x:v>
      </x:c>
      <x:c r="P72" s="27" t="n">
        <x:f>(VLOOKUP(O72,'Fee Data'!$C$6:$G$50,2,TRUE)+O72*VLOOKUP(O72,'Fee Data'!$C$6:$G$50,3,TRUE)+VLOOKUP(O72,'Fee Data'!$I$6:$J$14,2,TRUE)+'Fee Data'!$J$20+'Fee Data'!$J$21)*'Assumptions'!D37</x:f>
        <x:v>1175</x:v>
      </x:c>
      <x:c r="Q72" s="27" t="n">
        <x:f>(VLOOKUP(O72,'Fee Data'!$C$6:$G$50,4,TRUE)+O72*VLOOKUP(O72,'Fee Data'!$C$6:$G$50,5,TRUE)+VLOOKUP(O72,'Fee Data'!$I$6:$J$14,2,TRUE)+'Fee Data'!$J$20+'Fee Data'!$J$21)*'Assumptions'!D37</x:f>
        <x:v>1050</x:v>
      </x:c>
      <x:c r="R72" s="27" t="n">
        <x:f>P72*(1-'Assumptions'!$D$14)+Q72*'Assumptions'!$D$14</x:f>
        <x:v>1112.5</x:v>
      </x:c>
      <x:c r="S72" s="27" t="n">
        <x:f>O72*'Carrier Engine'!E91</x:f>
        <x:v>323.56397712375815</x:v>
      </x:c>
      <x:c r="T72" s="28" t="n">
        <x:f>R72+S72</x:f>
        <x:v>1436.0639771237581</x:v>
      </x:c>
      <x:c r="U72" s="27" t="n">
        <x:f>N72*'Fleet Engine'!F201</x:f>
        <x:v>0</x:v>
      </x:c>
      <x:c r="V72" s="28" t="n">
        <x:f>U72*T72</x:f>
        <x:v>0</x:v>
      </x:c>
      <x:c r="W72" s="28" t="n">
        <x:f>U72*O72</x:f>
        <x:v>0</x:v>
      </x:c>
    </x:row>
    <x:row r="73" ht="19" customHeight="1">
      <x:c r="A73" s="2"/>
      <x:c r="B73" s="2"/>
      <x:c r="C73" s="46" t="n">
        <x:v>0</x:v>
      </x:c>
      <x:c r="D73" s="46" t="n">
        <x:v>7</x:v>
      </x:c>
      <x:c r="E73" s="46" t="n">
        <x:v>1</x:v>
      </x:c>
      <x:c r="F73" s="46" t="n">
        <x:v>1</x:v>
      </x:c>
      <x:c r="G73" s="12" t="n">
        <x:v>0.4444444444444444</x:v>
      </x:c>
      <x:c r="H73" s="12" t="n">
        <x:v>0.5555555555555556</x:v>
      </x:c>
      <x:c r="I73" s="29" t="n">
        <x:f>'Assumptions'!$D$11+'Assumptions'!$D$12*(0.5-(G73+H73)/2)</x:f>
        <x:v>0.3</x:v>
      </x:c>
      <x:c r="J73" s="27" t="n">
        <x:f>'Assumptions'!$D$8*EXP(-'Assumptions'!$D$9*('Fleet Engine'!E201-10))*'Assumptions'!E56*'Assumptions'!D36</x:f>
        <x:v>25104.101673395035</x:v>
      </x:c>
      <x:c r="K73" s="27" t="n">
        <x:f>'Source Data'!F218+LN('Assumptions'!D56)+LN('Assumptions'!D35)</x:f>
        <x:v>7.916663861337495</x:v>
      </x:c>
      <x:c r="L73" s="27" t="n">
        <x:f>J73*(1-I73*(1-'Carrier Engine'!E91))</x:f>
        <x:v>17874.120391457265</x:v>
      </x:c>
      <x:c r="M73" s="29" t="n">
        <x:f>NORM.S.DIST((LN(L73)-K73)/'Assumptions'!$D$10,TRUE)</x:f>
        <x:v>0.883713600649329</x:v>
      </x:c>
      <x:c r="N73" s="30" t="n">
        <x:f>MAX(0,H73-MAX(G73,M73))</x:f>
        <x:v>0</x:v>
      </x:c>
      <x:c r="O73" s="28" t="n">
        <x:f>J73*I73</x:f>
        <x:v>7531.23050201851</x:v>
      </x:c>
      <x:c r="P73" s="27" t="n">
        <x:f>(VLOOKUP(O73,'Fee Data'!$C$6:$G$50,2,TRUE)+O73*VLOOKUP(O73,'Fee Data'!$C$6:$G$50,3,TRUE)+VLOOKUP(O73,'Fee Data'!$I$6:$J$14,2,TRUE)+'Fee Data'!$J$20+'Fee Data'!$J$21)*'Assumptions'!D37</x:f>
        <x:v>1135</x:v>
      </x:c>
      <x:c r="Q73" s="27" t="n">
        <x:f>(VLOOKUP(O73,'Fee Data'!$C$6:$G$50,4,TRUE)+O73*VLOOKUP(O73,'Fee Data'!$C$6:$G$50,5,TRUE)+VLOOKUP(O73,'Fee Data'!$I$6:$J$14,2,TRUE)+'Fee Data'!$J$20+'Fee Data'!$J$21)*'Assumptions'!D37</x:f>
        <x:v>1010</x:v>
      </x:c>
      <x:c r="R73" s="27" t="n">
        <x:f>P73*(1-'Assumptions'!$D$14)+Q73*'Assumptions'!$D$14</x:f>
        <x:v>1072.5</x:v>
      </x:c>
      <x:c r="S73" s="27" t="n">
        <x:f>O73*'Carrier Engine'!E91</x:f>
        <x:v>301.2492200807403</x:v>
      </x:c>
      <x:c r="T73" s="28" t="n">
        <x:f>R73+S73</x:f>
        <x:v>1373.7492200807403</x:v>
      </x:c>
      <x:c r="U73" s="27" t="n">
        <x:f>N73*'Fleet Engine'!F201</x:f>
        <x:v>0</x:v>
      </x:c>
      <x:c r="V73" s="28" t="n">
        <x:f>U73*T73</x:f>
        <x:v>0</x:v>
      </x:c>
      <x:c r="W73" s="28" t="n">
        <x:f>U73*O73</x:f>
        <x:v>0</x:v>
      </x:c>
    </x:row>
    <x:row r="74" ht="19" customHeight="1">
      <x:c r="A74" s="2"/>
      <x:c r="B74" s="2"/>
      <x:c r="C74" s="46" t="n">
        <x:v>0</x:v>
      </x:c>
      <x:c r="D74" s="46" t="n">
        <x:v>7</x:v>
      </x:c>
      <x:c r="E74" s="46" t="n">
        <x:v>1</x:v>
      </x:c>
      <x:c r="F74" s="46" t="n">
        <x:v>1</x:v>
      </x:c>
      <x:c r="G74" s="12" t="n">
        <x:v>0.5555555555555556</x:v>
      </x:c>
      <x:c r="H74" s="12" t="n">
        <x:v>0.6666666666666666</x:v>
      </x:c>
      <x:c r="I74" s="29" t="n">
        <x:f>'Assumptions'!$D$11+'Assumptions'!$D$12*(0.5-(G74+H74)/2)</x:f>
        <x:v>0.27777777777777773</x:v>
      </x:c>
      <x:c r="J74" s="27" t="n">
        <x:f>'Assumptions'!$D$8*EXP(-'Assumptions'!$D$9*('Fleet Engine'!E201-10))*'Assumptions'!E56*'Assumptions'!D36</x:f>
        <x:v>25104.101673395035</x:v>
      </x:c>
      <x:c r="K74" s="27" t="n">
        <x:f>'Source Data'!F218+LN('Assumptions'!D56)+LN('Assumptions'!D35)</x:f>
        <x:v>7.916663861337495</x:v>
      </x:c>
      <x:c r="L74" s="27" t="n">
        <x:f>J74*(1-I74*(1-'Carrier Engine'!E91))</x:f>
        <x:v>18409.674560489693</x:v>
      </x:c>
      <x:c r="M74" s="29" t="n">
        <x:f>NORM.S.DIST((LN(L74)-K74)/'Assumptions'!$D$10,TRUE)</x:f>
        <x:v>0.8873508102719798</x:v>
      </x:c>
      <x:c r="N74" s="30" t="n">
        <x:f>MAX(0,H74-MAX(G74,M74))</x:f>
        <x:v>0</x:v>
      </x:c>
      <x:c r="O74" s="28" t="n">
        <x:f>J74*I74</x:f>
        <x:v>6973.361575943064</x:v>
      </x:c>
      <x:c r="P74" s="27" t="n">
        <x:f>(VLOOKUP(O74,'Fee Data'!$C$6:$G$50,2,TRUE)+O74*VLOOKUP(O74,'Fee Data'!$C$6:$G$50,3,TRUE)+VLOOKUP(O74,'Fee Data'!$I$6:$J$14,2,TRUE)+'Fee Data'!$J$20+'Fee Data'!$J$21)*'Assumptions'!D37</x:f>
        <x:v>1080</x:v>
      </x:c>
      <x:c r="Q74" s="27" t="n">
        <x:f>(VLOOKUP(O74,'Fee Data'!$C$6:$G$50,4,TRUE)+O74*VLOOKUP(O74,'Fee Data'!$C$6:$G$50,5,TRUE)+VLOOKUP(O74,'Fee Data'!$I$6:$J$14,2,TRUE)+'Fee Data'!$J$20+'Fee Data'!$J$21)*'Assumptions'!D37</x:f>
        <x:v>955</x:v>
      </x:c>
      <x:c r="R74" s="27" t="n">
        <x:f>P74*(1-'Assumptions'!$D$14)+Q74*'Assumptions'!$D$14</x:f>
        <x:v>1017.5</x:v>
      </x:c>
      <x:c r="S74" s="27" t="n">
        <x:f>O74*'Carrier Engine'!E91</x:f>
        <x:v>278.9344630377225</x:v>
      </x:c>
      <x:c r="T74" s="28" t="n">
        <x:f>R74+S74</x:f>
        <x:v>1296.4344630377225</x:v>
      </x:c>
      <x:c r="U74" s="27" t="n">
        <x:f>N74*'Fleet Engine'!F201</x:f>
        <x:v>0</x:v>
      </x:c>
      <x:c r="V74" s="28" t="n">
        <x:f>U74*T74</x:f>
        <x:v>0</x:v>
      </x:c>
      <x:c r="W74" s="28" t="n">
        <x:f>U74*O74</x:f>
        <x:v>0</x:v>
      </x:c>
    </x:row>
    <x:row r="75" ht="19" customHeight="1">
      <x:c r="A75" s="2"/>
      <x:c r="B75" s="2"/>
      <x:c r="C75" s="46" t="n">
        <x:v>0</x:v>
      </x:c>
      <x:c r="D75" s="46" t="n">
        <x:v>7</x:v>
      </x:c>
      <x:c r="E75" s="46" t="n">
        <x:v>1</x:v>
      </x:c>
      <x:c r="F75" s="46" t="n">
        <x:v>1</x:v>
      </x:c>
      <x:c r="G75" s="12" t="n">
        <x:v>0.6666666666666666</x:v>
      </x:c>
      <x:c r="H75" s="12" t="n">
        <x:v>0.7777777777777778</x:v>
      </x:c>
      <x:c r="I75" s="29" t="n">
        <x:f>'Assumptions'!$D$11+'Assumptions'!$D$12*(0.5-(G75+H75)/2)</x:f>
        <x:v>0.25555555555555554</x:v>
      </x:c>
      <x:c r="J75" s="27" t="n">
        <x:f>'Assumptions'!$D$8*EXP(-'Assumptions'!$D$9*('Fleet Engine'!E201-10))*'Assumptions'!E56*'Assumptions'!D36</x:f>
        <x:v>25104.101673395035</x:v>
      </x:c>
      <x:c r="K75" s="27" t="n">
        <x:f>'Source Data'!F218+LN('Assumptions'!D56)+LN('Assumptions'!D35)</x:f>
        <x:v>7.916663861337495</x:v>
      </x:c>
      <x:c r="L75" s="27" t="n">
        <x:f>J75*(1-I75*(1-'Carrier Engine'!E91))</x:f>
        <x:v>18945.22872952212</x:v>
      </x:c>
      <x:c r="M75" s="29" t="n">
        <x:f>NORM.S.DIST((LN(L75)-K75)/'Assumptions'!$D$10,TRUE)</x:f>
        <x:v>0.8908052189301703</x:v>
      </x:c>
      <x:c r="N75" s="30" t="n">
        <x:f>MAX(0,H75-MAX(G75,M75))</x:f>
        <x:v>0</x:v>
      </x:c>
      <x:c r="O75" s="28" t="n">
        <x:f>J75*I75</x:f>
        <x:v>6415.49264986762</x:v>
      </x:c>
      <x:c r="P75" s="27" t="n">
        <x:f>(VLOOKUP(O75,'Fee Data'!$C$6:$G$50,2,TRUE)+O75*VLOOKUP(O75,'Fee Data'!$C$6:$G$50,3,TRUE)+VLOOKUP(O75,'Fee Data'!$I$6:$J$14,2,TRUE)+'Fee Data'!$J$20+'Fee Data'!$J$21)*'Assumptions'!D37</x:f>
        <x:v>1060</x:v>
      </x:c>
      <x:c r="Q75" s="27" t="n">
        <x:f>(VLOOKUP(O75,'Fee Data'!$C$6:$G$50,4,TRUE)+O75*VLOOKUP(O75,'Fee Data'!$C$6:$G$50,5,TRUE)+VLOOKUP(O75,'Fee Data'!$I$6:$J$14,2,TRUE)+'Fee Data'!$J$20+'Fee Data'!$J$21)*'Assumptions'!D37</x:f>
        <x:v>935</x:v>
      </x:c>
      <x:c r="R75" s="27" t="n">
        <x:f>P75*(1-'Assumptions'!$D$14)+Q75*'Assumptions'!$D$14</x:f>
        <x:v>997.5</x:v>
      </x:c>
      <x:c r="S75" s="27" t="n">
        <x:f>O75*'Carrier Engine'!E91</x:f>
        <x:v>256.6197059947047</x:v>
      </x:c>
      <x:c r="T75" s="28" t="n">
        <x:f>R75+S75</x:f>
        <x:v>1254.1197059947046</x:v>
      </x:c>
      <x:c r="U75" s="27" t="n">
        <x:f>N75*'Fleet Engine'!F201</x:f>
        <x:v>0</x:v>
      </x:c>
      <x:c r="V75" s="28" t="n">
        <x:f>U75*T75</x:f>
        <x:v>0</x:v>
      </x:c>
      <x:c r="W75" s="28" t="n">
        <x:f>U75*O75</x:f>
        <x:v>0</x:v>
      </x:c>
    </x:row>
    <x:row r="76" ht="19" customHeight="1">
      <x:c r="A76" s="2"/>
      <x:c r="B76" s="2"/>
      <x:c r="C76" s="46" t="n">
        <x:v>0</x:v>
      </x:c>
      <x:c r="D76" s="46" t="n">
        <x:v>7</x:v>
      </x:c>
      <x:c r="E76" s="46" t="n">
        <x:v>1</x:v>
      </x:c>
      <x:c r="F76" s="46" t="n">
        <x:v>1</x:v>
      </x:c>
      <x:c r="G76" s="12" t="n">
        <x:v>0.7777777777777778</x:v>
      </x:c>
      <x:c r="H76" s="12" t="n">
        <x:v>0.8888888888888888</x:v>
      </x:c>
      <x:c r="I76" s="29" t="n">
        <x:f>'Assumptions'!$D$11+'Assumptions'!$D$12*(0.5-(G76+H76)/2)</x:f>
        <x:v>0.23333333333333334</x:v>
      </x:c>
      <x:c r="J76" s="27" t="n">
        <x:f>'Assumptions'!$D$8*EXP(-'Assumptions'!$D$9*('Fleet Engine'!E201-10))*'Assumptions'!E56*'Assumptions'!D36</x:f>
        <x:v>25104.101673395035</x:v>
      </x:c>
      <x:c r="K76" s="27" t="n">
        <x:f>'Source Data'!F218+LN('Assumptions'!D56)+LN('Assumptions'!D35)</x:f>
        <x:v>7.916663861337495</x:v>
      </x:c>
      <x:c r="L76" s="27" t="n">
        <x:f>J76*(1-I76*(1-'Carrier Engine'!E91))</x:f>
        <x:v>19480.782898554546</x:v>
      </x:c>
      <x:c r="M76" s="29" t="n">
        <x:f>NORM.S.DIST((LN(L76)-K76)/'Assumptions'!$D$10,TRUE)</x:f>
        <x:v>0.8940897210910779</x:v>
      </x:c>
      <x:c r="N76" s="30" t="n">
        <x:f>MAX(0,H76-MAX(G76,M76))</x:f>
        <x:v>0</x:v>
      </x:c>
      <x:c r="O76" s="28" t="n">
        <x:f>J76*I76</x:f>
        <x:v>5857.623723792175</x:v>
      </x:c>
      <x:c r="P76" s="27" t="n">
        <x:f>(VLOOKUP(O76,'Fee Data'!$C$6:$G$50,2,TRUE)+O76*VLOOKUP(O76,'Fee Data'!$C$6:$G$50,3,TRUE)+VLOOKUP(O76,'Fee Data'!$I$6:$J$14,2,TRUE)+'Fee Data'!$J$20+'Fee Data'!$J$21)*'Assumptions'!D37</x:f>
        <x:v>1020</x:v>
      </x:c>
      <x:c r="Q76" s="27" t="n">
        <x:f>(VLOOKUP(O76,'Fee Data'!$C$6:$G$50,4,TRUE)+O76*VLOOKUP(O76,'Fee Data'!$C$6:$G$50,5,TRUE)+VLOOKUP(O76,'Fee Data'!$I$6:$J$14,2,TRUE)+'Fee Data'!$J$20+'Fee Data'!$J$21)*'Assumptions'!D37</x:f>
        <x:v>895</x:v>
      </x:c>
      <x:c r="R76" s="27" t="n">
        <x:f>P76*(1-'Assumptions'!$D$14)+Q76*'Assumptions'!$D$14</x:f>
        <x:v>957.5</x:v>
      </x:c>
      <x:c r="S76" s="27" t="n">
        <x:f>O76*'Carrier Engine'!E91</x:f>
        <x:v>234.30494895168692</x:v>
      </x:c>
      <x:c r="T76" s="28" t="n">
        <x:f>R76+S76</x:f>
        <x:v>1191.804948951687</x:v>
      </x:c>
      <x:c r="U76" s="27" t="n">
        <x:f>N76*'Fleet Engine'!F201</x:f>
        <x:v>0</x:v>
      </x:c>
      <x:c r="V76" s="28" t="n">
        <x:f>U76*T76</x:f>
        <x:v>0</x:v>
      </x:c>
      <x:c r="W76" s="28" t="n">
        <x:f>U76*O76</x:f>
        <x:v>0</x:v>
      </x:c>
    </x:row>
    <x:row r="77" ht="19" customHeight="1">
      <x:c r="A77" s="2"/>
      <x:c r="B77" s="2"/>
      <x:c r="C77" s="46" t="n">
        <x:v>0</x:v>
      </x:c>
      <x:c r="D77" s="46" t="n">
        <x:v>7</x:v>
      </x:c>
      <x:c r="E77" s="46" t="n">
        <x:v>1</x:v>
      </x:c>
      <x:c r="F77" s="46" t="n">
        <x:v>1</x:v>
      </x:c>
      <x:c r="G77" s="12" t="n">
        <x:v>0.8888888888888888</x:v>
      </x:c>
      <x:c r="H77" s="12" t="n">
        <x:v>1</x:v>
      </x:c>
      <x:c r="I77" s="29" t="n">
        <x:f>'Assumptions'!$D$11+'Assumptions'!$D$12*(0.5-(G77+H77)/2)</x:f>
        <x:v>0.21111111111111108</x:v>
      </x:c>
      <x:c r="J77" s="27" t="n">
        <x:f>'Assumptions'!$D$8*EXP(-'Assumptions'!$D$9*('Fleet Engine'!E201-10))*'Assumptions'!E56*'Assumptions'!D36</x:f>
        <x:v>25104.101673395035</x:v>
      </x:c>
      <x:c r="K77" s="27" t="n">
        <x:f>'Source Data'!F218+LN('Assumptions'!D56)+LN('Assumptions'!D35)</x:f>
        <x:v>7.916663861337495</x:v>
      </x:c>
      <x:c r="L77" s="27" t="n">
        <x:f>J77*(1-I77*(1-'Carrier Engine'!E91))</x:f>
        <x:v>20016.337067586974</x:v>
      </x:c>
      <x:c r="M77" s="29" t="n">
        <x:f>NORM.S.DIST((LN(L77)-K77)/'Assumptions'!$D$10,TRUE)</x:f>
        <x:v>0.897216036126494</x:v>
      </x:c>
      <x:c r="N77" s="30" t="n">
        <x:f>MAX(0,H77-MAX(G77,M77))</x:f>
        <x:v>0.10278396387350597</x:v>
      </x:c>
      <x:c r="O77" s="28" t="n">
        <x:f>J77*I77</x:f>
        <x:v>5299.754797716729</x:v>
      </x:c>
      <x:c r="P77" s="27" t="n">
        <x:f>(VLOOKUP(O77,'Fee Data'!$C$6:$G$50,2,TRUE)+O77*VLOOKUP(O77,'Fee Data'!$C$6:$G$50,3,TRUE)+VLOOKUP(O77,'Fee Data'!$I$6:$J$14,2,TRUE)+'Fee Data'!$J$20+'Fee Data'!$J$21)*'Assumptions'!D37</x:f>
        <x:v>995</x:v>
      </x:c>
      <x:c r="Q77" s="27" t="n">
        <x:f>(VLOOKUP(O77,'Fee Data'!$C$6:$G$50,4,TRUE)+O77*VLOOKUP(O77,'Fee Data'!$C$6:$G$50,5,TRUE)+VLOOKUP(O77,'Fee Data'!$I$6:$J$14,2,TRUE)+'Fee Data'!$J$20+'Fee Data'!$J$21)*'Assumptions'!D37</x:f>
        <x:v>870</x:v>
      </x:c>
      <x:c r="R77" s="27" t="n">
        <x:f>P77*(1-'Assumptions'!$D$14)+Q77*'Assumptions'!$D$14</x:f>
        <x:v>932.5</x:v>
      </x:c>
      <x:c r="S77" s="27" t="n">
        <x:f>O77*'Carrier Engine'!E91</x:f>
        <x:v>211.9901919086691</x:v>
      </x:c>
      <x:c r="T77" s="28" t="n">
        <x:f>R77+S77</x:f>
        <x:v>1144.4901919086692</x:v>
      </x:c>
      <x:c r="U77" s="27" t="n">
        <x:f>N77*'Fleet Engine'!F201</x:f>
        <x:v>2534.6927920347616</x:v>
      </x:c>
      <x:c r="V77" s="28" t="n">
        <x:f>U77*T77</x:f>
        <x:v>2900931.039985385</x:v>
      </x:c>
      <x:c r="W77" s="28" t="n">
        <x:f>U77*O77</x:f>
        <x:v>13433250.285324238</x:v>
      </x:c>
    </x:row>
    <x:row r="78" ht="19" customHeight="1">
      <x:c r="A78" s="2"/>
      <x:c r="B78" s="2"/>
      <x:c r="C78" s="46" t="n">
        <x:v>0</x:v>
      </x:c>
      <x:c r="D78" s="46" t="n">
        <x:v>8</x:v>
      </x:c>
      <x:c r="E78" s="46" t="n">
        <x:v>1</x:v>
      </x:c>
      <x:c r="F78" s="46" t="n">
        <x:v>2</x:v>
      </x:c>
      <x:c r="G78" s="12" t="n">
        <x:v>0</x:v>
      </x:c>
      <x:c r="H78" s="12" t="n">
        <x:v>0.1111111111111111</x:v>
      </x:c>
      <x:c r="I78" s="29" t="n">
        <x:f>'Assumptions'!$D$11+'Assumptions'!$D$12*(0.5-(G78+H78)/2)</x:f>
        <x:v>0.3888888888888889</x:v>
      </x:c>
      <x:c r="J78" s="27" t="n">
        <x:f>'Assumptions'!$D$8*EXP(-'Assumptions'!$D$9*('Fleet Engine'!E202-10))*'Assumptions'!E56*'Assumptions'!D36</x:f>
        <x:v>18597.575933497446</x:v>
      </x:c>
      <x:c r="K78" s="27" t="n">
        <x:f>'Source Data'!F219+LN('Assumptions'!D56)+LN('Assumptions'!D35)</x:f>
        <x:v>7.962345702623303</x:v>
      </x:c>
      <x:c r="L78" s="27" t="n">
        <x:f>J78*(1-I78*(1-'Carrier Engine'!E91))</x:f>
        <x:v>11654.480918325067</x:v>
      </x:c>
      <x:c r="M78" s="29" t="n">
        <x:f>NORM.S.DIST((LN(L78)-K78)/'Assumptions'!$D$10,TRUE)</x:f>
        <x:v>0.8138848687134156</x:v>
      </x:c>
      <x:c r="N78" s="30" t="n">
        <x:f>MAX(0,H78-MAX(G78,M78))</x:f>
        <x:v>0</x:v>
      </x:c>
      <x:c r="O78" s="28" t="n">
        <x:f>J78*I78</x:f>
        <x:v>7232.390640804562</x:v>
      </x:c>
      <x:c r="P78" s="27" t="n">
        <x:f>(VLOOKUP(O78,'Fee Data'!$C$6:$G$50,2,TRUE)+O78*VLOOKUP(O78,'Fee Data'!$C$6:$G$50,3,TRUE)+VLOOKUP(O78,'Fee Data'!$I$6:$J$14,2,TRUE)+'Fee Data'!$J$20+'Fee Data'!$J$21)*'Assumptions'!D37</x:f>
        <x:v>1115</x:v>
      </x:c>
      <x:c r="Q78" s="27" t="n">
        <x:f>(VLOOKUP(O78,'Fee Data'!$C$6:$G$50,4,TRUE)+O78*VLOOKUP(O78,'Fee Data'!$C$6:$G$50,5,TRUE)+VLOOKUP(O78,'Fee Data'!$I$6:$J$14,2,TRUE)+'Fee Data'!$J$20+'Fee Data'!$J$21)*'Assumptions'!D37</x:f>
        <x:v>990</x:v>
      </x:c>
      <x:c r="R78" s="27" t="n">
        <x:f>P78*(1-'Assumptions'!$D$14)+Q78*'Assumptions'!$D$14</x:f>
        <x:v>1052.5</x:v>
      </x:c>
      <x:c r="S78" s="27" t="n">
        <x:f>O78*'Carrier Engine'!E91</x:f>
        <x:v>289.2956256321824</x:v>
      </x:c>
      <x:c r="T78" s="28" t="n">
        <x:f>R78+S78</x:f>
        <x:v>1341.7956256321825</x:v>
      </x:c>
      <x:c r="U78" s="27" t="n">
        <x:f>N78*'Fleet Engine'!F202</x:f>
        <x:v>0</x:v>
      </x:c>
      <x:c r="V78" s="28" t="n">
        <x:f>U78*T78</x:f>
        <x:v>0</x:v>
      </x:c>
      <x:c r="W78" s="28" t="n">
        <x:f>U78*O78</x:f>
        <x:v>0</x:v>
      </x:c>
    </x:row>
    <x:row r="79" ht="19" customHeight="1">
      <x:c r="A79" s="2"/>
      <x:c r="B79" s="2"/>
      <x:c r="C79" s="46" t="n">
        <x:v>0</x:v>
      </x:c>
      <x:c r="D79" s="46" t="n">
        <x:v>8</x:v>
      </x:c>
      <x:c r="E79" s="46" t="n">
        <x:v>1</x:v>
      </x:c>
      <x:c r="F79" s="46" t="n">
        <x:v>2</x:v>
      </x:c>
      <x:c r="G79" s="12" t="n">
        <x:v>0.1111111111111111</x:v>
      </x:c>
      <x:c r="H79" s="12" t="n">
        <x:v>0.2222222222222222</x:v>
      </x:c>
      <x:c r="I79" s="29" t="n">
        <x:f>'Assumptions'!$D$11+'Assumptions'!$D$12*(0.5-(G79+H79)/2)</x:f>
        <x:v>0.3666666666666667</x:v>
      </x:c>
      <x:c r="J79" s="27" t="n">
        <x:f>'Assumptions'!$D$8*EXP(-'Assumptions'!$D$9*('Fleet Engine'!E202-10))*'Assumptions'!E56*'Assumptions'!D36</x:f>
        <x:v>18597.575933497446</x:v>
      </x:c>
      <x:c r="K79" s="27" t="n">
        <x:f>'Source Data'!F219+LN('Assumptions'!D56)+LN('Assumptions'!D35)</x:f>
        <x:v>7.962345702623303</x:v>
      </x:c>
      <x:c r="L79" s="27" t="n">
        <x:f>J79*(1-I79*(1-'Carrier Engine'!E91))</x:f>
        <x:v>12051.229204906344</x:v>
      </x:c>
      <x:c r="M79" s="29" t="n">
        <x:f>NORM.S.DIST((LN(L79)-K79)/'Assumptions'!$D$10,TRUE)</x:f>
        <x:v>0.8195425068236845</x:v>
      </x:c>
      <x:c r="N79" s="30" t="n">
        <x:f>MAX(0,H79-MAX(G79,M79))</x:f>
        <x:v>0</x:v>
      </x:c>
      <x:c r="O79" s="28" t="n">
        <x:f>J79*I79</x:f>
        <x:v>6819.111175615731</x:v>
      </x:c>
      <x:c r="P79" s="27" t="n">
        <x:f>(VLOOKUP(O79,'Fee Data'!$C$6:$G$50,2,TRUE)+O79*VLOOKUP(O79,'Fee Data'!$C$6:$G$50,3,TRUE)+VLOOKUP(O79,'Fee Data'!$I$6:$J$14,2,TRUE)+'Fee Data'!$J$20+'Fee Data'!$J$21)*'Assumptions'!D37</x:f>
        <x:v>1080</x:v>
      </x:c>
      <x:c r="Q79" s="27" t="n">
        <x:f>(VLOOKUP(O79,'Fee Data'!$C$6:$G$50,4,TRUE)+O79*VLOOKUP(O79,'Fee Data'!$C$6:$G$50,5,TRUE)+VLOOKUP(O79,'Fee Data'!$I$6:$J$14,2,TRUE)+'Fee Data'!$J$20+'Fee Data'!$J$21)*'Assumptions'!D37</x:f>
        <x:v>955</x:v>
      </x:c>
      <x:c r="R79" s="27" t="n">
        <x:f>P79*(1-'Assumptions'!$D$14)+Q79*'Assumptions'!$D$14</x:f>
        <x:v>1017.5</x:v>
      </x:c>
      <x:c r="S79" s="27" t="n">
        <x:f>O79*'Carrier Engine'!E91</x:f>
        <x:v>272.76444702462913</x:v>
      </x:c>
      <x:c r="T79" s="28" t="n">
        <x:f>R79+S79</x:f>
        <x:v>1290.2644470246291</x:v>
      </x:c>
      <x:c r="U79" s="27" t="n">
        <x:f>N79*'Fleet Engine'!F202</x:f>
        <x:v>0</x:v>
      </x:c>
      <x:c r="V79" s="28" t="n">
        <x:f>U79*T79</x:f>
        <x:v>0</x:v>
      </x:c>
      <x:c r="W79" s="28" t="n">
        <x:f>U79*O79</x:f>
        <x:v>0</x:v>
      </x:c>
    </x:row>
    <x:row r="80" ht="19" customHeight="1">
      <x:c r="A80" s="2"/>
      <x:c r="B80" s="2"/>
      <x:c r="C80" s="46" t="n">
        <x:v>0</x:v>
      </x:c>
      <x:c r="D80" s="46" t="n">
        <x:v>8</x:v>
      </x:c>
      <x:c r="E80" s="46" t="n">
        <x:v>1</x:v>
      </x:c>
      <x:c r="F80" s="46" t="n">
        <x:v>2</x:v>
      </x:c>
      <x:c r="G80" s="12" t="n">
        <x:v>0.2222222222222222</x:v>
      </x:c>
      <x:c r="H80" s="12" t="n">
        <x:v>0.3333333333333333</x:v>
      </x:c>
      <x:c r="I80" s="29" t="n">
        <x:f>'Assumptions'!$D$11+'Assumptions'!$D$12*(0.5-(G80+H80)/2)</x:f>
        <x:v>0.34444444444444444</x:v>
      </x:c>
      <x:c r="J80" s="27" t="n">
        <x:f>'Assumptions'!$D$8*EXP(-'Assumptions'!$D$9*('Fleet Engine'!E202-10))*'Assumptions'!E56*'Assumptions'!D36</x:f>
        <x:v>18597.575933497446</x:v>
      </x:c>
      <x:c r="K80" s="27" t="n">
        <x:f>'Source Data'!F219+LN('Assumptions'!D56)+LN('Assumptions'!D35)</x:f>
        <x:v>7.962345702623303</x:v>
      </x:c>
      <x:c r="L80" s="27" t="n">
        <x:f>J80*(1-I80*(1-'Carrier Engine'!E91))</x:f>
        <x:v>12447.977491487623</x:v>
      </x:c>
      <x:c r="M80" s="29" t="n">
        <x:f>NORM.S.DIST((LN(L80)-K80)/'Assumptions'!$D$10,TRUE)</x:f>
        <x:v>0.8249129898049964</x:v>
      </x:c>
      <x:c r="N80" s="30" t="n">
        <x:f>MAX(0,H80-MAX(G80,M80))</x:f>
        <x:v>0</x:v>
      </x:c>
      <x:c r="O80" s="28" t="n">
        <x:f>J80*I80</x:f>
        <x:v>6405.831710426898</x:v>
      </x:c>
      <x:c r="P80" s="27" t="n">
        <x:f>(VLOOKUP(O80,'Fee Data'!$C$6:$G$50,2,TRUE)+O80*VLOOKUP(O80,'Fee Data'!$C$6:$G$50,3,TRUE)+VLOOKUP(O80,'Fee Data'!$I$6:$J$14,2,TRUE)+'Fee Data'!$J$20+'Fee Data'!$J$21)*'Assumptions'!D37</x:f>
        <x:v>1060</x:v>
      </x:c>
      <x:c r="Q80" s="27" t="n">
        <x:f>(VLOOKUP(O80,'Fee Data'!$C$6:$G$50,4,TRUE)+O80*VLOOKUP(O80,'Fee Data'!$C$6:$G$50,5,TRUE)+VLOOKUP(O80,'Fee Data'!$I$6:$J$14,2,TRUE)+'Fee Data'!$J$20+'Fee Data'!$J$21)*'Assumptions'!D37</x:f>
        <x:v>935</x:v>
      </x:c>
      <x:c r="R80" s="27" t="n">
        <x:f>P80*(1-'Assumptions'!$D$14)+Q80*'Assumptions'!$D$14</x:f>
        <x:v>997.5</x:v>
      </x:c>
      <x:c r="S80" s="27" t="n">
        <x:f>O80*'Carrier Engine'!E91</x:f>
        <x:v>256.23326841707586</x:v>
      </x:c>
      <x:c r="T80" s="28" t="n">
        <x:f>R80+S80</x:f>
        <x:v>1253.7332684170758</x:v>
      </x:c>
      <x:c r="U80" s="27" t="n">
        <x:f>N80*'Fleet Engine'!F202</x:f>
        <x:v>0</x:v>
      </x:c>
      <x:c r="V80" s="28" t="n">
        <x:f>U80*T80</x:f>
        <x:v>0</x:v>
      </x:c>
      <x:c r="W80" s="28" t="n">
        <x:f>U80*O80</x:f>
        <x:v>0</x:v>
      </x:c>
    </x:row>
    <x:row r="81" ht="19" customHeight="1">
      <x:c r="A81" s="2"/>
      <x:c r="B81" s="2"/>
      <x:c r="C81" s="46" t="n">
        <x:v>0</x:v>
      </x:c>
      <x:c r="D81" s="46" t="n">
        <x:v>8</x:v>
      </x:c>
      <x:c r="E81" s="46" t="n">
        <x:v>1</x:v>
      </x:c>
      <x:c r="F81" s="46" t="n">
        <x:v>2</x:v>
      </x:c>
      <x:c r="G81" s="12" t="n">
        <x:v>0.3333333333333333</x:v>
      </x:c>
      <x:c r="H81" s="12" t="n">
        <x:v>0.4444444444444444</x:v>
      </x:c>
      <x:c r="I81" s="29" t="n">
        <x:f>'Assumptions'!$D$11+'Assumptions'!$D$12*(0.5-(G81+H81)/2)</x:f>
        <x:v>0.32222222222222224</x:v>
      </x:c>
      <x:c r="J81" s="27" t="n">
        <x:f>'Assumptions'!$D$8*EXP(-'Assumptions'!$D$9*('Fleet Engine'!E202-10))*'Assumptions'!E56*'Assumptions'!D36</x:f>
        <x:v>18597.575933497446</x:v>
      </x:c>
      <x:c r="K81" s="27" t="n">
        <x:f>'Source Data'!F219+LN('Assumptions'!D56)+LN('Assumptions'!D35)</x:f>
        <x:v>7.962345702623303</x:v>
      </x:c>
      <x:c r="L81" s="27" t="n">
        <x:f>J81*(1-I81*(1-'Carrier Engine'!E91))</x:f>
        <x:v>12844.725778068903</x:v>
      </x:c>
      <x:c r="M81" s="29" t="n">
        <x:f>NORM.S.DIST((LN(L81)-K81)/'Assumptions'!$D$10,TRUE)</x:f>
        <x:v>0.8300172277569353</x:v>
      </x:c>
      <x:c r="N81" s="30" t="n">
        <x:f>MAX(0,H81-MAX(G81,M81))</x:f>
        <x:v>0</x:v>
      </x:c>
      <x:c r="O81" s="28" t="n">
        <x:f>J81*I81</x:f>
        <x:v>5992.5522452380665</x:v>
      </x:c>
      <x:c r="P81" s="27" t="n">
        <x:f>(VLOOKUP(O81,'Fee Data'!$C$6:$G$50,2,TRUE)+O81*VLOOKUP(O81,'Fee Data'!$C$6:$G$50,3,TRUE)+VLOOKUP(O81,'Fee Data'!$I$6:$J$14,2,TRUE)+'Fee Data'!$J$20+'Fee Data'!$J$21)*'Assumptions'!D37</x:f>
        <x:v>1020</x:v>
      </x:c>
      <x:c r="Q81" s="27" t="n">
        <x:f>(VLOOKUP(O81,'Fee Data'!$C$6:$G$50,4,TRUE)+O81*VLOOKUP(O81,'Fee Data'!$C$6:$G$50,5,TRUE)+VLOOKUP(O81,'Fee Data'!$I$6:$J$14,2,TRUE)+'Fee Data'!$J$20+'Fee Data'!$J$21)*'Assumptions'!D37</x:f>
        <x:v>895</x:v>
      </x:c>
      <x:c r="R81" s="27" t="n">
        <x:f>P81*(1-'Assumptions'!$D$14)+Q81*'Assumptions'!$D$14</x:f>
        <x:v>957.5</x:v>
      </x:c>
      <x:c r="S81" s="27" t="n">
        <x:f>O81*'Carrier Engine'!E91</x:f>
        <x:v>239.7020898095226</x:v>
      </x:c>
      <x:c r="T81" s="28" t="n">
        <x:f>R81+S81</x:f>
        <x:v>1197.2020898095225</x:v>
      </x:c>
      <x:c r="U81" s="27" t="n">
        <x:f>N81*'Fleet Engine'!F202</x:f>
        <x:v>0</x:v>
      </x:c>
      <x:c r="V81" s="28" t="n">
        <x:f>U81*T81</x:f>
        <x:v>0</x:v>
      </x:c>
      <x:c r="W81" s="28" t="n">
        <x:f>U81*O81</x:f>
        <x:v>0</x:v>
      </x:c>
    </x:row>
    <x:row r="82" ht="19" customHeight="1">
      <x:c r="A82" s="2"/>
      <x:c r="B82" s="2"/>
      <x:c r="C82" s="46" t="n">
        <x:v>0</x:v>
      </x:c>
      <x:c r="D82" s="46" t="n">
        <x:v>8</x:v>
      </x:c>
      <x:c r="E82" s="46" t="n">
        <x:v>1</x:v>
      </x:c>
      <x:c r="F82" s="46" t="n">
        <x:v>2</x:v>
      </x:c>
      <x:c r="G82" s="12" t="n">
        <x:v>0.4444444444444444</x:v>
      </x:c>
      <x:c r="H82" s="12" t="n">
        <x:v>0.5555555555555556</x:v>
      </x:c>
      <x:c r="I82" s="29" t="n">
        <x:f>'Assumptions'!$D$11+'Assumptions'!$D$12*(0.5-(G82+H82)/2)</x:f>
        <x:v>0.3</x:v>
      </x:c>
      <x:c r="J82" s="27" t="n">
        <x:f>'Assumptions'!$D$8*EXP(-'Assumptions'!$D$9*('Fleet Engine'!E202-10))*'Assumptions'!E56*'Assumptions'!D36</x:f>
        <x:v>18597.575933497446</x:v>
      </x:c>
      <x:c r="K82" s="27" t="n">
        <x:f>'Source Data'!F219+LN('Assumptions'!D56)+LN('Assumptions'!D35)</x:f>
        <x:v>7.962345702623303</x:v>
      </x:c>
      <x:c r="L82" s="27" t="n">
        <x:f>J82*(1-I82*(1-'Carrier Engine'!E91))</x:f>
        <x:v>13241.474064650181</x:v>
      </x:c>
      <x:c r="M82" s="29" t="n">
        <x:f>NORM.S.DIST((LN(L82)-K82)/'Assumptions'!$D$10,TRUE)</x:f>
        <x:v>0.8348741378031481</x:v>
      </x:c>
      <x:c r="N82" s="30" t="n">
        <x:f>MAX(0,H82-MAX(G82,M82))</x:f>
        <x:v>0</x:v>
      </x:c>
      <x:c r="O82" s="28" t="n">
        <x:f>J82*I82</x:f>
        <x:v>5579.272780049234</x:v>
      </x:c>
      <x:c r="P82" s="27" t="n">
        <x:f>(VLOOKUP(O82,'Fee Data'!$C$6:$G$50,2,TRUE)+O82*VLOOKUP(O82,'Fee Data'!$C$6:$G$50,3,TRUE)+VLOOKUP(O82,'Fee Data'!$I$6:$J$14,2,TRUE)+'Fee Data'!$J$20+'Fee Data'!$J$21)*'Assumptions'!D37</x:f>
        <x:v>1020</x:v>
      </x:c>
      <x:c r="Q82" s="27" t="n">
        <x:f>(VLOOKUP(O82,'Fee Data'!$C$6:$G$50,4,TRUE)+O82*VLOOKUP(O82,'Fee Data'!$C$6:$G$50,5,TRUE)+VLOOKUP(O82,'Fee Data'!$I$6:$J$14,2,TRUE)+'Fee Data'!$J$20+'Fee Data'!$J$21)*'Assumptions'!D37</x:f>
        <x:v>895</x:v>
      </x:c>
      <x:c r="R82" s="27" t="n">
        <x:f>P82*(1-'Assumptions'!$D$14)+Q82*'Assumptions'!$D$14</x:f>
        <x:v>957.5</x:v>
      </x:c>
      <x:c r="S82" s="27" t="n">
        <x:f>O82*'Carrier Engine'!E91</x:f>
        <x:v>223.1709112019693</x:v>
      </x:c>
      <x:c r="T82" s="28" t="n">
        <x:f>R82+S82</x:f>
        <x:v>1180.6709112019694</x:v>
      </x:c>
      <x:c r="U82" s="27" t="n">
        <x:f>N82*'Fleet Engine'!F202</x:f>
        <x:v>0</x:v>
      </x:c>
      <x:c r="V82" s="28" t="n">
        <x:f>U82*T82</x:f>
        <x:v>0</x:v>
      </x:c>
      <x:c r="W82" s="28" t="n">
        <x:f>U82*O82</x:f>
        <x:v>0</x:v>
      </x:c>
    </x:row>
    <x:row r="83" ht="19" customHeight="1">
      <x:c r="A83" s="2"/>
      <x:c r="B83" s="2"/>
      <x:c r="C83" s="46" t="n">
        <x:v>0</x:v>
      </x:c>
      <x:c r="D83" s="46" t="n">
        <x:v>8</x:v>
      </x:c>
      <x:c r="E83" s="46" t="n">
        <x:v>1</x:v>
      </x:c>
      <x:c r="F83" s="46" t="n">
        <x:v>2</x:v>
      </x:c>
      <x:c r="G83" s="12" t="n">
        <x:v>0.5555555555555556</x:v>
      </x:c>
      <x:c r="H83" s="12" t="n">
        <x:v>0.6666666666666666</x:v>
      </x:c>
      <x:c r="I83" s="29" t="n">
        <x:f>'Assumptions'!$D$11+'Assumptions'!$D$12*(0.5-(G83+H83)/2)</x:f>
        <x:v>0.27777777777777773</x:v>
      </x:c>
      <x:c r="J83" s="27" t="n">
        <x:f>'Assumptions'!$D$8*EXP(-'Assumptions'!$D$9*('Fleet Engine'!E202-10))*'Assumptions'!E56*'Assumptions'!D36</x:f>
        <x:v>18597.575933497446</x:v>
      </x:c>
      <x:c r="K83" s="27" t="n">
        <x:f>'Source Data'!F219+LN('Assumptions'!D56)+LN('Assumptions'!D35)</x:f>
        <x:v>7.962345702623303</x:v>
      </x:c>
      <x:c r="L83" s="27" t="n">
        <x:f>J83*(1-I83*(1-'Carrier Engine'!E91))</x:f>
        <x:v>13638.222351231461</x:v>
      </x:c>
      <x:c r="M83" s="29" t="n">
        <x:f>NORM.S.DIST((LN(L83)-K83)/'Assumptions'!$D$10,TRUE)</x:f>
        <x:v>0.839500878443892</x:v>
      </x:c>
      <x:c r="N83" s="30" t="n">
        <x:f>MAX(0,H83-MAX(G83,M83))</x:f>
        <x:v>0</x:v>
      </x:c>
      <x:c r="O83" s="28" t="n">
        <x:f>J83*I83</x:f>
        <x:v>5165.993314860401</x:v>
      </x:c>
      <x:c r="P83" s="27" t="n">
        <x:f>(VLOOKUP(O83,'Fee Data'!$C$6:$G$50,2,TRUE)+O83*VLOOKUP(O83,'Fee Data'!$C$6:$G$50,3,TRUE)+VLOOKUP(O83,'Fee Data'!$I$6:$J$14,2,TRUE)+'Fee Data'!$J$20+'Fee Data'!$J$21)*'Assumptions'!D37</x:f>
        <x:v>995</x:v>
      </x:c>
      <x:c r="Q83" s="27" t="n">
        <x:f>(VLOOKUP(O83,'Fee Data'!$C$6:$G$50,4,TRUE)+O83*VLOOKUP(O83,'Fee Data'!$C$6:$G$50,5,TRUE)+VLOOKUP(O83,'Fee Data'!$I$6:$J$14,2,TRUE)+'Fee Data'!$J$20+'Fee Data'!$J$21)*'Assumptions'!D37</x:f>
        <x:v>870</x:v>
      </x:c>
      <x:c r="R83" s="27" t="n">
        <x:f>P83*(1-'Assumptions'!$D$14)+Q83*'Assumptions'!$D$14</x:f>
        <x:v>932.5</x:v>
      </x:c>
      <x:c r="S83" s="27" t="n">
        <x:f>O83*'Carrier Engine'!E91</x:f>
        <x:v>206.639732594416</x:v>
      </x:c>
      <x:c r="T83" s="28" t="n">
        <x:f>R83+S83</x:f>
        <x:v>1139.139732594416</x:v>
      </x:c>
      <x:c r="U83" s="27" t="n">
        <x:f>N83*'Fleet Engine'!F202</x:f>
        <x:v>0</x:v>
      </x:c>
      <x:c r="V83" s="28" t="n">
        <x:f>U83*T83</x:f>
        <x:v>0</x:v>
      </x:c>
      <x:c r="W83" s="28" t="n">
        <x:f>U83*O83</x:f>
        <x:v>0</x:v>
      </x:c>
    </x:row>
    <x:row r="84" ht="19" customHeight="1">
      <x:c r="A84" s="2"/>
      <x:c r="B84" s="2"/>
      <x:c r="C84" s="46" t="n">
        <x:v>0</x:v>
      </x:c>
      <x:c r="D84" s="46" t="n">
        <x:v>8</x:v>
      </x:c>
      <x:c r="E84" s="46" t="n">
        <x:v>1</x:v>
      </x:c>
      <x:c r="F84" s="46" t="n">
        <x:v>2</x:v>
      </x:c>
      <x:c r="G84" s="12" t="n">
        <x:v>0.6666666666666666</x:v>
      </x:c>
      <x:c r="H84" s="12" t="n">
        <x:v>0.7777777777777778</x:v>
      </x:c>
      <x:c r="I84" s="29" t="n">
        <x:f>'Assumptions'!$D$11+'Assumptions'!$D$12*(0.5-(G84+H84)/2)</x:f>
        <x:v>0.25555555555555554</x:v>
      </x:c>
      <x:c r="J84" s="27" t="n">
        <x:f>'Assumptions'!$D$8*EXP(-'Assumptions'!$D$9*('Fleet Engine'!E202-10))*'Assumptions'!E56*'Assumptions'!D36</x:f>
        <x:v>18597.575933497446</x:v>
      </x:c>
      <x:c r="K84" s="27" t="n">
        <x:f>'Source Data'!F219+LN('Assumptions'!D56)+LN('Assumptions'!D35)</x:f>
        <x:v>7.962345702623303</x:v>
      </x:c>
      <x:c r="L84" s="27" t="n">
        <x:f>J84*(1-I84*(1-'Carrier Engine'!E91))</x:f>
        <x:v>14034.970637812741</x:v>
      </x:c>
      <x:c r="M84" s="29" t="n">
        <x:f>NORM.S.DIST((LN(L84)-K84)/'Assumptions'!$D$10,TRUE)</x:f>
        <x:v>0.8439130512567272</x:v>
      </x:c>
      <x:c r="N84" s="30" t="n">
        <x:f>MAX(0,H84-MAX(G84,M84))</x:f>
        <x:v>0</x:v>
      </x:c>
      <x:c r="O84" s="28" t="n">
        <x:f>J84*I84</x:f>
        <x:v>4752.713849671569</x:v>
      </x:c>
      <x:c r="P84" s="27" t="n">
        <x:f>(VLOOKUP(O84,'Fee Data'!$C$6:$G$50,2,TRUE)+O84*VLOOKUP(O84,'Fee Data'!$C$6:$G$50,3,TRUE)+VLOOKUP(O84,'Fee Data'!$I$6:$J$14,2,TRUE)+'Fee Data'!$J$20+'Fee Data'!$J$21)*'Assumptions'!D37</x:f>
        <x:v>970</x:v>
      </x:c>
      <x:c r="Q84" s="27" t="n">
        <x:f>(VLOOKUP(O84,'Fee Data'!$C$6:$G$50,4,TRUE)+O84*VLOOKUP(O84,'Fee Data'!$C$6:$G$50,5,TRUE)+VLOOKUP(O84,'Fee Data'!$I$6:$J$14,2,TRUE)+'Fee Data'!$J$20+'Fee Data'!$J$21)*'Assumptions'!D37</x:f>
        <x:v>845</x:v>
      </x:c>
      <x:c r="R84" s="27" t="n">
        <x:f>P84*(1-'Assumptions'!$D$14)+Q84*'Assumptions'!$D$14</x:f>
        <x:v>907.5</x:v>
      </x:c>
      <x:c r="S84" s="27" t="n">
        <x:f>O84*'Carrier Engine'!E91</x:f>
        <x:v>190.1085539868627</x:v>
      </x:c>
      <x:c r="T84" s="28" t="n">
        <x:f>R84+S84</x:f>
        <x:v>1097.6085539868627</x:v>
      </x:c>
      <x:c r="U84" s="27" t="n">
        <x:f>N84*'Fleet Engine'!F202</x:f>
        <x:v>0</x:v>
      </x:c>
      <x:c r="V84" s="28" t="n">
        <x:f>U84*T84</x:f>
        <x:v>0</x:v>
      </x:c>
      <x:c r="W84" s="28" t="n">
        <x:f>U84*O84</x:f>
        <x:v>0</x:v>
      </x:c>
    </x:row>
    <x:row r="85" ht="19" customHeight="1">
      <x:c r="A85" s="2"/>
      <x:c r="B85" s="2"/>
      <x:c r="C85" s="46" t="n">
        <x:v>0</x:v>
      </x:c>
      <x:c r="D85" s="46" t="n">
        <x:v>8</x:v>
      </x:c>
      <x:c r="E85" s="46" t="n">
        <x:v>1</x:v>
      </x:c>
      <x:c r="F85" s="46" t="n">
        <x:v>2</x:v>
      </x:c>
      <x:c r="G85" s="12" t="n">
        <x:v>0.7777777777777778</x:v>
      </x:c>
      <x:c r="H85" s="12" t="n">
        <x:v>0.8888888888888888</x:v>
      </x:c>
      <x:c r="I85" s="29" t="n">
        <x:f>'Assumptions'!$D$11+'Assumptions'!$D$12*(0.5-(G85+H85)/2)</x:f>
        <x:v>0.23333333333333334</x:v>
      </x:c>
      <x:c r="J85" s="27" t="n">
        <x:f>'Assumptions'!$D$8*EXP(-'Assumptions'!$D$9*('Fleet Engine'!E202-10))*'Assumptions'!E56*'Assumptions'!D36</x:f>
        <x:v>18597.575933497446</x:v>
      </x:c>
      <x:c r="K85" s="27" t="n">
        <x:f>'Source Data'!F219+LN('Assumptions'!D56)+LN('Assumptions'!D35)</x:f>
        <x:v>7.962345702623303</x:v>
      </x:c>
      <x:c r="L85" s="27" t="n">
        <x:f>J85*(1-I85*(1-'Carrier Engine'!E91))</x:f>
        <x:v>14431.71892439402</x:v>
      </x:c>
      <x:c r="M85" s="29" t="n">
        <x:f>NORM.S.DIST((LN(L85)-K85)/'Assumptions'!$D$10,TRUE)</x:f>
        <x:v>0.8481248751817181</x:v>
      </x:c>
      <x:c r="N85" s="30" t="n">
        <x:f>MAX(0,H85-MAX(G85,M85))</x:f>
        <x:v>0.040764013707170754</x:v>
      </x:c>
      <x:c r="O85" s="28" t="n">
        <x:f>J85*I85</x:f>
        <x:v>4339.434384482737</x:v>
      </x:c>
      <x:c r="P85" s="27" t="n">
        <x:f>(VLOOKUP(O85,'Fee Data'!$C$6:$G$50,2,TRUE)+O85*VLOOKUP(O85,'Fee Data'!$C$6:$G$50,3,TRUE)+VLOOKUP(O85,'Fee Data'!$I$6:$J$14,2,TRUE)+'Fee Data'!$J$20+'Fee Data'!$J$21)*'Assumptions'!D37</x:f>
        <x:v>945</x:v>
      </x:c>
      <x:c r="Q85" s="27" t="n">
        <x:f>(VLOOKUP(O85,'Fee Data'!$C$6:$G$50,4,TRUE)+O85*VLOOKUP(O85,'Fee Data'!$C$6:$G$50,5,TRUE)+VLOOKUP(O85,'Fee Data'!$I$6:$J$14,2,TRUE)+'Fee Data'!$J$20+'Fee Data'!$J$21)*'Assumptions'!D37</x:f>
        <x:v>820</x:v>
      </x:c>
      <x:c r="R85" s="27" t="n">
        <x:f>P85*(1-'Assumptions'!$D$14)+Q85*'Assumptions'!$D$14</x:f>
        <x:v>882.5</x:v>
      </x:c>
      <x:c r="S85" s="27" t="n">
        <x:f>O85*'Carrier Engine'!E91</x:f>
        <x:v>173.57737537930944</x:v>
      </x:c>
      <x:c r="T85" s="28" t="n">
        <x:f>R85+S85</x:f>
        <x:v>1056.0773753793094</x:v>
      </x:c>
      <x:c r="U85" s="27" t="n">
        <x:f>N85*'Fleet Engine'!F202</x:f>
        <x:v>950.1493819087973</x:v>
      </x:c>
      <x:c r="V85" s="28" t="n">
        <x:f>U85*T85</x:f>
        <x:v>1003431.2654645158</x:v>
      </x:c>
      <x:c r="W85" s="28" t="n">
        <x:f>U85*O85</x:f>
        <x:v>4123110.898250055</x:v>
      </x:c>
    </x:row>
    <x:row r="86" ht="19" customHeight="1">
      <x:c r="A86" s="2"/>
      <x:c r="B86" s="2"/>
      <x:c r="C86" s="46" t="n">
        <x:v>0</x:v>
      </x:c>
      <x:c r="D86" s="46" t="n">
        <x:v>8</x:v>
      </x:c>
      <x:c r="E86" s="46" t="n">
        <x:v>1</x:v>
      </x:c>
      <x:c r="F86" s="46" t="n">
        <x:v>2</x:v>
      </x:c>
      <x:c r="G86" s="12" t="n">
        <x:v>0.8888888888888888</x:v>
      </x:c>
      <x:c r="H86" s="12" t="n">
        <x:v>1</x:v>
      </x:c>
      <x:c r="I86" s="29" t="n">
        <x:f>'Assumptions'!$D$11+'Assumptions'!$D$12*(0.5-(G86+H86)/2)</x:f>
        <x:v>0.21111111111111108</x:v>
      </x:c>
      <x:c r="J86" s="27" t="n">
        <x:f>'Assumptions'!$D$8*EXP(-'Assumptions'!$D$9*('Fleet Engine'!E202-10))*'Assumptions'!E56*'Assumptions'!D36</x:f>
        <x:v>18597.575933497446</x:v>
      </x:c>
      <x:c r="K86" s="27" t="n">
        <x:f>'Source Data'!F219+LN('Assumptions'!D56)+LN('Assumptions'!D35)</x:f>
        <x:v>7.962345702623303</x:v>
      </x:c>
      <x:c r="L86" s="27" t="n">
        <x:f>J86*(1-I86*(1-'Carrier Engine'!E91))</x:f>
        <x:v>14828.467210975297</x:v>
      </x:c>
      <x:c r="M86" s="29" t="n">
        <x:f>NORM.S.DIST((LN(L86)-K86)/'Assumptions'!$D$10,TRUE)</x:f>
        <x:v>0.8521493376815981</x:v>
      </x:c>
      <x:c r="N86" s="30" t="n">
        <x:f>MAX(0,H86-MAX(G86,M86))</x:f>
        <x:v>0.11111111111111116</x:v>
      </x:c>
      <x:c r="O86" s="28" t="n">
        <x:f>J86*I86</x:f>
        <x:v>3926.1549192939046</x:v>
      </x:c>
      <x:c r="P86" s="27" t="n">
        <x:f>(VLOOKUP(O86,'Fee Data'!$C$6:$G$50,2,TRUE)+O86*VLOOKUP(O86,'Fee Data'!$C$6:$G$50,3,TRUE)+VLOOKUP(O86,'Fee Data'!$I$6:$J$14,2,TRUE)+'Fee Data'!$J$20+'Fee Data'!$J$21)*'Assumptions'!D37</x:f>
        <x:v>915</x:v>
      </x:c>
      <x:c r="Q86" s="27" t="n">
        <x:f>(VLOOKUP(O86,'Fee Data'!$C$6:$G$50,4,TRUE)+O86*VLOOKUP(O86,'Fee Data'!$C$6:$G$50,5,TRUE)+VLOOKUP(O86,'Fee Data'!$I$6:$J$14,2,TRUE)+'Fee Data'!$J$20+'Fee Data'!$J$21)*'Assumptions'!D37</x:f>
        <x:v>765</x:v>
      </x:c>
      <x:c r="R86" s="27" t="n">
        <x:f>P86*(1-'Assumptions'!$D$14)+Q86*'Assumptions'!$D$14</x:f>
        <x:v>840</x:v>
      </x:c>
      <x:c r="S86" s="27" t="n">
        <x:f>O86*'Carrier Engine'!E91</x:f>
        <x:v>157.04619677175614</x:v>
      </x:c>
      <x:c r="T86" s="28" t="n">
        <x:f>R86+S86</x:f>
        <x:v>997.0461967717562</x:v>
      </x:c>
      <x:c r="U86" s="27" t="n">
        <x:f>N86*'Fleet Engine'!F202</x:f>
        <x:v>2589.8370632441156</x:v>
      </x:c>
      <x:c r="V86" s="28" t="n">
        <x:f>U86*T86</x:f>
        <x:v>2582187.1941660796</x:v>
      </x:c>
      <x:c r="W86" s="28" t="n">
        <x:f>U86*O86</x:f>
        <x:v>10168101.526025563</x:v>
      </x:c>
    </x:row>
    <x:row r="87" ht="19" customHeight="1">
      <x:c r="A87" s="2"/>
      <x:c r="B87" s="2"/>
      <x:c r="C87" s="46" t="n">
        <x:v>0</x:v>
      </x:c>
      <x:c r="D87" s="46" t="n">
        <x:v>9</x:v>
      </x:c>
      <x:c r="E87" s="46" t="n">
        <x:v>1</x:v>
      </x:c>
      <x:c r="F87" s="46" t="n">
        <x:v>3</x:v>
      </x:c>
      <x:c r="G87" s="12" t="n">
        <x:v>0</x:v>
      </x:c>
      <x:c r="H87" s="12" t="n">
        <x:v>0.1111111111111111</x:v>
      </x:c>
      <x:c r="I87" s="29" t="n">
        <x:f>'Assumptions'!$D$11+'Assumptions'!$D$12*(0.5-(G87+H87)/2)</x:f>
        <x:v>0.3888888888888889</x:v>
      </x:c>
      <x:c r="J87" s="27" t="n">
        <x:f>'Assumptions'!$D$8*EXP(-'Assumptions'!$D$9*('Fleet Engine'!E203-10))*'Assumptions'!E56*'Assumptions'!D36</x:f>
        <x:v>13777.423112046714</x:v>
      </x:c>
      <x:c r="K87" s="27" t="n">
        <x:f>'Source Data'!F220+LN('Assumptions'!D56)+LN('Assumptions'!D35)</x:f>
        <x:v>8.069478273890956</x:v>
      </x:c>
      <x:c r="L87" s="27" t="n">
        <x:f>J87*(1-I87*(1-'Carrier Engine'!E91))</x:f>
        <x:v>8633.851816882609</x:v>
      </x:c>
      <x:c r="M87" s="29" t="n">
        <x:f>NORM.S.DIST((LN(L87)-K87)/'Assumptions'!$D$10,TRUE)</x:f>
        <x:v>0.7366388707689671</x:v>
      </x:c>
      <x:c r="N87" s="30" t="n">
        <x:f>MAX(0,H87-MAX(G87,M87))</x:f>
        <x:v>0</x:v>
      </x:c>
      <x:c r="O87" s="28" t="n">
        <x:f>J87*I87</x:f>
        <x:v>5357.8867657959445</x:v>
      </x:c>
      <x:c r="P87" s="27" t="n">
        <x:f>(VLOOKUP(O87,'Fee Data'!$C$6:$G$50,2,TRUE)+O87*VLOOKUP(O87,'Fee Data'!$C$6:$G$50,3,TRUE)+VLOOKUP(O87,'Fee Data'!$I$6:$J$14,2,TRUE)+'Fee Data'!$J$20+'Fee Data'!$J$21)*'Assumptions'!D37</x:f>
        <x:v>995</x:v>
      </x:c>
      <x:c r="Q87" s="27" t="n">
        <x:f>(VLOOKUP(O87,'Fee Data'!$C$6:$G$50,4,TRUE)+O87*VLOOKUP(O87,'Fee Data'!$C$6:$G$50,5,TRUE)+VLOOKUP(O87,'Fee Data'!$I$6:$J$14,2,TRUE)+'Fee Data'!$J$20+'Fee Data'!$J$21)*'Assumptions'!D37</x:f>
        <x:v>870</x:v>
      </x:c>
      <x:c r="R87" s="27" t="n">
        <x:f>P87*(1-'Assumptions'!$D$14)+Q87*'Assumptions'!$D$14</x:f>
        <x:v>932.5</x:v>
      </x:c>
      <x:c r="S87" s="27" t="n">
        <x:f>O87*'Carrier Engine'!E91</x:f>
        <x:v>214.3154706318377</x:v>
      </x:c>
      <x:c r="T87" s="28" t="n">
        <x:f>R87+S87</x:f>
        <x:v>1146.8154706318378</x:v>
      </x:c>
      <x:c r="U87" s="27" t="n">
        <x:f>N87*'Fleet Engine'!F203</x:f>
        <x:v>0</x:v>
      </x:c>
      <x:c r="V87" s="28" t="n">
        <x:f>U87*T87</x:f>
        <x:v>0</x:v>
      </x:c>
      <x:c r="W87" s="28" t="n">
        <x:f>U87*O87</x:f>
        <x:v>0</x:v>
      </x:c>
    </x:row>
    <x:row r="88" ht="19" customHeight="1">
      <x:c r="A88" s="2"/>
      <x:c r="B88" s="2"/>
      <x:c r="C88" s="46" t="n">
        <x:v>0</x:v>
      </x:c>
      <x:c r="D88" s="46" t="n">
        <x:v>9</x:v>
      </x:c>
      <x:c r="E88" s="46" t="n">
        <x:v>1</x:v>
      </x:c>
      <x:c r="F88" s="46" t="n">
        <x:v>3</x:v>
      </x:c>
      <x:c r="G88" s="12" t="n">
        <x:v>0.1111111111111111</x:v>
      </x:c>
      <x:c r="H88" s="12" t="n">
        <x:v>0.2222222222222222</x:v>
      </x:c>
      <x:c r="I88" s="29" t="n">
        <x:f>'Assumptions'!$D$11+'Assumptions'!$D$12*(0.5-(G88+H88)/2)</x:f>
        <x:v>0.3666666666666667</x:v>
      </x:c>
      <x:c r="J88" s="27" t="n">
        <x:f>'Assumptions'!$D$8*EXP(-'Assumptions'!$D$9*('Fleet Engine'!E203-10))*'Assumptions'!E56*'Assumptions'!D36</x:f>
        <x:v>13777.423112046714</x:v>
      </x:c>
      <x:c r="K88" s="27" t="n">
        <x:f>'Source Data'!F220+LN('Assumptions'!D56)+LN('Assumptions'!D35)</x:f>
        <x:v>8.069478273890956</x:v>
      </x:c>
      <x:c r="L88" s="27" t="n">
        <x:f>J88*(1-I88*(1-'Carrier Engine'!E91))</x:f>
        <x:v>8927.77017660627</x:v>
      </x:c>
      <x:c r="M88" s="29" t="n">
        <x:f>NORM.S.DIST((LN(L88)-K88)/'Assumptions'!$D$10,TRUE)</x:f>
        <x:v>0.7435526063287266</x:v>
      </x:c>
      <x:c r="N88" s="30" t="n">
        <x:f>MAX(0,H88-MAX(G88,M88))</x:f>
        <x:v>0</x:v>
      </x:c>
      <x:c r="O88" s="28" t="n">
        <x:f>J88*I88</x:f>
        <x:v>5051.721807750462</x:v>
      </x:c>
      <x:c r="P88" s="27" t="n">
        <x:f>(VLOOKUP(O88,'Fee Data'!$C$6:$G$50,2,TRUE)+O88*VLOOKUP(O88,'Fee Data'!$C$6:$G$50,3,TRUE)+VLOOKUP(O88,'Fee Data'!$I$6:$J$14,2,TRUE)+'Fee Data'!$J$20+'Fee Data'!$J$21)*'Assumptions'!D37</x:f>
        <x:v>995</x:v>
      </x:c>
      <x:c r="Q88" s="27" t="n">
        <x:f>(VLOOKUP(O88,'Fee Data'!$C$6:$G$50,4,TRUE)+O88*VLOOKUP(O88,'Fee Data'!$C$6:$G$50,5,TRUE)+VLOOKUP(O88,'Fee Data'!$I$6:$J$14,2,TRUE)+'Fee Data'!$J$20+'Fee Data'!$J$21)*'Assumptions'!D37</x:f>
        <x:v>870</x:v>
      </x:c>
      <x:c r="R88" s="27" t="n">
        <x:f>P88*(1-'Assumptions'!$D$14)+Q88*'Assumptions'!$D$14</x:f>
        <x:v>932.5</x:v>
      </x:c>
      <x:c r="S88" s="27" t="n">
        <x:f>O88*'Carrier Engine'!E91</x:f>
        <x:v>202.06887231001843</x:v>
      </x:c>
      <x:c r="T88" s="28" t="n">
        <x:f>R88+S88</x:f>
        <x:v>1134.5688723100184</x:v>
      </x:c>
      <x:c r="U88" s="27" t="n">
        <x:f>N88*'Fleet Engine'!F203</x:f>
        <x:v>0</x:v>
      </x:c>
      <x:c r="V88" s="28" t="n">
        <x:f>U88*T88</x:f>
        <x:v>0</x:v>
      </x:c>
      <x:c r="W88" s="28" t="n">
        <x:f>U88*O88</x:f>
        <x:v>0</x:v>
      </x:c>
    </x:row>
    <x:row r="89" ht="19" customHeight="1">
      <x:c r="A89" s="2"/>
      <x:c r="B89" s="2"/>
      <x:c r="C89" s="46" t="n">
        <x:v>0</x:v>
      </x:c>
      <x:c r="D89" s="46" t="n">
        <x:v>9</x:v>
      </x:c>
      <x:c r="E89" s="46" t="n">
        <x:v>1</x:v>
      </x:c>
      <x:c r="F89" s="46" t="n">
        <x:v>3</x:v>
      </x:c>
      <x:c r="G89" s="12" t="n">
        <x:v>0.2222222222222222</x:v>
      </x:c>
      <x:c r="H89" s="12" t="n">
        <x:v>0.3333333333333333</x:v>
      </x:c>
      <x:c r="I89" s="29" t="n">
        <x:f>'Assumptions'!$D$11+'Assumptions'!$D$12*(0.5-(G89+H89)/2)</x:f>
        <x:v>0.34444444444444444</x:v>
      </x:c>
      <x:c r="J89" s="27" t="n">
        <x:f>'Assumptions'!$D$8*EXP(-'Assumptions'!$D$9*('Fleet Engine'!E203-10))*'Assumptions'!E56*'Assumptions'!D36</x:f>
        <x:v>13777.423112046714</x:v>
      </x:c>
      <x:c r="K89" s="27" t="n">
        <x:f>'Source Data'!F220+LN('Assumptions'!D56)+LN('Assumptions'!D35)</x:f>
        <x:v>8.069478273890956</x:v>
      </x:c>
      <x:c r="L89" s="27" t="n">
        <x:f>J89*(1-I89*(1-'Carrier Engine'!E91))</x:f>
        <x:v>9221.688536329933</x:v>
      </x:c>
      <x:c r="M89" s="29" t="n">
        <x:f>NORM.S.DIST((LN(L89)-K89)/'Assumptions'!$D$10,TRUE)</x:f>
        <x:v>0.7501512229331906</x:v>
      </x:c>
      <x:c r="N89" s="30" t="n">
        <x:f>MAX(0,H89-MAX(G89,M89))</x:f>
        <x:v>0</x:v>
      </x:c>
      <x:c r="O89" s="28" t="n">
        <x:f>J89*I89</x:f>
        <x:v>4745.556849704979</x:v>
      </x:c>
      <x:c r="P89" s="27" t="n">
        <x:f>(VLOOKUP(O89,'Fee Data'!$C$6:$G$50,2,TRUE)+O89*VLOOKUP(O89,'Fee Data'!$C$6:$G$50,3,TRUE)+VLOOKUP(O89,'Fee Data'!$I$6:$J$14,2,TRUE)+'Fee Data'!$J$20+'Fee Data'!$J$21)*'Assumptions'!D37</x:f>
        <x:v>970</x:v>
      </x:c>
      <x:c r="Q89" s="27" t="n">
        <x:f>(VLOOKUP(O89,'Fee Data'!$C$6:$G$50,4,TRUE)+O89*VLOOKUP(O89,'Fee Data'!$C$6:$G$50,5,TRUE)+VLOOKUP(O89,'Fee Data'!$I$6:$J$14,2,TRUE)+'Fee Data'!$J$20+'Fee Data'!$J$21)*'Assumptions'!D37</x:f>
        <x:v>845</x:v>
      </x:c>
      <x:c r="R89" s="27" t="n">
        <x:f>P89*(1-'Assumptions'!$D$14)+Q89*'Assumptions'!$D$14</x:f>
        <x:v>907.5</x:v>
      </x:c>
      <x:c r="S89" s="27" t="n">
        <x:f>O89*'Carrier Engine'!E91</x:f>
        <x:v>189.8222739881991</x:v>
      </x:c>
      <x:c r="T89" s="28" t="n">
        <x:f>R89+S89</x:f>
        <x:v>1097.3222739881992</x:v>
      </x:c>
      <x:c r="U89" s="27" t="n">
        <x:f>N89*'Fleet Engine'!F203</x:f>
        <x:v>0</x:v>
      </x:c>
      <x:c r="V89" s="28" t="n">
        <x:f>U89*T89</x:f>
        <x:v>0</x:v>
      </x:c>
      <x:c r="W89" s="28" t="n">
        <x:f>U89*O89</x:f>
        <x:v>0</x:v>
      </x:c>
    </x:row>
    <x:row r="90" ht="19" customHeight="1">
      <x:c r="A90" s="2"/>
      <x:c r="B90" s="2"/>
      <x:c r="C90" s="46" t="n">
        <x:v>0</x:v>
      </x:c>
      <x:c r="D90" s="46" t="n">
        <x:v>9</x:v>
      </x:c>
      <x:c r="E90" s="46" t="n">
        <x:v>1</x:v>
      </x:c>
      <x:c r="F90" s="46" t="n">
        <x:v>3</x:v>
      </x:c>
      <x:c r="G90" s="12" t="n">
        <x:v>0.3333333333333333</x:v>
      </x:c>
      <x:c r="H90" s="12" t="n">
        <x:v>0.4444444444444444</x:v>
      </x:c>
      <x:c r="I90" s="29" t="n">
        <x:f>'Assumptions'!$D$11+'Assumptions'!$D$12*(0.5-(G90+H90)/2)</x:f>
        <x:v>0.32222222222222224</x:v>
      </x:c>
      <x:c r="J90" s="27" t="n">
        <x:f>'Assumptions'!$D$8*EXP(-'Assumptions'!$D$9*('Fleet Engine'!E203-10))*'Assumptions'!E56*'Assumptions'!D36</x:f>
        <x:v>13777.423112046714</x:v>
      </x:c>
      <x:c r="K90" s="27" t="n">
        <x:f>'Source Data'!F220+LN('Assumptions'!D56)+LN('Assumptions'!D35)</x:f>
        <x:v>8.069478273890956</x:v>
      </x:c>
      <x:c r="L90" s="27" t="n">
        <x:f>J90*(1-I90*(1-'Carrier Engine'!E91))</x:f>
        <x:v>9515.606896053598</x:v>
      </x:c>
      <x:c r="M90" s="29" t="n">
        <x:f>NORM.S.DIST((LN(L90)-K90)/'Assumptions'!$D$10,TRUE)</x:f>
        <x:v>0.7564558162657599</x:v>
      </x:c>
      <x:c r="N90" s="30" t="n">
        <x:f>MAX(0,H90-MAX(G90,M90))</x:f>
        <x:v>0</x:v>
      </x:c>
      <x:c r="O90" s="28" t="n">
        <x:f>J90*I90</x:f>
        <x:v>4439.391891659497</x:v>
      </x:c>
      <x:c r="P90" s="27" t="n">
        <x:f>(VLOOKUP(O90,'Fee Data'!$C$6:$G$50,2,TRUE)+O90*VLOOKUP(O90,'Fee Data'!$C$6:$G$50,3,TRUE)+VLOOKUP(O90,'Fee Data'!$I$6:$J$14,2,TRUE)+'Fee Data'!$J$20+'Fee Data'!$J$21)*'Assumptions'!D37</x:f>
        <x:v>945</x:v>
      </x:c>
      <x:c r="Q90" s="27" t="n">
        <x:f>(VLOOKUP(O90,'Fee Data'!$C$6:$G$50,4,TRUE)+O90*VLOOKUP(O90,'Fee Data'!$C$6:$G$50,5,TRUE)+VLOOKUP(O90,'Fee Data'!$I$6:$J$14,2,TRUE)+'Fee Data'!$J$20+'Fee Data'!$J$21)*'Assumptions'!D37</x:f>
        <x:v>820</x:v>
      </x:c>
      <x:c r="R90" s="27" t="n">
        <x:f>P90*(1-'Assumptions'!$D$14)+Q90*'Assumptions'!$D$14</x:f>
        <x:v>882.5</x:v>
      </x:c>
      <x:c r="S90" s="27" t="n">
        <x:f>O90*'Carrier Engine'!E91</x:f>
        <x:v>177.5756756663798</x:v>
      </x:c>
      <x:c r="T90" s="28" t="n">
        <x:f>R90+S90</x:f>
        <x:v>1060.0756756663798</x:v>
      </x:c>
      <x:c r="U90" s="27" t="n">
        <x:f>N90*'Fleet Engine'!F203</x:f>
        <x:v>0</x:v>
      </x:c>
      <x:c r="V90" s="28" t="n">
        <x:f>U90*T90</x:f>
        <x:v>0</x:v>
      </x:c>
      <x:c r="W90" s="28" t="n">
        <x:f>U90*O90</x:f>
        <x:v>0</x:v>
      </x:c>
    </x:row>
    <x:row r="91" ht="19" customHeight="1">
      <x:c r="A91" s="2"/>
      <x:c r="B91" s="2"/>
      <x:c r="C91" s="46" t="n">
        <x:v>0</x:v>
      </x:c>
      <x:c r="D91" s="46" t="n">
        <x:v>9</x:v>
      </x:c>
      <x:c r="E91" s="46" t="n">
        <x:v>1</x:v>
      </x:c>
      <x:c r="F91" s="46" t="n">
        <x:v>3</x:v>
      </x:c>
      <x:c r="G91" s="12" t="n">
        <x:v>0.4444444444444444</x:v>
      </x:c>
      <x:c r="H91" s="12" t="n">
        <x:v>0.5555555555555556</x:v>
      </x:c>
      <x:c r="I91" s="29" t="n">
        <x:f>'Assumptions'!$D$11+'Assumptions'!$D$12*(0.5-(G91+H91)/2)</x:f>
        <x:v>0.3</x:v>
      </x:c>
      <x:c r="J91" s="27" t="n">
        <x:f>'Assumptions'!$D$8*EXP(-'Assumptions'!$D$9*('Fleet Engine'!E203-10))*'Assumptions'!E56*'Assumptions'!D36</x:f>
        <x:v>13777.423112046714</x:v>
      </x:c>
      <x:c r="K91" s="27" t="n">
        <x:f>'Source Data'!F220+LN('Assumptions'!D56)+LN('Assumptions'!D35)</x:f>
        <x:v>8.069478273890956</x:v>
      </x:c>
      <x:c r="L91" s="27" t="n">
        <x:f>J91*(1-I91*(1-'Carrier Engine'!E91))</x:f>
        <x:v>9809.52525577726</x:v>
      </x:c>
      <x:c r="M91" s="29" t="n">
        <x:f>NORM.S.DIST((LN(L91)-K91)/'Assumptions'!$D$10,TRUE)</x:f>
        <x:v>0.7624856059429846</x:v>
      </x:c>
      <x:c r="N91" s="30" t="n">
        <x:f>MAX(0,H91-MAX(G91,M91))</x:f>
        <x:v>0</x:v>
      </x:c>
      <x:c r="O91" s="28" t="n">
        <x:f>J91*I91</x:f>
        <x:v>4133.226933614014</x:v>
      </x:c>
      <x:c r="P91" s="27" t="n">
        <x:f>(VLOOKUP(O91,'Fee Data'!$C$6:$G$50,2,TRUE)+O91*VLOOKUP(O91,'Fee Data'!$C$6:$G$50,3,TRUE)+VLOOKUP(O91,'Fee Data'!$I$6:$J$14,2,TRUE)+'Fee Data'!$J$20+'Fee Data'!$J$21)*'Assumptions'!D37</x:f>
        <x:v>945</x:v>
      </x:c>
      <x:c r="Q91" s="27" t="n">
        <x:f>(VLOOKUP(O91,'Fee Data'!$C$6:$G$50,4,TRUE)+O91*VLOOKUP(O91,'Fee Data'!$C$6:$G$50,5,TRUE)+VLOOKUP(O91,'Fee Data'!$I$6:$J$14,2,TRUE)+'Fee Data'!$J$20+'Fee Data'!$J$21)*'Assumptions'!D37</x:f>
        <x:v>820</x:v>
      </x:c>
      <x:c r="R91" s="27" t="n">
        <x:f>P91*(1-'Assumptions'!$D$14)+Q91*'Assumptions'!$D$14</x:f>
        <x:v>882.5</x:v>
      </x:c>
      <x:c r="S91" s="27" t="n">
        <x:f>O91*'Carrier Engine'!E91</x:f>
        <x:v>165.32907734456052</x:v>
      </x:c>
      <x:c r="T91" s="28" t="n">
        <x:f>R91+S91</x:f>
        <x:v>1047.8290773445606</x:v>
      </x:c>
      <x:c r="U91" s="27" t="n">
        <x:f>N91*'Fleet Engine'!F203</x:f>
        <x:v>0</x:v>
      </x:c>
      <x:c r="V91" s="28" t="n">
        <x:f>U91*T91</x:f>
        <x:v>0</x:v>
      </x:c>
      <x:c r="W91" s="28" t="n">
        <x:f>U91*O91</x:f>
        <x:v>0</x:v>
      </x:c>
    </x:row>
    <x:row r="92" ht="19" customHeight="1">
      <x:c r="A92" s="2"/>
      <x:c r="B92" s="2"/>
      <x:c r="C92" s="46" t="n">
        <x:v>0</x:v>
      </x:c>
      <x:c r="D92" s="46" t="n">
        <x:v>9</x:v>
      </x:c>
      <x:c r="E92" s="46" t="n">
        <x:v>1</x:v>
      </x:c>
      <x:c r="F92" s="46" t="n">
        <x:v>3</x:v>
      </x:c>
      <x:c r="G92" s="12" t="n">
        <x:v>0.5555555555555556</x:v>
      </x:c>
      <x:c r="H92" s="12" t="n">
        <x:v>0.6666666666666666</x:v>
      </x:c>
      <x:c r="I92" s="29" t="n">
        <x:f>'Assumptions'!$D$11+'Assumptions'!$D$12*(0.5-(G92+H92)/2)</x:f>
        <x:v>0.27777777777777773</x:v>
      </x:c>
      <x:c r="J92" s="27" t="n">
        <x:f>'Assumptions'!$D$8*EXP(-'Assumptions'!$D$9*('Fleet Engine'!E203-10))*'Assumptions'!E56*'Assumptions'!D36</x:f>
        <x:v>13777.423112046714</x:v>
      </x:c>
      <x:c r="K92" s="27" t="n">
        <x:f>'Source Data'!F220+LN('Assumptions'!D56)+LN('Assumptions'!D35)</x:f>
        <x:v>8.069478273890956</x:v>
      </x:c>
      <x:c r="L92" s="27" t="n">
        <x:f>J92*(1-I92*(1-'Carrier Engine'!E91))</x:f>
        <x:v>10103.443615500924</x:v>
      </x:c>
      <x:c r="M92" s="29" t="n">
        <x:f>NORM.S.DIST((LN(L92)-K92)/'Assumptions'!$D$10,TRUE)</x:f>
        <x:v>0.7682581433884235</x:v>
      </x:c>
      <x:c r="N92" s="30" t="n">
        <x:f>MAX(0,H92-MAX(G92,M92))</x:f>
        <x:v>0</x:v>
      </x:c>
      <x:c r="O92" s="28" t="n">
        <x:f>J92*I92</x:f>
        <x:v>3827.061975568531</x:v>
      </x:c>
      <x:c r="P92" s="27" t="n">
        <x:f>(VLOOKUP(O92,'Fee Data'!$C$6:$G$50,2,TRUE)+O92*VLOOKUP(O92,'Fee Data'!$C$6:$G$50,3,TRUE)+VLOOKUP(O92,'Fee Data'!$I$6:$J$14,2,TRUE)+'Fee Data'!$J$20+'Fee Data'!$J$21)*'Assumptions'!D37</x:f>
        <x:v>915</x:v>
      </x:c>
      <x:c r="Q92" s="27" t="n">
        <x:f>(VLOOKUP(O92,'Fee Data'!$C$6:$G$50,4,TRUE)+O92*VLOOKUP(O92,'Fee Data'!$C$6:$G$50,5,TRUE)+VLOOKUP(O92,'Fee Data'!$I$6:$J$14,2,TRUE)+'Fee Data'!$J$20+'Fee Data'!$J$21)*'Assumptions'!D37</x:f>
        <x:v>765</x:v>
      </x:c>
      <x:c r="R92" s="27" t="n">
        <x:f>P92*(1-'Assumptions'!$D$14)+Q92*'Assumptions'!$D$14</x:f>
        <x:v>840</x:v>
      </x:c>
      <x:c r="S92" s="27" t="n">
        <x:f>O92*'Carrier Engine'!E91</x:f>
        <x:v>153.08247902274118</x:v>
      </x:c>
      <x:c r="T92" s="28" t="n">
        <x:f>R92+S92</x:f>
        <x:v>993.0824790227412</x:v>
      </x:c>
      <x:c r="U92" s="27" t="n">
        <x:f>N92*'Fleet Engine'!F203</x:f>
        <x:v>0</x:v>
      </x:c>
      <x:c r="V92" s="28" t="n">
        <x:f>U92*T92</x:f>
        <x:v>0</x:v>
      </x:c>
      <x:c r="W92" s="28" t="n">
        <x:f>U92*O92</x:f>
        <x:v>0</x:v>
      </x:c>
    </x:row>
    <x:row r="93" ht="19" customHeight="1">
      <x:c r="A93" s="2"/>
      <x:c r="B93" s="2"/>
      <x:c r="C93" s="46" t="n">
        <x:v>0</x:v>
      </x:c>
      <x:c r="D93" s="46" t="n">
        <x:v>9</x:v>
      </x:c>
      <x:c r="E93" s="46" t="n">
        <x:v>1</x:v>
      </x:c>
      <x:c r="F93" s="46" t="n">
        <x:v>3</x:v>
      </x:c>
      <x:c r="G93" s="12" t="n">
        <x:v>0.6666666666666666</x:v>
      </x:c>
      <x:c r="H93" s="12" t="n">
        <x:v>0.7777777777777778</x:v>
      </x:c>
      <x:c r="I93" s="29" t="n">
        <x:f>'Assumptions'!$D$11+'Assumptions'!$D$12*(0.5-(G93+H93)/2)</x:f>
        <x:v>0.25555555555555554</x:v>
      </x:c>
      <x:c r="J93" s="27" t="n">
        <x:f>'Assumptions'!$D$8*EXP(-'Assumptions'!$D$9*('Fleet Engine'!E203-10))*'Assumptions'!E56*'Assumptions'!D36</x:f>
        <x:v>13777.423112046714</x:v>
      </x:c>
      <x:c r="K93" s="27" t="n">
        <x:f>'Source Data'!F220+LN('Assumptions'!D56)+LN('Assumptions'!D35)</x:f>
        <x:v>8.069478273890956</x:v>
      </x:c>
      <x:c r="L93" s="27" t="n">
        <x:f>J93*(1-I93*(1-'Carrier Engine'!E91))</x:f>
        <x:v>10397.361975224587</x:v>
      </x:c>
      <x:c r="M93" s="29" t="n">
        <x:f>NORM.S.DIST((LN(L93)-K93)/'Assumptions'!$D$10,TRUE)</x:f>
        <x:v>0.7737894922279166</x:v>
      </x:c>
      <x:c r="N93" s="30" t="n">
        <x:f>MAX(0,H93-MAX(G93,M93))</x:f>
        <x:v>0.0039882855498611924</x:v>
      </x:c>
      <x:c r="O93" s="28" t="n">
        <x:f>J93*I93</x:f>
        <x:v>3520.897017523049</x:v>
      </x:c>
      <x:c r="P93" s="27" t="n">
        <x:f>(VLOOKUP(O93,'Fee Data'!$C$6:$G$50,2,TRUE)+O93*VLOOKUP(O93,'Fee Data'!$C$6:$G$50,3,TRUE)+VLOOKUP(O93,'Fee Data'!$I$6:$J$14,2,TRUE)+'Fee Data'!$J$20+'Fee Data'!$J$21)*'Assumptions'!D37</x:f>
        <x:v>915</x:v>
      </x:c>
      <x:c r="Q93" s="27" t="n">
        <x:f>(VLOOKUP(O93,'Fee Data'!$C$6:$G$50,4,TRUE)+O93*VLOOKUP(O93,'Fee Data'!$C$6:$G$50,5,TRUE)+VLOOKUP(O93,'Fee Data'!$I$6:$J$14,2,TRUE)+'Fee Data'!$J$20+'Fee Data'!$J$21)*'Assumptions'!D37</x:f>
        <x:v>765</x:v>
      </x:c>
      <x:c r="R93" s="27" t="n">
        <x:f>P93*(1-'Assumptions'!$D$14)+Q93*'Assumptions'!$D$14</x:f>
        <x:v>840</x:v>
      </x:c>
      <x:c r="S93" s="27" t="n">
        <x:f>O93*'Carrier Engine'!E91</x:f>
        <x:v>140.8358807009219</x:v>
      </x:c>
      <x:c r="T93" s="28" t="n">
        <x:f>R93+S93</x:f>
        <x:v>980.835880700922</x:v>
      </x:c>
      <x:c r="U93" s="27" t="n">
        <x:f>N93*'Fleet Engine'!F203</x:f>
        <x:v>68.7010684604778</x:v>
      </x:c>
      <x:c r="V93" s="28" t="n">
        <x:f>U93*T93</x:f>
        <x:v>67384.47298852708</x:v>
      </x:c>
      <x:c r="W93" s="28" t="n">
        <x:f>U93*O93</x:f>
        <x:v>241889.38704314307</x:v>
      </x:c>
    </x:row>
    <x:row r="94" ht="19" customHeight="1">
      <x:c r="A94" s="2"/>
      <x:c r="B94" s="2"/>
      <x:c r="C94" s="46" t="n">
        <x:v>0</x:v>
      </x:c>
      <x:c r="D94" s="46" t="n">
        <x:v>9</x:v>
      </x:c>
      <x:c r="E94" s="46" t="n">
        <x:v>1</x:v>
      </x:c>
      <x:c r="F94" s="46" t="n">
        <x:v>3</x:v>
      </x:c>
      <x:c r="G94" s="12" t="n">
        <x:v>0.7777777777777778</x:v>
      </x:c>
      <x:c r="H94" s="12" t="n">
        <x:v>0.8888888888888888</x:v>
      </x:c>
      <x:c r="I94" s="29" t="n">
        <x:f>'Assumptions'!$D$11+'Assumptions'!$D$12*(0.5-(G94+H94)/2)</x:f>
        <x:v>0.23333333333333334</x:v>
      </x:c>
      <x:c r="J94" s="27" t="n">
        <x:f>'Assumptions'!$D$8*EXP(-'Assumptions'!$D$9*('Fleet Engine'!E203-10))*'Assumptions'!E56*'Assumptions'!D36</x:f>
        <x:v>13777.423112046714</x:v>
      </x:c>
      <x:c r="K94" s="27" t="n">
        <x:f>'Source Data'!F220+LN('Assumptions'!D56)+LN('Assumptions'!D35)</x:f>
        <x:v>8.069478273890956</x:v>
      </x:c>
      <x:c r="L94" s="27" t="n">
        <x:f>J94*(1-I94*(1-'Carrier Engine'!E91))</x:f>
        <x:v>10691.280334948251</x:v>
      </x:c>
      <x:c r="M94" s="29" t="n">
        <x:f>NORM.S.DIST((LN(L94)-K94)/'Assumptions'!$D$10,TRUE)</x:f>
        <x:v>0.7790943854078269</x:v>
      </x:c>
      <x:c r="N94" s="30" t="n">
        <x:f>MAX(0,H94-MAX(G94,M94))</x:f>
        <x:v>0.1097945034810619</x:v>
      </x:c>
      <x:c r="O94" s="28" t="n">
        <x:f>J94*I94</x:f>
        <x:v>3214.7320594775665</x:v>
      </x:c>
      <x:c r="P94" s="27" t="n">
        <x:f>(VLOOKUP(O94,'Fee Data'!$C$6:$G$50,2,TRUE)+O94*VLOOKUP(O94,'Fee Data'!$C$6:$G$50,3,TRUE)+VLOOKUP(O94,'Fee Data'!$I$6:$J$14,2,TRUE)+'Fee Data'!$J$20+'Fee Data'!$J$21)*'Assumptions'!D37</x:f>
        <x:v>865</x:v>
      </x:c>
      <x:c r="Q94" s="27" t="n">
        <x:f>(VLOOKUP(O94,'Fee Data'!$C$6:$G$50,4,TRUE)+O94*VLOOKUP(O94,'Fee Data'!$C$6:$G$50,5,TRUE)+VLOOKUP(O94,'Fee Data'!$I$6:$J$14,2,TRUE)+'Fee Data'!$J$20+'Fee Data'!$J$21)*'Assumptions'!D37</x:f>
        <x:v>715</x:v>
      </x:c>
      <x:c r="R94" s="27" t="n">
        <x:f>P94*(1-'Assumptions'!$D$14)+Q94*'Assumptions'!$D$14</x:f>
        <x:v>790</x:v>
      </x:c>
      <x:c r="S94" s="27" t="n">
        <x:f>O94*'Carrier Engine'!E91</x:f>
        <x:v>128.58928237910263</x:v>
      </x:c>
      <x:c r="T94" s="28" t="n">
        <x:f>R94+S94</x:f>
        <x:v>918.5892823791027</x:v>
      </x:c>
      <x:c r="U94" s="27" t="n">
        <x:f>N94*'Fleet Engine'!F203</x:f>
        <x:v>1891.2887770784434</x:v>
      </x:c>
      <x:c r="V94" s="28" t="n">
        <x:f>U94*T94</x:f>
        <x:v>1737317.600508138</x:v>
      </x:c>
      <x:c r="W94" s="28" t="n">
        <x:f>U94*O94</x:f>
        <x:v>6079986.665404193</x:v>
      </x:c>
    </x:row>
    <x:row r="95" ht="19" customHeight="1">
      <x:c r="A95" s="2"/>
      <x:c r="B95" s="2"/>
      <x:c r="C95" s="46" t="n">
        <x:v>0</x:v>
      </x:c>
      <x:c r="D95" s="46" t="n">
        <x:v>9</x:v>
      </x:c>
      <x:c r="E95" s="46" t="n">
        <x:v>1</x:v>
      </x:c>
      <x:c r="F95" s="46" t="n">
        <x:v>3</x:v>
      </x:c>
      <x:c r="G95" s="12" t="n">
        <x:v>0.8888888888888888</x:v>
      </x:c>
      <x:c r="H95" s="12" t="n">
        <x:v>1</x:v>
      </x:c>
      <x:c r="I95" s="29" t="n">
        <x:f>'Assumptions'!$D$11+'Assumptions'!$D$12*(0.5-(G95+H95)/2)</x:f>
        <x:v>0.21111111111111108</x:v>
      </x:c>
      <x:c r="J95" s="27" t="n">
        <x:f>'Assumptions'!$D$8*EXP(-'Assumptions'!$D$9*('Fleet Engine'!E203-10))*'Assumptions'!E56*'Assumptions'!D36</x:f>
        <x:v>13777.423112046714</x:v>
      </x:c>
      <x:c r="K95" s="27" t="n">
        <x:f>'Source Data'!F220+LN('Assumptions'!D56)+LN('Assumptions'!D35)</x:f>
        <x:v>8.069478273890956</x:v>
      </x:c>
      <x:c r="L95" s="27" t="n">
        <x:f>J95*(1-I95*(1-'Carrier Engine'!E91))</x:f>
        <x:v>10985.198694671913</x:v>
      </x:c>
      <x:c r="M95" s="29" t="n">
        <x:f>NORM.S.DIST((LN(L95)-K95)/'Assumptions'!$D$10,TRUE)</x:f>
        <x:v>0.7841863625115301</x:v>
      </x:c>
      <x:c r="N95" s="30" t="n">
        <x:f>MAX(0,H95-MAX(G95,M95))</x:f>
        <x:v>0.11111111111111116</x:v>
      </x:c>
      <x:c r="O95" s="28" t="n">
        <x:f>J95*I95</x:f>
        <x:v>2908.5671014320837</x:v>
      </x:c>
      <x:c r="P95" s="27" t="n">
        <x:f>(VLOOKUP(O95,'Fee Data'!$C$6:$G$50,2,TRUE)+O95*VLOOKUP(O95,'Fee Data'!$C$6:$G$50,3,TRUE)+VLOOKUP(O95,'Fee Data'!$I$6:$J$14,2,TRUE)+'Fee Data'!$J$20+'Fee Data'!$J$21)*'Assumptions'!D37</x:f>
        <x:v>820</x:v>
      </x:c>
      <x:c r="Q95" s="27" t="n">
        <x:f>(VLOOKUP(O95,'Fee Data'!$C$6:$G$50,4,TRUE)+O95*VLOOKUP(O95,'Fee Data'!$C$6:$G$50,5,TRUE)+VLOOKUP(O95,'Fee Data'!$I$6:$J$14,2,TRUE)+'Fee Data'!$J$20+'Fee Data'!$J$21)*'Assumptions'!D37</x:f>
        <x:v>670</x:v>
      </x:c>
      <x:c r="R95" s="27" t="n">
        <x:f>P95*(1-'Assumptions'!$D$14)+Q95*'Assumptions'!$D$14</x:f>
        <x:v>745</x:v>
      </x:c>
      <x:c r="S95" s="27" t="n">
        <x:f>O95*'Carrier Engine'!E91</x:f>
        <x:v>116.34268405728331</x:v>
      </x:c>
      <x:c r="T95" s="28" t="n">
        <x:f>R95+S95</x:f>
        <x:v>861.3426840572833</x:v>
      </x:c>
      <x:c r="U95" s="27" t="n">
        <x:f>N95*'Fleet Engine'!F203</x:f>
        <x:v>1913.9682842994723</x:v>
      </x:c>
      <x:c r="V95" s="28" t="n">
        <x:f>U95*T95</x:f>
        <x:v>1648582.579199021</x:v>
      </x:c>
      <x:c r="W95" s="28" t="n">
        <x:f>U95*O95</x:f>
        <x:v>5566905.184897855</x:v>
      </x:c>
    </x:row>
    <x:row r="96" ht="19" customHeight="1">
      <x:c r="A96" s="2"/>
      <x:c r="B96" s="2"/>
      <x:c r="C96" s="46" t="n">
        <x:v>0</x:v>
      </x:c>
      <x:c r="D96" s="46" t="n">
        <x:v>10</x:v>
      </x:c>
      <x:c r="E96" s="46" t="n">
        <x:v>1</x:v>
      </x:c>
      <x:c r="F96" s="46" t="n">
        <x:v>4</x:v>
      </x:c>
      <x:c r="G96" s="12" t="n">
        <x:v>0</x:v>
      </x:c>
      <x:c r="H96" s="12" t="n">
        <x:v>0.1111111111111111</x:v>
      </x:c>
      <x:c r="I96" s="29" t="n">
        <x:f>'Assumptions'!$D$11+'Assumptions'!$D$12*(0.5-(G96+H96)/2)</x:f>
        <x:v>0.3888888888888889</x:v>
      </x:c>
      <x:c r="J96" s="27" t="n">
        <x:f>'Assumptions'!$D$8*EXP(-'Assumptions'!$D$9*('Fleet Engine'!E204-10))*'Assumptions'!E56*'Assumptions'!D36</x:f>
        <x:v>10206.566075445622</x:v>
      </x:c>
      <x:c r="K96" s="27" t="n">
        <x:f>'Source Data'!F221+LN('Assumptions'!D56)+LN('Assumptions'!D35)</x:f>
        <x:v>8.155326402806208</x:v>
      </x:c>
      <x:c r="L96" s="27" t="n">
        <x:f>J96*(1-I96*(1-'Carrier Engine'!E91))</x:f>
        <x:v>6396.11474061259</x:v>
      </x:c>
      <x:c r="M96" s="29" t="n">
        <x:f>NORM.S.DIST((LN(L96)-K96)/'Assumptions'!$D$10,TRUE)</x:f>
        <x:v>0.6507279511537387</x:v>
      </x:c>
      <x:c r="N96" s="30" t="n">
        <x:f>MAX(0,H96-MAX(G96,M96))</x:f>
        <x:v>0</x:v>
      </x:c>
      <x:c r="O96" s="28" t="n">
        <x:f>J96*I96</x:f>
        <x:v>3969.220140451075</x:v>
      </x:c>
      <x:c r="P96" s="27" t="n">
        <x:f>(VLOOKUP(O96,'Fee Data'!$C$6:$G$50,2,TRUE)+O96*VLOOKUP(O96,'Fee Data'!$C$6:$G$50,3,TRUE)+VLOOKUP(O96,'Fee Data'!$I$6:$J$14,2,TRUE)+'Fee Data'!$J$20+'Fee Data'!$J$21)*'Assumptions'!D37</x:f>
        <x:v>915</x:v>
      </x:c>
      <x:c r="Q96" s="27" t="n">
        <x:f>(VLOOKUP(O96,'Fee Data'!$C$6:$G$50,4,TRUE)+O96*VLOOKUP(O96,'Fee Data'!$C$6:$G$50,5,TRUE)+VLOOKUP(O96,'Fee Data'!$I$6:$J$14,2,TRUE)+'Fee Data'!$J$20+'Fee Data'!$J$21)*'Assumptions'!D37</x:f>
        <x:v>765</x:v>
      </x:c>
      <x:c r="R96" s="27" t="n">
        <x:f>P96*(1-'Assumptions'!$D$14)+Q96*'Assumptions'!$D$14</x:f>
        <x:v>840</x:v>
      </x:c>
      <x:c r="S96" s="27" t="n">
        <x:f>O96*'Carrier Engine'!E91</x:f>
        <x:v>158.76880561804296</x:v>
      </x:c>
      <x:c r="T96" s="28" t="n">
        <x:f>R96+S96</x:f>
        <x:v>998.768805618043</x:v>
      </x:c>
      <x:c r="U96" s="27" t="n">
        <x:f>N96*'Fleet Engine'!F204</x:f>
        <x:v>0</x:v>
      </x:c>
      <x:c r="V96" s="28" t="n">
        <x:f>U96*T96</x:f>
        <x:v>0</x:v>
      </x:c>
      <x:c r="W96" s="28" t="n">
        <x:f>U96*O96</x:f>
        <x:v>0</x:v>
      </x:c>
    </x:row>
    <x:row r="97" ht="19" customHeight="1">
      <x:c r="A97" s="2"/>
      <x:c r="B97" s="2"/>
      <x:c r="C97" s="46" t="n">
        <x:v>0</x:v>
      </x:c>
      <x:c r="D97" s="46" t="n">
        <x:v>10</x:v>
      </x:c>
      <x:c r="E97" s="46" t="n">
        <x:v>1</x:v>
      </x:c>
      <x:c r="F97" s="46" t="n">
        <x:v>4</x:v>
      </x:c>
      <x:c r="G97" s="12" t="n">
        <x:v>0.1111111111111111</x:v>
      </x:c>
      <x:c r="H97" s="12" t="n">
        <x:v>0.2222222222222222</x:v>
      </x:c>
      <x:c r="I97" s="29" t="n">
        <x:f>'Assumptions'!$D$11+'Assumptions'!$D$12*(0.5-(G97+H97)/2)</x:f>
        <x:v>0.3666666666666667</x:v>
      </x:c>
      <x:c r="J97" s="27" t="n">
        <x:f>'Assumptions'!$D$8*EXP(-'Assumptions'!$D$9*('Fleet Engine'!E204-10))*'Assumptions'!E56*'Assumptions'!D36</x:f>
        <x:v>10206.566075445622</x:v>
      </x:c>
      <x:c r="K97" s="27" t="n">
        <x:f>'Source Data'!F221+LN('Assumptions'!D56)+LN('Assumptions'!D35)</x:f>
        <x:v>8.155326402806208</x:v>
      </x:c>
      <x:c r="L97" s="27" t="n">
        <x:f>J97*(1-I97*(1-'Carrier Engine'!E91))</x:f>
        <x:v>6613.854816888762</x:v>
      </x:c>
      <x:c r="M97" s="29" t="n">
        <x:f>NORM.S.DIST((LN(L97)-K97)/'Assumptions'!$D$10,TRUE)</x:f>
        <x:v>0.658585579143658</x:v>
      </x:c>
      <x:c r="N97" s="30" t="n">
        <x:f>MAX(0,H97-MAX(G97,M97))</x:f>
        <x:v>0</x:v>
      </x:c>
      <x:c r="O97" s="28" t="n">
        <x:f>J97*I97</x:f>
        <x:v>3742.4075609967285</x:v>
      </x:c>
      <x:c r="P97" s="27" t="n">
        <x:f>(VLOOKUP(O97,'Fee Data'!$C$6:$G$50,2,TRUE)+O97*VLOOKUP(O97,'Fee Data'!$C$6:$G$50,3,TRUE)+VLOOKUP(O97,'Fee Data'!$I$6:$J$14,2,TRUE)+'Fee Data'!$J$20+'Fee Data'!$J$21)*'Assumptions'!D37</x:f>
        <x:v>915</x:v>
      </x:c>
      <x:c r="Q97" s="27" t="n">
        <x:f>(VLOOKUP(O97,'Fee Data'!$C$6:$G$50,4,TRUE)+O97*VLOOKUP(O97,'Fee Data'!$C$6:$G$50,5,TRUE)+VLOOKUP(O97,'Fee Data'!$I$6:$J$14,2,TRUE)+'Fee Data'!$J$20+'Fee Data'!$J$21)*'Assumptions'!D37</x:f>
        <x:v>765</x:v>
      </x:c>
      <x:c r="R97" s="27" t="n">
        <x:f>P97*(1-'Assumptions'!$D$14)+Q97*'Assumptions'!$D$14</x:f>
        <x:v>840</x:v>
      </x:c>
      <x:c r="S97" s="27" t="n">
        <x:f>O97*'Carrier Engine'!E91</x:f>
        <x:v>149.6963024398691</x:v>
      </x:c>
      <x:c r="T97" s="28" t="n">
        <x:f>R97+S97</x:f>
        <x:v>989.6963024398691</x:v>
      </x:c>
      <x:c r="U97" s="27" t="n">
        <x:f>N97*'Fleet Engine'!F204</x:f>
        <x:v>0</x:v>
      </x:c>
      <x:c r="V97" s="28" t="n">
        <x:f>U97*T97</x:f>
        <x:v>0</x:v>
      </x:c>
      <x:c r="W97" s="28" t="n">
        <x:f>U97*O97</x:f>
        <x:v>0</x:v>
      </x:c>
    </x:row>
    <x:row r="98" ht="19" customHeight="1">
      <x:c r="A98" s="2"/>
      <x:c r="B98" s="2"/>
      <x:c r="C98" s="46" t="n">
        <x:v>0</x:v>
      </x:c>
      <x:c r="D98" s="46" t="n">
        <x:v>10</x:v>
      </x:c>
      <x:c r="E98" s="46" t="n">
        <x:v>1</x:v>
      </x:c>
      <x:c r="F98" s="46" t="n">
        <x:v>4</x:v>
      </x:c>
      <x:c r="G98" s="12" t="n">
        <x:v>0.2222222222222222</x:v>
      </x:c>
      <x:c r="H98" s="12" t="n">
        <x:v>0.3333333333333333</x:v>
      </x:c>
      <x:c r="I98" s="29" t="n">
        <x:f>'Assumptions'!$D$11+'Assumptions'!$D$12*(0.5-(G98+H98)/2)</x:f>
        <x:v>0.34444444444444444</x:v>
      </x:c>
      <x:c r="J98" s="27" t="n">
        <x:f>'Assumptions'!$D$8*EXP(-'Assumptions'!$D$9*('Fleet Engine'!E204-10))*'Assumptions'!E56*'Assumptions'!D36</x:f>
        <x:v>10206.566075445622</x:v>
      </x:c>
      <x:c r="K98" s="27" t="n">
        <x:f>'Source Data'!F221+LN('Assumptions'!D56)+LN('Assumptions'!D35)</x:f>
        <x:v>8.155326402806208</x:v>
      </x:c>
      <x:c r="L98" s="27" t="n">
        <x:f>J98*(1-I98*(1-'Carrier Engine'!E91))</x:f>
        <x:v>6831.594893164936</x:v>
      </x:c>
      <x:c r="M98" s="29" t="n">
        <x:f>NORM.S.DIST((LN(L98)-K98)/'Assumptions'!$D$10,TRUE)</x:f>
        <x:v>0.6661238198441306</x:v>
      </x:c>
      <x:c r="N98" s="30" t="n">
        <x:f>MAX(0,H98-MAX(G98,M98))</x:f>
        <x:v>0</x:v>
      </x:c>
      <x:c r="O98" s="28" t="n">
        <x:f>J98*I98</x:f>
        <x:v>3515.594981542381</x:v>
      </x:c>
      <x:c r="P98" s="27" t="n">
        <x:f>(VLOOKUP(O98,'Fee Data'!$C$6:$G$50,2,TRUE)+O98*VLOOKUP(O98,'Fee Data'!$C$6:$G$50,3,TRUE)+VLOOKUP(O98,'Fee Data'!$I$6:$J$14,2,TRUE)+'Fee Data'!$J$20+'Fee Data'!$J$21)*'Assumptions'!D37</x:f>
        <x:v>915</x:v>
      </x:c>
      <x:c r="Q98" s="27" t="n">
        <x:f>(VLOOKUP(O98,'Fee Data'!$C$6:$G$50,4,TRUE)+O98*VLOOKUP(O98,'Fee Data'!$C$6:$G$50,5,TRUE)+VLOOKUP(O98,'Fee Data'!$I$6:$J$14,2,TRUE)+'Fee Data'!$J$20+'Fee Data'!$J$21)*'Assumptions'!D37</x:f>
        <x:v>765</x:v>
      </x:c>
      <x:c r="R98" s="27" t="n">
        <x:f>P98*(1-'Assumptions'!$D$14)+Q98*'Assumptions'!$D$14</x:f>
        <x:v>840</x:v>
      </x:c>
      <x:c r="S98" s="27" t="n">
        <x:f>O98*'Carrier Engine'!E91</x:f>
        <x:v>140.62379926169518</x:v>
      </x:c>
      <x:c r="T98" s="28" t="n">
        <x:f>R98+S98</x:f>
        <x:v>980.6237992616952</x:v>
      </x:c>
      <x:c r="U98" s="27" t="n">
        <x:f>N98*'Fleet Engine'!F204</x:f>
        <x:v>0</x:v>
      </x:c>
      <x:c r="V98" s="28" t="n">
        <x:f>U98*T98</x:f>
        <x:v>0</x:v>
      </x:c>
      <x:c r="W98" s="28" t="n">
        <x:f>U98*O98</x:f>
        <x:v>0</x:v>
      </x:c>
    </x:row>
    <x:row r="99" ht="19" customHeight="1">
      <x:c r="A99" s="2"/>
      <x:c r="B99" s="2"/>
      <x:c r="C99" s="46" t="n">
        <x:v>0</x:v>
      </x:c>
      <x:c r="D99" s="46" t="n">
        <x:v>10</x:v>
      </x:c>
      <x:c r="E99" s="46" t="n">
        <x:v>1</x:v>
      </x:c>
      <x:c r="F99" s="46" t="n">
        <x:v>4</x:v>
      </x:c>
      <x:c r="G99" s="12" t="n">
        <x:v>0.3333333333333333</x:v>
      </x:c>
      <x:c r="H99" s="12" t="n">
        <x:v>0.4444444444444444</x:v>
      </x:c>
      <x:c r="I99" s="29" t="n">
        <x:f>'Assumptions'!$D$11+'Assumptions'!$D$12*(0.5-(G99+H99)/2)</x:f>
        <x:v>0.32222222222222224</x:v>
      </x:c>
      <x:c r="J99" s="27" t="n">
        <x:f>'Assumptions'!$D$8*EXP(-'Assumptions'!$D$9*('Fleet Engine'!E204-10))*'Assumptions'!E56*'Assumptions'!D36</x:f>
        <x:v>10206.566075445622</x:v>
      </x:c>
      <x:c r="K99" s="27" t="n">
        <x:f>'Source Data'!F221+LN('Assumptions'!D56)+LN('Assumptions'!D35)</x:f>
        <x:v>8.155326402806208</x:v>
      </x:c>
      <x:c r="L99" s="27" t="n">
        <x:f>J99*(1-I99*(1-'Carrier Engine'!E91))</x:f>
        <x:v>7049.33496944111</x:v>
      </x:c>
      <x:c r="M99" s="29" t="n">
        <x:f>NORM.S.DIST((LN(L99)-K99)/'Assumptions'!$D$10,TRUE)</x:f>
        <x:v>0.6733621968258094</x:v>
      </x:c>
      <x:c r="N99" s="30" t="n">
        <x:f>MAX(0,H99-MAX(G99,M99))</x:f>
        <x:v>0</x:v>
      </x:c>
      <x:c r="O99" s="28" t="n">
        <x:f>J99*I99</x:f>
        <x:v>3288.782402088034</x:v>
      </x:c>
      <x:c r="P99" s="27" t="n">
        <x:f>(VLOOKUP(O99,'Fee Data'!$C$6:$G$50,2,TRUE)+O99*VLOOKUP(O99,'Fee Data'!$C$6:$G$50,3,TRUE)+VLOOKUP(O99,'Fee Data'!$I$6:$J$14,2,TRUE)+'Fee Data'!$J$20+'Fee Data'!$J$21)*'Assumptions'!D37</x:f>
        <x:v>865</x:v>
      </x:c>
      <x:c r="Q99" s="27" t="n">
        <x:f>(VLOOKUP(O99,'Fee Data'!$C$6:$G$50,4,TRUE)+O99*VLOOKUP(O99,'Fee Data'!$C$6:$G$50,5,TRUE)+VLOOKUP(O99,'Fee Data'!$I$6:$J$14,2,TRUE)+'Fee Data'!$J$20+'Fee Data'!$J$21)*'Assumptions'!D37</x:f>
        <x:v>715</x:v>
      </x:c>
      <x:c r="R99" s="27" t="n">
        <x:f>P99*(1-'Assumptions'!$D$14)+Q99*'Assumptions'!$D$14</x:f>
        <x:v>790</x:v>
      </x:c>
      <x:c r="S99" s="27" t="n">
        <x:f>O99*'Carrier Engine'!E91</x:f>
        <x:v>131.55129608352132</x:v>
      </x:c>
      <x:c r="T99" s="28" t="n">
        <x:f>R99+S99</x:f>
        <x:v>921.5512960835213</x:v>
      </x:c>
      <x:c r="U99" s="27" t="n">
        <x:f>N99*'Fleet Engine'!F204</x:f>
        <x:v>0</x:v>
      </x:c>
      <x:c r="V99" s="28" t="n">
        <x:f>U99*T99</x:f>
        <x:v>0</x:v>
      </x:c>
      <x:c r="W99" s="28" t="n">
        <x:f>U99*O99</x:f>
        <x:v>0</x:v>
      </x:c>
    </x:row>
    <x:row r="100" ht="19" customHeight="1">
      <x:c r="A100" s="2"/>
      <x:c r="B100" s="2"/>
      <x:c r="C100" s="46" t="n">
        <x:v>0</x:v>
      </x:c>
      <x:c r="D100" s="46" t="n">
        <x:v>10</x:v>
      </x:c>
      <x:c r="E100" s="46" t="n">
        <x:v>1</x:v>
      </x:c>
      <x:c r="F100" s="46" t="n">
        <x:v>4</x:v>
      </x:c>
      <x:c r="G100" s="12" t="n">
        <x:v>0.4444444444444444</x:v>
      </x:c>
      <x:c r="H100" s="12" t="n">
        <x:v>0.5555555555555556</x:v>
      </x:c>
      <x:c r="I100" s="29" t="n">
        <x:f>'Assumptions'!$D$11+'Assumptions'!$D$12*(0.5-(G100+H100)/2)</x:f>
        <x:v>0.3</x:v>
      </x:c>
      <x:c r="J100" s="27" t="n">
        <x:f>'Assumptions'!$D$8*EXP(-'Assumptions'!$D$9*('Fleet Engine'!E204-10))*'Assumptions'!E56*'Assumptions'!D36</x:f>
        <x:v>10206.566075445622</x:v>
      </x:c>
      <x:c r="K100" s="27" t="n">
        <x:f>'Source Data'!F221+LN('Assumptions'!D56)+LN('Assumptions'!D35)</x:f>
        <x:v>8.155326402806208</x:v>
      </x:c>
      <x:c r="L100" s="27" t="n">
        <x:f>J100*(1-I100*(1-'Carrier Engine'!E91))</x:f>
        <x:v>7267.075045717283</x:v>
      </x:c>
      <x:c r="M100" s="29" t="n">
        <x:f>NORM.S.DIST((LN(L100)-K100)/'Assumptions'!$D$10,TRUE)</x:f>
        <x:v>0.680318625246847</x:v>
      </x:c>
      <x:c r="N100" s="30" t="n">
        <x:f>MAX(0,H100-MAX(G100,M100))</x:f>
        <x:v>0</x:v>
      </x:c>
      <x:c r="O100" s="28" t="n">
        <x:f>J100*I100</x:f>
        <x:v>3061.9698226336864</x:v>
      </x:c>
      <x:c r="P100" s="27" t="n">
        <x:f>(VLOOKUP(O100,'Fee Data'!$C$6:$G$50,2,TRUE)+O100*VLOOKUP(O100,'Fee Data'!$C$6:$G$50,3,TRUE)+VLOOKUP(O100,'Fee Data'!$I$6:$J$14,2,TRUE)+'Fee Data'!$J$20+'Fee Data'!$J$21)*'Assumptions'!D37</x:f>
        <x:v>865</x:v>
      </x:c>
      <x:c r="Q100" s="27" t="n">
        <x:f>(VLOOKUP(O100,'Fee Data'!$C$6:$G$50,4,TRUE)+O100*VLOOKUP(O100,'Fee Data'!$C$6:$G$50,5,TRUE)+VLOOKUP(O100,'Fee Data'!$I$6:$J$14,2,TRUE)+'Fee Data'!$J$20+'Fee Data'!$J$21)*'Assumptions'!D37</x:f>
        <x:v>715</x:v>
      </x:c>
      <x:c r="R100" s="27" t="n">
        <x:f>P100*(1-'Assumptions'!$D$14)+Q100*'Assumptions'!$D$14</x:f>
        <x:v>790</x:v>
      </x:c>
      <x:c r="S100" s="27" t="n">
        <x:f>O100*'Carrier Engine'!E91</x:f>
        <x:v>122.47879290534742</x:v>
      </x:c>
      <x:c r="T100" s="28" t="n">
        <x:f>R100+S100</x:f>
        <x:v>912.4787929053474</x:v>
      </x:c>
      <x:c r="U100" s="27" t="n">
        <x:f>N100*'Fleet Engine'!F204</x:f>
        <x:v>0</x:v>
      </x:c>
      <x:c r="V100" s="28" t="n">
        <x:f>U100*T100</x:f>
        <x:v>0</x:v>
      </x:c>
      <x:c r="W100" s="28" t="n">
        <x:f>U100*O100</x:f>
        <x:v>0</x:v>
      </x:c>
    </x:row>
    <x:row r="101" ht="19" customHeight="1">
      <x:c r="A101" s="2"/>
      <x:c r="B101" s="2"/>
      <x:c r="C101" s="46" t="n">
        <x:v>0</x:v>
      </x:c>
      <x:c r="D101" s="46" t="n">
        <x:v>10</x:v>
      </x:c>
      <x:c r="E101" s="46" t="n">
        <x:v>1</x:v>
      </x:c>
      <x:c r="F101" s="46" t="n">
        <x:v>4</x:v>
      </x:c>
      <x:c r="G101" s="12" t="n">
        <x:v>0.5555555555555556</x:v>
      </x:c>
      <x:c r="H101" s="12" t="n">
        <x:v>0.6666666666666666</x:v>
      </x:c>
      <x:c r="I101" s="29" t="n">
        <x:f>'Assumptions'!$D$11+'Assumptions'!$D$12*(0.5-(G101+H101)/2)</x:f>
        <x:v>0.27777777777777773</x:v>
      </x:c>
      <x:c r="J101" s="27" t="n">
        <x:f>'Assumptions'!$D$8*EXP(-'Assumptions'!$D$9*('Fleet Engine'!E204-10))*'Assumptions'!E56*'Assumptions'!D36</x:f>
        <x:v>10206.566075445622</x:v>
      </x:c>
      <x:c r="K101" s="27" t="n">
        <x:f>'Source Data'!F221+LN('Assumptions'!D56)+LN('Assumptions'!D35)</x:f>
        <x:v>8.155326402806208</x:v>
      </x:c>
      <x:c r="L101" s="27" t="n">
        <x:f>J101*(1-I101*(1-'Carrier Engine'!E91))</x:f>
        <x:v>7484.815121993457</x:v>
      </x:c>
      <x:c r="M101" s="29" t="n">
        <x:f>NORM.S.DIST((LN(L101)-K101)/'Assumptions'!$D$10,TRUE)</x:f>
        <x:v>0.687009578457402</x:v>
      </x:c>
      <x:c r="N101" s="30" t="n">
        <x:f>MAX(0,H101-MAX(G101,M101))</x:f>
        <x:v>0</x:v>
      </x:c>
      <x:c r="O101" s="28" t="n">
        <x:f>J101*I101</x:f>
        <x:v>2835.157243179339</x:v>
      </x:c>
      <x:c r="P101" s="27" t="n">
        <x:f>(VLOOKUP(O101,'Fee Data'!$C$6:$G$50,2,TRUE)+O101*VLOOKUP(O101,'Fee Data'!$C$6:$G$50,3,TRUE)+VLOOKUP(O101,'Fee Data'!$I$6:$J$14,2,TRUE)+'Fee Data'!$J$20+'Fee Data'!$J$21)*'Assumptions'!D37</x:f>
        <x:v>820</x:v>
      </x:c>
      <x:c r="Q101" s="27" t="n">
        <x:f>(VLOOKUP(O101,'Fee Data'!$C$6:$G$50,4,TRUE)+O101*VLOOKUP(O101,'Fee Data'!$C$6:$G$50,5,TRUE)+VLOOKUP(O101,'Fee Data'!$I$6:$J$14,2,TRUE)+'Fee Data'!$J$20+'Fee Data'!$J$21)*'Assumptions'!D37</x:f>
        <x:v>670</x:v>
      </x:c>
      <x:c r="R101" s="27" t="n">
        <x:f>P101*(1-'Assumptions'!$D$14)+Q101*'Assumptions'!$D$14</x:f>
        <x:v>745</x:v>
      </x:c>
      <x:c r="S101" s="27" t="n">
        <x:f>O101*'Carrier Engine'!E91</x:f>
        <x:v>113.40628972717352</x:v>
      </x:c>
      <x:c r="T101" s="28" t="n">
        <x:f>R101+S101</x:f>
        <x:v>858.4062897271735</x:v>
      </x:c>
      <x:c r="U101" s="27" t="n">
        <x:f>N101*'Fleet Engine'!F204</x:f>
        <x:v>0</x:v>
      </x:c>
      <x:c r="V101" s="28" t="n">
        <x:f>U101*T101</x:f>
        <x:v>0</x:v>
      </x:c>
      <x:c r="W101" s="28" t="n">
        <x:f>U101*O101</x:f>
        <x:v>0</x:v>
      </x:c>
    </x:row>
    <x:row r="102" ht="19" customHeight="1">
      <x:c r="A102" s="2"/>
      <x:c r="B102" s="2"/>
      <x:c r="C102" s="46" t="n">
        <x:v>0</x:v>
      </x:c>
      <x:c r="D102" s="46" t="n">
        <x:v>10</x:v>
      </x:c>
      <x:c r="E102" s="46" t="n">
        <x:v>1</x:v>
      </x:c>
      <x:c r="F102" s="46" t="n">
        <x:v>4</x:v>
      </x:c>
      <x:c r="G102" s="12" t="n">
        <x:v>0.6666666666666666</x:v>
      </x:c>
      <x:c r="H102" s="12" t="n">
        <x:v>0.7777777777777778</x:v>
      </x:c>
      <x:c r="I102" s="29" t="n">
        <x:f>'Assumptions'!$D$11+'Assumptions'!$D$12*(0.5-(G102+H102)/2)</x:f>
        <x:v>0.25555555555555554</x:v>
      </x:c>
      <x:c r="J102" s="27" t="n">
        <x:f>'Assumptions'!$D$8*EXP(-'Assumptions'!$D$9*('Fleet Engine'!E204-10))*'Assumptions'!E56*'Assumptions'!D36</x:f>
        <x:v>10206.566075445622</x:v>
      </x:c>
      <x:c r="K102" s="27" t="n">
        <x:f>'Source Data'!F221+LN('Assumptions'!D56)+LN('Assumptions'!D35)</x:f>
        <x:v>8.155326402806208</x:v>
      </x:c>
      <x:c r="L102" s="27" t="n">
        <x:f>J102*(1-I102*(1-'Carrier Engine'!E91))</x:f>
        <x:v>7702.55519826963</x:v>
      </x:c>
      <x:c r="M102" s="29" t="n">
        <x:f>NORM.S.DIST((LN(L102)-K102)/'Assumptions'!$D$10,TRUE)</x:f>
        <x:v>0.6934502338952844</x:v>
      </x:c>
      <x:c r="N102" s="30" t="n">
        <x:f>MAX(0,H102-MAX(G102,M102))</x:f>
        <x:v>0.08432754388249342</x:v>
      </x:c>
      <x:c r="O102" s="28" t="n">
        <x:f>J102*I102</x:f>
        <x:v>2608.344663724992</x:v>
      </x:c>
      <x:c r="P102" s="27" t="n">
        <x:f>(VLOOKUP(O102,'Fee Data'!$C$6:$G$50,2,TRUE)+O102*VLOOKUP(O102,'Fee Data'!$C$6:$G$50,3,TRUE)+VLOOKUP(O102,'Fee Data'!$I$6:$J$14,2,TRUE)+'Fee Data'!$J$20+'Fee Data'!$J$21)*'Assumptions'!D37</x:f>
        <x:v>820</x:v>
      </x:c>
      <x:c r="Q102" s="27" t="n">
        <x:f>(VLOOKUP(O102,'Fee Data'!$C$6:$G$50,4,TRUE)+O102*VLOOKUP(O102,'Fee Data'!$C$6:$G$50,5,TRUE)+VLOOKUP(O102,'Fee Data'!$I$6:$J$14,2,TRUE)+'Fee Data'!$J$20+'Fee Data'!$J$21)*'Assumptions'!D37</x:f>
        <x:v>670</x:v>
      </x:c>
      <x:c r="R102" s="27" t="n">
        <x:f>P102*(1-'Assumptions'!$D$14)+Q102*'Assumptions'!$D$14</x:f>
        <x:v>745</x:v>
      </x:c>
      <x:c r="S102" s="27" t="n">
        <x:f>O102*'Carrier Engine'!E91</x:f>
        <x:v>104.33378654899965</x:v>
      </x:c>
      <x:c r="T102" s="28" t="n">
        <x:f>R102+S102</x:f>
        <x:v>849.3337865489997</x:v>
      </x:c>
      <x:c r="U102" s="27" t="n">
        <x:f>N102*'Fleet Engine'!F204</x:f>
        <x:v>771.9144789748632</x:v>
      </x:c>
      <x:c r="V102" s="28" t="n">
        <x:f>U102*T102</x:f>
        <x:v>655613.0473197188</x:v>
      </x:c>
      <x:c r="W102" s="28" t="n">
        <x:f>U102*O102</x:f>
        <x:v>2013419.012086142</x:v>
      </x:c>
    </x:row>
    <x:row r="103" ht="19" customHeight="1">
      <x:c r="A103" s="2"/>
      <x:c r="B103" s="2"/>
      <x:c r="C103" s="46" t="n">
        <x:v>0</x:v>
      </x:c>
      <x:c r="D103" s="46" t="n">
        <x:v>10</x:v>
      </x:c>
      <x:c r="E103" s="46" t="n">
        <x:v>1</x:v>
      </x:c>
      <x:c r="F103" s="46" t="n">
        <x:v>4</x:v>
      </x:c>
      <x:c r="G103" s="12" t="n">
        <x:v>0.7777777777777778</x:v>
      </x:c>
      <x:c r="H103" s="12" t="n">
        <x:v>0.8888888888888888</x:v>
      </x:c>
      <x:c r="I103" s="29" t="n">
        <x:f>'Assumptions'!$D$11+'Assumptions'!$D$12*(0.5-(G103+H103)/2)</x:f>
        <x:v>0.23333333333333334</x:v>
      </x:c>
      <x:c r="J103" s="27" t="n">
        <x:f>'Assumptions'!$D$8*EXP(-'Assumptions'!$D$9*('Fleet Engine'!E204-10))*'Assumptions'!E56*'Assumptions'!D36</x:f>
        <x:v>10206.566075445622</x:v>
      </x:c>
      <x:c r="K103" s="27" t="n">
        <x:f>'Source Data'!F221+LN('Assumptions'!D56)+LN('Assumptions'!D35)</x:f>
        <x:v>8.155326402806208</x:v>
      </x:c>
      <x:c r="L103" s="27" t="n">
        <x:f>J103*(1-I103*(1-'Carrier Engine'!E91))</x:f>
        <x:v>7920.295274545803</x:v>
      </x:c>
      <x:c r="M103" s="29" t="n">
        <x:f>NORM.S.DIST((LN(L103)-K103)/'Assumptions'!$D$10,TRUE)</x:f>
        <x:v>0.699654601261197</x:v>
      </x:c>
      <x:c r="N103" s="30" t="n">
        <x:f>MAX(0,H103-MAX(G103,M103))</x:f>
        <x:v>0.11111111111111105</x:v>
      </x:c>
      <x:c r="O103" s="28" t="n">
        <x:f>J103*I103</x:f>
        <x:v>2381.532084270645</x:v>
      </x:c>
      <x:c r="P103" s="27" t="n">
        <x:f>(VLOOKUP(O103,'Fee Data'!$C$6:$G$50,2,TRUE)+O103*VLOOKUP(O103,'Fee Data'!$C$6:$G$50,3,TRUE)+VLOOKUP(O103,'Fee Data'!$I$6:$J$14,2,TRUE)+'Fee Data'!$J$20+'Fee Data'!$J$21)*'Assumptions'!D37</x:f>
        <x:v>745</x:v>
      </x:c>
      <x:c r="Q103" s="27" t="n">
        <x:f>(VLOOKUP(O103,'Fee Data'!$C$6:$G$50,4,TRUE)+O103*VLOOKUP(O103,'Fee Data'!$C$6:$G$50,5,TRUE)+VLOOKUP(O103,'Fee Data'!$I$6:$J$14,2,TRUE)+'Fee Data'!$J$20+'Fee Data'!$J$21)*'Assumptions'!D37</x:f>
        <x:v>600</x:v>
      </x:c>
      <x:c r="R103" s="27" t="n">
        <x:f>P103*(1-'Assumptions'!$D$14)+Q103*'Assumptions'!$D$14</x:f>
        <x:v>672.5</x:v>
      </x:c>
      <x:c r="S103" s="27" t="n">
        <x:f>O103*'Carrier Engine'!E91</x:f>
        <x:v>95.26128337082578</x:v>
      </x:c>
      <x:c r="T103" s="28" t="n">
        <x:f>R103+S103</x:f>
        <x:v>767.7612833708258</x:v>
      </x:c>
      <x:c r="U103" s="27" t="n">
        <x:f>N103*'Fleet Engine'!F204</x:f>
        <x:v>1017.084946303732</x:v>
      </x:c>
      <x:c r="V103" s="28" t="n">
        <x:f>U103*T103</x:f>
        <x:v>780878.4436713007</x:v>
      </x:c>
      <x:c r="W103" s="28" t="n">
        <x:f>U103*O103</x:f>
        <x:v>2422220.432051024</x:v>
      </x:c>
    </x:row>
    <x:row r="104" ht="19" customHeight="1">
      <x:c r="A104" s="2"/>
      <x:c r="B104" s="2"/>
      <x:c r="C104" s="46" t="n">
        <x:v>0</x:v>
      </x:c>
      <x:c r="D104" s="46" t="n">
        <x:v>10</x:v>
      </x:c>
      <x:c r="E104" s="46" t="n">
        <x:v>1</x:v>
      </x:c>
      <x:c r="F104" s="46" t="n">
        <x:v>4</x:v>
      </x:c>
      <x:c r="G104" s="12" t="n">
        <x:v>0.8888888888888888</x:v>
      </x:c>
      <x:c r="H104" s="12" t="n">
        <x:v>1</x:v>
      </x:c>
      <x:c r="I104" s="29" t="n">
        <x:f>'Assumptions'!$D$11+'Assumptions'!$D$12*(0.5-(G104+H104)/2)</x:f>
        <x:v>0.21111111111111108</x:v>
      </x:c>
      <x:c r="J104" s="27" t="n">
        <x:f>'Assumptions'!$D$8*EXP(-'Assumptions'!$D$9*('Fleet Engine'!E204-10))*'Assumptions'!E56*'Assumptions'!D36</x:f>
        <x:v>10206.566075445622</x:v>
      </x:c>
      <x:c r="K104" s="27" t="n">
        <x:f>'Source Data'!F221+LN('Assumptions'!D56)+LN('Assumptions'!D35)</x:f>
        <x:v>8.155326402806208</x:v>
      </x:c>
      <x:c r="L104" s="27" t="n">
        <x:f>J104*(1-I104*(1-'Carrier Engine'!E91))</x:f>
        <x:v>8138.035350821976</x:v>
      </x:c>
      <x:c r="M104" s="29" t="n">
        <x:f>NORM.S.DIST((LN(L104)-K104)/'Assumptions'!$D$10,TRUE)</x:f>
        <x:v>0.7056356354734394</x:v>
      </x:c>
      <x:c r="N104" s="30" t="n">
        <x:f>MAX(0,H104-MAX(G104,M104))</x:f>
        <x:v>0.11111111111111116</x:v>
      </x:c>
      <x:c r="O104" s="28" t="n">
        <x:f>J104*I104</x:f>
        <x:v>2154.7195048162976</x:v>
      </x:c>
      <x:c r="P104" s="27" t="n">
        <x:f>(VLOOKUP(O104,'Fee Data'!$C$6:$G$50,2,TRUE)+O104*VLOOKUP(O104,'Fee Data'!$C$6:$G$50,3,TRUE)+VLOOKUP(O104,'Fee Data'!$I$6:$J$14,2,TRUE)+'Fee Data'!$J$20+'Fee Data'!$J$21)*'Assumptions'!D37</x:f>
        <x:v>745</x:v>
      </x:c>
      <x:c r="Q104" s="27" t="n">
        <x:f>(VLOOKUP(O104,'Fee Data'!$C$6:$G$50,4,TRUE)+O104*VLOOKUP(O104,'Fee Data'!$C$6:$G$50,5,TRUE)+VLOOKUP(O104,'Fee Data'!$I$6:$J$14,2,TRUE)+'Fee Data'!$J$20+'Fee Data'!$J$21)*'Assumptions'!D37</x:f>
        <x:v>600</x:v>
      </x:c>
      <x:c r="R104" s="27" t="n">
        <x:f>P104*(1-'Assumptions'!$D$14)+Q104*'Assumptions'!$D$14</x:f>
        <x:v>672.5</x:v>
      </x:c>
      <x:c r="S104" s="27" t="n">
        <x:f>O104*'Carrier Engine'!E91</x:f>
        <x:v>86.18878019265188</x:v>
      </x:c>
      <x:c r="T104" s="28" t="n">
        <x:f>R104+S104</x:f>
        <x:v>758.6887801926518</x:v>
      </x:c>
      <x:c r="U104" s="27" t="n">
        <x:f>N104*'Fleet Engine'!F204</x:f>
        <x:v>1017.084946303733</x:v>
      </x:c>
      <x:c r="V104" s="28" t="n">
        <x:f>U104*T104</x:f>
        <x:v>771650.937263488</x:v>
      </x:c>
      <x:c r="W104" s="28" t="n">
        <x:f>U104*O104</x:f>
        <x:v>2191532.77185569</x:v>
      </x:c>
    </x:row>
    <x:row r="105" ht="19" customHeight="1">
      <x:c r="A105" s="2"/>
      <x:c r="B105" s="2"/>
      <x:c r="C105" s="46" t="n">
        <x:v>0</x:v>
      </x:c>
      <x:c r="D105" s="46" t="n">
        <x:v>11</x:v>
      </x:c>
      <x:c r="E105" s="46" t="n">
        <x:v>1</x:v>
      </x:c>
      <x:c r="F105" s="46" t="n">
        <x:v>5</x:v>
      </x:c>
      <x:c r="G105" s="12" t="n">
        <x:v>0</x:v>
      </x:c>
      <x:c r="H105" s="12" t="n">
        <x:v>0.1111111111111111</x:v>
      </x:c>
      <x:c r="I105" s="29" t="n">
        <x:f>'Assumptions'!$D$11+'Assumptions'!$D$12*(0.5-(G105+H105)/2)</x:f>
        <x:v>0.3888888888888889</x:v>
      </x:c>
      <x:c r="J105" s="27" t="n">
        <x:f>'Assumptions'!$D$8*EXP(-'Assumptions'!$D$9*('Fleet Engine'!E205-10))*'Assumptions'!E56*'Assumptions'!D36</x:f>
        <x:v>5601.482226767098</x:v>
      </x:c>
      <x:c r="K105" s="27" t="n">
        <x:f>'Source Data'!F222+LN('Assumptions'!D56)+LN('Assumptions'!D35)</x:f>
        <x:v>8.056397553082528</x:v>
      </x:c>
      <x:c r="L105" s="27" t="n">
        <x:f>J105*(1-I105*(1-'Carrier Engine'!E91))</x:f>
        <x:v>3510.262195440715</x:v>
      </x:c>
      <x:c r="M105" s="29" t="n">
        <x:f>NORM.S.DIST((LN(L105)-K105)/'Assumptions'!$D$10,TRUE)</x:f>
        <x:v>0.5271767523756574</x:v>
      </x:c>
      <x:c r="N105" s="30" t="n">
        <x:f>MAX(0,H105-MAX(G105,M105))</x:f>
        <x:v>0</x:v>
      </x:c>
      <x:c r="O105" s="28" t="n">
        <x:f>J105*I105</x:f>
        <x:v>2178.354199298316</x:v>
      </x:c>
      <x:c r="P105" s="27" t="n">
        <x:f>(VLOOKUP(O105,'Fee Data'!$C$6:$G$50,2,TRUE)+O105*VLOOKUP(O105,'Fee Data'!$C$6:$G$50,3,TRUE)+VLOOKUP(O105,'Fee Data'!$I$6:$J$14,2,TRUE)+'Fee Data'!$J$20+'Fee Data'!$J$21)*'Assumptions'!D37</x:f>
        <x:v>745</x:v>
      </x:c>
      <x:c r="Q105" s="27" t="n">
        <x:f>(VLOOKUP(O105,'Fee Data'!$C$6:$G$50,4,TRUE)+O105*VLOOKUP(O105,'Fee Data'!$C$6:$G$50,5,TRUE)+VLOOKUP(O105,'Fee Data'!$I$6:$J$14,2,TRUE)+'Fee Data'!$J$20+'Fee Data'!$J$21)*'Assumptions'!D37</x:f>
        <x:v>600</x:v>
      </x:c>
      <x:c r="R105" s="27" t="n">
        <x:f>P105*(1-'Assumptions'!$D$14)+Q105*'Assumptions'!$D$14</x:f>
        <x:v>672.5</x:v>
      </x:c>
      <x:c r="S105" s="27" t="n">
        <x:f>O105*'Carrier Engine'!E91</x:f>
        <x:v>87.13416797193261</x:v>
      </x:c>
      <x:c r="T105" s="28" t="n">
        <x:f>R105+S105</x:f>
        <x:v>759.6341679719326</x:v>
      </x:c>
      <x:c r="U105" s="27" t="n">
        <x:f>N105*'Fleet Engine'!F205</x:f>
        <x:v>0</x:v>
      </x:c>
      <x:c r="V105" s="28" t="n">
        <x:f>U105*T105</x:f>
        <x:v>0</x:v>
      </x:c>
      <x:c r="W105" s="28" t="n">
        <x:f>U105*O105</x:f>
        <x:v>0</x:v>
      </x:c>
    </x:row>
    <x:row r="106" ht="19" customHeight="1">
      <x:c r="A106" s="2"/>
      <x:c r="B106" s="2"/>
      <x:c r="C106" s="46" t="n">
        <x:v>0</x:v>
      </x:c>
      <x:c r="D106" s="46" t="n">
        <x:v>11</x:v>
      </x:c>
      <x:c r="E106" s="46" t="n">
        <x:v>1</x:v>
      </x:c>
      <x:c r="F106" s="46" t="n">
        <x:v>5</x:v>
      </x:c>
      <x:c r="G106" s="12" t="n">
        <x:v>0.1111111111111111</x:v>
      </x:c>
      <x:c r="H106" s="12" t="n">
        <x:v>0.2222222222222222</x:v>
      </x:c>
      <x:c r="I106" s="29" t="n">
        <x:f>'Assumptions'!$D$11+'Assumptions'!$D$12*(0.5-(G106+H106)/2)</x:f>
        <x:v>0.3666666666666667</x:v>
      </x:c>
      <x:c r="J106" s="27" t="n">
        <x:f>'Assumptions'!$D$8*EXP(-'Assumptions'!$D$9*('Fleet Engine'!E205-10))*'Assumptions'!E56*'Assumptions'!D36</x:f>
        <x:v>5601.482226767098</x:v>
      </x:c>
      <x:c r="K106" s="27" t="n">
        <x:f>'Source Data'!F222+LN('Assumptions'!D56)+LN('Assumptions'!D35)</x:f>
        <x:v>8.056397553082528</x:v>
      </x:c>
      <x:c r="L106" s="27" t="n">
        <x:f>J106*(1-I106*(1-'Carrier Engine'!E91))</x:f>
        <x:v>3629.760482945079</x:v>
      </x:c>
      <x:c r="M106" s="29" t="n">
        <x:f>NORM.S.DIST((LN(L106)-K106)/'Assumptions'!$D$10,TRUE)</x:f>
        <x:v>0.5356554348338565</x:v>
      </x:c>
      <x:c r="N106" s="30" t="n">
        <x:f>MAX(0,H106-MAX(G106,M106))</x:f>
        <x:v>0</x:v>
      </x:c>
      <x:c r="O106" s="28" t="n">
        <x:f>J106*I106</x:f>
        <x:v>2053.8768164812695</x:v>
      </x:c>
      <x:c r="P106" s="27" t="n">
        <x:f>(VLOOKUP(O106,'Fee Data'!$C$6:$G$50,2,TRUE)+O106*VLOOKUP(O106,'Fee Data'!$C$6:$G$50,3,TRUE)+VLOOKUP(O106,'Fee Data'!$I$6:$J$14,2,TRUE)+'Fee Data'!$J$20+'Fee Data'!$J$21)*'Assumptions'!D37</x:f>
        <x:v>745</x:v>
      </x:c>
      <x:c r="Q106" s="27" t="n">
        <x:f>(VLOOKUP(O106,'Fee Data'!$C$6:$G$50,4,TRUE)+O106*VLOOKUP(O106,'Fee Data'!$C$6:$G$50,5,TRUE)+VLOOKUP(O106,'Fee Data'!$I$6:$J$14,2,TRUE)+'Fee Data'!$J$20+'Fee Data'!$J$21)*'Assumptions'!D37</x:f>
        <x:v>600</x:v>
      </x:c>
      <x:c r="R106" s="27" t="n">
        <x:f>P106*(1-'Assumptions'!$D$14)+Q106*'Assumptions'!$D$14</x:f>
        <x:v>672.5</x:v>
      </x:c>
      <x:c r="S106" s="27" t="n">
        <x:f>O106*'Carrier Engine'!E91</x:f>
        <x:v>82.15507265925075</x:v>
      </x:c>
      <x:c r="T106" s="28" t="n">
        <x:f>R106+S106</x:f>
        <x:v>754.6550726592508</x:v>
      </x:c>
      <x:c r="U106" s="27" t="n">
        <x:f>N106*'Fleet Engine'!F205</x:f>
        <x:v>0</x:v>
      </x:c>
      <x:c r="V106" s="28" t="n">
        <x:f>U106*T106</x:f>
        <x:v>0</x:v>
      </x:c>
      <x:c r="W106" s="28" t="n">
        <x:f>U106*O106</x:f>
        <x:v>0</x:v>
      </x:c>
    </x:row>
    <x:row r="107" ht="19" customHeight="1">
      <x:c r="A107" s="2"/>
      <x:c r="B107" s="2"/>
      <x:c r="C107" s="46" t="n">
        <x:v>0</x:v>
      </x:c>
      <x:c r="D107" s="46" t="n">
        <x:v>11</x:v>
      </x:c>
      <x:c r="E107" s="46" t="n">
        <x:v>1</x:v>
      </x:c>
      <x:c r="F107" s="46" t="n">
        <x:v>5</x:v>
      </x:c>
      <x:c r="G107" s="12" t="n">
        <x:v>0.2222222222222222</x:v>
      </x:c>
      <x:c r="H107" s="12" t="n">
        <x:v>0.3333333333333333</x:v>
      </x:c>
      <x:c r="I107" s="29" t="n">
        <x:f>'Assumptions'!$D$11+'Assumptions'!$D$12*(0.5-(G107+H107)/2)</x:f>
        <x:v>0.34444444444444444</x:v>
      </x:c>
      <x:c r="J107" s="27" t="n">
        <x:f>'Assumptions'!$D$8*EXP(-'Assumptions'!$D$9*('Fleet Engine'!E205-10))*'Assumptions'!E56*'Assumptions'!D36</x:f>
        <x:v>5601.482226767098</x:v>
      </x:c>
      <x:c r="K107" s="27" t="n">
        <x:f>'Source Data'!F222+LN('Assumptions'!D56)+LN('Assumptions'!D35)</x:f>
        <x:v>8.056397553082528</x:v>
      </x:c>
      <x:c r="L107" s="27" t="n">
        <x:f>J107*(1-I107*(1-'Carrier Engine'!E91))</x:f>
        <x:v>3749.258770449444</x:v>
      </x:c>
      <x:c r="M107" s="29" t="n">
        <x:f>NORM.S.DIST((LN(L107)-K107)/'Assumptions'!$D$10,TRUE)</x:f>
        <x:v>0.5438441102581311</x:v>
      </x:c>
      <x:c r="N107" s="30" t="n">
        <x:f>MAX(0,H107-MAX(G107,M107))</x:f>
        <x:v>0</x:v>
      </x:c>
      <x:c r="O107" s="28" t="n">
        <x:f>J107*I107</x:f>
        <x:v>1929.3994336642227</x:v>
      </x:c>
      <x:c r="P107" s="27" t="n">
        <x:f>(VLOOKUP(O107,'Fee Data'!$C$6:$G$50,2,TRUE)+O107*VLOOKUP(O107,'Fee Data'!$C$6:$G$50,3,TRUE)+VLOOKUP(O107,'Fee Data'!$I$6:$J$14,2,TRUE)+'Fee Data'!$J$20+'Fee Data'!$J$21)*'Assumptions'!D37</x:f>
        <x:v>705</x:v>
      </x:c>
      <x:c r="Q107" s="27" t="n">
        <x:f>(VLOOKUP(O107,'Fee Data'!$C$6:$G$50,4,TRUE)+O107*VLOOKUP(O107,'Fee Data'!$C$6:$G$50,5,TRUE)+VLOOKUP(O107,'Fee Data'!$I$6:$J$14,2,TRUE)+'Fee Data'!$J$20+'Fee Data'!$J$21)*'Assumptions'!D37</x:f>
        <x:v>565</x:v>
      </x:c>
      <x:c r="R107" s="27" t="n">
        <x:f>P107*(1-'Assumptions'!$D$14)+Q107*'Assumptions'!$D$14</x:f>
        <x:v>635</x:v>
      </x:c>
      <x:c r="S107" s="27" t="n">
        <x:f>O107*'Carrier Engine'!E91</x:f>
        <x:v>77.17597734656889</x:v>
      </x:c>
      <x:c r="T107" s="28" t="n">
        <x:f>R107+S107</x:f>
        <x:v>712.1759773465689</x:v>
      </x:c>
      <x:c r="U107" s="27" t="n">
        <x:f>N107*'Fleet Engine'!F205</x:f>
        <x:v>0</x:v>
      </x:c>
      <x:c r="V107" s="28" t="n">
        <x:f>U107*T107</x:f>
        <x:v>0</x:v>
      </x:c>
      <x:c r="W107" s="28" t="n">
        <x:f>U107*O107</x:f>
        <x:v>0</x:v>
      </x:c>
    </x:row>
    <x:row r="108" ht="19" customHeight="1">
      <x:c r="A108" s="2"/>
      <x:c r="B108" s="2"/>
      <x:c r="C108" s="46" t="n">
        <x:v>0</x:v>
      </x:c>
      <x:c r="D108" s="46" t="n">
        <x:v>11</x:v>
      </x:c>
      <x:c r="E108" s="46" t="n">
        <x:v>1</x:v>
      </x:c>
      <x:c r="F108" s="46" t="n">
        <x:v>5</x:v>
      </x:c>
      <x:c r="G108" s="12" t="n">
        <x:v>0.3333333333333333</x:v>
      </x:c>
      <x:c r="H108" s="12" t="n">
        <x:v>0.4444444444444444</x:v>
      </x:c>
      <x:c r="I108" s="29" t="n">
        <x:f>'Assumptions'!$D$11+'Assumptions'!$D$12*(0.5-(G108+H108)/2)</x:f>
        <x:v>0.32222222222222224</x:v>
      </x:c>
      <x:c r="J108" s="27" t="n">
        <x:f>'Assumptions'!$D$8*EXP(-'Assumptions'!$D$9*('Fleet Engine'!E205-10))*'Assumptions'!E56*'Assumptions'!D36</x:f>
        <x:v>5601.482226767098</x:v>
      </x:c>
      <x:c r="K108" s="27" t="n">
        <x:f>'Source Data'!F222+LN('Assumptions'!D56)+LN('Assumptions'!D35)</x:f>
        <x:v>8.056397553082528</x:v>
      </x:c>
      <x:c r="L108" s="27" t="n">
        <x:f>J108*(1-I108*(1-'Carrier Engine'!E91))</x:f>
        <x:v>3868.7570579538087</x:v>
      </x:c>
      <x:c r="M108" s="29" t="n">
        <x:f>NORM.S.DIST((LN(L108)-K108)/'Assumptions'!$D$10,TRUE)</x:f>
        <x:v>0.5517581623199981</x:v>
      </x:c>
      <x:c r="N108" s="30" t="n">
        <x:f>MAX(0,H108-MAX(G108,M108))</x:f>
        <x:v>0</x:v>
      </x:c>
      <x:c r="O108" s="28" t="n">
        <x:f>J108*I108</x:f>
        <x:v>1804.922050847176</x:v>
      </x:c>
      <x:c r="P108" s="27" t="n">
        <x:f>(VLOOKUP(O108,'Fee Data'!$C$6:$G$50,2,TRUE)+O108*VLOOKUP(O108,'Fee Data'!$C$6:$G$50,3,TRUE)+VLOOKUP(O108,'Fee Data'!$I$6:$J$14,2,TRUE)+'Fee Data'!$J$20+'Fee Data'!$J$21)*'Assumptions'!D37</x:f>
        <x:v>705</x:v>
      </x:c>
      <x:c r="Q108" s="27" t="n">
        <x:f>(VLOOKUP(O108,'Fee Data'!$C$6:$G$50,4,TRUE)+O108*VLOOKUP(O108,'Fee Data'!$C$6:$G$50,5,TRUE)+VLOOKUP(O108,'Fee Data'!$I$6:$J$14,2,TRUE)+'Fee Data'!$J$20+'Fee Data'!$J$21)*'Assumptions'!D37</x:f>
        <x:v>565</x:v>
      </x:c>
      <x:c r="R108" s="27" t="n">
        <x:f>P108*(1-'Assumptions'!$D$14)+Q108*'Assumptions'!$D$14</x:f>
        <x:v>635</x:v>
      </x:c>
      <x:c r="S108" s="27" t="n">
        <x:f>O108*'Carrier Engine'!E91</x:f>
        <x:v>72.19688203388702</x:v>
      </x:c>
      <x:c r="T108" s="28" t="n">
        <x:f>R108+S108</x:f>
        <x:v>707.196882033887</x:v>
      </x:c>
      <x:c r="U108" s="27" t="n">
        <x:f>N108*'Fleet Engine'!F205</x:f>
        <x:v>0</x:v>
      </x:c>
      <x:c r="V108" s="28" t="n">
        <x:f>U108*T108</x:f>
        <x:v>0</x:v>
      </x:c>
      <x:c r="W108" s="28" t="n">
        <x:f>U108*O108</x:f>
        <x:v>0</x:v>
      </x:c>
    </x:row>
    <x:row r="109" ht="19" customHeight="1">
      <x:c r="A109" s="2"/>
      <x:c r="B109" s="2"/>
      <x:c r="C109" s="46" t="n">
        <x:v>0</x:v>
      </x:c>
      <x:c r="D109" s="46" t="n">
        <x:v>11</x:v>
      </x:c>
      <x:c r="E109" s="46" t="n">
        <x:v>1</x:v>
      </x:c>
      <x:c r="F109" s="46" t="n">
        <x:v>5</x:v>
      </x:c>
      <x:c r="G109" s="12" t="n">
        <x:v>0.4444444444444444</x:v>
      </x:c>
      <x:c r="H109" s="12" t="n">
        <x:v>0.5555555555555556</x:v>
      </x:c>
      <x:c r="I109" s="29" t="n">
        <x:f>'Assumptions'!$D$11+'Assumptions'!$D$12*(0.5-(G109+H109)/2)</x:f>
        <x:v>0.3</x:v>
      </x:c>
      <x:c r="J109" s="27" t="n">
        <x:f>'Assumptions'!$D$8*EXP(-'Assumptions'!$D$9*('Fleet Engine'!E205-10))*'Assumptions'!E56*'Assumptions'!D36</x:f>
        <x:v>5601.482226767098</x:v>
      </x:c>
      <x:c r="K109" s="27" t="n">
        <x:f>'Source Data'!F222+LN('Assumptions'!D56)+LN('Assumptions'!D35)</x:f>
        <x:v>8.056397553082528</x:v>
      </x:c>
      <x:c r="L109" s="27" t="n">
        <x:f>J109*(1-I109*(1-'Carrier Engine'!E91))</x:f>
        <x:v>3988.2553454581735</x:v>
      </x:c>
      <x:c r="M109" s="29" t="n">
        <x:f>NORM.S.DIST((LN(L109)-K109)/'Assumptions'!$D$10,TRUE)</x:f>
        <x:v>0.559411856481953</x:v>
      </x:c>
      <x:c r="N109" s="30" t="n">
        <x:f>MAX(0,H109-MAX(G109,M109))</x:f>
        <x:v>0</x:v>
      </x:c>
      <x:c r="O109" s="28" t="n">
        <x:f>J109*I109</x:f>
        <x:v>1680.4446680301294</x:v>
      </x:c>
      <x:c r="P109" s="27" t="n">
        <x:f>(VLOOKUP(O109,'Fee Data'!$C$6:$G$50,2,TRUE)+O109*VLOOKUP(O109,'Fee Data'!$C$6:$G$50,3,TRUE)+VLOOKUP(O109,'Fee Data'!$I$6:$J$14,2,TRUE)+'Fee Data'!$J$20+'Fee Data'!$J$21)*'Assumptions'!D37</x:f>
        <x:v>660</x:v>
      </x:c>
      <x:c r="Q109" s="27" t="n">
        <x:f>(VLOOKUP(O109,'Fee Data'!$C$6:$G$50,4,TRUE)+O109*VLOOKUP(O109,'Fee Data'!$C$6:$G$50,5,TRUE)+VLOOKUP(O109,'Fee Data'!$I$6:$J$14,2,TRUE)+'Fee Data'!$J$20+'Fee Data'!$J$21)*'Assumptions'!D37</x:f>
        <x:v>525</x:v>
      </x:c>
      <x:c r="R109" s="27" t="n">
        <x:f>P109*(1-'Assumptions'!$D$14)+Q109*'Assumptions'!$D$14</x:f>
        <x:v>592.5</x:v>
      </x:c>
      <x:c r="S109" s="27" t="n">
        <x:f>O109*'Carrier Engine'!E91</x:f>
        <x:v>67.21778672120516</x:v>
      </x:c>
      <x:c r="T109" s="28" t="n">
        <x:f>R109+S109</x:f>
        <x:v>659.7177867212051</x:v>
      </x:c>
      <x:c r="U109" s="27" t="n">
        <x:f>N109*'Fleet Engine'!F205</x:f>
        <x:v>0</x:v>
      </x:c>
      <x:c r="V109" s="28" t="n">
        <x:f>U109*T109</x:f>
        <x:v>0</x:v>
      </x:c>
      <x:c r="W109" s="28" t="n">
        <x:f>U109*O109</x:f>
        <x:v>0</x:v>
      </x:c>
    </x:row>
    <x:row r="110" ht="19" customHeight="1">
      <x:c r="A110" s="2"/>
      <x:c r="B110" s="2"/>
      <x:c r="C110" s="46" t="n">
        <x:v>0</x:v>
      </x:c>
      <x:c r="D110" s="46" t="n">
        <x:v>11</x:v>
      </x:c>
      <x:c r="E110" s="46" t="n">
        <x:v>1</x:v>
      </x:c>
      <x:c r="F110" s="46" t="n">
        <x:v>5</x:v>
      </x:c>
      <x:c r="G110" s="12" t="n">
        <x:v>0.5555555555555556</x:v>
      </x:c>
      <x:c r="H110" s="12" t="n">
        <x:v>0.6666666666666666</x:v>
      </x:c>
      <x:c r="I110" s="29" t="n">
        <x:f>'Assumptions'!$D$11+'Assumptions'!$D$12*(0.5-(G110+H110)/2)</x:f>
        <x:v>0.27777777777777773</x:v>
      </x:c>
      <x:c r="J110" s="27" t="n">
        <x:f>'Assumptions'!$D$8*EXP(-'Assumptions'!$D$9*('Fleet Engine'!E205-10))*'Assumptions'!E56*'Assumptions'!D36</x:f>
        <x:v>5601.482226767098</x:v>
      </x:c>
      <x:c r="K110" s="27" t="n">
        <x:f>'Source Data'!F222+LN('Assumptions'!D56)+LN('Assumptions'!D35)</x:f>
        <x:v>8.056397553082528</x:v>
      </x:c>
      <x:c r="L110" s="27" t="n">
        <x:f>J110*(1-I110*(1-'Carrier Engine'!E91))</x:f>
        <x:v>4107.753632962539</x:v>
      </x:c>
      <x:c r="M110" s="29" t="n">
        <x:f>NORM.S.DIST((LN(L110)-K110)/'Assumptions'!$D$10,TRUE)</x:f>
        <x:v>0.5668184429915024</x:v>
      </x:c>
      <x:c r="N110" s="30" t="n">
        <x:f>MAX(0,H110-MAX(G110,M110))</x:f>
        <x:v>0.09984822367516422</x:v>
      </x:c>
      <x:c r="O110" s="28" t="n">
        <x:f>J110*I110</x:f>
        <x:v>1555.9672852130825</x:v>
      </x:c>
      <x:c r="P110" s="27" t="n">
        <x:f>(VLOOKUP(O110,'Fee Data'!$C$6:$G$50,2,TRUE)+O110*VLOOKUP(O110,'Fee Data'!$C$6:$G$50,3,TRUE)+VLOOKUP(O110,'Fee Data'!$I$6:$J$14,2,TRUE)+'Fee Data'!$J$20+'Fee Data'!$J$21)*'Assumptions'!D37</x:f>
        <x:v>640</x:v>
      </x:c>
      <x:c r="Q110" s="27" t="n">
        <x:f>(VLOOKUP(O110,'Fee Data'!$C$6:$G$50,4,TRUE)+O110*VLOOKUP(O110,'Fee Data'!$C$6:$G$50,5,TRUE)+VLOOKUP(O110,'Fee Data'!$I$6:$J$14,2,TRUE)+'Fee Data'!$J$20+'Fee Data'!$J$21)*'Assumptions'!D37</x:f>
        <x:v>510</x:v>
      </x:c>
      <x:c r="R110" s="27" t="n">
        <x:f>P110*(1-'Assumptions'!$D$14)+Q110*'Assumptions'!$D$14</x:f>
        <x:v>575</x:v>
      </x:c>
      <x:c r="S110" s="27" t="n">
        <x:f>O110*'Carrier Engine'!E91</x:f>
        <x:v>62.23869140852328</x:v>
      </x:c>
      <x:c r="T110" s="28" t="n">
        <x:f>R110+S110</x:f>
        <x:v>637.2386914085233</x:v>
      </x:c>
      <x:c r="U110" s="27" t="n">
        <x:f>N110*'Fleet Engine'!F205</x:f>
        <x:v>1161.7432210675538</x:v>
      </x:c>
      <x:c r="V110" s="28" t="n">
        <x:f>U110*T110</x:f>
        <x:v>740307.7299458109</x:v>
      </x:c>
      <x:c r="W110" s="28" t="n">
        <x:f>U110*O110</x:f>
        <x:v>1807634.4457991836</x:v>
      </x:c>
    </x:row>
    <x:row r="111" ht="19" customHeight="1">
      <x:c r="A111" s="2"/>
      <x:c r="B111" s="2"/>
      <x:c r="C111" s="46" t="n">
        <x:v>0</x:v>
      </x:c>
      <x:c r="D111" s="46" t="n">
        <x:v>11</x:v>
      </x:c>
      <x:c r="E111" s="46" t="n">
        <x:v>1</x:v>
      </x:c>
      <x:c r="F111" s="46" t="n">
        <x:v>5</x:v>
      </x:c>
      <x:c r="G111" s="12" t="n">
        <x:v>0.6666666666666666</x:v>
      </x:c>
      <x:c r="H111" s="12" t="n">
        <x:v>0.7777777777777778</x:v>
      </x:c>
      <x:c r="I111" s="29" t="n">
        <x:f>'Assumptions'!$D$11+'Assumptions'!$D$12*(0.5-(G111+H111)/2)</x:f>
        <x:v>0.25555555555555554</x:v>
      </x:c>
      <x:c r="J111" s="27" t="n">
        <x:f>'Assumptions'!$D$8*EXP(-'Assumptions'!$D$9*('Fleet Engine'!E205-10))*'Assumptions'!E56*'Assumptions'!D36</x:f>
        <x:v>5601.482226767098</x:v>
      </x:c>
      <x:c r="K111" s="27" t="n">
        <x:f>'Source Data'!F222+LN('Assumptions'!D56)+LN('Assumptions'!D35)</x:f>
        <x:v>8.056397553082528</x:v>
      </x:c>
      <x:c r="L111" s="27" t="n">
        <x:f>J111*(1-I111*(1-'Carrier Engine'!E91))</x:f>
        <x:v>4227.251920466903</x:v>
      </x:c>
      <x:c r="M111" s="29" t="n">
        <x:f>NORM.S.DIST((LN(L111)-K111)/'Assumptions'!$D$10,TRUE)</x:f>
        <x:v>0.5739902484750252</x:v>
      </x:c>
      <x:c r="N111" s="30" t="n">
        <x:f>MAX(0,H111-MAX(G111,M111))</x:f>
        <x:v>0.11111111111111116</x:v>
      </x:c>
      <x:c r="O111" s="28" t="n">
        <x:f>J111*I111</x:f>
        <x:v>1431.489902396036</x:v>
      </x:c>
      <x:c r="P111" s="27" t="n">
        <x:f>(VLOOKUP(O111,'Fee Data'!$C$6:$G$50,2,TRUE)+O111*VLOOKUP(O111,'Fee Data'!$C$6:$G$50,3,TRUE)+VLOOKUP(O111,'Fee Data'!$I$6:$J$14,2,TRUE)+'Fee Data'!$J$20+'Fee Data'!$J$21)*'Assumptions'!D37</x:f>
        <x:v>615</x:v>
      </x:c>
      <x:c r="Q111" s="27" t="n">
        <x:f>(VLOOKUP(O111,'Fee Data'!$C$6:$G$50,4,TRUE)+O111*VLOOKUP(O111,'Fee Data'!$C$6:$G$50,5,TRUE)+VLOOKUP(O111,'Fee Data'!$I$6:$J$14,2,TRUE)+'Fee Data'!$J$20+'Fee Data'!$J$21)*'Assumptions'!D37</x:f>
        <x:v>485</x:v>
      </x:c>
      <x:c r="R111" s="27" t="n">
        <x:f>P111*(1-'Assumptions'!$D$14)+Q111*'Assumptions'!$D$14</x:f>
        <x:v>550</x:v>
      </x:c>
      <x:c r="S111" s="27" t="n">
        <x:f>O111*'Carrier Engine'!E91</x:f>
        <x:v>57.259596095841424</x:v>
      </x:c>
      <x:c r="T111" s="28" t="n">
        <x:f>R111+S111</x:f>
        <x:v>607.2595960958414</x:v>
      </x:c>
      <x:c r="U111" s="27" t="n">
        <x:f>N111*'Fleet Engine'!F205</x:f>
        <x:v>1292.7879472203826</x:v>
      </x:c>
      <x:c r="V111" s="28" t="n">
        <x:f>U111*T111</x:f>
        <x:v>785057.8866666215</x:v>
      </x:c>
      <x:c r="W111" s="28" t="n">
        <x:f>U111*O111</x:f>
        <x:v>1850612.8923852774</x:v>
      </x:c>
    </x:row>
    <x:row r="112" ht="19" customHeight="1">
      <x:c r="A112" s="2"/>
      <x:c r="B112" s="2"/>
      <x:c r="C112" s="46" t="n">
        <x:v>0</x:v>
      </x:c>
      <x:c r="D112" s="46" t="n">
        <x:v>11</x:v>
      </x:c>
      <x:c r="E112" s="46" t="n">
        <x:v>1</x:v>
      </x:c>
      <x:c r="F112" s="46" t="n">
        <x:v>5</x:v>
      </x:c>
      <x:c r="G112" s="12" t="n">
        <x:v>0.7777777777777778</x:v>
      </x:c>
      <x:c r="H112" s="12" t="n">
        <x:v>0.8888888888888888</x:v>
      </x:c>
      <x:c r="I112" s="29" t="n">
        <x:f>'Assumptions'!$D$11+'Assumptions'!$D$12*(0.5-(G112+H112)/2)</x:f>
        <x:v>0.23333333333333334</x:v>
      </x:c>
      <x:c r="J112" s="27" t="n">
        <x:f>'Assumptions'!$D$8*EXP(-'Assumptions'!$D$9*('Fleet Engine'!E205-10))*'Assumptions'!E56*'Assumptions'!D36</x:f>
        <x:v>5601.482226767098</x:v>
      </x:c>
      <x:c r="K112" s="27" t="n">
        <x:f>'Source Data'!F222+LN('Assumptions'!D56)+LN('Assumptions'!D35)</x:f>
        <x:v>8.056397553082528</x:v>
      </x:c>
      <x:c r="L112" s="27" t="n">
        <x:f>J112*(1-I112*(1-'Carrier Engine'!E91))</x:f>
        <x:v>4346.7502079712685</x:v>
      </x:c>
      <x:c r="M112" s="29" t="n">
        <x:f>NORM.S.DIST((LN(L112)-K112)/'Assumptions'!$D$10,TRUE)</x:f>
        <x:v>0.5809387575906335</x:v>
      </x:c>
      <x:c r="N112" s="30" t="n">
        <x:f>MAX(0,H112-MAX(G112,M112))</x:f>
        <x:v>0.11111111111111105</x:v>
      </x:c>
      <x:c r="O112" s="28" t="n">
        <x:f>J112*I112</x:f>
        <x:v>1307.0125195789894</x:v>
      </x:c>
      <x:c r="P112" s="27" t="n">
        <x:f>(VLOOKUP(O112,'Fee Data'!$C$6:$G$50,2,TRUE)+O112*VLOOKUP(O112,'Fee Data'!$C$6:$G$50,3,TRUE)+VLOOKUP(O112,'Fee Data'!$I$6:$J$14,2,TRUE)+'Fee Data'!$J$20+'Fee Data'!$J$21)*'Assumptions'!D37</x:f>
        <x:v>595</x:v>
      </x:c>
      <x:c r="Q112" s="27" t="n">
        <x:f>(VLOOKUP(O112,'Fee Data'!$C$6:$G$50,4,TRUE)+O112*VLOOKUP(O112,'Fee Data'!$C$6:$G$50,5,TRUE)+VLOOKUP(O112,'Fee Data'!$I$6:$J$14,2,TRUE)+'Fee Data'!$J$20+'Fee Data'!$J$21)*'Assumptions'!D37</x:f>
        <x:v>470</x:v>
      </x:c>
      <x:c r="R112" s="27" t="n">
        <x:f>P112*(1-'Assumptions'!$D$14)+Q112*'Assumptions'!$D$14</x:f>
        <x:v>532.5</x:v>
      </x:c>
      <x:c r="S112" s="27" t="n">
        <x:f>O112*'Carrier Engine'!E91</x:f>
        <x:v>52.28050078315956</x:v>
      </x:c>
      <x:c r="T112" s="28" t="n">
        <x:f>R112+S112</x:f>
        <x:v>584.7805007831596</x:v>
      </x:c>
      <x:c r="U112" s="27" t="n">
        <x:f>N112*'Fleet Engine'!F205</x:f>
        <x:v>1292.7879472203813</x:v>
      </x:c>
      <x:c r="V112" s="28" t="n">
        <x:f>U112*T112</x:f>
        <x:v>755997.1831819675</x:v>
      </x:c>
      <x:c r="W112" s="28" t="n">
        <x:f>U112*O112</x:f>
        <x:v>1689690.0321778602</x:v>
      </x:c>
    </x:row>
    <x:row r="113" ht="19" customHeight="1">
      <x:c r="A113" s="2"/>
      <x:c r="B113" s="2"/>
      <x:c r="C113" s="46" t="n">
        <x:v>0</x:v>
      </x:c>
      <x:c r="D113" s="46" t="n">
        <x:v>11</x:v>
      </x:c>
      <x:c r="E113" s="46" t="n">
        <x:v>1</x:v>
      </x:c>
      <x:c r="F113" s="46" t="n">
        <x:v>5</x:v>
      </x:c>
      <x:c r="G113" s="12" t="n">
        <x:v>0.8888888888888888</x:v>
      </x:c>
      <x:c r="H113" s="12" t="n">
        <x:v>1</x:v>
      </x:c>
      <x:c r="I113" s="29" t="n">
        <x:f>'Assumptions'!$D$11+'Assumptions'!$D$12*(0.5-(G113+H113)/2)</x:f>
        <x:v>0.21111111111111108</x:v>
      </x:c>
      <x:c r="J113" s="27" t="n">
        <x:f>'Assumptions'!$D$8*EXP(-'Assumptions'!$D$9*('Fleet Engine'!E205-10))*'Assumptions'!E56*'Assumptions'!D36</x:f>
        <x:v>5601.482226767098</x:v>
      </x:c>
      <x:c r="K113" s="27" t="n">
        <x:f>'Source Data'!F222+LN('Assumptions'!D56)+LN('Assumptions'!D35)</x:f>
        <x:v>8.056397553082528</x:v>
      </x:c>
      <x:c r="L113" s="27" t="n">
        <x:f>J113*(1-I113*(1-'Carrier Engine'!E91))</x:f>
        <x:v>4466.248495475633</x:v>
      </x:c>
      <x:c r="M113" s="29" t="n">
        <x:f>NORM.S.DIST((LN(L113)-K113)/'Assumptions'!$D$10,TRUE)</x:f>
        <x:v>0.5876746859896276</x:v>
      </x:c>
      <x:c r="N113" s="30" t="n">
        <x:f>MAX(0,H113-MAX(G113,M113))</x:f>
        <x:v>0.11111111111111116</x:v>
      </x:c>
      <x:c r="O113" s="28" t="n">
        <x:f>J113*I113</x:f>
        <x:v>1182.5351367619428</x:v>
      </x:c>
      <x:c r="P113" s="27" t="n">
        <x:f>(VLOOKUP(O113,'Fee Data'!$C$6:$G$50,2,TRUE)+O113*VLOOKUP(O113,'Fee Data'!$C$6:$G$50,3,TRUE)+VLOOKUP(O113,'Fee Data'!$I$6:$J$14,2,TRUE)+'Fee Data'!$J$20+'Fee Data'!$J$21)*'Assumptions'!D37</x:f>
        <x:v>560</x:v>
      </x:c>
      <x:c r="Q113" s="27" t="n">
        <x:f>(VLOOKUP(O113,'Fee Data'!$C$6:$G$50,4,TRUE)+O113*VLOOKUP(O113,'Fee Data'!$C$6:$G$50,5,TRUE)+VLOOKUP(O113,'Fee Data'!$I$6:$J$14,2,TRUE)+'Fee Data'!$J$20+'Fee Data'!$J$21)*'Assumptions'!D37</x:f>
        <x:v>435</x:v>
      </x:c>
      <x:c r="R113" s="27" t="n">
        <x:f>P113*(1-'Assumptions'!$D$14)+Q113*'Assumptions'!$D$14</x:f>
        <x:v>497.5</x:v>
      </x:c>
      <x:c r="S113" s="27" t="n">
        <x:f>O113*'Carrier Engine'!E91</x:f>
        <x:v>47.3014054704777</x:v>
      </x:c>
      <x:c r="T113" s="28" t="n">
        <x:f>R113+S113</x:f>
        <x:v>544.8014054704777</x:v>
      </x:c>
      <x:c r="U113" s="27" t="n">
        <x:f>N113*'Fleet Engine'!F205</x:f>
        <x:v>1292.7879472203826</x:v>
      </x:c>
      <x:c r="V113" s="28" t="n">
        <x:f>U113*T113</x:f>
        <x:v>704312.6906209582</x:v>
      </x:c>
      <x:c r="W113" s="28" t="n">
        <x:f>U113*O113</x:f>
        <x:v>1528767.1719704466</x:v>
      </x:c>
    </x:row>
    <x:row r="114" ht="19" customHeight="1">
      <x:c r="A114" s="2"/>
      <x:c r="B114" s="2"/>
      <x:c r="C114" s="46" t="n">
        <x:v>0</x:v>
      </x:c>
      <x:c r="D114" s="46" t="n">
        <x:v>12</x:v>
      </x:c>
      <x:c r="E114" s="46" t="n">
        <x:v>2</x:v>
      </x:c>
      <x:c r="F114" s="46" t="n">
        <x:v>0</x:v>
      </x:c>
      <x:c r="G114" s="12" t="n">
        <x:v>0</x:v>
      </x:c>
      <x:c r="H114" s="12" t="n">
        <x:v>0.1111111111111111</x:v>
      </x:c>
      <x:c r="I114" s="29" t="n">
        <x:f>'Assumptions'!$D$11+'Assumptions'!$D$12*(0.5-(G114+H114)/2)</x:f>
        <x:v>0.3888888888888889</x:v>
      </x:c>
      <x:c r="J114" s="27" t="n">
        <x:f>'Assumptions'!$D$8*EXP(-'Assumptions'!$D$9*('Fleet Engine'!E206-10))*'Assumptions'!E57*'Assumptions'!D36</x:f>
        <x:v>40583.94769889355</x:v>
      </x:c>
      <x:c r="K114" s="27" t="n">
        <x:f>'Source Data'!F217+LN('Assumptions'!D57)+LN('Assumptions'!D35)</x:f>
        <x:v>8.2942644758604</x:v>
      </x:c>
      <x:c r="L114" s="27" t="n">
        <x:f>J114*(1-I114*(1-'Carrier Engine'!E91))</x:f>
        <x:v>25432.60722463996</x:v>
      </x:c>
      <x:c r="M114" s="29" t="n">
        <x:f>NORM.S.DIST((LN(L114)-K114)/'Assumptions'!$D$10,TRUE)</x:f>
        <x:v>0.8805788825170106</x:v>
      </x:c>
      <x:c r="N114" s="30" t="n">
        <x:f>MAX(0,H114-MAX(G114,M114))</x:f>
        <x:v>0</x:v>
      </x:c>
      <x:c r="O114" s="28" t="n">
        <x:f>J114*I114</x:f>
        <x:v>15782.646327347491</x:v>
      </x:c>
      <x:c r="P114" s="27" t="n">
        <x:f>(VLOOKUP(O114,'Fee Data'!$C$6:$G$50,2,TRUE)+O114*VLOOKUP(O114,'Fee Data'!$C$6:$G$50,3,TRUE)+VLOOKUP(O114,'Fee Data'!$I$6:$J$14,2,TRUE)+'Fee Data'!$J$20+'Fee Data'!$J$21)*'Assumptions'!D37</x:f>
        <x:v>1433.6984745510617</x:v>
      </x:c>
      <x:c r="Q114" s="27" t="n">
        <x:f>(VLOOKUP(O114,'Fee Data'!$C$6:$G$50,4,TRUE)+O114*VLOOKUP(O114,'Fee Data'!$C$6:$G$50,5,TRUE)+VLOOKUP(O114,'Fee Data'!$I$6:$J$14,2,TRUE)+'Fee Data'!$J$20+'Fee Data'!$J$21)*'Assumptions'!D37</x:f>
        <x:v>1196.9587796408496</x:v>
      </x:c>
      <x:c r="R114" s="27" t="n">
        <x:f>P114*(1-'Assumptions'!$D$14)+Q114*'Assumptions'!$D$14</x:f>
        <x:v>1315.3286270959557</x:v>
      </x:c>
      <x:c r="S114" s="27" t="n">
        <x:f>O114*'Carrier Engine'!E91</x:f>
        <x:v>631.3058530938995</x:v>
      </x:c>
      <x:c r="T114" s="28" t="n">
        <x:f>R114+S114</x:f>
        <x:v>1946.6344801898551</x:v>
      </x:c>
      <x:c r="U114" s="27" t="n">
        <x:f>N114*'Fleet Engine'!F206</x:f>
        <x:v>0</x:v>
      </x:c>
      <x:c r="V114" s="28" t="n">
        <x:f>U114*T114</x:f>
        <x:v>0</x:v>
      </x:c>
      <x:c r="W114" s="28" t="n">
        <x:f>U114*O114</x:f>
        <x:v>0</x:v>
      </x:c>
    </x:row>
    <x:row r="115" ht="19" customHeight="1">
      <x:c r="A115" s="2"/>
      <x:c r="B115" s="2"/>
      <x:c r="C115" s="46" t="n">
        <x:v>0</x:v>
      </x:c>
      <x:c r="D115" s="46" t="n">
        <x:v>12</x:v>
      </x:c>
      <x:c r="E115" s="46" t="n">
        <x:v>2</x:v>
      </x:c>
      <x:c r="F115" s="46" t="n">
        <x:v>0</x:v>
      </x:c>
      <x:c r="G115" s="12" t="n">
        <x:v>0.1111111111111111</x:v>
      </x:c>
      <x:c r="H115" s="12" t="n">
        <x:v>0.2222222222222222</x:v>
      </x:c>
      <x:c r="I115" s="29" t="n">
        <x:f>'Assumptions'!$D$11+'Assumptions'!$D$12*(0.5-(G115+H115)/2)</x:f>
        <x:v>0.3666666666666667</x:v>
      </x:c>
      <x:c r="J115" s="27" t="n">
        <x:f>'Assumptions'!$D$8*EXP(-'Assumptions'!$D$9*('Fleet Engine'!E206-10))*'Assumptions'!E57*'Assumptions'!D36</x:f>
        <x:v>40583.94769889355</x:v>
      </x:c>
      <x:c r="K115" s="27" t="n">
        <x:f>'Source Data'!F217+LN('Assumptions'!D57)+LN('Assumptions'!D35)</x:f>
        <x:v>8.2942644758604</x:v>
      </x:c>
      <x:c r="L115" s="27" t="n">
        <x:f>J115*(1-I115*(1-'Carrier Engine'!E91))</x:f>
        <x:v>26298.398108883015</x:v>
      </x:c>
      <x:c r="M115" s="29" t="n">
        <x:f>NORM.S.DIST((LN(L115)-K115)/'Assumptions'!$D$10,TRUE)</x:f>
        <x:v>0.8847758792317063</x:v>
      </x:c>
      <x:c r="N115" s="30" t="n">
        <x:f>MAX(0,H115-MAX(G115,M115))</x:f>
        <x:v>0</x:v>
      </x:c>
      <x:c r="O115" s="28" t="n">
        <x:f>J115*I115</x:f>
        <x:v>14880.780822927636</x:v>
      </x:c>
      <x:c r="P115" s="27" t="n">
        <x:f>(VLOOKUP(O115,'Fee Data'!$C$6:$G$50,2,TRUE)+O115*VLOOKUP(O115,'Fee Data'!$C$6:$G$50,3,TRUE)+VLOOKUP(O115,'Fee Data'!$I$6:$J$14,2,TRUE)+'Fee Data'!$J$20+'Fee Data'!$J$21)*'Assumptions'!D37</x:f>
        <x:v>1250</x:v>
      </x:c>
      <x:c r="Q115" s="27" t="n">
        <x:f>(VLOOKUP(O115,'Fee Data'!$C$6:$G$50,4,TRUE)+O115*VLOOKUP(O115,'Fee Data'!$C$6:$G$50,5,TRUE)+VLOOKUP(O115,'Fee Data'!$I$6:$J$14,2,TRUE)+'Fee Data'!$J$20+'Fee Data'!$J$21)*'Assumptions'!D37</x:f>
        <x:v>1140</x:v>
      </x:c>
      <x:c r="R115" s="27" t="n">
        <x:f>P115*(1-'Assumptions'!$D$14)+Q115*'Assumptions'!$D$14</x:f>
        <x:v>1195</x:v>
      </x:c>
      <x:c r="S115" s="27" t="n">
        <x:f>O115*'Carrier Engine'!E91</x:f>
        <x:v>595.2312329171052</x:v>
      </x:c>
      <x:c r="T115" s="28" t="n">
        <x:f>R115+S115</x:f>
        <x:v>1790.2312329171052</x:v>
      </x:c>
      <x:c r="U115" s="27" t="n">
        <x:f>N115*'Fleet Engine'!F206</x:f>
        <x:v>0</x:v>
      </x:c>
      <x:c r="V115" s="28" t="n">
        <x:f>U115*T115</x:f>
        <x:v>0</x:v>
      </x:c>
      <x:c r="W115" s="28" t="n">
        <x:f>U115*O115</x:f>
        <x:v>0</x:v>
      </x:c>
    </x:row>
    <x:row r="116" ht="19" customHeight="1">
      <x:c r="A116" s="2"/>
      <x:c r="B116" s="2"/>
      <x:c r="C116" s="46" t="n">
        <x:v>0</x:v>
      </x:c>
      <x:c r="D116" s="46" t="n">
        <x:v>12</x:v>
      </x:c>
      <x:c r="E116" s="46" t="n">
        <x:v>2</x:v>
      </x:c>
      <x:c r="F116" s="46" t="n">
        <x:v>0</x:v>
      </x:c>
      <x:c r="G116" s="12" t="n">
        <x:v>0.2222222222222222</x:v>
      </x:c>
      <x:c r="H116" s="12" t="n">
        <x:v>0.3333333333333333</x:v>
      </x:c>
      <x:c r="I116" s="29" t="n">
        <x:f>'Assumptions'!$D$11+'Assumptions'!$D$12*(0.5-(G116+H116)/2)</x:f>
        <x:v>0.34444444444444444</x:v>
      </x:c>
      <x:c r="J116" s="27" t="n">
        <x:f>'Assumptions'!$D$8*EXP(-'Assumptions'!$D$9*('Fleet Engine'!E206-10))*'Assumptions'!E57*'Assumptions'!D36</x:f>
        <x:v>40583.94769889355</x:v>
      </x:c>
      <x:c r="K116" s="27" t="n">
        <x:f>'Source Data'!F217+LN('Assumptions'!D57)+LN('Assumptions'!D35)</x:f>
        <x:v>8.2942644758604</x:v>
      </x:c>
      <x:c r="L116" s="27" t="n">
        <x:f>J116*(1-I116*(1-'Carrier Engine'!E91))</x:f>
        <x:v>27164.18899312608</x:v>
      </x:c>
      <x:c r="M116" s="29" t="n">
        <x:f>NORM.S.DIST((LN(L116)-K116)/'Assumptions'!$D$10,TRUE)</x:f>
        <x:v>0.888736062055902</x:v>
      </x:c>
      <x:c r="N116" s="30" t="n">
        <x:f>MAX(0,H116-MAX(G116,M116))</x:f>
        <x:v>0</x:v>
      </x:c>
      <x:c r="O116" s="28" t="n">
        <x:f>J116*I116</x:f>
        <x:v>13978.915318507778</x:v>
      </x:c>
      <x:c r="P116" s="27" t="n">
        <x:f>(VLOOKUP(O116,'Fee Data'!$C$6:$G$50,2,TRUE)+O116*VLOOKUP(O116,'Fee Data'!$C$6:$G$50,3,TRUE)+VLOOKUP(O116,'Fee Data'!$I$6:$J$14,2,TRUE)+'Fee Data'!$J$20+'Fee Data'!$J$21)*'Assumptions'!D37</x:f>
        <x:v>1250</x:v>
      </x:c>
      <x:c r="Q116" s="27" t="n">
        <x:f>(VLOOKUP(O116,'Fee Data'!$C$6:$G$50,4,TRUE)+O116*VLOOKUP(O116,'Fee Data'!$C$6:$G$50,5,TRUE)+VLOOKUP(O116,'Fee Data'!$I$6:$J$14,2,TRUE)+'Fee Data'!$J$20+'Fee Data'!$J$21)*'Assumptions'!D37</x:f>
        <x:v>1140</x:v>
      </x:c>
      <x:c r="R116" s="27" t="n">
        <x:f>P116*(1-'Assumptions'!$D$14)+Q116*'Assumptions'!$D$14</x:f>
        <x:v>1195</x:v>
      </x:c>
      <x:c r="S116" s="27" t="n">
        <x:f>O116*'Carrier Engine'!E91</x:f>
        <x:v>559.156612740311</x:v>
      </x:c>
      <x:c r="T116" s="28" t="n">
        <x:f>R116+S116</x:f>
        <x:v>1754.156612740311</x:v>
      </x:c>
      <x:c r="U116" s="27" t="n">
        <x:f>N116*'Fleet Engine'!F206</x:f>
        <x:v>0</x:v>
      </x:c>
      <x:c r="V116" s="28" t="n">
        <x:f>U116*T116</x:f>
        <x:v>0</x:v>
      </x:c>
      <x:c r="W116" s="28" t="n">
        <x:f>U116*O116</x:f>
        <x:v>0</x:v>
      </x:c>
    </x:row>
    <x:row r="117" ht="19" customHeight="1">
      <x:c r="A117" s="2"/>
      <x:c r="B117" s="2"/>
      <x:c r="C117" s="46" t="n">
        <x:v>0</x:v>
      </x:c>
      <x:c r="D117" s="46" t="n">
        <x:v>12</x:v>
      </x:c>
      <x:c r="E117" s="46" t="n">
        <x:v>2</x:v>
      </x:c>
      <x:c r="F117" s="46" t="n">
        <x:v>0</x:v>
      </x:c>
      <x:c r="G117" s="12" t="n">
        <x:v>0.3333333333333333</x:v>
      </x:c>
      <x:c r="H117" s="12" t="n">
        <x:v>0.4444444444444444</x:v>
      </x:c>
      <x:c r="I117" s="29" t="n">
        <x:f>'Assumptions'!$D$11+'Assumptions'!$D$12*(0.5-(G117+H117)/2)</x:f>
        <x:v>0.32222222222222224</x:v>
      </x:c>
      <x:c r="J117" s="27" t="n">
        <x:f>'Assumptions'!$D$8*EXP(-'Assumptions'!$D$9*('Fleet Engine'!E206-10))*'Assumptions'!E57*'Assumptions'!D36</x:f>
        <x:v>40583.94769889355</x:v>
      </x:c>
      <x:c r="K117" s="27" t="n">
        <x:f>'Source Data'!F217+LN('Assumptions'!D57)+LN('Assumptions'!D35)</x:f>
        <x:v>8.2942644758604</x:v>
      </x:c>
      <x:c r="L117" s="27" t="n">
        <x:f>J117*(1-I117*(1-'Carrier Engine'!E91))</x:f>
        <x:v>28029.979877369144</x:v>
      </x:c>
      <x:c r="M117" s="29" t="n">
        <x:f>NORM.S.DIST((LN(L117)-K117)/'Assumptions'!$D$10,TRUE)</x:f>
        <x:v>0.8924781519277265</x:v>
      </x:c>
      <x:c r="N117" s="30" t="n">
        <x:f>MAX(0,H117-MAX(G117,M117))</x:f>
        <x:v>0</x:v>
      </x:c>
      <x:c r="O117" s="28" t="n">
        <x:f>J117*I117</x:f>
        <x:v>13077.049814087923</x:v>
      </x:c>
      <x:c r="P117" s="27" t="n">
        <x:f>(VLOOKUP(O117,'Fee Data'!$C$6:$G$50,2,TRUE)+O117*VLOOKUP(O117,'Fee Data'!$C$6:$G$50,3,TRUE)+VLOOKUP(O117,'Fee Data'!$I$6:$J$14,2,TRUE)+'Fee Data'!$J$20+'Fee Data'!$J$21)*'Assumptions'!D37</x:f>
        <x:v>1250</x:v>
      </x:c>
      <x:c r="Q117" s="27" t="n">
        <x:f>(VLOOKUP(O117,'Fee Data'!$C$6:$G$50,4,TRUE)+O117*VLOOKUP(O117,'Fee Data'!$C$6:$G$50,5,TRUE)+VLOOKUP(O117,'Fee Data'!$I$6:$J$14,2,TRUE)+'Fee Data'!$J$20+'Fee Data'!$J$21)*'Assumptions'!D37</x:f>
        <x:v>1140</x:v>
      </x:c>
      <x:c r="R117" s="27" t="n">
        <x:f>P117*(1-'Assumptions'!$D$14)+Q117*'Assumptions'!$D$14</x:f>
        <x:v>1195</x:v>
      </x:c>
      <x:c r="S117" s="27" t="n">
        <x:f>O117*'Carrier Engine'!E91</x:f>
        <x:v>523.0819925635167</x:v>
      </x:c>
      <x:c r="T117" s="28" t="n">
        <x:f>R117+S117</x:f>
        <x:v>1718.0819925635167</x:v>
      </x:c>
      <x:c r="U117" s="27" t="n">
        <x:f>N117*'Fleet Engine'!F206</x:f>
        <x:v>0</x:v>
      </x:c>
      <x:c r="V117" s="28" t="n">
        <x:f>U117*T117</x:f>
        <x:v>0</x:v>
      </x:c>
      <x:c r="W117" s="28" t="n">
        <x:f>U117*O117</x:f>
        <x:v>0</x:v>
      </x:c>
    </x:row>
    <x:row r="118" ht="19" customHeight="1">
      <x:c r="A118" s="2"/>
      <x:c r="B118" s="2"/>
      <x:c r="C118" s="46" t="n">
        <x:v>0</x:v>
      </x:c>
      <x:c r="D118" s="46" t="n">
        <x:v>12</x:v>
      </x:c>
      <x:c r="E118" s="46" t="n">
        <x:v>2</x:v>
      </x:c>
      <x:c r="F118" s="46" t="n">
        <x:v>0</x:v>
      </x:c>
      <x:c r="G118" s="12" t="n">
        <x:v>0.4444444444444444</x:v>
      </x:c>
      <x:c r="H118" s="12" t="n">
        <x:v>0.5555555555555556</x:v>
      </x:c>
      <x:c r="I118" s="29" t="n">
        <x:f>'Assumptions'!$D$11+'Assumptions'!$D$12*(0.5-(G118+H118)/2)</x:f>
        <x:v>0.3</x:v>
      </x:c>
      <x:c r="J118" s="27" t="n">
        <x:f>'Assumptions'!$D$8*EXP(-'Assumptions'!$D$9*('Fleet Engine'!E206-10))*'Assumptions'!E57*'Assumptions'!D36</x:f>
        <x:v>40583.94769889355</x:v>
      </x:c>
      <x:c r="K118" s="27" t="n">
        <x:f>'Source Data'!F217+LN('Assumptions'!D57)+LN('Assumptions'!D35)</x:f>
        <x:v>8.2942644758604</x:v>
      </x:c>
      <x:c r="L118" s="27" t="n">
        <x:f>J118*(1-I118*(1-'Carrier Engine'!E91))</x:f>
        <x:v>28895.770761612206</x:v>
      </x:c>
      <x:c r="M118" s="29" t="n">
        <x:f>NORM.S.DIST((LN(L118)-K118)/'Assumptions'!$D$10,TRUE)</x:f>
        <x:v>0.8960189619269877</x:v>
      </x:c>
      <x:c r="N118" s="30" t="n">
        <x:f>MAX(0,H118-MAX(G118,M118))</x:f>
        <x:v>0</x:v>
      </x:c>
      <x:c r="O118" s="28" t="n">
        <x:f>J118*I118</x:f>
        <x:v>12175.184309668064</x:v>
      </x:c>
      <x:c r="P118" s="27" t="n">
        <x:f>(VLOOKUP(O118,'Fee Data'!$C$6:$G$50,2,TRUE)+O118*VLOOKUP(O118,'Fee Data'!$C$6:$G$50,3,TRUE)+VLOOKUP(O118,'Fee Data'!$I$6:$J$14,2,TRUE)+'Fee Data'!$J$20+'Fee Data'!$J$21)*'Assumptions'!D37</x:f>
        <x:v>1250</x:v>
      </x:c>
      <x:c r="Q118" s="27" t="n">
        <x:f>(VLOOKUP(O118,'Fee Data'!$C$6:$G$50,4,TRUE)+O118*VLOOKUP(O118,'Fee Data'!$C$6:$G$50,5,TRUE)+VLOOKUP(O118,'Fee Data'!$I$6:$J$14,2,TRUE)+'Fee Data'!$J$20+'Fee Data'!$J$21)*'Assumptions'!D37</x:f>
        <x:v>1125</x:v>
      </x:c>
      <x:c r="R118" s="27" t="n">
        <x:f>P118*(1-'Assumptions'!$D$14)+Q118*'Assumptions'!$D$14</x:f>
        <x:v>1187.5</x:v>
      </x:c>
      <x:c r="S118" s="27" t="n">
        <x:f>O118*'Carrier Engine'!E91</x:f>
        <x:v>487.0073723867224</x:v>
      </x:c>
      <x:c r="T118" s="28" t="n">
        <x:f>R118+S118</x:f>
        <x:v>1674.5073723867224</x:v>
      </x:c>
      <x:c r="U118" s="27" t="n">
        <x:f>N118*'Fleet Engine'!F206</x:f>
        <x:v>0</x:v>
      </x:c>
      <x:c r="V118" s="28" t="n">
        <x:f>U118*T118</x:f>
        <x:v>0</x:v>
      </x:c>
      <x:c r="W118" s="28" t="n">
        <x:f>U118*O118</x:f>
        <x:v>0</x:v>
      </x:c>
    </x:row>
    <x:row r="119" ht="19" customHeight="1">
      <x:c r="A119" s="2"/>
      <x:c r="B119" s="2"/>
      <x:c r="C119" s="46" t="n">
        <x:v>0</x:v>
      </x:c>
      <x:c r="D119" s="46" t="n">
        <x:v>12</x:v>
      </x:c>
      <x:c r="E119" s="46" t="n">
        <x:v>2</x:v>
      </x:c>
      <x:c r="F119" s="46" t="n">
        <x:v>0</x:v>
      </x:c>
      <x:c r="G119" s="12" t="n">
        <x:v>0.5555555555555556</x:v>
      </x:c>
      <x:c r="H119" s="12" t="n">
        <x:v>0.6666666666666666</x:v>
      </x:c>
      <x:c r="I119" s="29" t="n">
        <x:f>'Assumptions'!$D$11+'Assumptions'!$D$12*(0.5-(G119+H119)/2)</x:f>
        <x:v>0.27777777777777773</x:v>
      </x:c>
      <x:c r="J119" s="27" t="n">
        <x:f>'Assumptions'!$D$8*EXP(-'Assumptions'!$D$9*('Fleet Engine'!E206-10))*'Assumptions'!E57*'Assumptions'!D36</x:f>
        <x:v>40583.94769889355</x:v>
      </x:c>
      <x:c r="K119" s="27" t="n">
        <x:f>'Source Data'!F217+LN('Assumptions'!D57)+LN('Assumptions'!D35)</x:f>
        <x:v>8.2942644758604</x:v>
      </x:c>
      <x:c r="L119" s="27" t="n">
        <x:f>J119*(1-I119*(1-'Carrier Engine'!E91))</x:f>
        <x:v>29761.561645855272</x:v>
      </x:c>
      <x:c r="M119" s="29" t="n">
        <x:f>NORM.S.DIST((LN(L119)-K119)/'Assumptions'!$D$10,TRUE)</x:f>
        <x:v>0.899373634683205</x:v>
      </x:c>
      <x:c r="N119" s="30" t="n">
        <x:f>MAX(0,H119-MAX(G119,M119))</x:f>
        <x:v>0</x:v>
      </x:c>
      <x:c r="O119" s="28" t="n">
        <x:f>J119*I119</x:f>
        <x:v>11273.318805248206</x:v>
      </x:c>
      <x:c r="P119" s="27" t="n">
        <x:f>(VLOOKUP(O119,'Fee Data'!$C$6:$G$50,2,TRUE)+O119*VLOOKUP(O119,'Fee Data'!$C$6:$G$50,3,TRUE)+VLOOKUP(O119,'Fee Data'!$I$6:$J$14,2,TRUE)+'Fee Data'!$J$20+'Fee Data'!$J$21)*'Assumptions'!D37</x:f>
        <x:v>1250</x:v>
      </x:c>
      <x:c r="Q119" s="27" t="n">
        <x:f>(VLOOKUP(O119,'Fee Data'!$C$6:$G$50,4,TRUE)+O119*VLOOKUP(O119,'Fee Data'!$C$6:$G$50,5,TRUE)+VLOOKUP(O119,'Fee Data'!$I$6:$J$14,2,TRUE)+'Fee Data'!$J$20+'Fee Data'!$J$21)*'Assumptions'!D37</x:f>
        <x:v>1100</x:v>
      </x:c>
      <x:c r="R119" s="27" t="n">
        <x:f>P119*(1-'Assumptions'!$D$14)+Q119*'Assumptions'!$D$14</x:f>
        <x:v>1175</x:v>
      </x:c>
      <x:c r="S119" s="27" t="n">
        <x:f>O119*'Carrier Engine'!E91</x:f>
        <x:v>450.9327522099281</x:v>
      </x:c>
      <x:c r="T119" s="28" t="n">
        <x:f>R119+S119</x:f>
        <x:v>1625.9327522099281</x:v>
      </x:c>
      <x:c r="U119" s="27" t="n">
        <x:f>N119*'Fleet Engine'!F206</x:f>
        <x:v>0</x:v>
      </x:c>
      <x:c r="V119" s="28" t="n">
        <x:f>U119*T119</x:f>
        <x:v>0</x:v>
      </x:c>
      <x:c r="W119" s="28" t="n">
        <x:f>U119*O119</x:f>
        <x:v>0</x:v>
      </x:c>
    </x:row>
    <x:row r="120" ht="19" customHeight="1">
      <x:c r="A120" s="2"/>
      <x:c r="B120" s="2"/>
      <x:c r="C120" s="46" t="n">
        <x:v>0</x:v>
      </x:c>
      <x:c r="D120" s="46" t="n">
        <x:v>12</x:v>
      </x:c>
      <x:c r="E120" s="46" t="n">
        <x:v>2</x:v>
      </x:c>
      <x:c r="F120" s="46" t="n">
        <x:v>0</x:v>
      </x:c>
      <x:c r="G120" s="12" t="n">
        <x:v>0.6666666666666666</x:v>
      </x:c>
      <x:c r="H120" s="12" t="n">
        <x:v>0.7777777777777778</x:v>
      </x:c>
      <x:c r="I120" s="29" t="n">
        <x:f>'Assumptions'!$D$11+'Assumptions'!$D$12*(0.5-(G120+H120)/2)</x:f>
        <x:v>0.25555555555555554</x:v>
      </x:c>
      <x:c r="J120" s="27" t="n">
        <x:f>'Assumptions'!$D$8*EXP(-'Assumptions'!$D$9*('Fleet Engine'!E206-10))*'Assumptions'!E57*'Assumptions'!D36</x:f>
        <x:v>40583.94769889355</x:v>
      </x:c>
      <x:c r="K120" s="27" t="n">
        <x:f>'Source Data'!F217+LN('Assumptions'!D57)+LN('Assumptions'!D35)</x:f>
        <x:v>8.2942644758604</x:v>
      </x:c>
      <x:c r="L120" s="27" t="n">
        <x:f>J120*(1-I120*(1-'Carrier Engine'!E91))</x:f>
        <x:v>30627.352530098335</x:v>
      </x:c>
      <x:c r="M120" s="29" t="n">
        <x:f>NORM.S.DIST((LN(L120)-K120)/'Assumptions'!$D$10,TRUE)</x:f>
        <x:v>0.9025558450372322</x:v>
      </x:c>
      <x:c r="N120" s="30" t="n">
        <x:f>MAX(0,H120-MAX(G120,M120))</x:f>
        <x:v>0</x:v>
      </x:c>
      <x:c r="O120" s="28" t="n">
        <x:f>J120*I120</x:f>
        <x:v>10371.45330082835</x:v>
      </x:c>
      <x:c r="P120" s="27" t="n">
        <x:f>(VLOOKUP(O120,'Fee Data'!$C$6:$G$50,2,TRUE)+O120*VLOOKUP(O120,'Fee Data'!$C$6:$G$50,3,TRUE)+VLOOKUP(O120,'Fee Data'!$I$6:$J$14,2,TRUE)+'Fee Data'!$J$20+'Fee Data'!$J$21)*'Assumptions'!D37</x:f>
        <x:v>1250</x:v>
      </x:c>
      <x:c r="Q120" s="27" t="n">
        <x:f>(VLOOKUP(O120,'Fee Data'!$C$6:$G$50,4,TRUE)+O120*VLOOKUP(O120,'Fee Data'!$C$6:$G$50,5,TRUE)+VLOOKUP(O120,'Fee Data'!$I$6:$J$14,2,TRUE)+'Fee Data'!$J$20+'Fee Data'!$J$21)*'Assumptions'!D37</x:f>
        <x:v>1100</x:v>
      </x:c>
      <x:c r="R120" s="27" t="n">
        <x:f>P120*(1-'Assumptions'!$D$14)+Q120*'Assumptions'!$D$14</x:f>
        <x:v>1175</x:v>
      </x:c>
      <x:c r="S120" s="27" t="n">
        <x:f>O120*'Carrier Engine'!E91</x:f>
        <x:v>414.85813203313387</x:v>
      </x:c>
      <x:c r="T120" s="28" t="n">
        <x:f>R120+S120</x:f>
        <x:v>1589.8581320331339</x:v>
      </x:c>
      <x:c r="U120" s="27" t="n">
        <x:f>N120*'Fleet Engine'!F206</x:f>
        <x:v>0</x:v>
      </x:c>
      <x:c r="V120" s="28" t="n">
        <x:f>U120*T120</x:f>
        <x:v>0</x:v>
      </x:c>
      <x:c r="W120" s="28" t="n">
        <x:f>U120*O120</x:f>
        <x:v>0</x:v>
      </x:c>
    </x:row>
    <x:row r="121" ht="19" customHeight="1">
      <x:c r="A121" s="2"/>
      <x:c r="B121" s="2"/>
      <x:c r="C121" s="46" t="n">
        <x:v>0</x:v>
      </x:c>
      <x:c r="D121" s="46" t="n">
        <x:v>12</x:v>
      </x:c>
      <x:c r="E121" s="46" t="n">
        <x:v>2</x:v>
      </x:c>
      <x:c r="F121" s="46" t="n">
        <x:v>0</x:v>
      </x:c>
      <x:c r="G121" s="12" t="n">
        <x:v>0.7777777777777778</x:v>
      </x:c>
      <x:c r="H121" s="12" t="n">
        <x:v>0.8888888888888888</x:v>
      </x:c>
      <x:c r="I121" s="29" t="n">
        <x:f>'Assumptions'!$D$11+'Assumptions'!$D$12*(0.5-(G121+H121)/2)</x:f>
        <x:v>0.23333333333333334</x:v>
      </x:c>
      <x:c r="J121" s="27" t="n">
        <x:f>'Assumptions'!$D$8*EXP(-'Assumptions'!$D$9*('Fleet Engine'!E206-10))*'Assumptions'!E57*'Assumptions'!D36</x:f>
        <x:v>40583.94769889355</x:v>
      </x:c>
      <x:c r="K121" s="27" t="n">
        <x:f>'Source Data'!F217+LN('Assumptions'!D57)+LN('Assumptions'!D35)</x:f>
        <x:v>8.2942644758604</x:v>
      </x:c>
      <x:c r="L121" s="27" t="n">
        <x:f>J121*(1-I121*(1-'Carrier Engine'!E91))</x:f>
        <x:v>31493.143414341394</x:v>
      </x:c>
      <x:c r="M121" s="29" t="n">
        <x:f>NORM.S.DIST((LN(L121)-K121)/'Assumptions'!$D$10,TRUE)</x:f>
        <x:v>0.9055779737778874</x:v>
      </x:c>
      <x:c r="N121" s="30" t="n">
        <x:f>MAX(0,H121-MAX(G121,M121))</x:f>
        <x:v>0</x:v>
      </x:c>
      <x:c r="O121" s="28" t="n">
        <x:f>J121*I121</x:f>
        <x:v>9469.587796408496</x:v>
      </x:c>
      <x:c r="P121" s="27" t="n">
        <x:f>(VLOOKUP(O121,'Fee Data'!$C$6:$G$50,2,TRUE)+O121*VLOOKUP(O121,'Fee Data'!$C$6:$G$50,3,TRUE)+VLOOKUP(O121,'Fee Data'!$I$6:$J$14,2,TRUE)+'Fee Data'!$J$20+'Fee Data'!$J$21)*'Assumptions'!D37</x:f>
        <x:v>1195</x:v>
      </x:c>
      <x:c r="Q121" s="27" t="n">
        <x:f>(VLOOKUP(O121,'Fee Data'!$C$6:$G$50,4,TRUE)+O121*VLOOKUP(O121,'Fee Data'!$C$6:$G$50,5,TRUE)+VLOOKUP(O121,'Fee Data'!$I$6:$J$14,2,TRUE)+'Fee Data'!$J$20+'Fee Data'!$J$21)*'Assumptions'!D37</x:f>
        <x:v>1070</x:v>
      </x:c>
      <x:c r="R121" s="27" t="n">
        <x:f>P121*(1-'Assumptions'!$D$14)+Q121*'Assumptions'!$D$14</x:f>
        <x:v>1132.5</x:v>
      </x:c>
      <x:c r="S121" s="27" t="n">
        <x:f>O121*'Carrier Engine'!E91</x:f>
        <x:v>378.7835118563397</x:v>
      </x:c>
      <x:c r="T121" s="28" t="n">
        <x:f>R121+S121</x:f>
        <x:v>1511.2835118563398</x:v>
      </x:c>
      <x:c r="U121" s="27" t="n">
        <x:f>N121*'Fleet Engine'!F206</x:f>
        <x:v>0</x:v>
      </x:c>
      <x:c r="V121" s="28" t="n">
        <x:f>U121*T121</x:f>
        <x:v>0</x:v>
      </x:c>
      <x:c r="W121" s="28" t="n">
        <x:f>U121*O121</x:f>
        <x:v>0</x:v>
      </x:c>
    </x:row>
    <x:row r="122" ht="19" customHeight="1">
      <x:c r="A122" s="2"/>
      <x:c r="B122" s="2"/>
      <x:c r="C122" s="46" t="n">
        <x:v>0</x:v>
      </x:c>
      <x:c r="D122" s="46" t="n">
        <x:v>12</x:v>
      </x:c>
      <x:c r="E122" s="46" t="n">
        <x:v>2</x:v>
      </x:c>
      <x:c r="F122" s="46" t="n">
        <x:v>0</x:v>
      </x:c>
      <x:c r="G122" s="12" t="n">
        <x:v>0.8888888888888888</x:v>
      </x:c>
      <x:c r="H122" s="12" t="n">
        <x:v>1</x:v>
      </x:c>
      <x:c r="I122" s="29" t="n">
        <x:f>'Assumptions'!$D$11+'Assumptions'!$D$12*(0.5-(G122+H122)/2)</x:f>
        <x:v>0.21111111111111108</x:v>
      </x:c>
      <x:c r="J122" s="27" t="n">
        <x:f>'Assumptions'!$D$8*EXP(-'Assumptions'!$D$9*('Fleet Engine'!E206-10))*'Assumptions'!E57*'Assumptions'!D36</x:f>
        <x:v>40583.94769889355</x:v>
      </x:c>
      <x:c r="K122" s="27" t="n">
        <x:f>'Source Data'!F217+LN('Assumptions'!D57)+LN('Assumptions'!D35)</x:f>
        <x:v>8.2942644758604</x:v>
      </x:c>
      <x:c r="L122" s="27" t="n">
        <x:f>J122*(1-I122*(1-'Carrier Engine'!E91))</x:f>
        <x:v>32358.934298584456</x:v>
      </x:c>
      <x:c r="M122" s="29" t="n">
        <x:f>NORM.S.DIST((LN(L122)-K122)/'Assumptions'!$D$10,TRUE)</x:f>
        <x:v>0.9084512571809873</x:v>
      </x:c>
      <x:c r="N122" s="30" t="n">
        <x:f>MAX(0,H122-MAX(G122,M122))</x:f>
        <x:v>0.09154874281901271</x:v>
      </x:c>
      <x:c r="O122" s="28" t="n">
        <x:f>J122*I122</x:f>
        <x:v>8567.722291988637</x:v>
      </x:c>
      <x:c r="P122" s="27" t="n">
        <x:f>(VLOOKUP(O122,'Fee Data'!$C$6:$G$50,2,TRUE)+O122*VLOOKUP(O122,'Fee Data'!$C$6:$G$50,3,TRUE)+VLOOKUP(O122,'Fee Data'!$I$6:$J$14,2,TRUE)+'Fee Data'!$J$20+'Fee Data'!$J$21)*'Assumptions'!D37</x:f>
        <x:v>1195</x:v>
      </x:c>
      <x:c r="Q122" s="27" t="n">
        <x:f>(VLOOKUP(O122,'Fee Data'!$C$6:$G$50,4,TRUE)+O122*VLOOKUP(O122,'Fee Data'!$C$6:$G$50,5,TRUE)+VLOOKUP(O122,'Fee Data'!$I$6:$J$14,2,TRUE)+'Fee Data'!$J$20+'Fee Data'!$J$21)*'Assumptions'!D37</x:f>
        <x:v>1070</x:v>
      </x:c>
      <x:c r="R122" s="27" t="n">
        <x:f>P122*(1-'Assumptions'!$D$14)+Q122*'Assumptions'!$D$14</x:f>
        <x:v>1132.5</x:v>
      </x:c>
      <x:c r="S122" s="27" t="n">
        <x:f>O122*'Carrier Engine'!E91</x:f>
        <x:v>342.7088916795454</x:v>
      </x:c>
      <x:c r="T122" s="28" t="n">
        <x:f>R122+S122</x:f>
        <x:v>1475.2088916795453</x:v>
      </x:c>
      <x:c r="U122" s="27" t="n">
        <x:f>N122*'Fleet Engine'!F206</x:f>
        <x:v>113.96466719220238</x:v>
      </x:c>
      <x:c r="V122" s="28" t="n">
        <x:f>U122*T122</x:f>
        <x:v>168121.69037923712</x:v>
      </x:c>
      <x:c r="W122" s="28" t="n">
        <x:f>U122*O122</x:f>
        <x:v>976417.6196016985</x:v>
      </x:c>
    </x:row>
    <x:row r="123" ht="19" customHeight="1">
      <x:c r="A123" s="2"/>
      <x:c r="B123" s="2"/>
      <x:c r="C123" s="46" t="n">
        <x:v>0</x:v>
      </x:c>
      <x:c r="D123" s="46" t="n">
        <x:v>13</x:v>
      </x:c>
      <x:c r="E123" s="46" t="n">
        <x:v>2</x:v>
      </x:c>
      <x:c r="F123" s="46" t="n">
        <x:v>1</x:v>
      </x:c>
      <x:c r="G123" s="12" t="n">
        <x:v>0</x:v>
      </x:c>
      <x:c r="H123" s="12" t="n">
        <x:v>0.1111111111111111</x:v>
      </x:c>
      <x:c r="I123" s="29" t="n">
        <x:f>'Assumptions'!$D$11+'Assumptions'!$D$12*(0.5-(G123+H123)/2)</x:f>
        <x:v>0.3888888888888889</x:v>
      </x:c>
      <x:c r="J123" s="27" t="n">
        <x:f>'Assumptions'!$D$8*EXP(-'Assumptions'!$D$9*('Fleet Engine'!E207-10))*'Assumptions'!E57*'Assumptions'!D36</x:f>
        <x:v>33227.326062392545</x:v>
      </x:c>
      <x:c r="K123" s="27" t="n">
        <x:f>'Source Data'!F218+LN('Assumptions'!D57)+LN('Assumptions'!D35)</x:f>
        <x:v>8.179823674316163</x:v>
      </x:c>
      <x:c r="L123" s="27" t="n">
        <x:f>J123*(1-I123*(1-'Carrier Engine'!E91))</x:f>
        <x:v>20822.457665765996</x:v>
      </x:c>
      <x:c r="M123" s="29" t="n">
        <x:f>NORM.S.DIST((LN(L123)-K123)/'Assumptions'!$D$10,TRUE)</x:f>
        <x:v>0.8693654103038547</x:v>
      </x:c>
      <x:c r="N123" s="30" t="n">
        <x:f>MAX(0,H123-MAX(G123,M123))</x:f>
        <x:v>0</x:v>
      </x:c>
      <x:c r="O123" s="28" t="n">
        <x:f>J123*I123</x:f>
        <x:v>12921.737913152656</x:v>
      </x:c>
      <x:c r="P123" s="27" t="n">
        <x:f>(VLOOKUP(O123,'Fee Data'!$C$6:$G$50,2,TRUE)+O123*VLOOKUP(O123,'Fee Data'!$C$6:$G$50,3,TRUE)+VLOOKUP(O123,'Fee Data'!$I$6:$J$14,2,TRUE)+'Fee Data'!$J$20+'Fee Data'!$J$21)*'Assumptions'!D37</x:f>
        <x:v>1250</x:v>
      </x:c>
      <x:c r="Q123" s="27" t="n">
        <x:f>(VLOOKUP(O123,'Fee Data'!$C$6:$G$50,4,TRUE)+O123*VLOOKUP(O123,'Fee Data'!$C$6:$G$50,5,TRUE)+VLOOKUP(O123,'Fee Data'!$I$6:$J$14,2,TRUE)+'Fee Data'!$J$20+'Fee Data'!$J$21)*'Assumptions'!D37</x:f>
        <x:v>1140</x:v>
      </x:c>
      <x:c r="R123" s="27" t="n">
        <x:f>P123*(1-'Assumptions'!$D$14)+Q123*'Assumptions'!$D$14</x:f>
        <x:v>1195</x:v>
      </x:c>
      <x:c r="S123" s="27" t="n">
        <x:f>O123*'Carrier Engine'!E91</x:f>
        <x:v>516.869516526106</x:v>
      </x:c>
      <x:c r="T123" s="28" t="n">
        <x:f>R123+S123</x:f>
        <x:v>1711.869516526106</x:v>
      </x:c>
      <x:c r="U123" s="27" t="n">
        <x:f>N123*'Fleet Engine'!F207</x:f>
        <x:v>0</x:v>
      </x:c>
      <x:c r="V123" s="28" t="n">
        <x:f>U123*T123</x:f>
        <x:v>0</x:v>
      </x:c>
      <x:c r="W123" s="28" t="n">
        <x:f>U123*O123</x:f>
        <x:v>0</x:v>
      </x:c>
    </x:row>
    <x:row r="124" ht="19" customHeight="1">
      <x:c r="A124" s="2"/>
      <x:c r="B124" s="2"/>
      <x:c r="C124" s="46" t="n">
        <x:v>0</x:v>
      </x:c>
      <x:c r="D124" s="46" t="n">
        <x:v>13</x:v>
      </x:c>
      <x:c r="E124" s="46" t="n">
        <x:v>2</x:v>
      </x:c>
      <x:c r="F124" s="46" t="n">
        <x:v>1</x:v>
      </x:c>
      <x:c r="G124" s="12" t="n">
        <x:v>0.1111111111111111</x:v>
      </x:c>
      <x:c r="H124" s="12" t="n">
        <x:v>0.2222222222222222</x:v>
      </x:c>
      <x:c r="I124" s="29" t="n">
        <x:f>'Assumptions'!$D$11+'Assumptions'!$D$12*(0.5-(G124+H124)/2)</x:f>
        <x:v>0.3666666666666667</x:v>
      </x:c>
      <x:c r="J124" s="27" t="n">
        <x:f>'Assumptions'!$D$8*EXP(-'Assumptions'!$D$9*('Fleet Engine'!E207-10))*'Assumptions'!E57*'Assumptions'!D36</x:f>
        <x:v>33227.326062392545</x:v>
      </x:c>
      <x:c r="K124" s="27" t="n">
        <x:f>'Source Data'!F218+LN('Assumptions'!D57)+LN('Assumptions'!D35)</x:f>
        <x:v>8.179823674316163</x:v>
      </x:c>
      <x:c r="L124" s="27" t="n">
        <x:f>J124*(1-I124*(1-'Carrier Engine'!E91))</x:f>
        <x:v>21531.307288430366</x:v>
      </x:c>
      <x:c r="M124" s="29" t="n">
        <x:f>NORM.S.DIST((LN(L124)-K124)/'Assumptions'!$D$10,TRUE)</x:f>
        <x:v>0.8738365578665881</x:v>
      </x:c>
      <x:c r="N124" s="30" t="n">
        <x:f>MAX(0,H124-MAX(G124,M124))</x:f>
        <x:v>0</x:v>
      </x:c>
      <x:c r="O124" s="28" t="n">
        <x:f>J124*I124</x:f>
        <x:v>12183.352889543934</x:v>
      </x:c>
      <x:c r="P124" s="27" t="n">
        <x:f>(VLOOKUP(O124,'Fee Data'!$C$6:$G$50,2,TRUE)+O124*VLOOKUP(O124,'Fee Data'!$C$6:$G$50,3,TRUE)+VLOOKUP(O124,'Fee Data'!$I$6:$J$14,2,TRUE)+'Fee Data'!$J$20+'Fee Data'!$J$21)*'Assumptions'!D37</x:f>
        <x:v>1250</x:v>
      </x:c>
      <x:c r="Q124" s="27" t="n">
        <x:f>(VLOOKUP(O124,'Fee Data'!$C$6:$G$50,4,TRUE)+O124*VLOOKUP(O124,'Fee Data'!$C$6:$G$50,5,TRUE)+VLOOKUP(O124,'Fee Data'!$I$6:$J$14,2,TRUE)+'Fee Data'!$J$20+'Fee Data'!$J$21)*'Assumptions'!D37</x:f>
        <x:v>1125</x:v>
      </x:c>
      <x:c r="R124" s="27" t="n">
        <x:f>P124*(1-'Assumptions'!$D$14)+Q124*'Assumptions'!$D$14</x:f>
        <x:v>1187.5</x:v>
      </x:c>
      <x:c r="S124" s="27" t="n">
        <x:f>O124*'Carrier Engine'!E91</x:f>
        <x:v>487.3341155817572</x:v>
      </x:c>
      <x:c r="T124" s="28" t="n">
        <x:f>R124+S124</x:f>
        <x:v>1674.8341155817573</x:v>
      </x:c>
      <x:c r="U124" s="27" t="n">
        <x:f>N124*'Fleet Engine'!F207</x:f>
        <x:v>0</x:v>
      </x:c>
      <x:c r="V124" s="28" t="n">
        <x:f>U124*T124</x:f>
        <x:v>0</x:v>
      </x:c>
      <x:c r="W124" s="28" t="n">
        <x:f>U124*O124</x:f>
        <x:v>0</x:v>
      </x:c>
    </x:row>
    <x:row r="125" ht="19" customHeight="1">
      <x:c r="A125" s="2"/>
      <x:c r="B125" s="2"/>
      <x:c r="C125" s="46" t="n">
        <x:v>0</x:v>
      </x:c>
      <x:c r="D125" s="46" t="n">
        <x:v>13</x:v>
      </x:c>
      <x:c r="E125" s="46" t="n">
        <x:v>2</x:v>
      </x:c>
      <x:c r="F125" s="46" t="n">
        <x:v>1</x:v>
      </x:c>
      <x:c r="G125" s="12" t="n">
        <x:v>0.2222222222222222</x:v>
      </x:c>
      <x:c r="H125" s="12" t="n">
        <x:v>0.3333333333333333</x:v>
      </x:c>
      <x:c r="I125" s="29" t="n">
        <x:f>'Assumptions'!$D$11+'Assumptions'!$D$12*(0.5-(G125+H125)/2)</x:f>
        <x:v>0.34444444444444444</x:v>
      </x:c>
      <x:c r="J125" s="27" t="n">
        <x:f>'Assumptions'!$D$8*EXP(-'Assumptions'!$D$9*('Fleet Engine'!E207-10))*'Assumptions'!E57*'Assumptions'!D36</x:f>
        <x:v>33227.326062392545</x:v>
      </x:c>
      <x:c r="K125" s="27" t="n">
        <x:f>'Source Data'!F218+LN('Assumptions'!D57)+LN('Assumptions'!D35)</x:f>
        <x:v>8.179823674316163</x:v>
      </x:c>
      <x:c r="L125" s="27" t="n">
        <x:f>J125*(1-I125*(1-'Carrier Engine'!E91))</x:f>
        <x:v>22240.156911094742</x:v>
      </x:c>
      <x:c r="M125" s="29" t="n">
        <x:f>NORM.S.DIST((LN(L125)-K125)/'Assumptions'!$D$10,TRUE)</x:f>
        <x:v>0.8780602474996113</x:v>
      </x:c>
      <x:c r="N125" s="30" t="n">
        <x:f>MAX(0,H125-MAX(G125,M125))</x:f>
        <x:v>0</x:v>
      </x:c>
      <x:c r="O125" s="28" t="n">
        <x:f>J125*I125</x:f>
        <x:v>11444.96786593521</x:v>
      </x:c>
      <x:c r="P125" s="27" t="n">
        <x:f>(VLOOKUP(O125,'Fee Data'!$C$6:$G$50,2,TRUE)+O125*VLOOKUP(O125,'Fee Data'!$C$6:$G$50,3,TRUE)+VLOOKUP(O125,'Fee Data'!$I$6:$J$14,2,TRUE)+'Fee Data'!$J$20+'Fee Data'!$J$21)*'Assumptions'!D37</x:f>
        <x:v>1250</x:v>
      </x:c>
      <x:c r="Q125" s="27" t="n">
        <x:f>(VLOOKUP(O125,'Fee Data'!$C$6:$G$50,4,TRUE)+O125*VLOOKUP(O125,'Fee Data'!$C$6:$G$50,5,TRUE)+VLOOKUP(O125,'Fee Data'!$I$6:$J$14,2,TRUE)+'Fee Data'!$J$20+'Fee Data'!$J$21)*'Assumptions'!D37</x:f>
        <x:v>1100</x:v>
      </x:c>
      <x:c r="R125" s="27" t="n">
        <x:f>P125*(1-'Assumptions'!$D$14)+Q125*'Assumptions'!$D$14</x:f>
        <x:v>1175</x:v>
      </x:c>
      <x:c r="S125" s="27" t="n">
        <x:f>O125*'Carrier Engine'!E91</x:f>
        <x:v>457.79871463740824</x:v>
      </x:c>
      <x:c r="T125" s="28" t="n">
        <x:f>R125+S125</x:f>
        <x:v>1632.7987146374082</x:v>
      </x:c>
      <x:c r="U125" s="27" t="n">
        <x:f>N125*'Fleet Engine'!F207</x:f>
        <x:v>0</x:v>
      </x:c>
      <x:c r="V125" s="28" t="n">
        <x:f>U125*T125</x:f>
        <x:v>0</x:v>
      </x:c>
      <x:c r="W125" s="28" t="n">
        <x:f>U125*O125</x:f>
        <x:v>0</x:v>
      </x:c>
    </x:row>
    <x:row r="126" ht="19" customHeight="1">
      <x:c r="A126" s="2"/>
      <x:c r="B126" s="2"/>
      <x:c r="C126" s="46" t="n">
        <x:v>0</x:v>
      </x:c>
      <x:c r="D126" s="46" t="n">
        <x:v>13</x:v>
      </x:c>
      <x:c r="E126" s="46" t="n">
        <x:v>2</x:v>
      </x:c>
      <x:c r="F126" s="46" t="n">
        <x:v>1</x:v>
      </x:c>
      <x:c r="G126" s="12" t="n">
        <x:v>0.3333333333333333</x:v>
      </x:c>
      <x:c r="H126" s="12" t="n">
        <x:v>0.4444444444444444</x:v>
      </x:c>
      <x:c r="I126" s="29" t="n">
        <x:f>'Assumptions'!$D$11+'Assumptions'!$D$12*(0.5-(G126+H126)/2)</x:f>
        <x:v>0.32222222222222224</x:v>
      </x:c>
      <x:c r="J126" s="27" t="n">
        <x:f>'Assumptions'!$D$8*EXP(-'Assumptions'!$D$9*('Fleet Engine'!E207-10))*'Assumptions'!E57*'Assumptions'!D36</x:f>
        <x:v>33227.326062392545</x:v>
      </x:c>
      <x:c r="K126" s="27" t="n">
        <x:f>'Source Data'!F218+LN('Assumptions'!D57)+LN('Assumptions'!D35)</x:f>
        <x:v>8.179823674316163</x:v>
      </x:c>
      <x:c r="L126" s="27" t="n">
        <x:f>J126*(1-I126*(1-'Carrier Engine'!E91))</x:f>
        <x:v>22949.00653375912</x:v>
      </x:c>
      <x:c r="M126" s="29" t="n">
        <x:f>NORM.S.DIST((LN(L126)-K126)/'Assumptions'!$D$10,TRUE)</x:f>
        <x:v>0.8820557511267051</x:v>
      </x:c>
      <x:c r="N126" s="30" t="n">
        <x:f>MAX(0,H126-MAX(G126,M126))</x:f>
        <x:v>0</x:v>
      </x:c>
      <x:c r="O126" s="28" t="n">
        <x:f>J126*I126</x:f>
        <x:v>10706.582842326488</x:v>
      </x:c>
      <x:c r="P126" s="27" t="n">
        <x:f>(VLOOKUP(O126,'Fee Data'!$C$6:$G$50,2,TRUE)+O126*VLOOKUP(O126,'Fee Data'!$C$6:$G$50,3,TRUE)+VLOOKUP(O126,'Fee Data'!$I$6:$J$14,2,TRUE)+'Fee Data'!$J$20+'Fee Data'!$J$21)*'Assumptions'!D37</x:f>
        <x:v>1250</x:v>
      </x:c>
      <x:c r="Q126" s="27" t="n">
        <x:f>(VLOOKUP(O126,'Fee Data'!$C$6:$G$50,4,TRUE)+O126*VLOOKUP(O126,'Fee Data'!$C$6:$G$50,5,TRUE)+VLOOKUP(O126,'Fee Data'!$I$6:$J$14,2,TRUE)+'Fee Data'!$J$20+'Fee Data'!$J$21)*'Assumptions'!D37</x:f>
        <x:v>1100</x:v>
      </x:c>
      <x:c r="R126" s="27" t="n">
        <x:f>P126*(1-'Assumptions'!$D$14)+Q126*'Assumptions'!$D$14</x:f>
        <x:v>1175</x:v>
      </x:c>
      <x:c r="S126" s="27" t="n">
        <x:f>O126*'Carrier Engine'!E91</x:f>
        <x:v>428.2633136930594</x:v>
      </x:c>
      <x:c r="T126" s="28" t="n">
        <x:f>R126+S126</x:f>
        <x:v>1603.2633136930594</x:v>
      </x:c>
      <x:c r="U126" s="27" t="n">
        <x:f>N126*'Fleet Engine'!F207</x:f>
        <x:v>0</x:v>
      </x:c>
      <x:c r="V126" s="28" t="n">
        <x:f>U126*T126</x:f>
        <x:v>0</x:v>
      </x:c>
      <x:c r="W126" s="28" t="n">
        <x:f>U126*O126</x:f>
        <x:v>0</x:v>
      </x:c>
    </x:row>
    <x:row r="127" ht="19" customHeight="1">
      <x:c r="A127" s="2"/>
      <x:c r="B127" s="2"/>
      <x:c r="C127" s="46" t="n">
        <x:v>0</x:v>
      </x:c>
      <x:c r="D127" s="46" t="n">
        <x:v>13</x:v>
      </x:c>
      <x:c r="E127" s="46" t="n">
        <x:v>2</x:v>
      </x:c>
      <x:c r="F127" s="46" t="n">
        <x:v>1</x:v>
      </x:c>
      <x:c r="G127" s="12" t="n">
        <x:v>0.4444444444444444</x:v>
      </x:c>
      <x:c r="H127" s="12" t="n">
        <x:v>0.5555555555555556</x:v>
      </x:c>
      <x:c r="I127" s="29" t="n">
        <x:f>'Assumptions'!$D$11+'Assumptions'!$D$12*(0.5-(G127+H127)/2)</x:f>
        <x:v>0.3</x:v>
      </x:c>
      <x:c r="J127" s="27" t="n">
        <x:f>'Assumptions'!$D$8*EXP(-'Assumptions'!$D$9*('Fleet Engine'!E207-10))*'Assumptions'!E57*'Assumptions'!D36</x:f>
        <x:v>33227.326062392545</x:v>
      </x:c>
      <x:c r="K127" s="27" t="n">
        <x:f>'Source Data'!F218+LN('Assumptions'!D57)+LN('Assumptions'!D35)</x:f>
        <x:v>8.179823674316163</x:v>
      </x:c>
      <x:c r="L127" s="27" t="n">
        <x:f>J127*(1-I127*(1-'Carrier Engine'!E91))</x:f>
        <x:v>23657.85615642349</x:v>
      </x:c>
      <x:c r="M127" s="29" t="n">
        <x:f>NORM.S.DIST((LN(L127)-K127)/'Assumptions'!$D$10,TRUE)</x:f>
        <x:v>0.8858404003889359</x:v>
      </x:c>
      <x:c r="N127" s="30" t="n">
        <x:f>MAX(0,H127-MAX(G127,M127))</x:f>
        <x:v>0</x:v>
      </x:c>
      <x:c r="O127" s="28" t="n">
        <x:f>J127*I127</x:f>
        <x:v>9968.197818717763</x:v>
      </x:c>
      <x:c r="P127" s="27" t="n">
        <x:f>(VLOOKUP(O127,'Fee Data'!$C$6:$G$50,2,TRUE)+O127*VLOOKUP(O127,'Fee Data'!$C$6:$G$50,3,TRUE)+VLOOKUP(O127,'Fee Data'!$I$6:$J$14,2,TRUE)+'Fee Data'!$J$20+'Fee Data'!$J$21)*'Assumptions'!D37</x:f>
        <x:v>1195</x:v>
      </x:c>
      <x:c r="Q127" s="27" t="n">
        <x:f>(VLOOKUP(O127,'Fee Data'!$C$6:$G$50,4,TRUE)+O127*VLOOKUP(O127,'Fee Data'!$C$6:$G$50,5,TRUE)+VLOOKUP(O127,'Fee Data'!$I$6:$J$14,2,TRUE)+'Fee Data'!$J$20+'Fee Data'!$J$21)*'Assumptions'!D37</x:f>
        <x:v>1070</x:v>
      </x:c>
      <x:c r="R127" s="27" t="n">
        <x:f>P127*(1-'Assumptions'!$D$14)+Q127*'Assumptions'!$D$14</x:f>
        <x:v>1132.5</x:v>
      </x:c>
      <x:c r="S127" s="27" t="n">
        <x:f>O127*'Carrier Engine'!E91</x:f>
        <x:v>398.72791274871037</x:v>
      </x:c>
      <x:c r="T127" s="28" t="n">
        <x:f>R127+S127</x:f>
        <x:v>1531.2279127487104</x:v>
      </x:c>
      <x:c r="U127" s="27" t="n">
        <x:f>N127*'Fleet Engine'!F207</x:f>
        <x:v>0</x:v>
      </x:c>
      <x:c r="V127" s="28" t="n">
        <x:f>U127*T127</x:f>
        <x:v>0</x:v>
      </x:c>
      <x:c r="W127" s="28" t="n">
        <x:f>U127*O127</x:f>
        <x:v>0</x:v>
      </x:c>
    </x:row>
    <x:row r="128" ht="19" customHeight="1">
      <x:c r="A128" s="2"/>
      <x:c r="B128" s="2"/>
      <x:c r="C128" s="46" t="n">
        <x:v>0</x:v>
      </x:c>
      <x:c r="D128" s="46" t="n">
        <x:v>13</x:v>
      </x:c>
      <x:c r="E128" s="46" t="n">
        <x:v>2</x:v>
      </x:c>
      <x:c r="F128" s="46" t="n">
        <x:v>1</x:v>
      </x:c>
      <x:c r="G128" s="12" t="n">
        <x:v>0.5555555555555556</x:v>
      </x:c>
      <x:c r="H128" s="12" t="n">
        <x:v>0.6666666666666666</x:v>
      </x:c>
      <x:c r="I128" s="29" t="n">
        <x:f>'Assumptions'!$D$11+'Assumptions'!$D$12*(0.5-(G128+H128)/2)</x:f>
        <x:v>0.27777777777777773</x:v>
      </x:c>
      <x:c r="J128" s="27" t="n">
        <x:f>'Assumptions'!$D$8*EXP(-'Assumptions'!$D$9*('Fleet Engine'!E207-10))*'Assumptions'!E57*'Assumptions'!D36</x:f>
        <x:v>33227.326062392545</x:v>
      </x:c>
      <x:c r="K128" s="27" t="n">
        <x:f>'Source Data'!F218+LN('Assumptions'!D57)+LN('Assumptions'!D35)</x:f>
        <x:v>8.179823674316163</x:v>
      </x:c>
      <x:c r="L128" s="27" t="n">
        <x:f>J128*(1-I128*(1-'Carrier Engine'!E91))</x:f>
        <x:v>24366.705779087868</x:v>
      </x:c>
      <x:c r="M128" s="29" t="n">
        <x:f>NORM.S.DIST((LN(L128)-K128)/'Assumptions'!$D$10,TRUE)</x:f>
        <x:v>0.8894298256285628</x:v>
      </x:c>
      <x:c r="N128" s="30" t="n">
        <x:f>MAX(0,H128-MAX(G128,M128))</x:f>
        <x:v>0</x:v>
      </x:c>
      <x:c r="O128" s="28" t="n">
        <x:f>J128*I128</x:f>
        <x:v>9229.81279510904</x:v>
      </x:c>
      <x:c r="P128" s="27" t="n">
        <x:f>(VLOOKUP(O128,'Fee Data'!$C$6:$G$50,2,TRUE)+O128*VLOOKUP(O128,'Fee Data'!$C$6:$G$50,3,TRUE)+VLOOKUP(O128,'Fee Data'!$I$6:$J$14,2,TRUE)+'Fee Data'!$J$20+'Fee Data'!$J$21)*'Assumptions'!D37</x:f>
        <x:v>1195</x:v>
      </x:c>
      <x:c r="Q128" s="27" t="n">
        <x:f>(VLOOKUP(O128,'Fee Data'!$C$6:$G$50,4,TRUE)+O128*VLOOKUP(O128,'Fee Data'!$C$6:$G$50,5,TRUE)+VLOOKUP(O128,'Fee Data'!$I$6:$J$14,2,TRUE)+'Fee Data'!$J$20+'Fee Data'!$J$21)*'Assumptions'!D37</x:f>
        <x:v>1070</x:v>
      </x:c>
      <x:c r="R128" s="27" t="n">
        <x:f>P128*(1-'Assumptions'!$D$14)+Q128*'Assumptions'!$D$14</x:f>
        <x:v>1132.5</x:v>
      </x:c>
      <x:c r="S128" s="27" t="n">
        <x:f>O128*'Carrier Engine'!E91</x:f>
        <x:v>369.19251180436146</x:v>
      </x:c>
      <x:c r="T128" s="28" t="n">
        <x:f>R128+S128</x:f>
        <x:v>1501.6925118043614</x:v>
      </x:c>
      <x:c r="U128" s="27" t="n">
        <x:f>N128*'Fleet Engine'!F207</x:f>
        <x:v>0</x:v>
      </x:c>
      <x:c r="V128" s="28" t="n">
        <x:f>U128*T128</x:f>
        <x:v>0</x:v>
      </x:c>
      <x:c r="W128" s="28" t="n">
        <x:f>U128*O128</x:f>
        <x:v>0</x:v>
      </x:c>
    </x:row>
    <x:row r="129" ht="19" customHeight="1">
      <x:c r="A129" s="2"/>
      <x:c r="B129" s="2"/>
      <x:c r="C129" s="46" t="n">
        <x:v>0</x:v>
      </x:c>
      <x:c r="D129" s="46" t="n">
        <x:v>13</x:v>
      </x:c>
      <x:c r="E129" s="46" t="n">
        <x:v>2</x:v>
      </x:c>
      <x:c r="F129" s="46" t="n">
        <x:v>1</x:v>
      </x:c>
      <x:c r="G129" s="12" t="n">
        <x:v>0.6666666666666666</x:v>
      </x:c>
      <x:c r="H129" s="12" t="n">
        <x:v>0.7777777777777778</x:v>
      </x:c>
      <x:c r="I129" s="29" t="n">
        <x:f>'Assumptions'!$D$11+'Assumptions'!$D$12*(0.5-(G129+H129)/2)</x:f>
        <x:v>0.25555555555555554</x:v>
      </x:c>
      <x:c r="J129" s="27" t="n">
        <x:f>'Assumptions'!$D$8*EXP(-'Assumptions'!$D$9*('Fleet Engine'!E207-10))*'Assumptions'!E57*'Assumptions'!D36</x:f>
        <x:v>33227.326062392545</x:v>
      </x:c>
      <x:c r="K129" s="27" t="n">
        <x:f>'Source Data'!F218+LN('Assumptions'!D57)+LN('Assumptions'!D35)</x:f>
        <x:v>8.179823674316163</x:v>
      </x:c>
      <x:c r="L129" s="27" t="n">
        <x:f>J129*(1-I129*(1-'Carrier Engine'!E91))</x:f>
        <x:v>25075.55540175224</x:v>
      </x:c>
      <x:c r="M129" s="29" t="n">
        <x:f>NORM.S.DIST((LN(L129)-K129)/'Assumptions'!$D$10,TRUE)</x:f>
        <x:v>0.8928381602043821</x:v>
      </x:c>
      <x:c r="N129" s="30" t="n">
        <x:f>MAX(0,H129-MAX(G129,M129))</x:f>
        <x:v>0</x:v>
      </x:c>
      <x:c r="O129" s="28" t="n">
        <x:f>J129*I129</x:f>
        <x:v>8491.427771500317</x:v>
      </x:c>
      <x:c r="P129" s="27" t="n">
        <x:f>(VLOOKUP(O129,'Fee Data'!$C$6:$G$50,2,TRUE)+O129*VLOOKUP(O129,'Fee Data'!$C$6:$G$50,3,TRUE)+VLOOKUP(O129,'Fee Data'!$I$6:$J$14,2,TRUE)+'Fee Data'!$J$20+'Fee Data'!$J$21)*'Assumptions'!D37</x:f>
        <x:v>1175</x:v>
      </x:c>
      <x:c r="Q129" s="27" t="n">
        <x:f>(VLOOKUP(O129,'Fee Data'!$C$6:$G$50,4,TRUE)+O129*VLOOKUP(O129,'Fee Data'!$C$6:$G$50,5,TRUE)+VLOOKUP(O129,'Fee Data'!$I$6:$J$14,2,TRUE)+'Fee Data'!$J$20+'Fee Data'!$J$21)*'Assumptions'!D37</x:f>
        <x:v>1050</x:v>
      </x:c>
      <x:c r="R129" s="27" t="n">
        <x:f>P129*(1-'Assumptions'!$D$14)+Q129*'Assumptions'!$D$14</x:f>
        <x:v>1112.5</x:v>
      </x:c>
      <x:c r="S129" s="27" t="n">
        <x:f>O129*'Carrier Engine'!E91</x:f>
        <x:v>339.65711086001255</x:v>
      </x:c>
      <x:c r="T129" s="28" t="n">
        <x:f>R129+S129</x:f>
        <x:v>1452.1571108600126</x:v>
      </x:c>
      <x:c r="U129" s="27" t="n">
        <x:f>N129*'Fleet Engine'!F207</x:f>
        <x:v>0</x:v>
      </x:c>
      <x:c r="V129" s="28" t="n">
        <x:f>U129*T129</x:f>
        <x:v>0</x:v>
      </x:c>
      <x:c r="W129" s="28" t="n">
        <x:f>U129*O129</x:f>
        <x:v>0</x:v>
      </x:c>
    </x:row>
    <x:row r="130" ht="19" customHeight="1">
      <x:c r="A130" s="2"/>
      <x:c r="B130" s="2"/>
      <x:c r="C130" s="46" t="n">
        <x:v>0</x:v>
      </x:c>
      <x:c r="D130" s="46" t="n">
        <x:v>13</x:v>
      </x:c>
      <x:c r="E130" s="46" t="n">
        <x:v>2</x:v>
      </x:c>
      <x:c r="F130" s="46" t="n">
        <x:v>1</x:v>
      </x:c>
      <x:c r="G130" s="12" t="n">
        <x:v>0.7777777777777778</x:v>
      </x:c>
      <x:c r="H130" s="12" t="n">
        <x:v>0.8888888888888888</x:v>
      </x:c>
      <x:c r="I130" s="29" t="n">
        <x:f>'Assumptions'!$D$11+'Assumptions'!$D$12*(0.5-(G130+H130)/2)</x:f>
        <x:v>0.23333333333333334</x:v>
      </x:c>
      <x:c r="J130" s="27" t="n">
        <x:f>'Assumptions'!$D$8*EXP(-'Assumptions'!$D$9*('Fleet Engine'!E207-10))*'Assumptions'!E57*'Assumptions'!D36</x:f>
        <x:v>33227.326062392545</x:v>
      </x:c>
      <x:c r="K130" s="27" t="n">
        <x:f>'Source Data'!F218+LN('Assumptions'!D57)+LN('Assumptions'!D35)</x:f>
        <x:v>8.179823674316163</x:v>
      </x:c>
      <x:c r="L130" s="27" t="n">
        <x:f>J130*(1-I130*(1-'Carrier Engine'!E91))</x:f>
        <x:v>25784.405024416617</x:v>
      </x:c>
      <x:c r="M130" s="29" t="n">
        <x:f>NORM.S.DIST((LN(L130)-K130)/'Assumptions'!$D$10,TRUE)</x:f>
        <x:v>0.8960782159015883</x:v>
      </x:c>
      <x:c r="N130" s="30" t="n">
        <x:f>MAX(0,H130-MAX(G130,M130))</x:f>
        <x:v>0</x:v>
      </x:c>
      <x:c r="O130" s="28" t="n">
        <x:f>J130*I130</x:f>
        <x:v>7753.042747891594</x:v>
      </x:c>
      <x:c r="P130" s="27" t="n">
        <x:f>(VLOOKUP(O130,'Fee Data'!$C$6:$G$50,2,TRUE)+O130*VLOOKUP(O130,'Fee Data'!$C$6:$G$50,3,TRUE)+VLOOKUP(O130,'Fee Data'!$I$6:$J$14,2,TRUE)+'Fee Data'!$J$20+'Fee Data'!$J$21)*'Assumptions'!D37</x:f>
        <x:v>1135</x:v>
      </x:c>
      <x:c r="Q130" s="27" t="n">
        <x:f>(VLOOKUP(O130,'Fee Data'!$C$6:$G$50,4,TRUE)+O130*VLOOKUP(O130,'Fee Data'!$C$6:$G$50,5,TRUE)+VLOOKUP(O130,'Fee Data'!$I$6:$J$14,2,TRUE)+'Fee Data'!$J$20+'Fee Data'!$J$21)*'Assumptions'!D37</x:f>
        <x:v>1010</x:v>
      </x:c>
      <x:c r="R130" s="27" t="n">
        <x:f>P130*(1-'Assumptions'!$D$14)+Q130*'Assumptions'!$D$14</x:f>
        <x:v>1072.5</x:v>
      </x:c>
      <x:c r="S130" s="27" t="n">
        <x:f>O130*'Carrier Engine'!E91</x:f>
        <x:v>310.1217099156637</x:v>
      </x:c>
      <x:c r="T130" s="28" t="n">
        <x:f>R130+S130</x:f>
        <x:v>1382.6217099156638</x:v>
      </x:c>
      <x:c r="U130" s="27" t="n">
        <x:f>N130*'Fleet Engine'!F207</x:f>
        <x:v>0</x:v>
      </x:c>
      <x:c r="V130" s="28" t="n">
        <x:f>U130*T130</x:f>
        <x:v>0</x:v>
      </x:c>
      <x:c r="W130" s="28" t="n">
        <x:f>U130*O130</x:f>
        <x:v>0</x:v>
      </x:c>
    </x:row>
    <x:row r="131" ht="19" customHeight="1">
      <x:c r="A131" s="2"/>
      <x:c r="B131" s="2"/>
      <x:c r="C131" s="46" t="n">
        <x:v>0</x:v>
      </x:c>
      <x:c r="D131" s="46" t="n">
        <x:v>13</x:v>
      </x:c>
      <x:c r="E131" s="46" t="n">
        <x:v>2</x:v>
      </x:c>
      <x:c r="F131" s="46" t="n">
        <x:v>1</x:v>
      </x:c>
      <x:c r="G131" s="12" t="n">
        <x:v>0.8888888888888888</x:v>
      </x:c>
      <x:c r="H131" s="12" t="n">
        <x:v>1</x:v>
      </x:c>
      <x:c r="I131" s="29" t="n">
        <x:f>'Assumptions'!$D$11+'Assumptions'!$D$12*(0.5-(G131+H131)/2)</x:f>
        <x:v>0.21111111111111108</x:v>
      </x:c>
      <x:c r="J131" s="27" t="n">
        <x:f>'Assumptions'!$D$8*EXP(-'Assumptions'!$D$9*('Fleet Engine'!E207-10))*'Assumptions'!E57*'Assumptions'!D36</x:f>
        <x:v>33227.326062392545</x:v>
      </x:c>
      <x:c r="K131" s="27" t="n">
        <x:f>'Source Data'!F218+LN('Assumptions'!D57)+LN('Assumptions'!D35)</x:f>
        <x:v>8.179823674316163</x:v>
      </x:c>
      <x:c r="L131" s="27" t="n">
        <x:f>J131*(1-I131*(1-'Carrier Engine'!E91))</x:f>
        <x:v>26493.25464708099</x:v>
      </x:c>
      <x:c r="M131" s="29" t="n">
        <x:f>NORM.S.DIST((LN(L131)-K131)/'Assumptions'!$D$10,TRUE)</x:f>
        <x:v>0.8991616341237623</x:v>
      </x:c>
      <x:c r="N131" s="30" t="n">
        <x:f>MAX(0,H131-MAX(G131,M131))</x:f>
        <x:v>0.10083836587623773</x:v>
      </x:c>
      <x:c r="O131" s="28" t="n">
        <x:f>J131*I131</x:f>
        <x:v>7014.65772428287</x:v>
      </x:c>
      <x:c r="P131" s="27" t="n">
        <x:f>(VLOOKUP(O131,'Fee Data'!$C$6:$G$50,2,TRUE)+O131*VLOOKUP(O131,'Fee Data'!$C$6:$G$50,3,TRUE)+VLOOKUP(O131,'Fee Data'!$I$6:$J$14,2,TRUE)+'Fee Data'!$J$20+'Fee Data'!$J$21)*'Assumptions'!D37</x:f>
        <x:v>1115</x:v>
      </x:c>
      <x:c r="Q131" s="27" t="n">
        <x:f>(VLOOKUP(O131,'Fee Data'!$C$6:$G$50,4,TRUE)+O131*VLOOKUP(O131,'Fee Data'!$C$6:$G$50,5,TRUE)+VLOOKUP(O131,'Fee Data'!$I$6:$J$14,2,TRUE)+'Fee Data'!$J$20+'Fee Data'!$J$21)*'Assumptions'!D37</x:f>
        <x:v>990</x:v>
      </x:c>
      <x:c r="R131" s="27" t="n">
        <x:f>P131*(1-'Assumptions'!$D$14)+Q131*'Assumptions'!$D$14</x:f>
        <x:v>1052.5</x:v>
      </x:c>
      <x:c r="S131" s="27" t="n">
        <x:f>O131*'Carrier Engine'!E91</x:f>
        <x:v>280.5863089713147</x:v>
      </x:c>
      <x:c r="T131" s="28" t="n">
        <x:f>R131+S131</x:f>
        <x:v>1333.0863089713148</x:v>
      </x:c>
      <x:c r="U131" s="27" t="n">
        <x:f>N131*'Fleet Engine'!F207</x:f>
        <x:v>662.7182900228898</x:v>
      </x:c>
      <x:c r="V131" s="28" t="n">
        <x:f>U131*T131</x:f>
        <x:v>883460.6791343956</x:v>
      </x:c>
      <x:c r="W131" s="28" t="n">
        <x:f>U131*O131</x:f>
        <x:v>4648741.972132599</x:v>
      </x:c>
    </x:row>
    <x:row r="132" ht="19" customHeight="1">
      <x:c r="A132" s="2"/>
      <x:c r="B132" s="2"/>
      <x:c r="C132" s="46" t="n">
        <x:v>0</x:v>
      </x:c>
      <x:c r="D132" s="46" t="n">
        <x:v>14</x:v>
      </x:c>
      <x:c r="E132" s="46" t="n">
        <x:v>2</x:v>
      </x:c>
      <x:c r="F132" s="46" t="n">
        <x:v>2</x:v>
      </x:c>
      <x:c r="G132" s="12" t="n">
        <x:v>0</x:v>
      </x:c>
      <x:c r="H132" s="12" t="n">
        <x:v>0.1111111111111111</x:v>
      </x:c>
      <x:c r="I132" s="29" t="n">
        <x:f>'Assumptions'!$D$11+'Assumptions'!$D$12*(0.5-(G132+H132)/2)</x:f>
        <x:v>0.3888888888888889</x:v>
      </x:c>
      <x:c r="J132" s="27" t="n">
        <x:f>'Assumptions'!$D$8*EXP(-'Assumptions'!$D$9*('Fleet Engine'!E208-10))*'Assumptions'!E57*'Assumptions'!D36</x:f>
        <x:v>24615.408571552918</x:v>
      </x:c>
      <x:c r="K132" s="27" t="n">
        <x:f>'Source Data'!F219+LN('Assumptions'!D57)+LN('Assumptions'!D35)</x:f>
        <x:v>8.22550551560197</x:v>
      </x:c>
      <x:c r="L132" s="27" t="n">
        <x:f>J132*(1-I132*(1-'Carrier Engine'!E91))</x:f>
        <x:v>15425.656038173163</x:v>
      </x:c>
      <x:c r="M132" s="29" t="n">
        <x:f>NORM.S.DIST((LN(L132)-K132)/'Assumptions'!$D$10,TRUE)</x:f>
        <x:v>0.8168022614945112</x:v>
      </x:c>
      <x:c r="N132" s="30" t="n">
        <x:f>MAX(0,H132-MAX(G132,M132))</x:f>
        <x:v>0</x:v>
      </x:c>
      <x:c r="O132" s="28" t="n">
        <x:f>J132*I132</x:f>
        <x:v>9572.658888937247</x:v>
      </x:c>
      <x:c r="P132" s="27" t="n">
        <x:f>(VLOOKUP(O132,'Fee Data'!$C$6:$G$50,2,TRUE)+O132*VLOOKUP(O132,'Fee Data'!$C$6:$G$50,3,TRUE)+VLOOKUP(O132,'Fee Data'!$I$6:$J$14,2,TRUE)+'Fee Data'!$J$20+'Fee Data'!$J$21)*'Assumptions'!D37</x:f>
        <x:v>1195</x:v>
      </x:c>
      <x:c r="Q132" s="27" t="n">
        <x:f>(VLOOKUP(O132,'Fee Data'!$C$6:$G$50,4,TRUE)+O132*VLOOKUP(O132,'Fee Data'!$C$6:$G$50,5,TRUE)+VLOOKUP(O132,'Fee Data'!$I$6:$J$14,2,TRUE)+'Fee Data'!$J$20+'Fee Data'!$J$21)*'Assumptions'!D37</x:f>
        <x:v>1070</x:v>
      </x:c>
      <x:c r="R132" s="27" t="n">
        <x:f>P132*(1-'Assumptions'!$D$14)+Q132*'Assumptions'!$D$14</x:f>
        <x:v>1132.5</x:v>
      </x:c>
      <x:c r="S132" s="27" t="n">
        <x:f>O132*'Carrier Engine'!E91</x:f>
        <x:v>382.90635555748975</x:v>
      </x:c>
      <x:c r="T132" s="28" t="n">
        <x:f>R132+S132</x:f>
        <x:v>1515.4063555574899</x:v>
      </x:c>
      <x:c r="U132" s="27" t="n">
        <x:f>N132*'Fleet Engine'!F208</x:f>
        <x:v>0</x:v>
      </x:c>
      <x:c r="V132" s="28" t="n">
        <x:f>U132*T132</x:f>
        <x:v>0</x:v>
      </x:c>
      <x:c r="W132" s="28" t="n">
        <x:f>U132*O132</x:f>
        <x:v>0</x:v>
      </x:c>
    </x:row>
    <x:row r="133" ht="19" customHeight="1">
      <x:c r="A133" s="2"/>
      <x:c r="B133" s="2"/>
      <x:c r="C133" s="46" t="n">
        <x:v>0</x:v>
      </x:c>
      <x:c r="D133" s="46" t="n">
        <x:v>14</x:v>
      </x:c>
      <x:c r="E133" s="46" t="n">
        <x:v>2</x:v>
      </x:c>
      <x:c r="F133" s="46" t="n">
        <x:v>2</x:v>
      </x:c>
      <x:c r="G133" s="12" t="n">
        <x:v>0.1111111111111111</x:v>
      </x:c>
      <x:c r="H133" s="12" t="n">
        <x:v>0.2222222222222222</x:v>
      </x:c>
      <x:c r="I133" s="29" t="n">
        <x:f>'Assumptions'!$D$11+'Assumptions'!$D$12*(0.5-(G133+H133)/2)</x:f>
        <x:v>0.3666666666666667</x:v>
      </x:c>
      <x:c r="J133" s="27" t="n">
        <x:f>'Assumptions'!$D$8*EXP(-'Assumptions'!$D$9*('Fleet Engine'!E208-10))*'Assumptions'!E57*'Assumptions'!D36</x:f>
        <x:v>24615.408571552918</x:v>
      </x:c>
      <x:c r="K133" s="27" t="n">
        <x:f>'Source Data'!F219+LN('Assumptions'!D57)+LN('Assumptions'!D35)</x:f>
        <x:v>8.22550551560197</x:v>
      </x:c>
      <x:c r="L133" s="27" t="n">
        <x:f>J133*(1-I133*(1-'Carrier Engine'!E91))</x:f>
        <x:v>15950.784754366288</x:v>
      </x:c>
      <x:c r="M133" s="29" t="n">
        <x:f>NORM.S.DIST((LN(L133)-K133)/'Assumptions'!$D$10,TRUE)</x:f>
        <x:v>0.8224039417033224</x:v>
      </x:c>
      <x:c r="N133" s="30" t="n">
        <x:f>MAX(0,H133-MAX(G133,M133))</x:f>
        <x:v>0</x:v>
      </x:c>
      <x:c r="O133" s="28" t="n">
        <x:f>J133*I133</x:f>
        <x:v>9025.649809569404</x:v>
      </x:c>
      <x:c r="P133" s="27" t="n">
        <x:f>(VLOOKUP(O133,'Fee Data'!$C$6:$G$50,2,TRUE)+O133*VLOOKUP(O133,'Fee Data'!$C$6:$G$50,3,TRUE)+VLOOKUP(O133,'Fee Data'!$I$6:$J$14,2,TRUE)+'Fee Data'!$J$20+'Fee Data'!$J$21)*'Assumptions'!D37</x:f>
        <x:v>1195</x:v>
      </x:c>
      <x:c r="Q133" s="27" t="n">
        <x:f>(VLOOKUP(O133,'Fee Data'!$C$6:$G$50,4,TRUE)+O133*VLOOKUP(O133,'Fee Data'!$C$6:$G$50,5,TRUE)+VLOOKUP(O133,'Fee Data'!$I$6:$J$14,2,TRUE)+'Fee Data'!$J$20+'Fee Data'!$J$21)*'Assumptions'!D37</x:f>
        <x:v>1070</x:v>
      </x:c>
      <x:c r="R133" s="27" t="n">
        <x:f>P133*(1-'Assumptions'!$D$14)+Q133*'Assumptions'!$D$14</x:f>
        <x:v>1132.5</x:v>
      </x:c>
      <x:c r="S133" s="27" t="n">
        <x:f>O133*'Carrier Engine'!E91</x:f>
        <x:v>361.02599238277605</x:v>
      </x:c>
      <x:c r="T133" s="28" t="n">
        <x:f>R133+S133</x:f>
        <x:v>1493.5259923827762</x:v>
      </x:c>
      <x:c r="U133" s="27" t="n">
        <x:f>N133*'Fleet Engine'!F208</x:f>
        <x:v>0</x:v>
      </x:c>
      <x:c r="V133" s="28" t="n">
        <x:f>U133*T133</x:f>
        <x:v>0</x:v>
      </x:c>
      <x:c r="W133" s="28" t="n">
        <x:f>U133*O133</x:f>
        <x:v>0</x:v>
      </x:c>
    </x:row>
    <x:row r="134" ht="19" customHeight="1">
      <x:c r="A134" s="2"/>
      <x:c r="B134" s="2"/>
      <x:c r="C134" s="46" t="n">
        <x:v>0</x:v>
      </x:c>
      <x:c r="D134" s="46" t="n">
        <x:v>14</x:v>
      </x:c>
      <x:c r="E134" s="46" t="n">
        <x:v>2</x:v>
      </x:c>
      <x:c r="F134" s="46" t="n">
        <x:v>2</x:v>
      </x:c>
      <x:c r="G134" s="12" t="n">
        <x:v>0.2222222222222222</x:v>
      </x:c>
      <x:c r="H134" s="12" t="n">
        <x:v>0.3333333333333333</x:v>
      </x:c>
      <x:c r="I134" s="29" t="n">
        <x:f>'Assumptions'!$D$11+'Assumptions'!$D$12*(0.5-(G134+H134)/2)</x:f>
        <x:v>0.34444444444444444</x:v>
      </x:c>
      <x:c r="J134" s="27" t="n">
        <x:f>'Assumptions'!$D$8*EXP(-'Assumptions'!$D$9*('Fleet Engine'!E208-10))*'Assumptions'!E57*'Assumptions'!D36</x:f>
        <x:v>24615.408571552918</x:v>
      </x:c>
      <x:c r="K134" s="27" t="n">
        <x:f>'Source Data'!F219+LN('Assumptions'!D57)+LN('Assumptions'!D35)</x:f>
        <x:v>8.22550551560197</x:v>
      </x:c>
      <x:c r="L134" s="27" t="n">
        <x:f>J134*(1-I134*(1-'Carrier Engine'!E91))</x:f>
        <x:v>16475.91347055942</x:v>
      </x:c>
      <x:c r="M134" s="29" t="n">
        <x:f>NORM.S.DIST((LN(L134)-K134)/'Assumptions'!$D$10,TRUE)</x:f>
        <x:v>0.8277200866436032</x:v>
      </x:c>
      <x:c r="N134" s="30" t="n">
        <x:f>MAX(0,H134-MAX(G134,M134))</x:f>
        <x:v>0</x:v>
      </x:c>
      <x:c r="O134" s="28" t="n">
        <x:f>J134*I134</x:f>
        <x:v>8478.640730201561</x:v>
      </x:c>
      <x:c r="P134" s="27" t="n">
        <x:f>(VLOOKUP(O134,'Fee Data'!$C$6:$G$50,2,TRUE)+O134*VLOOKUP(O134,'Fee Data'!$C$6:$G$50,3,TRUE)+VLOOKUP(O134,'Fee Data'!$I$6:$J$14,2,TRUE)+'Fee Data'!$J$20+'Fee Data'!$J$21)*'Assumptions'!D37</x:f>
        <x:v>1175</x:v>
      </x:c>
      <x:c r="Q134" s="27" t="n">
        <x:f>(VLOOKUP(O134,'Fee Data'!$C$6:$G$50,4,TRUE)+O134*VLOOKUP(O134,'Fee Data'!$C$6:$G$50,5,TRUE)+VLOOKUP(O134,'Fee Data'!$I$6:$J$14,2,TRUE)+'Fee Data'!$J$20+'Fee Data'!$J$21)*'Assumptions'!D37</x:f>
        <x:v>1050</x:v>
      </x:c>
      <x:c r="R134" s="27" t="n">
        <x:f>P134*(1-'Assumptions'!$D$14)+Q134*'Assumptions'!$D$14</x:f>
        <x:v>1112.5</x:v>
      </x:c>
      <x:c r="S134" s="27" t="n">
        <x:f>O134*'Carrier Engine'!E91</x:f>
        <x:v>339.14562920806236</x:v>
      </x:c>
      <x:c r="T134" s="28" t="n">
        <x:f>R134+S134</x:f>
        <x:v>1451.6456292080625</x:v>
      </x:c>
      <x:c r="U134" s="27" t="n">
        <x:f>N134*'Fleet Engine'!F208</x:f>
        <x:v>0</x:v>
      </x:c>
      <x:c r="V134" s="28" t="n">
        <x:f>U134*T134</x:f>
        <x:v>0</x:v>
      </x:c>
      <x:c r="W134" s="28" t="n">
        <x:f>U134*O134</x:f>
        <x:v>0</x:v>
      </x:c>
    </x:row>
    <x:row r="135" ht="19" customHeight="1">
      <x:c r="A135" s="2"/>
      <x:c r="B135" s="2"/>
      <x:c r="C135" s="46" t="n">
        <x:v>0</x:v>
      </x:c>
      <x:c r="D135" s="46" t="n">
        <x:v>14</x:v>
      </x:c>
      <x:c r="E135" s="46" t="n">
        <x:v>2</x:v>
      </x:c>
      <x:c r="F135" s="46" t="n">
        <x:v>2</x:v>
      </x:c>
      <x:c r="G135" s="12" t="n">
        <x:v>0.3333333333333333</x:v>
      </x:c>
      <x:c r="H135" s="12" t="n">
        <x:v>0.4444444444444444</x:v>
      </x:c>
      <x:c r="I135" s="29" t="n">
        <x:f>'Assumptions'!$D$11+'Assumptions'!$D$12*(0.5-(G135+H135)/2)</x:f>
        <x:v>0.32222222222222224</x:v>
      </x:c>
      <x:c r="J135" s="27" t="n">
        <x:f>'Assumptions'!$D$8*EXP(-'Assumptions'!$D$9*('Fleet Engine'!E208-10))*'Assumptions'!E57*'Assumptions'!D36</x:f>
        <x:v>24615.408571552918</x:v>
      </x:c>
      <x:c r="K135" s="27" t="n">
        <x:f>'Source Data'!F219+LN('Assumptions'!D57)+LN('Assumptions'!D35)</x:f>
        <x:v>8.22550551560197</x:v>
      </x:c>
      <x:c r="L135" s="27" t="n">
        <x:f>J135*(1-I135*(1-'Carrier Engine'!E91))</x:f>
        <x:v>17001.042186752547</x:v>
      </x:c>
      <x:c r="M135" s="29" t="n">
        <x:f>NORM.S.DIST((LN(L135)-K135)/'Assumptions'!$D$10,TRUE)</x:f>
        <x:v>0.8327715578412461</x:v>
      </x:c>
      <x:c r="N135" s="30" t="n">
        <x:f>MAX(0,H135-MAX(G135,M135))</x:f>
        <x:v>0</x:v>
      </x:c>
      <x:c r="O135" s="28" t="n">
        <x:f>J135*I135</x:f>
        <x:v>7931.631650833719</x:v>
      </x:c>
      <x:c r="P135" s="27" t="n">
        <x:f>(VLOOKUP(O135,'Fee Data'!$C$6:$G$50,2,TRUE)+O135*VLOOKUP(O135,'Fee Data'!$C$6:$G$50,3,TRUE)+VLOOKUP(O135,'Fee Data'!$I$6:$J$14,2,TRUE)+'Fee Data'!$J$20+'Fee Data'!$J$21)*'Assumptions'!D37</x:f>
        <x:v>1135</x:v>
      </x:c>
      <x:c r="Q135" s="27" t="n">
        <x:f>(VLOOKUP(O135,'Fee Data'!$C$6:$G$50,4,TRUE)+O135*VLOOKUP(O135,'Fee Data'!$C$6:$G$50,5,TRUE)+VLOOKUP(O135,'Fee Data'!$I$6:$J$14,2,TRUE)+'Fee Data'!$J$20+'Fee Data'!$J$21)*'Assumptions'!D37</x:f>
        <x:v>1010</x:v>
      </x:c>
      <x:c r="R135" s="27" t="n">
        <x:f>P135*(1-'Assumptions'!$D$14)+Q135*'Assumptions'!$D$14</x:f>
        <x:v>1072.5</x:v>
      </x:c>
      <x:c r="S135" s="27" t="n">
        <x:f>O135*'Carrier Engine'!E91</x:f>
        <x:v>317.26526603334867</x:v>
      </x:c>
      <x:c r="T135" s="28" t="n">
        <x:f>R135+S135</x:f>
        <x:v>1389.7652660333488</x:v>
      </x:c>
      <x:c r="U135" s="27" t="n">
        <x:f>N135*'Fleet Engine'!F208</x:f>
        <x:v>0</x:v>
      </x:c>
      <x:c r="V135" s="28" t="n">
        <x:f>U135*T135</x:f>
        <x:v>0</x:v>
      </x:c>
      <x:c r="W135" s="28" t="n">
        <x:f>U135*O135</x:f>
        <x:v>0</x:v>
      </x:c>
    </x:row>
    <x:row r="136" ht="19" customHeight="1">
      <x:c r="A136" s="2"/>
      <x:c r="B136" s="2"/>
      <x:c r="C136" s="46" t="n">
        <x:v>0</x:v>
      </x:c>
      <x:c r="D136" s="46" t="n">
        <x:v>14</x:v>
      </x:c>
      <x:c r="E136" s="46" t="n">
        <x:v>2</x:v>
      </x:c>
      <x:c r="F136" s="46" t="n">
        <x:v>2</x:v>
      </x:c>
      <x:c r="G136" s="12" t="n">
        <x:v>0.4444444444444444</x:v>
      </x:c>
      <x:c r="H136" s="12" t="n">
        <x:v>0.5555555555555556</x:v>
      </x:c>
      <x:c r="I136" s="29" t="n">
        <x:f>'Assumptions'!$D$11+'Assumptions'!$D$12*(0.5-(G136+H136)/2)</x:f>
        <x:v>0.3</x:v>
      </x:c>
      <x:c r="J136" s="27" t="n">
        <x:f>'Assumptions'!$D$8*EXP(-'Assumptions'!$D$9*('Fleet Engine'!E208-10))*'Assumptions'!E57*'Assumptions'!D36</x:f>
        <x:v>24615.408571552918</x:v>
      </x:c>
      <x:c r="K136" s="27" t="n">
        <x:f>'Source Data'!F219+LN('Assumptions'!D57)+LN('Assumptions'!D35)</x:f>
        <x:v>8.22550551560197</x:v>
      </x:c>
      <x:c r="L136" s="27" t="n">
        <x:f>J136*(1-I136*(1-'Carrier Engine'!E91))</x:f>
        <x:v>17526.170902945676</x:v>
      </x:c>
      <x:c r="M136" s="29" t="n">
        <x:f>NORM.S.DIST((LN(L136)-K136)/'Assumptions'!$D$10,TRUE)</x:f>
        <x:v>0.8375772230492653</x:v>
      </x:c>
      <x:c r="N136" s="30" t="n">
        <x:f>MAX(0,H136-MAX(G136,M136))</x:f>
        <x:v>0</x:v>
      </x:c>
      <x:c r="O136" s="28" t="n">
        <x:f>J136*I136</x:f>
        <x:v>7384.622571465875</x:v>
      </x:c>
      <x:c r="P136" s="27" t="n">
        <x:f>(VLOOKUP(O136,'Fee Data'!$C$6:$G$50,2,TRUE)+O136*VLOOKUP(O136,'Fee Data'!$C$6:$G$50,3,TRUE)+VLOOKUP(O136,'Fee Data'!$I$6:$J$14,2,TRUE)+'Fee Data'!$J$20+'Fee Data'!$J$21)*'Assumptions'!D37</x:f>
        <x:v>1115</x:v>
      </x:c>
      <x:c r="Q136" s="27" t="n">
        <x:f>(VLOOKUP(O136,'Fee Data'!$C$6:$G$50,4,TRUE)+O136*VLOOKUP(O136,'Fee Data'!$C$6:$G$50,5,TRUE)+VLOOKUP(O136,'Fee Data'!$I$6:$J$14,2,TRUE)+'Fee Data'!$J$20+'Fee Data'!$J$21)*'Assumptions'!D37</x:f>
        <x:v>990</x:v>
      </x:c>
      <x:c r="R136" s="27" t="n">
        <x:f>P136*(1-'Assumptions'!$D$14)+Q136*'Assumptions'!$D$14</x:f>
        <x:v>1052.5</x:v>
      </x:c>
      <x:c r="S136" s="27" t="n">
        <x:f>O136*'Carrier Engine'!E91</x:f>
        <x:v>295.3849028586349</x:v>
      </x:c>
      <x:c r="T136" s="28" t="n">
        <x:f>R136+S136</x:f>
        <x:v>1347.8849028586349</x:v>
      </x:c>
      <x:c r="U136" s="27" t="n">
        <x:f>N136*'Fleet Engine'!F208</x:f>
        <x:v>0</x:v>
      </x:c>
      <x:c r="V136" s="28" t="n">
        <x:f>U136*T136</x:f>
        <x:v>0</x:v>
      </x:c>
      <x:c r="W136" s="28" t="n">
        <x:f>U136*O136</x:f>
        <x:v>0</x:v>
      </x:c>
    </x:row>
    <x:row r="137" ht="19" customHeight="1">
      <x:c r="A137" s="2"/>
      <x:c r="B137" s="2"/>
      <x:c r="C137" s="46" t="n">
        <x:v>0</x:v>
      </x:c>
      <x:c r="D137" s="46" t="n">
        <x:v>14</x:v>
      </x:c>
      <x:c r="E137" s="46" t="n">
        <x:v>2</x:v>
      </x:c>
      <x:c r="F137" s="46" t="n">
        <x:v>2</x:v>
      </x:c>
      <x:c r="G137" s="12" t="n">
        <x:v>0.5555555555555556</x:v>
      </x:c>
      <x:c r="H137" s="12" t="n">
        <x:v>0.6666666666666666</x:v>
      </x:c>
      <x:c r="I137" s="29" t="n">
        <x:f>'Assumptions'!$D$11+'Assumptions'!$D$12*(0.5-(G137+H137)/2)</x:f>
        <x:v>0.27777777777777773</x:v>
      </x:c>
      <x:c r="J137" s="27" t="n">
        <x:f>'Assumptions'!$D$8*EXP(-'Assumptions'!$D$9*('Fleet Engine'!E208-10))*'Assumptions'!E57*'Assumptions'!D36</x:f>
        <x:v>24615.408571552918</x:v>
      </x:c>
      <x:c r="K137" s="27" t="n">
        <x:f>'Source Data'!F219+LN('Assumptions'!D57)+LN('Assumptions'!D35)</x:f>
        <x:v>8.22550551560197</x:v>
      </x:c>
      <x:c r="L137" s="27" t="n">
        <x:f>J137*(1-I137*(1-'Carrier Engine'!E91))</x:f>
        <x:v>18051.29961913881</x:v>
      </x:c>
      <x:c r="M137" s="29" t="n">
        <x:f>NORM.S.DIST((LN(L137)-K137)/'Assumptions'!$D$10,TRUE)</x:f>
        <x:v>0.8421541912379197</x:v>
      </x:c>
      <x:c r="N137" s="30" t="n">
        <x:f>MAX(0,H137-MAX(G137,M137))</x:f>
        <x:v>0</x:v>
      </x:c>
      <x:c r="O137" s="28" t="n">
        <x:f>J137*I137</x:f>
        <x:v>6837.613492098032</x:v>
      </x:c>
      <x:c r="P137" s="27" t="n">
        <x:f>(VLOOKUP(O137,'Fee Data'!$C$6:$G$50,2,TRUE)+O137*VLOOKUP(O137,'Fee Data'!$C$6:$G$50,3,TRUE)+VLOOKUP(O137,'Fee Data'!$I$6:$J$14,2,TRUE)+'Fee Data'!$J$20+'Fee Data'!$J$21)*'Assumptions'!D37</x:f>
        <x:v>1080</x:v>
      </x:c>
      <x:c r="Q137" s="27" t="n">
        <x:f>(VLOOKUP(O137,'Fee Data'!$C$6:$G$50,4,TRUE)+O137*VLOOKUP(O137,'Fee Data'!$C$6:$G$50,5,TRUE)+VLOOKUP(O137,'Fee Data'!$I$6:$J$14,2,TRUE)+'Fee Data'!$J$20+'Fee Data'!$J$21)*'Assumptions'!D37</x:f>
        <x:v>955</x:v>
      </x:c>
      <x:c r="R137" s="27" t="n">
        <x:f>P137*(1-'Assumptions'!$D$14)+Q137*'Assumptions'!$D$14</x:f>
        <x:v>1017.5</x:v>
      </x:c>
      <x:c r="S137" s="27" t="n">
        <x:f>O137*'Carrier Engine'!E91</x:f>
        <x:v>273.5045396839212</x:v>
      </x:c>
      <x:c r="T137" s="28" t="n">
        <x:f>R137+S137</x:f>
        <x:v>1291.0045396839212</x:v>
      </x:c>
      <x:c r="U137" s="27" t="n">
        <x:f>N137*'Fleet Engine'!F208</x:f>
        <x:v>0</x:v>
      </x:c>
      <x:c r="V137" s="28" t="n">
        <x:f>U137*T137</x:f>
        <x:v>0</x:v>
      </x:c>
      <x:c r="W137" s="28" t="n">
        <x:f>U137*O137</x:f>
        <x:v>0</x:v>
      </x:c>
    </x:row>
    <x:row r="138" ht="19" customHeight="1">
      <x:c r="A138" s="2"/>
      <x:c r="B138" s="2"/>
      <x:c r="C138" s="46" t="n">
        <x:v>0</x:v>
      </x:c>
      <x:c r="D138" s="46" t="n">
        <x:v>14</x:v>
      </x:c>
      <x:c r="E138" s="46" t="n">
        <x:v>2</x:v>
      </x:c>
      <x:c r="F138" s="46" t="n">
        <x:v>2</x:v>
      </x:c>
      <x:c r="G138" s="12" t="n">
        <x:v>0.6666666666666666</x:v>
      </x:c>
      <x:c r="H138" s="12" t="n">
        <x:v>0.7777777777777778</x:v>
      </x:c>
      <x:c r="I138" s="29" t="n">
        <x:f>'Assumptions'!$D$11+'Assumptions'!$D$12*(0.5-(G138+H138)/2)</x:f>
        <x:v>0.25555555555555554</x:v>
      </x:c>
      <x:c r="J138" s="27" t="n">
        <x:f>'Assumptions'!$D$8*EXP(-'Assumptions'!$D$9*('Fleet Engine'!E208-10))*'Assumptions'!E57*'Assumptions'!D36</x:f>
        <x:v>24615.408571552918</x:v>
      </x:c>
      <x:c r="K138" s="27" t="n">
        <x:f>'Source Data'!F219+LN('Assumptions'!D57)+LN('Assumptions'!D35)</x:f>
        <x:v>8.22550551560197</x:v>
      </x:c>
      <x:c r="L138" s="27" t="n">
        <x:f>J138*(1-I138*(1-'Carrier Engine'!E91))</x:f>
        <x:v>18576.428335331937</x:v>
      </x:c>
      <x:c r="M138" s="29" t="n">
        <x:f>NORM.S.DIST((LN(L138)-K138)/'Assumptions'!$D$10,TRUE)</x:f>
        <x:v>0.8465180147776781</x:v>
      </x:c>
      <x:c r="N138" s="30" t="n">
        <x:f>MAX(0,H138-MAX(G138,M138))</x:f>
        <x:v>0</x:v>
      </x:c>
      <x:c r="O138" s="28" t="n">
        <x:f>J138*I138</x:f>
        <x:v>6290.604412730189</x:v>
      </x:c>
      <x:c r="P138" s="27" t="n">
        <x:f>(VLOOKUP(O138,'Fee Data'!$C$6:$G$50,2,TRUE)+O138*VLOOKUP(O138,'Fee Data'!$C$6:$G$50,3,TRUE)+VLOOKUP(O138,'Fee Data'!$I$6:$J$14,2,TRUE)+'Fee Data'!$J$20+'Fee Data'!$J$21)*'Assumptions'!D37</x:f>
        <x:v>1060</x:v>
      </x:c>
      <x:c r="Q138" s="27" t="n">
        <x:f>(VLOOKUP(O138,'Fee Data'!$C$6:$G$50,4,TRUE)+O138*VLOOKUP(O138,'Fee Data'!$C$6:$G$50,5,TRUE)+VLOOKUP(O138,'Fee Data'!$I$6:$J$14,2,TRUE)+'Fee Data'!$J$20+'Fee Data'!$J$21)*'Assumptions'!D37</x:f>
        <x:v>935</x:v>
      </x:c>
      <x:c r="R138" s="27" t="n">
        <x:f>P138*(1-'Assumptions'!$D$14)+Q138*'Assumptions'!$D$14</x:f>
        <x:v>997.5</x:v>
      </x:c>
      <x:c r="S138" s="27" t="n">
        <x:f>O138*'Carrier Engine'!E91</x:f>
        <x:v>251.6241765092075</x:v>
      </x:c>
      <x:c r="T138" s="28" t="n">
        <x:f>R138+S138</x:f>
        <x:v>1249.1241765092075</x:v>
      </x:c>
      <x:c r="U138" s="27" t="n">
        <x:f>N138*'Fleet Engine'!F208</x:f>
        <x:v>0</x:v>
      </x:c>
      <x:c r="V138" s="28" t="n">
        <x:f>U138*T138</x:f>
        <x:v>0</x:v>
      </x:c>
      <x:c r="W138" s="28" t="n">
        <x:f>U138*O138</x:f>
        <x:v>0</x:v>
      </x:c>
    </x:row>
    <x:row r="139" ht="19" customHeight="1">
      <x:c r="A139" s="2"/>
      <x:c r="B139" s="2"/>
      <x:c r="C139" s="46" t="n">
        <x:v>0</x:v>
      </x:c>
      <x:c r="D139" s="46" t="n">
        <x:v>14</x:v>
      </x:c>
      <x:c r="E139" s="46" t="n">
        <x:v>2</x:v>
      </x:c>
      <x:c r="F139" s="46" t="n">
        <x:v>2</x:v>
      </x:c>
      <x:c r="G139" s="12" t="n">
        <x:v>0.7777777777777778</x:v>
      </x:c>
      <x:c r="H139" s="12" t="n">
        <x:v>0.8888888888888888</x:v>
      </x:c>
      <x:c r="I139" s="29" t="n">
        <x:f>'Assumptions'!$D$11+'Assumptions'!$D$12*(0.5-(G139+H139)/2)</x:f>
        <x:v>0.23333333333333334</x:v>
      </x:c>
      <x:c r="J139" s="27" t="n">
        <x:f>'Assumptions'!$D$8*EXP(-'Assumptions'!$D$9*('Fleet Engine'!E208-10))*'Assumptions'!E57*'Assumptions'!D36</x:f>
        <x:v>24615.408571552918</x:v>
      </x:c>
      <x:c r="K139" s="27" t="n">
        <x:f>'Source Data'!F219+LN('Assumptions'!D57)+LN('Assumptions'!D35)</x:f>
        <x:v>8.22550551560197</x:v>
      </x:c>
      <x:c r="L139" s="27" t="n">
        <x:f>J139*(1-I139*(1-'Carrier Engine'!E91))</x:f>
        <x:v>19101.557051525066</x:v>
      </x:c>
      <x:c r="M139" s="29" t="n">
        <x:f>NORM.S.DIST((LN(L139)-K139)/'Assumptions'!$D$10,TRUE)</x:f>
        <x:v>0.850682864085855</x:v>
      </x:c>
      <x:c r="N139" s="30" t="n">
        <x:f>MAX(0,H139-MAX(G139,M139))</x:f>
        <x:v>0.03820602480303381</x:v>
      </x:c>
      <x:c r="O139" s="28" t="n">
        <x:f>J139*I139</x:f>
        <x:v>5743.595333362347</x:v>
      </x:c>
      <x:c r="P139" s="27" t="n">
        <x:f>(VLOOKUP(O139,'Fee Data'!$C$6:$G$50,2,TRUE)+O139*VLOOKUP(O139,'Fee Data'!$C$6:$G$50,3,TRUE)+VLOOKUP(O139,'Fee Data'!$I$6:$J$14,2,TRUE)+'Fee Data'!$J$20+'Fee Data'!$J$21)*'Assumptions'!D37</x:f>
        <x:v>1020</x:v>
      </x:c>
      <x:c r="Q139" s="27" t="n">
        <x:f>(VLOOKUP(O139,'Fee Data'!$C$6:$G$50,4,TRUE)+O139*VLOOKUP(O139,'Fee Data'!$C$6:$G$50,5,TRUE)+VLOOKUP(O139,'Fee Data'!$I$6:$J$14,2,TRUE)+'Fee Data'!$J$20+'Fee Data'!$J$21)*'Assumptions'!D37</x:f>
        <x:v>895</x:v>
      </x:c>
      <x:c r="R139" s="27" t="n">
        <x:f>P139*(1-'Assumptions'!$D$14)+Q139*'Assumptions'!$D$14</x:f>
        <x:v>957.5</x:v>
      </x:c>
      <x:c r="S139" s="27" t="n">
        <x:f>O139*'Carrier Engine'!E91</x:f>
        <x:v>229.74381333449384</x:v>
      </x:c>
      <x:c r="T139" s="28" t="n">
        <x:f>R139+S139</x:f>
        <x:v>1187.2438133344938</x:v>
      </x:c>
      <x:c r="U139" s="27" t="n">
        <x:f>N139*'Fleet Engine'!F208</x:f>
        <x:v>237.32855469856372</x:v>
      </x:c>
      <x:c r="V139" s="28" t="n">
        <x:f>U139*T139</x:f>
        <x:v>281766.85829348676</x:v>
      </x:c>
      <x:c r="W139" s="28" t="n">
        <x:f>U139*O139</x:f>
        <x:v>1363119.1792403013</x:v>
      </x:c>
    </x:row>
    <x:row r="140" ht="19" customHeight="1">
      <x:c r="A140" s="2"/>
      <x:c r="B140" s="2"/>
      <x:c r="C140" s="46" t="n">
        <x:v>0</x:v>
      </x:c>
      <x:c r="D140" s="46" t="n">
        <x:v>14</x:v>
      </x:c>
      <x:c r="E140" s="46" t="n">
        <x:v>2</x:v>
      </x:c>
      <x:c r="F140" s="46" t="n">
        <x:v>2</x:v>
      </x:c>
      <x:c r="G140" s="12" t="n">
        <x:v>0.8888888888888888</x:v>
      </x:c>
      <x:c r="H140" s="12" t="n">
        <x:v>1</x:v>
      </x:c>
      <x:c r="I140" s="29" t="n">
        <x:f>'Assumptions'!$D$11+'Assumptions'!$D$12*(0.5-(G140+H140)/2)</x:f>
        <x:v>0.21111111111111108</x:v>
      </x:c>
      <x:c r="J140" s="27" t="n">
        <x:f>'Assumptions'!$D$8*EXP(-'Assumptions'!$D$9*('Fleet Engine'!E208-10))*'Assumptions'!E57*'Assumptions'!D36</x:f>
        <x:v>24615.408571552918</x:v>
      </x:c>
      <x:c r="K140" s="27" t="n">
        <x:f>'Source Data'!F219+LN('Assumptions'!D57)+LN('Assumptions'!D35)</x:f>
        <x:v>8.22550551560197</x:v>
      </x:c>
      <x:c r="L140" s="27" t="n">
        <x:f>J140*(1-I140*(1-'Carrier Engine'!E91))</x:f>
        <x:v>19626.685767718194</x:v>
      </x:c>
      <x:c r="M140" s="29" t="n">
        <x:f>NORM.S.DIST((LN(L140)-K140)/'Assumptions'!$D$10,TRUE)</x:f>
        <x:v>0.8546616790540353</x:v>
      </x:c>
      <x:c r="N140" s="30" t="n">
        <x:f>MAX(0,H140-MAX(G140,M140))</x:f>
        <x:v>0.11111111111111116</x:v>
      </x:c>
      <x:c r="O140" s="28" t="n">
        <x:f>J140*I140</x:f>
        <x:v>5196.586253994505</x:v>
      </x:c>
      <x:c r="P140" s="27" t="n">
        <x:f>(VLOOKUP(O140,'Fee Data'!$C$6:$G$50,2,TRUE)+O140*VLOOKUP(O140,'Fee Data'!$C$6:$G$50,3,TRUE)+VLOOKUP(O140,'Fee Data'!$I$6:$J$14,2,TRUE)+'Fee Data'!$J$20+'Fee Data'!$J$21)*'Assumptions'!D37</x:f>
        <x:v>995</x:v>
      </x:c>
      <x:c r="Q140" s="27" t="n">
        <x:f>(VLOOKUP(O140,'Fee Data'!$C$6:$G$50,4,TRUE)+O140*VLOOKUP(O140,'Fee Data'!$C$6:$G$50,5,TRUE)+VLOOKUP(O140,'Fee Data'!$I$6:$J$14,2,TRUE)+'Fee Data'!$J$20+'Fee Data'!$J$21)*'Assumptions'!D37</x:f>
        <x:v>870</x:v>
      </x:c>
      <x:c r="R140" s="27" t="n">
        <x:f>P140*(1-'Assumptions'!$D$14)+Q140*'Assumptions'!$D$14</x:f>
        <x:v>932.5</x:v>
      </x:c>
      <x:c r="S140" s="27" t="n">
        <x:f>O140*'Carrier Engine'!E91</x:f>
        <x:v>207.86345015978011</x:v>
      </x:c>
      <x:c r="T140" s="28" t="n">
        <x:f>R140+S140</x:f>
        <x:v>1140.36345015978</x:v>
      </x:c>
      <x:c r="U140" s="27" t="n">
        <x:f>N140*'Fleet Engine'!F208</x:f>
        <x:v>690.2010755344952</x:v>
      </x:c>
      <x:c r="V140" s="28" t="n">
        <x:f>U140*T140</x:f>
        <x:v>787080.079800508</x:v>
      </x:c>
      <x:c r="W140" s="28" t="n">
        <x:f>U140*O140</x:f>
        <x:v>3586689.4216147806</x:v>
      </x:c>
    </x:row>
    <x:row r="141" ht="19" customHeight="1">
      <x:c r="A141" s="2"/>
      <x:c r="B141" s="2"/>
      <x:c r="C141" s="46" t="n">
        <x:v>0</x:v>
      </x:c>
      <x:c r="D141" s="46" t="n">
        <x:v>15</x:v>
      </x:c>
      <x:c r="E141" s="46" t="n">
        <x:v>2</x:v>
      </x:c>
      <x:c r="F141" s="46" t="n">
        <x:v>3</x:v>
      </x:c>
      <x:c r="G141" s="12" t="n">
        <x:v>0</x:v>
      </x:c>
      <x:c r="H141" s="12" t="n">
        <x:v>0.1111111111111111</x:v>
      </x:c>
      <x:c r="I141" s="29" t="n">
        <x:f>'Assumptions'!$D$11+'Assumptions'!$D$12*(0.5-(G141+H141)/2)</x:f>
        <x:v>0.3888888888888889</x:v>
      </x:c>
      <x:c r="J141" s="27" t="n">
        <x:f>'Assumptions'!$D$8*EXP(-'Assumptions'!$D$9*('Fleet Engine'!E209-10))*'Assumptions'!E57*'Assumptions'!D36</x:f>
        <x:v>18235.543179331336</x:v>
      </x:c>
      <x:c r="K141" s="27" t="n">
        <x:f>'Source Data'!F220+LN('Assumptions'!D57)+LN('Assumptions'!D35)</x:f>
        <x:v>8.332638086869624</x:v>
      </x:c>
      <x:c r="L141" s="27" t="n">
        <x:f>J141*(1-I141*(1-'Carrier Engine'!E91))</x:f>
        <x:v>11427.607059047637</x:v>
      </x:c>
      <x:c r="M141" s="29" t="n">
        <x:f>NORM.S.DIST((LN(L141)-K141)/'Assumptions'!$D$10,TRUE)</x:f>
        <x:v>0.7401992041625559</x:v>
      </x:c>
      <x:c r="N141" s="30" t="n">
        <x:f>MAX(0,H141-MAX(G141,M141))</x:f>
        <x:v>0</x:v>
      </x:c>
      <x:c r="O141" s="28" t="n">
        <x:f>J141*I141</x:f>
        <x:v>7091.60012529552</x:v>
      </x:c>
      <x:c r="P141" s="27" t="n">
        <x:f>(VLOOKUP(O141,'Fee Data'!$C$6:$G$50,2,TRUE)+O141*VLOOKUP(O141,'Fee Data'!$C$6:$G$50,3,TRUE)+VLOOKUP(O141,'Fee Data'!$I$6:$J$14,2,TRUE)+'Fee Data'!$J$20+'Fee Data'!$J$21)*'Assumptions'!D37</x:f>
        <x:v>1115</x:v>
      </x:c>
      <x:c r="Q141" s="27" t="n">
        <x:f>(VLOOKUP(O141,'Fee Data'!$C$6:$G$50,4,TRUE)+O141*VLOOKUP(O141,'Fee Data'!$C$6:$G$50,5,TRUE)+VLOOKUP(O141,'Fee Data'!$I$6:$J$14,2,TRUE)+'Fee Data'!$J$20+'Fee Data'!$J$21)*'Assumptions'!D37</x:f>
        <x:v>990</x:v>
      </x:c>
      <x:c r="R141" s="27" t="n">
        <x:f>P141*(1-'Assumptions'!$D$14)+Q141*'Assumptions'!$D$14</x:f>
        <x:v>1052.5</x:v>
      </x:c>
      <x:c r="S141" s="27" t="n">
        <x:f>O141*'Carrier Engine'!E91</x:f>
        <x:v>283.66400501182073</x:v>
      </x:c>
      <x:c r="T141" s="28" t="n">
        <x:f>R141+S141</x:f>
        <x:v>1336.1640050118208</x:v>
      </x:c>
      <x:c r="U141" s="27" t="n">
        <x:f>N141*'Fleet Engine'!F209</x:f>
        <x:v>0</x:v>
      </x:c>
      <x:c r="V141" s="28" t="n">
        <x:f>U141*T141</x:f>
        <x:v>0</x:v>
      </x:c>
      <x:c r="W141" s="28" t="n">
        <x:f>U141*O141</x:f>
        <x:v>0</x:v>
      </x:c>
    </x:row>
    <x:row r="142" ht="19" customHeight="1">
      <x:c r="A142" s="2"/>
      <x:c r="B142" s="2"/>
      <x:c r="C142" s="46" t="n">
        <x:v>0</x:v>
      </x:c>
      <x:c r="D142" s="46" t="n">
        <x:v>15</x:v>
      </x:c>
      <x:c r="E142" s="46" t="n">
        <x:v>2</x:v>
      </x:c>
      <x:c r="F142" s="46" t="n">
        <x:v>3</x:v>
      </x:c>
      <x:c r="G142" s="12" t="n">
        <x:v>0.1111111111111111</x:v>
      </x:c>
      <x:c r="H142" s="12" t="n">
        <x:v>0.2222222222222222</x:v>
      </x:c>
      <x:c r="I142" s="29" t="n">
        <x:f>'Assumptions'!$D$11+'Assumptions'!$D$12*(0.5-(G142+H142)/2)</x:f>
        <x:v>0.3666666666666667</x:v>
      </x:c>
      <x:c r="J142" s="27" t="n">
        <x:f>'Assumptions'!$D$8*EXP(-'Assumptions'!$D$9*('Fleet Engine'!E209-10))*'Assumptions'!E57*'Assumptions'!D36</x:f>
        <x:v>18235.543179331336</x:v>
      </x:c>
      <x:c r="K142" s="27" t="n">
        <x:f>'Source Data'!F220+LN('Assumptions'!D57)+LN('Assumptions'!D35)</x:f>
        <x:v>8.332638086869624</x:v>
      </x:c>
      <x:c r="L142" s="27" t="n">
        <x:f>J142*(1-I142*(1-'Carrier Engine'!E91))</x:f>
        <x:v>11816.631980206705</x:v>
      </x:c>
      <x:c r="M142" s="29" t="n">
        <x:f>NORM.S.DIST((LN(L142)-K142)/'Assumptions'!$D$10,TRUE)</x:f>
        <x:v>0.7470640064168992</x:v>
      </x:c>
      <x:c r="N142" s="30" t="n">
        <x:f>MAX(0,H142-MAX(G142,M142))</x:f>
        <x:v>0</x:v>
      </x:c>
      <x:c r="O142" s="28" t="n">
        <x:f>J142*I142</x:f>
        <x:v>6686.36583242149</x:v>
      </x:c>
      <x:c r="P142" s="27" t="n">
        <x:f>(VLOOKUP(O142,'Fee Data'!$C$6:$G$50,2,TRUE)+O142*VLOOKUP(O142,'Fee Data'!$C$6:$G$50,3,TRUE)+VLOOKUP(O142,'Fee Data'!$I$6:$J$14,2,TRUE)+'Fee Data'!$J$20+'Fee Data'!$J$21)*'Assumptions'!D37</x:f>
        <x:v>1080</x:v>
      </x:c>
      <x:c r="Q142" s="27" t="n">
        <x:f>(VLOOKUP(O142,'Fee Data'!$C$6:$G$50,4,TRUE)+O142*VLOOKUP(O142,'Fee Data'!$C$6:$G$50,5,TRUE)+VLOOKUP(O142,'Fee Data'!$I$6:$J$14,2,TRUE)+'Fee Data'!$J$20+'Fee Data'!$J$21)*'Assumptions'!D37</x:f>
        <x:v>955</x:v>
      </x:c>
      <x:c r="R142" s="27" t="n">
        <x:f>P142*(1-'Assumptions'!$D$14)+Q142*'Assumptions'!$D$14</x:f>
        <x:v>1017.5</x:v>
      </x:c>
      <x:c r="S142" s="27" t="n">
        <x:f>O142*'Carrier Engine'!E91</x:f>
        <x:v>267.4546332968595</x:v>
      </x:c>
      <x:c r="T142" s="28" t="n">
        <x:f>R142+S142</x:f>
        <x:v>1284.9546332968596</x:v>
      </x:c>
      <x:c r="U142" s="27" t="n">
        <x:f>N142*'Fleet Engine'!F209</x:f>
        <x:v>0</x:v>
      </x:c>
      <x:c r="V142" s="28" t="n">
        <x:f>U142*T142</x:f>
        <x:v>0</x:v>
      </x:c>
      <x:c r="W142" s="28" t="n">
        <x:f>U142*O142</x:f>
        <x:v>0</x:v>
      </x:c>
    </x:row>
    <x:row r="143" ht="19" customHeight="1">
      <x:c r="A143" s="2"/>
      <x:c r="B143" s="2"/>
      <x:c r="C143" s="46" t="n">
        <x:v>0</x:v>
      </x:c>
      <x:c r="D143" s="46" t="n">
        <x:v>15</x:v>
      </x:c>
      <x:c r="E143" s="46" t="n">
        <x:v>2</x:v>
      </x:c>
      <x:c r="F143" s="46" t="n">
        <x:v>3</x:v>
      </x:c>
      <x:c r="G143" s="12" t="n">
        <x:v>0.2222222222222222</x:v>
      </x:c>
      <x:c r="H143" s="12" t="n">
        <x:v>0.3333333333333333</x:v>
      </x:c>
      <x:c r="I143" s="29" t="n">
        <x:f>'Assumptions'!$D$11+'Assumptions'!$D$12*(0.5-(G143+H143)/2)</x:f>
        <x:v>0.34444444444444444</x:v>
      </x:c>
      <x:c r="J143" s="27" t="n">
        <x:f>'Assumptions'!$D$8*EXP(-'Assumptions'!$D$9*('Fleet Engine'!E209-10))*'Assumptions'!E57*'Assumptions'!D36</x:f>
        <x:v>18235.543179331336</x:v>
      </x:c>
      <x:c r="K143" s="27" t="n">
        <x:f>'Source Data'!F220+LN('Assumptions'!D57)+LN('Assumptions'!D35)</x:f>
        <x:v>8.332638086869624</x:v>
      </x:c>
      <x:c r="L143" s="27" t="n">
        <x:f>J143*(1-I143*(1-'Carrier Engine'!E91))</x:f>
        <x:v>12205.656901365775</x:v>
      </x:c>
      <x:c r="M143" s="29" t="n">
        <x:f>NORM.S.DIST((LN(L143)-K143)/'Assumptions'!$D$10,TRUE)</x:f>
        <x:v>0.7536144164560518</x:v>
      </x:c>
      <x:c r="N143" s="30" t="n">
        <x:f>MAX(0,H143-MAX(G143,M143))</x:f>
        <x:v>0</x:v>
      </x:c>
      <x:c r="O143" s="28" t="n">
        <x:f>J143*I143</x:f>
        <x:v>6281.13153954746</x:v>
      </x:c>
      <x:c r="P143" s="27" t="n">
        <x:f>(VLOOKUP(O143,'Fee Data'!$C$6:$G$50,2,TRUE)+O143*VLOOKUP(O143,'Fee Data'!$C$6:$G$50,3,TRUE)+VLOOKUP(O143,'Fee Data'!$I$6:$J$14,2,TRUE)+'Fee Data'!$J$20+'Fee Data'!$J$21)*'Assumptions'!D37</x:f>
        <x:v>1060</x:v>
      </x:c>
      <x:c r="Q143" s="27" t="n">
        <x:f>(VLOOKUP(O143,'Fee Data'!$C$6:$G$50,4,TRUE)+O143*VLOOKUP(O143,'Fee Data'!$C$6:$G$50,5,TRUE)+VLOOKUP(O143,'Fee Data'!$I$6:$J$14,2,TRUE)+'Fee Data'!$J$20+'Fee Data'!$J$21)*'Assumptions'!D37</x:f>
        <x:v>935</x:v>
      </x:c>
      <x:c r="R143" s="27" t="n">
        <x:f>P143*(1-'Assumptions'!$D$14)+Q143*'Assumptions'!$D$14</x:f>
        <x:v>997.5</x:v>
      </x:c>
      <x:c r="S143" s="27" t="n">
        <x:f>O143*'Carrier Engine'!E91</x:f>
        <x:v>251.24526158189832</x:v>
      </x:c>
      <x:c r="T143" s="28" t="n">
        <x:f>R143+S143</x:f>
        <x:v>1248.7452615818984</x:v>
      </x:c>
      <x:c r="U143" s="27" t="n">
        <x:f>N143*'Fleet Engine'!F209</x:f>
        <x:v>0</x:v>
      </x:c>
      <x:c r="V143" s="28" t="n">
        <x:f>U143*T143</x:f>
        <x:v>0</x:v>
      </x:c>
      <x:c r="W143" s="28" t="n">
        <x:f>U143*O143</x:f>
        <x:v>0</x:v>
      </x:c>
    </x:row>
    <x:row r="144" ht="19" customHeight="1">
      <x:c r="A144" s="2"/>
      <x:c r="B144" s="2"/>
      <x:c r="C144" s="46" t="n">
        <x:v>0</x:v>
      </x:c>
      <x:c r="D144" s="46" t="n">
        <x:v>15</x:v>
      </x:c>
      <x:c r="E144" s="46" t="n">
        <x:v>2</x:v>
      </x:c>
      <x:c r="F144" s="46" t="n">
        <x:v>3</x:v>
      </x:c>
      <x:c r="G144" s="12" t="n">
        <x:v>0.3333333333333333</x:v>
      </x:c>
      <x:c r="H144" s="12" t="n">
        <x:v>0.4444444444444444</x:v>
      </x:c>
      <x:c r="I144" s="29" t="n">
        <x:f>'Assumptions'!$D$11+'Assumptions'!$D$12*(0.5-(G144+H144)/2)</x:f>
        <x:v>0.32222222222222224</x:v>
      </x:c>
      <x:c r="J144" s="27" t="n">
        <x:f>'Assumptions'!$D$8*EXP(-'Assumptions'!$D$9*('Fleet Engine'!E209-10))*'Assumptions'!E57*'Assumptions'!D36</x:f>
        <x:v>18235.543179331336</x:v>
      </x:c>
      <x:c r="K144" s="27" t="n">
        <x:f>'Source Data'!F220+LN('Assumptions'!D57)+LN('Assumptions'!D35)</x:f>
        <x:v>8.332638086869624</x:v>
      </x:c>
      <x:c r="L144" s="27" t="n">
        <x:f>J144*(1-I144*(1-'Carrier Engine'!E91))</x:f>
        <x:v>12594.681822524843</x:v>
      </x:c>
      <x:c r="M144" s="29" t="n">
        <x:f>NORM.S.DIST((LN(L144)-K144)/'Assumptions'!$D$10,TRUE)</x:f>
        <x:v>0.7598715607815303</x:v>
      </x:c>
      <x:c r="N144" s="30" t="n">
        <x:f>MAX(0,H144-MAX(G144,M144))</x:f>
        <x:v>0</x:v>
      </x:c>
      <x:c r="O144" s="28" t="n">
        <x:f>J144*I144</x:f>
        <x:v>5875.897246673431</x:v>
      </x:c>
      <x:c r="P144" s="27" t="n">
        <x:f>(VLOOKUP(O144,'Fee Data'!$C$6:$G$50,2,TRUE)+O144*VLOOKUP(O144,'Fee Data'!$C$6:$G$50,3,TRUE)+VLOOKUP(O144,'Fee Data'!$I$6:$J$14,2,TRUE)+'Fee Data'!$J$20+'Fee Data'!$J$21)*'Assumptions'!D37</x:f>
        <x:v>1020</x:v>
      </x:c>
      <x:c r="Q144" s="27" t="n">
        <x:f>(VLOOKUP(O144,'Fee Data'!$C$6:$G$50,4,TRUE)+O144*VLOOKUP(O144,'Fee Data'!$C$6:$G$50,5,TRUE)+VLOOKUP(O144,'Fee Data'!$I$6:$J$14,2,TRUE)+'Fee Data'!$J$20+'Fee Data'!$J$21)*'Assumptions'!D37</x:f>
        <x:v>895</x:v>
      </x:c>
      <x:c r="R144" s="27" t="n">
        <x:f>P144*(1-'Assumptions'!$D$14)+Q144*'Assumptions'!$D$14</x:f>
        <x:v>957.5</x:v>
      </x:c>
      <x:c r="S144" s="27" t="n">
        <x:f>O144*'Carrier Engine'!E91</x:f>
        <x:v>235.03588986693717</x:v>
      </x:c>
      <x:c r="T144" s="28" t="n">
        <x:f>R144+S144</x:f>
        <x:v>1192.5358898669372</x:v>
      </x:c>
      <x:c r="U144" s="27" t="n">
        <x:f>N144*'Fleet Engine'!F209</x:f>
        <x:v>0</x:v>
      </x:c>
      <x:c r="V144" s="28" t="n">
        <x:f>U144*T144</x:f>
        <x:v>0</x:v>
      </x:c>
      <x:c r="W144" s="28" t="n">
        <x:f>U144*O144</x:f>
        <x:v>0</x:v>
      </x:c>
    </x:row>
    <x:row r="145" ht="19" customHeight="1">
      <x:c r="A145" s="2"/>
      <x:c r="B145" s="2"/>
      <x:c r="C145" s="46" t="n">
        <x:v>0</x:v>
      </x:c>
      <x:c r="D145" s="46" t="n">
        <x:v>15</x:v>
      </x:c>
      <x:c r="E145" s="46" t="n">
        <x:v>2</x:v>
      </x:c>
      <x:c r="F145" s="46" t="n">
        <x:v>3</x:v>
      </x:c>
      <x:c r="G145" s="12" t="n">
        <x:v>0.4444444444444444</x:v>
      </x:c>
      <x:c r="H145" s="12" t="n">
        <x:v>0.5555555555555556</x:v>
      </x:c>
      <x:c r="I145" s="29" t="n">
        <x:f>'Assumptions'!$D$11+'Assumptions'!$D$12*(0.5-(G145+H145)/2)</x:f>
        <x:v>0.3</x:v>
      </x:c>
      <x:c r="J145" s="27" t="n">
        <x:f>'Assumptions'!$D$8*EXP(-'Assumptions'!$D$9*('Fleet Engine'!E209-10))*'Assumptions'!E57*'Assumptions'!D36</x:f>
        <x:v>18235.543179331336</x:v>
      </x:c>
      <x:c r="K145" s="27" t="n">
        <x:f>'Source Data'!F220+LN('Assumptions'!D57)+LN('Assumptions'!D35)</x:f>
        <x:v>8.332638086869624</x:v>
      </x:c>
      <x:c r="L145" s="27" t="n">
        <x:f>J145*(1-I145*(1-'Carrier Engine'!E91))</x:f>
        <x:v>12983.706743683912</x:v>
      </x:c>
      <x:c r="M145" s="29" t="n">
        <x:f>NORM.S.DIST((LN(L145)-K145)/'Assumptions'!$D$10,TRUE)</x:f>
        <x:v>0.7658546811979431</x:v>
      </x:c>
      <x:c r="N145" s="30" t="n">
        <x:f>MAX(0,H145-MAX(G145,M145))</x:f>
        <x:v>0</x:v>
      </x:c>
      <x:c r="O145" s="28" t="n">
        <x:f>J145*I145</x:f>
        <x:v>5470.6629537994</x:v>
      </x:c>
      <x:c r="P145" s="27" t="n">
        <x:f>(VLOOKUP(O145,'Fee Data'!$C$6:$G$50,2,TRUE)+O145*VLOOKUP(O145,'Fee Data'!$C$6:$G$50,3,TRUE)+VLOOKUP(O145,'Fee Data'!$I$6:$J$14,2,TRUE)+'Fee Data'!$J$20+'Fee Data'!$J$21)*'Assumptions'!D37</x:f>
        <x:v>995</x:v>
      </x:c>
      <x:c r="Q145" s="27" t="n">
        <x:f>(VLOOKUP(O145,'Fee Data'!$C$6:$G$50,4,TRUE)+O145*VLOOKUP(O145,'Fee Data'!$C$6:$G$50,5,TRUE)+VLOOKUP(O145,'Fee Data'!$I$6:$J$14,2,TRUE)+'Fee Data'!$J$20+'Fee Data'!$J$21)*'Assumptions'!D37</x:f>
        <x:v>870</x:v>
      </x:c>
      <x:c r="R145" s="27" t="n">
        <x:f>P145*(1-'Assumptions'!$D$14)+Q145*'Assumptions'!$D$14</x:f>
        <x:v>932.5</x:v>
      </x:c>
      <x:c r="S145" s="27" t="n">
        <x:f>O145*'Carrier Engine'!E91</x:f>
        <x:v>218.82651815197593</x:v>
      </x:c>
      <x:c r="T145" s="28" t="n">
        <x:f>R145+S145</x:f>
        <x:v>1151.326518151976</x:v>
      </x:c>
      <x:c r="U145" s="27" t="n">
        <x:f>N145*'Fleet Engine'!F209</x:f>
        <x:v>0</x:v>
      </x:c>
      <x:c r="V145" s="28" t="n">
        <x:f>U145*T145</x:f>
        <x:v>0</x:v>
      </x:c>
      <x:c r="W145" s="28" t="n">
        <x:f>U145*O145</x:f>
        <x:v>0</x:v>
      </x:c>
    </x:row>
    <x:row r="146" ht="19" customHeight="1">
      <x:c r="A146" s="2"/>
      <x:c r="B146" s="2"/>
      <x:c r="C146" s="46" t="n">
        <x:v>0</x:v>
      </x:c>
      <x:c r="D146" s="46" t="n">
        <x:v>15</x:v>
      </x:c>
      <x:c r="E146" s="46" t="n">
        <x:v>2</x:v>
      </x:c>
      <x:c r="F146" s="46" t="n">
        <x:v>3</x:v>
      </x:c>
      <x:c r="G146" s="12" t="n">
        <x:v>0.5555555555555556</x:v>
      </x:c>
      <x:c r="H146" s="12" t="n">
        <x:v>0.6666666666666666</x:v>
      </x:c>
      <x:c r="I146" s="29" t="n">
        <x:f>'Assumptions'!$D$11+'Assumptions'!$D$12*(0.5-(G146+H146)/2)</x:f>
        <x:v>0.27777777777777773</x:v>
      </x:c>
      <x:c r="J146" s="27" t="n">
        <x:f>'Assumptions'!$D$8*EXP(-'Assumptions'!$D$9*('Fleet Engine'!E209-10))*'Assumptions'!E57*'Assumptions'!D36</x:f>
        <x:v>18235.543179331336</x:v>
      </x:c>
      <x:c r="K146" s="27" t="n">
        <x:f>'Source Data'!F220+LN('Assumptions'!D57)+LN('Assumptions'!D35)</x:f>
        <x:v>8.332638086869624</x:v>
      </x:c>
      <x:c r="L146" s="27" t="n">
        <x:f>J146*(1-I146*(1-'Carrier Engine'!E91))</x:f>
        <x:v>13372.73166484298</x:v>
      </x:c>
      <x:c r="M146" s="29" t="n">
        <x:f>NORM.S.DIST((LN(L146)-K146)/'Assumptions'!$D$10,TRUE)</x:f>
        <x:v>0.7715813442101519</x:v>
      </x:c>
      <x:c r="N146" s="30" t="n">
        <x:f>MAX(0,H146-MAX(G146,M146))</x:f>
        <x:v>0</x:v>
      </x:c>
      <x:c r="O146" s="28" t="n">
        <x:f>J146*I146</x:f>
        <x:v>5065.42866092537</x:v>
      </x:c>
      <x:c r="P146" s="27" t="n">
        <x:f>(VLOOKUP(O146,'Fee Data'!$C$6:$G$50,2,TRUE)+O146*VLOOKUP(O146,'Fee Data'!$C$6:$G$50,3,TRUE)+VLOOKUP(O146,'Fee Data'!$I$6:$J$14,2,TRUE)+'Fee Data'!$J$20+'Fee Data'!$J$21)*'Assumptions'!D37</x:f>
        <x:v>995</x:v>
      </x:c>
      <x:c r="Q146" s="27" t="n">
        <x:f>(VLOOKUP(O146,'Fee Data'!$C$6:$G$50,4,TRUE)+O146*VLOOKUP(O146,'Fee Data'!$C$6:$G$50,5,TRUE)+VLOOKUP(O146,'Fee Data'!$I$6:$J$14,2,TRUE)+'Fee Data'!$J$20+'Fee Data'!$J$21)*'Assumptions'!D37</x:f>
        <x:v>870</x:v>
      </x:c>
      <x:c r="R146" s="27" t="n">
        <x:f>P146*(1-'Assumptions'!$D$14)+Q146*'Assumptions'!$D$14</x:f>
        <x:v>932.5</x:v>
      </x:c>
      <x:c r="S146" s="27" t="n">
        <x:f>O146*'Carrier Engine'!E91</x:f>
        <x:v>202.61714643701475</x:v>
      </x:c>
      <x:c r="T146" s="28" t="n">
        <x:f>R146+S146</x:f>
        <x:v>1135.1171464370148</x:v>
      </x:c>
      <x:c r="U146" s="27" t="n">
        <x:f>N146*'Fleet Engine'!F209</x:f>
        <x:v>0</x:v>
      </x:c>
      <x:c r="V146" s="28" t="n">
        <x:f>U146*T146</x:f>
        <x:v>0</x:v>
      </x:c>
      <x:c r="W146" s="28" t="n">
        <x:f>U146*O146</x:f>
        <x:v>0</x:v>
      </x:c>
    </x:row>
    <x:row r="147" ht="19" customHeight="1">
      <x:c r="A147" s="2"/>
      <x:c r="B147" s="2"/>
      <x:c r="C147" s="46" t="n">
        <x:v>0</x:v>
      </x:c>
      <x:c r="D147" s="46" t="n">
        <x:v>15</x:v>
      </x:c>
      <x:c r="E147" s="46" t="n">
        <x:v>2</x:v>
      </x:c>
      <x:c r="F147" s="46" t="n">
        <x:v>3</x:v>
      </x:c>
      <x:c r="G147" s="12" t="n">
        <x:v>0.6666666666666666</x:v>
      </x:c>
      <x:c r="H147" s="12" t="n">
        <x:v>0.7777777777777778</x:v>
      </x:c>
      <x:c r="I147" s="29" t="n">
        <x:f>'Assumptions'!$D$11+'Assumptions'!$D$12*(0.5-(G147+H147)/2)</x:f>
        <x:v>0.25555555555555554</x:v>
      </x:c>
      <x:c r="J147" s="27" t="n">
        <x:f>'Assumptions'!$D$8*EXP(-'Assumptions'!$D$9*('Fleet Engine'!E209-10))*'Assumptions'!E57*'Assumptions'!D36</x:f>
        <x:v>18235.543179331336</x:v>
      </x:c>
      <x:c r="K147" s="27" t="n">
        <x:f>'Source Data'!F220+LN('Assumptions'!D57)+LN('Assumptions'!D35)</x:f>
        <x:v>8.332638086869624</x:v>
      </x:c>
      <x:c r="L147" s="27" t="n">
        <x:f>J147*(1-I147*(1-'Carrier Engine'!E91))</x:f>
        <x:v>13761.75658600205</x:v>
      </x:c>
      <x:c r="M147" s="29" t="n">
        <x:f>NORM.S.DIST((LN(L147)-K147)/'Assumptions'!$D$10,TRUE)</x:f>
        <x:v>0.7770676226732032</x:v>
      </x:c>
      <x:c r="N147" s="30" t="n">
        <x:f>MAX(0,H147-MAX(G147,M147))</x:f>
        <x:v>0.0007101551045746168</x:v>
      </x:c>
      <x:c r="O147" s="28" t="n">
        <x:f>J147*I147</x:f>
        <x:v>4660.194368051341</x:v>
      </x:c>
      <x:c r="P147" s="27" t="n">
        <x:f>(VLOOKUP(O147,'Fee Data'!$C$6:$G$50,2,TRUE)+O147*VLOOKUP(O147,'Fee Data'!$C$6:$G$50,3,TRUE)+VLOOKUP(O147,'Fee Data'!$I$6:$J$14,2,TRUE)+'Fee Data'!$J$20+'Fee Data'!$J$21)*'Assumptions'!D37</x:f>
        <x:v>970</x:v>
      </x:c>
      <x:c r="Q147" s="27" t="n">
        <x:f>(VLOOKUP(O147,'Fee Data'!$C$6:$G$50,4,TRUE)+O147*VLOOKUP(O147,'Fee Data'!$C$6:$G$50,5,TRUE)+VLOOKUP(O147,'Fee Data'!$I$6:$J$14,2,TRUE)+'Fee Data'!$J$20+'Fee Data'!$J$21)*'Assumptions'!D37</x:f>
        <x:v>845</x:v>
      </x:c>
      <x:c r="R147" s="27" t="n">
        <x:f>P147*(1-'Assumptions'!$D$14)+Q147*'Assumptions'!$D$14</x:f>
        <x:v>907.5</x:v>
      </x:c>
      <x:c r="S147" s="27" t="n">
        <x:f>O147*'Carrier Engine'!E91</x:f>
        <x:v>186.4077747220536</x:v>
      </x:c>
      <x:c r="T147" s="28" t="n">
        <x:f>R147+S147</x:f>
        <x:v>1093.9077747220535</x:v>
      </x:c>
      <x:c r="U147" s="27" t="n">
        <x:f>N147*'Fleet Engine'!F209</x:f>
        <x:v>3.2601204755366653</x:v>
      </x:c>
      <x:c r="V147" s="28" t="n">
        <x:f>U147*T147</x:f>
        <x:v>3566.2711347201166</x:v>
      </x:c>
      <x:c r="W147" s="28" t="n">
        <x:f>U147*O147</x:f>
        <x:v>15192.795079264828</x:v>
      </x:c>
    </x:row>
    <x:row r="148" ht="19" customHeight="1">
      <x:c r="A148" s="2"/>
      <x:c r="B148" s="2"/>
      <x:c r="C148" s="46" t="n">
        <x:v>0</x:v>
      </x:c>
      <x:c r="D148" s="46" t="n">
        <x:v>15</x:v>
      </x:c>
      <x:c r="E148" s="46" t="n">
        <x:v>2</x:v>
      </x:c>
      <x:c r="F148" s="46" t="n">
        <x:v>3</x:v>
      </x:c>
      <x:c r="G148" s="12" t="n">
        <x:v>0.7777777777777778</x:v>
      </x:c>
      <x:c r="H148" s="12" t="n">
        <x:v>0.8888888888888888</x:v>
      </x:c>
      <x:c r="I148" s="29" t="n">
        <x:f>'Assumptions'!$D$11+'Assumptions'!$D$12*(0.5-(G148+H148)/2)</x:f>
        <x:v>0.23333333333333334</x:v>
      </x:c>
      <x:c r="J148" s="27" t="n">
        <x:f>'Assumptions'!$D$8*EXP(-'Assumptions'!$D$9*('Fleet Engine'!E209-10))*'Assumptions'!E57*'Assumptions'!D36</x:f>
        <x:v>18235.543179331336</x:v>
      </x:c>
      <x:c r="K148" s="27" t="n">
        <x:f>'Source Data'!F220+LN('Assumptions'!D57)+LN('Assumptions'!D35)</x:f>
        <x:v>8.332638086869624</x:v>
      </x:c>
      <x:c r="L148" s="27" t="n">
        <x:f>J148*(1-I148*(1-'Carrier Engine'!E91))</x:f>
        <x:v>14150.781507161117</x:v>
      </x:c>
      <x:c r="M148" s="29" t="n">
        <x:f>NORM.S.DIST((LN(L148)-K148)/'Assumptions'!$D$10,TRUE)</x:f>
        <x:v>0.7823282539471316</x:v>
      </x:c>
      <x:c r="N148" s="30" t="n">
        <x:f>MAX(0,H148-MAX(G148,M148))</x:f>
        <x:v>0.10656063494175727</x:v>
      </x:c>
      <x:c r="O148" s="28" t="n">
        <x:f>J148*I148</x:f>
        <x:v>4254.960075177312</x:v>
      </x:c>
      <x:c r="P148" s="27" t="n">
        <x:f>(VLOOKUP(O148,'Fee Data'!$C$6:$G$50,2,TRUE)+O148*VLOOKUP(O148,'Fee Data'!$C$6:$G$50,3,TRUE)+VLOOKUP(O148,'Fee Data'!$I$6:$J$14,2,TRUE)+'Fee Data'!$J$20+'Fee Data'!$J$21)*'Assumptions'!D37</x:f>
        <x:v>945</x:v>
      </x:c>
      <x:c r="Q148" s="27" t="n">
        <x:f>(VLOOKUP(O148,'Fee Data'!$C$6:$G$50,4,TRUE)+O148*VLOOKUP(O148,'Fee Data'!$C$6:$G$50,5,TRUE)+VLOOKUP(O148,'Fee Data'!$I$6:$J$14,2,TRUE)+'Fee Data'!$J$20+'Fee Data'!$J$21)*'Assumptions'!D37</x:f>
        <x:v>820</x:v>
      </x:c>
      <x:c r="R148" s="27" t="n">
        <x:f>P148*(1-'Assumptions'!$D$14)+Q148*'Assumptions'!$D$14</x:f>
        <x:v>882.5</x:v>
      </x:c>
      <x:c r="S148" s="27" t="n">
        <x:f>O148*'Carrier Engine'!E91</x:f>
        <x:v>170.19840300709242</x:v>
      </x:c>
      <x:c r="T148" s="28" t="n">
        <x:f>R148+S148</x:f>
        <x:v>1052.6984030070923</x:v>
      </x:c>
      <x:c r="U148" s="27" t="n">
        <x:f>N148*'Fleet Engine'!F209</x:f>
        <x:v>489.18962297384843</x:v>
      </x:c>
      <x:c r="V148" s="28" t="n">
        <x:f>U148*T148</x:f>
        <x:v>514969.13487221184</x:v>
      </x:c>
      <x:c r="W148" s="28" t="n">
        <x:f>U148*O148</x:f>
        <x:v>2081482.3149447672</x:v>
      </x:c>
    </x:row>
    <x:row r="149" ht="19" customHeight="1">
      <x:c r="A149" s="2"/>
      <x:c r="B149" s="2"/>
      <x:c r="C149" s="46" t="n">
        <x:v>0</x:v>
      </x:c>
      <x:c r="D149" s="46" t="n">
        <x:v>15</x:v>
      </x:c>
      <x:c r="E149" s="46" t="n">
        <x:v>2</x:v>
      </x:c>
      <x:c r="F149" s="46" t="n">
        <x:v>3</x:v>
      </x:c>
      <x:c r="G149" s="12" t="n">
        <x:v>0.8888888888888888</x:v>
      </x:c>
      <x:c r="H149" s="12" t="n">
        <x:v>1</x:v>
      </x:c>
      <x:c r="I149" s="29" t="n">
        <x:f>'Assumptions'!$D$11+'Assumptions'!$D$12*(0.5-(G149+H149)/2)</x:f>
        <x:v>0.21111111111111108</x:v>
      </x:c>
      <x:c r="J149" s="27" t="n">
        <x:f>'Assumptions'!$D$8*EXP(-'Assumptions'!$D$9*('Fleet Engine'!E209-10))*'Assumptions'!E57*'Assumptions'!D36</x:f>
        <x:v>18235.543179331336</x:v>
      </x:c>
      <x:c r="K149" s="27" t="n">
        <x:f>'Source Data'!F220+LN('Assumptions'!D57)+LN('Assumptions'!D35)</x:f>
        <x:v>8.332638086869624</x:v>
      </x:c>
      <x:c r="L149" s="27" t="n">
        <x:f>J149*(1-I149*(1-'Carrier Engine'!E91))</x:f>
        <x:v>14539.806428320186</x:v>
      </x:c>
      <x:c r="M149" s="29" t="n">
        <x:f>NORM.S.DIST((LN(L149)-K149)/'Assumptions'!$D$10,TRUE)</x:f>
        <x:v>0.7873767780721864</x:v>
      </x:c>
      <x:c r="N149" s="30" t="n">
        <x:f>MAX(0,H149-MAX(G149,M149))</x:f>
        <x:v>0.11111111111111116</x:v>
      </x:c>
      <x:c r="O149" s="28" t="n">
        <x:f>J149*I149</x:f>
        <x:v>3849.7257823032814</x:v>
      </x:c>
      <x:c r="P149" s="27" t="n">
        <x:f>(VLOOKUP(O149,'Fee Data'!$C$6:$G$50,2,TRUE)+O149*VLOOKUP(O149,'Fee Data'!$C$6:$G$50,3,TRUE)+VLOOKUP(O149,'Fee Data'!$I$6:$J$14,2,TRUE)+'Fee Data'!$J$20+'Fee Data'!$J$21)*'Assumptions'!D37</x:f>
        <x:v>915</x:v>
      </x:c>
      <x:c r="Q149" s="27" t="n">
        <x:f>(VLOOKUP(O149,'Fee Data'!$C$6:$G$50,4,TRUE)+O149*VLOOKUP(O149,'Fee Data'!$C$6:$G$50,5,TRUE)+VLOOKUP(O149,'Fee Data'!$I$6:$J$14,2,TRUE)+'Fee Data'!$J$20+'Fee Data'!$J$21)*'Assumptions'!D37</x:f>
        <x:v>765</x:v>
      </x:c>
      <x:c r="R149" s="27" t="n">
        <x:f>P149*(1-'Assumptions'!$D$14)+Q149*'Assumptions'!$D$14</x:f>
        <x:v>840</x:v>
      </x:c>
      <x:c r="S149" s="27" t="n">
        <x:f>O149*'Carrier Engine'!E91</x:f>
        <x:v>153.98903129213122</x:v>
      </x:c>
      <x:c r="T149" s="28" t="n">
        <x:f>R149+S149</x:f>
        <x:v>993.9890312921312</x:v>
      </x:c>
      <x:c r="U149" s="27" t="n">
        <x:f>N149*'Fleet Engine'!F209</x:f>
        <x:v>510.07956720939467</x:v>
      </x:c>
      <x:c r="V149" s="28" t="n">
        <x:f>U149*T149</x:f>
        <x:v>507013.4948923758</x:v>
      </x:c>
      <x:c r="W149" s="28" t="n">
        <x:f>U149*O149</x:f>
        <x:v>1963666.460912106</x:v>
      </x:c>
    </x:row>
    <x:row r="150" ht="19" customHeight="1">
      <x:c r="A150" s="2"/>
      <x:c r="B150" s="2"/>
      <x:c r="C150" s="46" t="n">
        <x:v>0</x:v>
      </x:c>
      <x:c r="D150" s="46" t="n">
        <x:v>16</x:v>
      </x:c>
      <x:c r="E150" s="46" t="n">
        <x:v>2</x:v>
      </x:c>
      <x:c r="F150" s="46" t="n">
        <x:v>4</x:v>
      </x:c>
      <x:c r="G150" s="12" t="n">
        <x:v>0</x:v>
      </x:c>
      <x:c r="H150" s="12" t="n">
        <x:v>0.1111111111111111</x:v>
      </x:c>
      <x:c r="I150" s="29" t="n">
        <x:f>'Assumptions'!$D$11+'Assumptions'!$D$12*(0.5-(G150+H150)/2)</x:f>
        <x:v>0.3888888888888889</x:v>
      </x:c>
      <x:c r="J150" s="27" t="n">
        <x:f>'Assumptions'!$D$8*EXP(-'Assumptions'!$D$9*('Fleet Engine'!E210-10))*'Assumptions'!E57*'Assumptions'!D36</x:f>
        <x:v>13509.222651276876</x:v>
      </x:c>
      <x:c r="K150" s="27" t="n">
        <x:f>'Source Data'!F221+LN('Assumptions'!D57)+LN('Assumptions'!D35)</x:f>
        <x:v>8.418486215784876</x:v>
      </x:c>
      <x:c r="L150" s="27" t="n">
        <x:f>J150*(1-I150*(1-'Carrier Engine'!E91))</x:f>
        <x:v>8465.77952813351</x:v>
      </x:c>
      <x:c r="M150" s="29" t="n">
        <x:f>NORM.S.DIST((LN(L150)-K150)/'Assumptions'!$D$10,TRUE)</x:f>
        <x:v>0.6547692149183624</x:v>
      </x:c>
      <x:c r="N150" s="30" t="n">
        <x:f>MAX(0,H150-MAX(G150,M150))</x:f>
        <x:v>0</x:v>
      </x:c>
      <x:c r="O150" s="28" t="n">
        <x:f>J150*I150</x:f>
        <x:v>5253.586586607674</x:v>
      </x:c>
      <x:c r="P150" s="27" t="n">
        <x:f>(VLOOKUP(O150,'Fee Data'!$C$6:$G$50,2,TRUE)+O150*VLOOKUP(O150,'Fee Data'!$C$6:$G$50,3,TRUE)+VLOOKUP(O150,'Fee Data'!$I$6:$J$14,2,TRUE)+'Fee Data'!$J$20+'Fee Data'!$J$21)*'Assumptions'!D37</x:f>
        <x:v>995</x:v>
      </x:c>
      <x:c r="Q150" s="27" t="n">
        <x:f>(VLOOKUP(O150,'Fee Data'!$C$6:$G$50,4,TRUE)+O150*VLOOKUP(O150,'Fee Data'!$C$6:$G$50,5,TRUE)+VLOOKUP(O150,'Fee Data'!$I$6:$J$14,2,TRUE)+'Fee Data'!$J$20+'Fee Data'!$J$21)*'Assumptions'!D37</x:f>
        <x:v>870</x:v>
      </x:c>
      <x:c r="R150" s="27" t="n">
        <x:f>P150*(1-'Assumptions'!$D$14)+Q150*'Assumptions'!$D$14</x:f>
        <x:v>932.5</x:v>
      </x:c>
      <x:c r="S150" s="27" t="n">
        <x:f>O150*'Carrier Engine'!E91</x:f>
        <x:v>210.14346346430688</x:v>
      </x:c>
      <x:c r="T150" s="28" t="n">
        <x:f>R150+S150</x:f>
        <x:v>1142.643463464307</x:v>
      </x:c>
      <x:c r="U150" s="27" t="n">
        <x:f>N150*'Fleet Engine'!F210</x:f>
        <x:v>0</x:v>
      </x:c>
      <x:c r="V150" s="28" t="n">
        <x:f>U150*T150</x:f>
        <x:v>0</x:v>
      </x:c>
      <x:c r="W150" s="28" t="n">
        <x:f>U150*O150</x:f>
        <x:v>0</x:v>
      </x:c>
    </x:row>
    <x:row r="151" ht="19" customHeight="1">
      <x:c r="A151" s="2"/>
      <x:c r="B151" s="2"/>
      <x:c r="C151" s="46" t="n">
        <x:v>0</x:v>
      </x:c>
      <x:c r="D151" s="46" t="n">
        <x:v>16</x:v>
      </x:c>
      <x:c r="E151" s="46" t="n">
        <x:v>2</x:v>
      </x:c>
      <x:c r="F151" s="46" t="n">
        <x:v>4</x:v>
      </x:c>
      <x:c r="G151" s="12" t="n">
        <x:v>0.1111111111111111</x:v>
      </x:c>
      <x:c r="H151" s="12" t="n">
        <x:v>0.2222222222222222</x:v>
      </x:c>
      <x:c r="I151" s="29" t="n">
        <x:f>'Assumptions'!$D$11+'Assumptions'!$D$12*(0.5-(G151+H151)/2)</x:f>
        <x:v>0.3666666666666667</x:v>
      </x:c>
      <x:c r="J151" s="27" t="n">
        <x:f>'Assumptions'!$D$8*EXP(-'Assumptions'!$D$9*('Fleet Engine'!E210-10))*'Assumptions'!E57*'Assumptions'!D36</x:f>
        <x:v>13509.222651276876</x:v>
      </x:c>
      <x:c r="K151" s="27" t="n">
        <x:f>'Source Data'!F221+LN('Assumptions'!D57)+LN('Assumptions'!D35)</x:f>
        <x:v>8.418486215784876</x:v>
      </x:c>
      <x:c r="L151" s="27" t="n">
        <x:f>J151*(1-I151*(1-'Carrier Engine'!E91))</x:f>
        <x:v>8753.976278027414</x:v>
      </x:c>
      <x:c r="M151" s="29" t="n">
        <x:f>NORM.S.DIST((LN(L151)-K151)/'Assumptions'!$D$10,TRUE)</x:f>
        <x:v>0.6625922348502294</x:v>
      </x:c>
      <x:c r="N151" s="30" t="n">
        <x:f>MAX(0,H151-MAX(G151,M151))</x:f>
        <x:v>0</x:v>
      </x:c>
      <x:c r="O151" s="28" t="n">
        <x:f>J151*I151</x:f>
        <x:v>4953.381638801521</x:v>
      </x:c>
      <x:c r="P151" s="27" t="n">
        <x:f>(VLOOKUP(O151,'Fee Data'!$C$6:$G$50,2,TRUE)+O151*VLOOKUP(O151,'Fee Data'!$C$6:$G$50,3,TRUE)+VLOOKUP(O151,'Fee Data'!$I$6:$J$14,2,TRUE)+'Fee Data'!$J$20+'Fee Data'!$J$21)*'Assumptions'!D37</x:f>
        <x:v>970</x:v>
      </x:c>
      <x:c r="Q151" s="27" t="n">
        <x:f>(VLOOKUP(O151,'Fee Data'!$C$6:$G$50,4,TRUE)+O151*VLOOKUP(O151,'Fee Data'!$C$6:$G$50,5,TRUE)+VLOOKUP(O151,'Fee Data'!$I$6:$J$14,2,TRUE)+'Fee Data'!$J$20+'Fee Data'!$J$21)*'Assumptions'!D37</x:f>
        <x:v>845</x:v>
      </x:c>
      <x:c r="R151" s="27" t="n">
        <x:f>P151*(1-'Assumptions'!$D$14)+Q151*'Assumptions'!$D$14</x:f>
        <x:v>907.5</x:v>
      </x:c>
      <x:c r="S151" s="27" t="n">
        <x:f>O151*'Carrier Engine'!E91</x:f>
        <x:v>198.1352655520608</x:v>
      </x:c>
      <x:c r="T151" s="28" t="n">
        <x:f>R151+S151</x:f>
        <x:v>1105.635265552061</x:v>
      </x:c>
      <x:c r="U151" s="27" t="n">
        <x:f>N151*'Fleet Engine'!F210</x:f>
        <x:v>0</x:v>
      </x:c>
      <x:c r="V151" s="28" t="n">
        <x:f>U151*T151</x:f>
        <x:v>0</x:v>
      </x:c>
      <x:c r="W151" s="28" t="n">
        <x:f>U151*O151</x:f>
        <x:v>0</x:v>
      </x:c>
    </x:row>
    <x:row r="152" ht="19" customHeight="1">
      <x:c r="A152" s="2"/>
      <x:c r="B152" s="2"/>
      <x:c r="C152" s="46" t="n">
        <x:v>0</x:v>
      </x:c>
      <x:c r="D152" s="46" t="n">
        <x:v>16</x:v>
      </x:c>
      <x:c r="E152" s="46" t="n">
        <x:v>2</x:v>
      </x:c>
      <x:c r="F152" s="46" t="n">
        <x:v>4</x:v>
      </x:c>
      <x:c r="G152" s="12" t="n">
        <x:v>0.2222222222222222</x:v>
      </x:c>
      <x:c r="H152" s="12" t="n">
        <x:v>0.3333333333333333</x:v>
      </x:c>
      <x:c r="I152" s="29" t="n">
        <x:f>'Assumptions'!$D$11+'Assumptions'!$D$12*(0.5-(G152+H152)/2)</x:f>
        <x:v>0.34444444444444444</x:v>
      </x:c>
      <x:c r="J152" s="27" t="n">
        <x:f>'Assumptions'!$D$8*EXP(-'Assumptions'!$D$9*('Fleet Engine'!E210-10))*'Assumptions'!E57*'Assumptions'!D36</x:f>
        <x:v>13509.222651276876</x:v>
      </x:c>
      <x:c r="K152" s="27" t="n">
        <x:f>'Source Data'!F221+LN('Assumptions'!D57)+LN('Assumptions'!D35)</x:f>
        <x:v>8.418486215784876</x:v>
      </x:c>
      <x:c r="L152" s="27" t="n">
        <x:f>J152*(1-I152*(1-'Carrier Engine'!E91))</x:f>
        <x:v>9042.173027921323</x:v>
      </x:c>
      <x:c r="M152" s="29" t="n">
        <x:f>NORM.S.DIST((LN(L152)-K152)/'Assumptions'!$D$10,TRUE)</x:f>
        <x:v>0.6700955519426168</x:v>
      </x:c>
      <x:c r="N152" s="30" t="n">
        <x:f>MAX(0,H152-MAX(G152,M152))</x:f>
        <x:v>0</x:v>
      </x:c>
      <x:c r="O152" s="28" t="n">
        <x:f>J152*I152</x:f>
        <x:v>4653.1766909953685</x:v>
      </x:c>
      <x:c r="P152" s="27" t="n">
        <x:f>(VLOOKUP(O152,'Fee Data'!$C$6:$G$50,2,TRUE)+O152*VLOOKUP(O152,'Fee Data'!$C$6:$G$50,3,TRUE)+VLOOKUP(O152,'Fee Data'!$I$6:$J$14,2,TRUE)+'Fee Data'!$J$20+'Fee Data'!$J$21)*'Assumptions'!D37</x:f>
        <x:v>970</x:v>
      </x:c>
      <x:c r="Q152" s="27" t="n">
        <x:f>(VLOOKUP(O152,'Fee Data'!$C$6:$G$50,4,TRUE)+O152*VLOOKUP(O152,'Fee Data'!$C$6:$G$50,5,TRUE)+VLOOKUP(O152,'Fee Data'!$I$6:$J$14,2,TRUE)+'Fee Data'!$J$20+'Fee Data'!$J$21)*'Assumptions'!D37</x:f>
        <x:v>845</x:v>
      </x:c>
      <x:c r="R152" s="27" t="n">
        <x:f>P152*(1-'Assumptions'!$D$14)+Q152*'Assumptions'!$D$14</x:f>
        <x:v>907.5</x:v>
      </x:c>
      <x:c r="S152" s="27" t="n">
        <x:f>O152*'Carrier Engine'!E91</x:f>
        <x:v>186.12706763981467</x:v>
      </x:c>
      <x:c r="T152" s="28" t="n">
        <x:f>R152+S152</x:f>
        <x:v>1093.6270676398146</x:v>
      </x:c>
      <x:c r="U152" s="27" t="n">
        <x:f>N152*'Fleet Engine'!F210</x:f>
        <x:v>0</x:v>
      </x:c>
      <x:c r="V152" s="28" t="n">
        <x:f>U152*T152</x:f>
        <x:v>0</x:v>
      </x:c>
      <x:c r="W152" s="28" t="n">
        <x:f>U152*O152</x:f>
        <x:v>0</x:v>
      </x:c>
    </x:row>
    <x:row r="153" ht="19" customHeight="1">
      <x:c r="A153" s="2"/>
      <x:c r="B153" s="2"/>
      <x:c r="C153" s="46" t="n">
        <x:v>0</x:v>
      </x:c>
      <x:c r="D153" s="46" t="n">
        <x:v>16</x:v>
      </x:c>
      <x:c r="E153" s="46" t="n">
        <x:v>2</x:v>
      </x:c>
      <x:c r="F153" s="46" t="n">
        <x:v>4</x:v>
      </x:c>
      <x:c r="G153" s="12" t="n">
        <x:v>0.3333333333333333</x:v>
      </x:c>
      <x:c r="H153" s="12" t="n">
        <x:v>0.4444444444444444</x:v>
      </x:c>
      <x:c r="I153" s="29" t="n">
        <x:f>'Assumptions'!$D$11+'Assumptions'!$D$12*(0.5-(G153+H153)/2)</x:f>
        <x:v>0.32222222222222224</x:v>
      </x:c>
      <x:c r="J153" s="27" t="n">
        <x:f>'Assumptions'!$D$8*EXP(-'Assumptions'!$D$9*('Fleet Engine'!E210-10))*'Assumptions'!E57*'Assumptions'!D36</x:f>
        <x:v>13509.222651276876</x:v>
      </x:c>
      <x:c r="K153" s="27" t="n">
        <x:f>'Source Data'!F221+LN('Assumptions'!D57)+LN('Assumptions'!D35)</x:f>
        <x:v>8.418486215784876</x:v>
      </x:c>
      <x:c r="L153" s="27" t="n">
        <x:f>J153*(1-I153*(1-'Carrier Engine'!E91))</x:f>
        <x:v>9330.36977781523</x:v>
      </x:c>
      <x:c r="M153" s="29" t="n">
        <x:f>NORM.S.DIST((LN(L153)-K153)/'Assumptions'!$D$10,TRUE)</x:f>
        <x:v>0.6772987939004849</x:v>
      </x:c>
      <x:c r="N153" s="30" t="n">
        <x:f>MAX(0,H153-MAX(G153,M153))</x:f>
        <x:v>0</x:v>
      </x:c>
      <x:c r="O153" s="28" t="n">
        <x:f>J153*I153</x:f>
        <x:v>4352.971743189216</x:v>
      </x:c>
      <x:c r="P153" s="27" t="n">
        <x:f>(VLOOKUP(O153,'Fee Data'!$C$6:$G$50,2,TRUE)+O153*VLOOKUP(O153,'Fee Data'!$C$6:$G$50,3,TRUE)+VLOOKUP(O153,'Fee Data'!$I$6:$J$14,2,TRUE)+'Fee Data'!$J$20+'Fee Data'!$J$21)*'Assumptions'!D37</x:f>
        <x:v>945</x:v>
      </x:c>
      <x:c r="Q153" s="27" t="n">
        <x:f>(VLOOKUP(O153,'Fee Data'!$C$6:$G$50,4,TRUE)+O153*VLOOKUP(O153,'Fee Data'!$C$6:$G$50,5,TRUE)+VLOOKUP(O153,'Fee Data'!$I$6:$J$14,2,TRUE)+'Fee Data'!$J$20+'Fee Data'!$J$21)*'Assumptions'!D37</x:f>
        <x:v>820</x:v>
      </x:c>
      <x:c r="R153" s="27" t="n">
        <x:f>P153*(1-'Assumptions'!$D$14)+Q153*'Assumptions'!$D$14</x:f>
        <x:v>882.5</x:v>
      </x:c>
      <x:c r="S153" s="27" t="n">
        <x:f>O153*'Carrier Engine'!E91</x:f>
        <x:v>174.11886972756858</x:v>
      </x:c>
      <x:c r="T153" s="28" t="n">
        <x:f>R153+S153</x:f>
        <x:v>1056.6188697275686</x:v>
      </x:c>
      <x:c r="U153" s="27" t="n">
        <x:f>N153*'Fleet Engine'!F210</x:f>
        <x:v>0</x:v>
      </x:c>
      <x:c r="V153" s="28" t="n">
        <x:f>U153*T153</x:f>
        <x:v>0</x:v>
      </x:c>
      <x:c r="W153" s="28" t="n">
        <x:f>U153*O153</x:f>
        <x:v>0</x:v>
      </x:c>
    </x:row>
    <x:row r="154" ht="19" customHeight="1">
      <x:c r="A154" s="2"/>
      <x:c r="B154" s="2"/>
      <x:c r="C154" s="46" t="n">
        <x:v>0</x:v>
      </x:c>
      <x:c r="D154" s="46" t="n">
        <x:v>16</x:v>
      </x:c>
      <x:c r="E154" s="46" t="n">
        <x:v>2</x:v>
      </x:c>
      <x:c r="F154" s="46" t="n">
        <x:v>4</x:v>
      </x:c>
      <x:c r="G154" s="12" t="n">
        <x:v>0.4444444444444444</x:v>
      </x:c>
      <x:c r="H154" s="12" t="n">
        <x:v>0.5555555555555556</x:v>
      </x:c>
      <x:c r="I154" s="29" t="n">
        <x:f>'Assumptions'!$D$11+'Assumptions'!$D$12*(0.5-(G154+H154)/2)</x:f>
        <x:v>0.3</x:v>
      </x:c>
      <x:c r="J154" s="27" t="n">
        <x:f>'Assumptions'!$D$8*EXP(-'Assumptions'!$D$9*('Fleet Engine'!E210-10))*'Assumptions'!E57*'Assumptions'!D36</x:f>
        <x:v>13509.222651276876</x:v>
      </x:c>
      <x:c r="K154" s="27" t="n">
        <x:f>'Source Data'!F221+LN('Assumptions'!D57)+LN('Assumptions'!D35)</x:f>
        <x:v>8.418486215784876</x:v>
      </x:c>
      <x:c r="L154" s="27" t="n">
        <x:f>J154*(1-I154*(1-'Carrier Engine'!E91))</x:f>
        <x:v>9618.566527709136</x:v>
      </x:c>
      <x:c r="M154" s="29" t="n">
        <x:f>NORM.S.DIST((LN(L154)-K154)/'Assumptions'!$D$10,TRUE)</x:f>
        <x:v>0.6842199654494845</x:v>
      </x:c>
      <x:c r="N154" s="30" t="n">
        <x:f>MAX(0,H154-MAX(G154,M154))</x:f>
        <x:v>0</x:v>
      </x:c>
      <x:c r="O154" s="28" t="n">
        <x:f>J154*I154</x:f>
        <x:v>4052.7667953830623</x:v>
      </x:c>
      <x:c r="P154" s="27" t="n">
        <x:f>(VLOOKUP(O154,'Fee Data'!$C$6:$G$50,2,TRUE)+O154*VLOOKUP(O154,'Fee Data'!$C$6:$G$50,3,TRUE)+VLOOKUP(O154,'Fee Data'!$I$6:$J$14,2,TRUE)+'Fee Data'!$J$20+'Fee Data'!$J$21)*'Assumptions'!D37</x:f>
        <x:v>945</x:v>
      </x:c>
      <x:c r="Q154" s="27" t="n">
        <x:f>(VLOOKUP(O154,'Fee Data'!$C$6:$G$50,4,TRUE)+O154*VLOOKUP(O154,'Fee Data'!$C$6:$G$50,5,TRUE)+VLOOKUP(O154,'Fee Data'!$I$6:$J$14,2,TRUE)+'Fee Data'!$J$20+'Fee Data'!$J$21)*'Assumptions'!D37</x:f>
        <x:v>820</x:v>
      </x:c>
      <x:c r="R154" s="27" t="n">
        <x:f>P154*(1-'Assumptions'!$D$14)+Q154*'Assumptions'!$D$14</x:f>
        <x:v>882.5</x:v>
      </x:c>
      <x:c r="S154" s="27" t="n">
        <x:f>O154*'Carrier Engine'!E91</x:f>
        <x:v>162.11067181532243</x:v>
      </x:c>
      <x:c r="T154" s="28" t="n">
        <x:f>R154+S154</x:f>
        <x:v>1044.6106718153223</x:v>
      </x:c>
      <x:c r="U154" s="27" t="n">
        <x:f>N154*'Fleet Engine'!F210</x:f>
        <x:v>0</x:v>
      </x:c>
      <x:c r="V154" s="28" t="n">
        <x:f>U154*T154</x:f>
        <x:v>0</x:v>
      </x:c>
      <x:c r="W154" s="28" t="n">
        <x:f>U154*O154</x:f>
        <x:v>0</x:v>
      </x:c>
    </x:row>
    <x:row r="155" ht="19" customHeight="1">
      <x:c r="A155" s="2"/>
      <x:c r="B155" s="2"/>
      <x:c r="C155" s="46" t="n">
        <x:v>0</x:v>
      </x:c>
      <x:c r="D155" s="46" t="n">
        <x:v>16</x:v>
      </x:c>
      <x:c r="E155" s="46" t="n">
        <x:v>2</x:v>
      </x:c>
      <x:c r="F155" s="46" t="n">
        <x:v>4</x:v>
      </x:c>
      <x:c r="G155" s="12" t="n">
        <x:v>0.5555555555555556</x:v>
      </x:c>
      <x:c r="H155" s="12" t="n">
        <x:v>0.6666666666666666</x:v>
      </x:c>
      <x:c r="I155" s="29" t="n">
        <x:f>'Assumptions'!$D$11+'Assumptions'!$D$12*(0.5-(G155+H155)/2)</x:f>
        <x:v>0.27777777777777773</x:v>
      </x:c>
      <x:c r="J155" s="27" t="n">
        <x:f>'Assumptions'!$D$8*EXP(-'Assumptions'!$D$9*('Fleet Engine'!E210-10))*'Assumptions'!E57*'Assumptions'!D36</x:f>
        <x:v>13509.222651276876</x:v>
      </x:c>
      <x:c r="K155" s="27" t="n">
        <x:f>'Source Data'!F221+LN('Assumptions'!D57)+LN('Assumptions'!D35)</x:f>
        <x:v>8.418486215784876</x:v>
      </x:c>
      <x:c r="L155" s="27" t="n">
        <x:f>J155*(1-I155*(1-'Carrier Engine'!E91))</x:f>
        <x:v>9906.763277603042</x:v>
      </x:c>
      <x:c r="M155" s="29" t="n">
        <x:f>NORM.S.DIST((LN(L155)-K155)/'Assumptions'!$D$10,TRUE)</x:f>
        <x:v>0.6908756170073835</x:v>
      </x:c>
      <x:c r="N155" s="30" t="n">
        <x:f>MAX(0,H155-MAX(G155,M155))</x:f>
        <x:v>0</x:v>
      </x:c>
      <x:c r="O155" s="28" t="n">
        <x:f>J155*I155</x:f>
        <x:v>3752.5618475769093</x:v>
      </x:c>
      <x:c r="P155" s="27" t="n">
        <x:f>(VLOOKUP(O155,'Fee Data'!$C$6:$G$50,2,TRUE)+O155*VLOOKUP(O155,'Fee Data'!$C$6:$G$50,3,TRUE)+VLOOKUP(O155,'Fee Data'!$I$6:$J$14,2,TRUE)+'Fee Data'!$J$20+'Fee Data'!$J$21)*'Assumptions'!D37</x:f>
        <x:v>915</x:v>
      </x:c>
      <x:c r="Q155" s="27" t="n">
        <x:f>(VLOOKUP(O155,'Fee Data'!$C$6:$G$50,4,TRUE)+O155*VLOOKUP(O155,'Fee Data'!$C$6:$G$50,5,TRUE)+VLOOKUP(O155,'Fee Data'!$I$6:$J$14,2,TRUE)+'Fee Data'!$J$20+'Fee Data'!$J$21)*'Assumptions'!D37</x:f>
        <x:v>765</x:v>
      </x:c>
      <x:c r="R155" s="27" t="n">
        <x:f>P155*(1-'Assumptions'!$D$14)+Q155*'Assumptions'!$D$14</x:f>
        <x:v>840</x:v>
      </x:c>
      <x:c r="S155" s="27" t="n">
        <x:f>O155*'Carrier Engine'!E91</x:f>
        <x:v>150.10247390307632</x:v>
      </x:c>
      <x:c r="T155" s="28" t="n">
        <x:f>R155+S155</x:f>
        <x:v>990.1024739030763</x:v>
      </x:c>
      <x:c r="U155" s="27" t="n">
        <x:f>N155*'Fleet Engine'!F210</x:f>
        <x:v>0</x:v>
      </x:c>
      <x:c r="V155" s="28" t="n">
        <x:f>U155*T155</x:f>
        <x:v>0</x:v>
      </x:c>
      <x:c r="W155" s="28" t="n">
        <x:f>U155*O155</x:f>
        <x:v>0</x:v>
      </x:c>
    </x:row>
    <x:row r="156" ht="19" customHeight="1">
      <x:c r="A156" s="2"/>
      <x:c r="B156" s="2"/>
      <x:c r="C156" s="46" t="n">
        <x:v>0</x:v>
      </x:c>
      <x:c r="D156" s="46" t="n">
        <x:v>16</x:v>
      </x:c>
      <x:c r="E156" s="46" t="n">
        <x:v>2</x:v>
      </x:c>
      <x:c r="F156" s="46" t="n">
        <x:v>4</x:v>
      </x:c>
      <x:c r="G156" s="12" t="n">
        <x:v>0.6666666666666666</x:v>
      </x:c>
      <x:c r="H156" s="12" t="n">
        <x:v>0.7777777777777778</x:v>
      </x:c>
      <x:c r="I156" s="29" t="n">
        <x:f>'Assumptions'!$D$11+'Assumptions'!$D$12*(0.5-(G156+H156)/2)</x:f>
        <x:v>0.25555555555555554</x:v>
      </x:c>
      <x:c r="J156" s="27" t="n">
        <x:f>'Assumptions'!$D$8*EXP(-'Assumptions'!$D$9*('Fleet Engine'!E210-10))*'Assumptions'!E57*'Assumptions'!D36</x:f>
        <x:v>13509.222651276876</x:v>
      </x:c>
      <x:c r="K156" s="27" t="n">
        <x:f>'Source Data'!F221+LN('Assumptions'!D57)+LN('Assumptions'!D35)</x:f>
        <x:v>8.418486215784876</x:v>
      </x:c>
      <x:c r="L156" s="27" t="n">
        <x:f>J156*(1-I156*(1-'Carrier Engine'!E91))</x:f>
        <x:v>10194.960027496949</x:v>
      </x:c>
      <x:c r="M156" s="29" t="n">
        <x:f>NORM.S.DIST((LN(L156)-K156)/'Assumptions'!$D$10,TRUE)</x:f>
        <x:v>0.697280992324818</x:v>
      </x:c>
      <x:c r="N156" s="30" t="n">
        <x:f>MAX(0,H156-MAX(G156,M156))</x:f>
        <x:v>0.0804967854529598</x:v>
      </x:c>
      <x:c r="O156" s="28" t="n">
        <x:f>J156*I156</x:f>
        <x:v>3452.356899770757</x:v>
      </x:c>
      <x:c r="P156" s="27" t="n">
        <x:f>(VLOOKUP(O156,'Fee Data'!$C$6:$G$50,2,TRUE)+O156*VLOOKUP(O156,'Fee Data'!$C$6:$G$50,3,TRUE)+VLOOKUP(O156,'Fee Data'!$I$6:$J$14,2,TRUE)+'Fee Data'!$J$20+'Fee Data'!$J$21)*'Assumptions'!D37</x:f>
        <x:v>865</x:v>
      </x:c>
      <x:c r="Q156" s="27" t="n">
        <x:f>(VLOOKUP(O156,'Fee Data'!$C$6:$G$50,4,TRUE)+O156*VLOOKUP(O156,'Fee Data'!$C$6:$G$50,5,TRUE)+VLOOKUP(O156,'Fee Data'!$I$6:$J$14,2,TRUE)+'Fee Data'!$J$20+'Fee Data'!$J$21)*'Assumptions'!D37</x:f>
        <x:v>715</x:v>
      </x:c>
      <x:c r="R156" s="27" t="n">
        <x:f>P156*(1-'Assumptions'!$D$14)+Q156*'Assumptions'!$D$14</x:f>
        <x:v>790</x:v>
      </x:c>
      <x:c r="S156" s="27" t="n">
        <x:f>O156*'Carrier Engine'!E91</x:f>
        <x:v>138.09427599083023</x:v>
      </x:c>
      <x:c r="T156" s="28" t="n">
        <x:f>R156+S156</x:f>
        <x:v>928.0942759908303</x:v>
      </x:c>
      <x:c r="U156" s="27" t="n">
        <x:f>N156*'Fleet Engine'!F210</x:f>
        <x:v>196.37285917984303</x:v>
      </x:c>
      <x:c r="V156" s="28" t="n">
        <x:f>U156*T156</x:f>
        <x:v>182252.5265647657</x:v>
      </x:c>
      <x:c r="W156" s="28" t="n">
        <x:f>U156*O156</x:f>
        <x:v>677949.1953172423</x:v>
      </x:c>
    </x:row>
    <x:row r="157" ht="19" customHeight="1">
      <x:c r="A157" s="2"/>
      <x:c r="B157" s="2"/>
      <x:c r="C157" s="46" t="n">
        <x:v>0</x:v>
      </x:c>
      <x:c r="D157" s="46" t="n">
        <x:v>16</x:v>
      </x:c>
      <x:c r="E157" s="46" t="n">
        <x:v>2</x:v>
      </x:c>
      <x:c r="F157" s="46" t="n">
        <x:v>4</x:v>
      </x:c>
      <x:c r="G157" s="12" t="n">
        <x:v>0.7777777777777778</x:v>
      </x:c>
      <x:c r="H157" s="12" t="n">
        <x:v>0.8888888888888888</x:v>
      </x:c>
      <x:c r="I157" s="29" t="n">
        <x:f>'Assumptions'!$D$11+'Assumptions'!$D$12*(0.5-(G157+H157)/2)</x:f>
        <x:v>0.23333333333333334</x:v>
      </x:c>
      <x:c r="J157" s="27" t="n">
        <x:f>'Assumptions'!$D$8*EXP(-'Assumptions'!$D$9*('Fleet Engine'!E210-10))*'Assumptions'!E57*'Assumptions'!D36</x:f>
        <x:v>13509.222651276876</x:v>
      </x:c>
      <x:c r="K157" s="27" t="n">
        <x:f>'Source Data'!F221+LN('Assumptions'!D57)+LN('Assumptions'!D35)</x:f>
        <x:v>8.418486215784876</x:v>
      </x:c>
      <x:c r="L157" s="27" t="n">
        <x:f>J157*(1-I157*(1-'Carrier Engine'!E91))</x:f>
        <x:v>10483.156777390855</x:v>
      </x:c>
      <x:c r="M157" s="29" t="n">
        <x:f>NORM.S.DIST((LN(L157)-K157)/'Assumptions'!$D$10,TRUE)</x:f>
        <x:v>0.7034501581393012</x:v>
      </x:c>
      <x:c r="N157" s="30" t="n">
        <x:f>MAX(0,H157-MAX(G157,M157))</x:f>
        <x:v>0.11111111111111105</x:v>
      </x:c>
      <x:c r="O157" s="28" t="n">
        <x:f>J157*I157</x:f>
        <x:v>3152.1519519646045</x:v>
      </x:c>
      <x:c r="P157" s="27" t="n">
        <x:f>(VLOOKUP(O157,'Fee Data'!$C$6:$G$50,2,TRUE)+O157*VLOOKUP(O157,'Fee Data'!$C$6:$G$50,3,TRUE)+VLOOKUP(O157,'Fee Data'!$I$6:$J$14,2,TRUE)+'Fee Data'!$J$20+'Fee Data'!$J$21)*'Assumptions'!D37</x:f>
        <x:v>865</x:v>
      </x:c>
      <x:c r="Q157" s="27" t="n">
        <x:f>(VLOOKUP(O157,'Fee Data'!$C$6:$G$50,4,TRUE)+O157*VLOOKUP(O157,'Fee Data'!$C$6:$G$50,5,TRUE)+VLOOKUP(O157,'Fee Data'!$I$6:$J$14,2,TRUE)+'Fee Data'!$J$20+'Fee Data'!$J$21)*'Assumptions'!D37</x:f>
        <x:v>715</x:v>
      </x:c>
      <x:c r="R157" s="27" t="n">
        <x:f>P157*(1-'Assumptions'!$D$14)+Q157*'Assumptions'!$D$14</x:f>
        <x:v>790</x:v>
      </x:c>
      <x:c r="S157" s="27" t="n">
        <x:f>O157*'Carrier Engine'!E91</x:f>
        <x:v>126.08607807858414</x:v>
      </x:c>
      <x:c r="T157" s="28" t="n">
        <x:f>R157+S157</x:f>
        <x:v>916.0860780785841</x:v>
      </x:c>
      <x:c r="U157" s="27" t="n">
        <x:f>N157*'Fleet Engine'!F210</x:f>
        <x:v>271.0568683303344</x:v>
      </x:c>
      <x:c r="V157" s="28" t="n">
        <x:f>U157*T157</x:f>
        <x:v>248311.4234449992</x:v>
      </x:c>
      <x:c r="W157" s="28" t="n">
        <x:f>U157*O157</x:f>
        <x:v>854412.4366008764</x:v>
      </x:c>
    </x:row>
    <x:row r="158" ht="19" customHeight="1">
      <x:c r="A158" s="2"/>
      <x:c r="B158" s="2"/>
      <x:c r="C158" s="46" t="n">
        <x:v>0</x:v>
      </x:c>
      <x:c r="D158" s="46" t="n">
        <x:v>16</x:v>
      </x:c>
      <x:c r="E158" s="46" t="n">
        <x:v>2</x:v>
      </x:c>
      <x:c r="F158" s="46" t="n">
        <x:v>4</x:v>
      </x:c>
      <x:c r="G158" s="12" t="n">
        <x:v>0.8888888888888888</x:v>
      </x:c>
      <x:c r="H158" s="12" t="n">
        <x:v>1</x:v>
      </x:c>
      <x:c r="I158" s="29" t="n">
        <x:f>'Assumptions'!$D$11+'Assumptions'!$D$12*(0.5-(G158+H158)/2)</x:f>
        <x:v>0.21111111111111108</x:v>
      </x:c>
      <x:c r="J158" s="27" t="n">
        <x:f>'Assumptions'!$D$8*EXP(-'Assumptions'!$D$9*('Fleet Engine'!E210-10))*'Assumptions'!E57*'Assumptions'!D36</x:f>
        <x:v>13509.222651276876</x:v>
      </x:c>
      <x:c r="K158" s="27" t="n">
        <x:f>'Source Data'!F221+LN('Assumptions'!D57)+LN('Assumptions'!D35)</x:f>
        <x:v>8.418486215784876</x:v>
      </x:c>
      <x:c r="L158" s="27" t="n">
        <x:f>J158*(1-I158*(1-'Carrier Engine'!E91))</x:f>
        <x:v>10771.353527284762</x:v>
      </x:c>
      <x:c r="M158" s="29" t="n">
        <x:f>NORM.S.DIST((LN(L158)-K158)/'Assumptions'!$D$10,TRUE)</x:f>
        <x:v>0.7093961183873236</x:v>
      </x:c>
      <x:c r="N158" s="30" t="n">
        <x:f>MAX(0,H158-MAX(G158,M158))</x:f>
        <x:v>0.11111111111111116</x:v>
      </x:c>
      <x:c r="O158" s="28" t="n">
        <x:f>J158*I158</x:f>
        <x:v>2851.9470041584514</x:v>
      </x:c>
      <x:c r="P158" s="27" t="n">
        <x:f>(VLOOKUP(O158,'Fee Data'!$C$6:$G$50,2,TRUE)+O158*VLOOKUP(O158,'Fee Data'!$C$6:$G$50,3,TRUE)+VLOOKUP(O158,'Fee Data'!$I$6:$J$14,2,TRUE)+'Fee Data'!$J$20+'Fee Data'!$J$21)*'Assumptions'!D37</x:f>
        <x:v>820</x:v>
      </x:c>
      <x:c r="Q158" s="27" t="n">
        <x:f>(VLOOKUP(O158,'Fee Data'!$C$6:$G$50,4,TRUE)+O158*VLOOKUP(O158,'Fee Data'!$C$6:$G$50,5,TRUE)+VLOOKUP(O158,'Fee Data'!$I$6:$J$14,2,TRUE)+'Fee Data'!$J$20+'Fee Data'!$J$21)*'Assumptions'!D37</x:f>
        <x:v>670</x:v>
      </x:c>
      <x:c r="R158" s="27" t="n">
        <x:f>P158*(1-'Assumptions'!$D$14)+Q158*'Assumptions'!$D$14</x:f>
        <x:v>745</x:v>
      </x:c>
      <x:c r="S158" s="27" t="n">
        <x:f>O158*'Carrier Engine'!E91</x:f>
        <x:v>114.07788016633802</x:v>
      </x:c>
      <x:c r="T158" s="28" t="n">
        <x:f>R158+S158</x:f>
        <x:v>859.077880166338</x:v>
      </x:c>
      <x:c r="U158" s="27" t="n">
        <x:f>N158*'Fleet Engine'!F210</x:f>
        <x:v>271.0568683303347</x:v>
      </x:c>
      <x:c r="V158" s="28" t="n">
        <x:f>U158*T158</x:f>
        <x:v>232858.9598497501</x:v>
      </x:c>
      <x:c r="W158" s="28" t="n">
        <x:f>U158*O158</x:f>
        <x:v>773039.8235912698</x:v>
      </x:c>
    </x:row>
    <x:row r="159" ht="19" customHeight="1">
      <x:c r="A159" s="2"/>
      <x:c r="B159" s="2"/>
      <x:c r="C159" s="46" t="n">
        <x:v>0</x:v>
      </x:c>
      <x:c r="D159" s="46" t="n">
        <x:v>17</x:v>
      </x:c>
      <x:c r="E159" s="46" t="n">
        <x:v>2</x:v>
      </x:c>
      <x:c r="F159" s="46" t="n">
        <x:v>5</x:v>
      </x:c>
      <x:c r="G159" s="12" t="n">
        <x:v>0</x:v>
      </x:c>
      <x:c r="H159" s="12" t="n">
        <x:v>0.1111111111111111</x:v>
      </x:c>
      <x:c r="I159" s="29" t="n">
        <x:f>'Assumptions'!$D$11+'Assumptions'!$D$12*(0.5-(G159+H159)/2)</x:f>
        <x:v>0.3888888888888889</x:v>
      </x:c>
      <x:c r="J159" s="27" t="n">
        <x:f>'Assumptions'!$D$8*EXP(-'Assumptions'!$D$9*('Fleet Engine'!E211-10))*'Assumptions'!E57*'Assumptions'!D36</x:f>
        <x:v>7414.018585605744</x:v>
      </x:c>
      <x:c r="K159" s="27" t="n">
        <x:f>'Source Data'!F222+LN('Assumptions'!D57)+LN('Assumptions'!D35)</x:f>
        <x:v>8.319557366061195</x:v>
      </x:c>
      <x:c r="L159" s="27" t="n">
        <x:f>J159*(1-I159*(1-'Carrier Engine'!E91))</x:f>
        <x:v>4646.118313646267</x:v>
      </x:c>
      <x:c r="M159" s="29" t="n">
        <x:f>NORM.S.DIST((LN(L159)-K159)/'Assumptions'!$D$10,TRUE)</x:f>
        <x:v>0.5315302263315647</x:v>
      </x:c>
      <x:c r="N159" s="30" t="n">
        <x:f>MAX(0,H159-MAX(G159,M159))</x:f>
        <x:v>0</x:v>
      </x:c>
      <x:c r="O159" s="28" t="n">
        <x:f>J159*I159</x:f>
        <x:v>2883.2294499577893</x:v>
      </x:c>
      <x:c r="P159" s="27" t="n">
        <x:f>(VLOOKUP(O159,'Fee Data'!$C$6:$G$50,2,TRUE)+O159*VLOOKUP(O159,'Fee Data'!$C$6:$G$50,3,TRUE)+VLOOKUP(O159,'Fee Data'!$I$6:$J$14,2,TRUE)+'Fee Data'!$J$20+'Fee Data'!$J$21)*'Assumptions'!D37</x:f>
        <x:v>820</x:v>
      </x:c>
      <x:c r="Q159" s="27" t="n">
        <x:f>(VLOOKUP(O159,'Fee Data'!$C$6:$G$50,4,TRUE)+O159*VLOOKUP(O159,'Fee Data'!$C$6:$G$50,5,TRUE)+VLOOKUP(O159,'Fee Data'!$I$6:$J$14,2,TRUE)+'Fee Data'!$J$20+'Fee Data'!$J$21)*'Assumptions'!D37</x:f>
        <x:v>670</x:v>
      </x:c>
      <x:c r="R159" s="27" t="n">
        <x:f>P159*(1-'Assumptions'!$D$14)+Q159*'Assumptions'!$D$14</x:f>
        <x:v>745</x:v>
      </x:c>
      <x:c r="S159" s="27" t="n">
        <x:f>O159*'Carrier Engine'!E91</x:f>
        <x:v>115.32917799831154</x:v>
      </x:c>
      <x:c r="T159" s="28" t="n">
        <x:f>R159+S159</x:f>
        <x:v>860.3291779983115</x:v>
      </x:c>
      <x:c r="U159" s="27" t="n">
        <x:f>N159*'Fleet Engine'!F211</x:f>
        <x:v>0</x:v>
      </x:c>
      <x:c r="V159" s="28" t="n">
        <x:f>U159*T159</x:f>
        <x:v>0</x:v>
      </x:c>
      <x:c r="W159" s="28" t="n">
        <x:f>U159*O159</x:f>
        <x:v>0</x:v>
      </x:c>
    </x:row>
    <x:row r="160" ht="19" customHeight="1">
      <x:c r="A160" s="2"/>
      <x:c r="B160" s="2"/>
      <x:c r="C160" s="46" t="n">
        <x:v>0</x:v>
      </x:c>
      <x:c r="D160" s="46" t="n">
        <x:v>17</x:v>
      </x:c>
      <x:c r="E160" s="46" t="n">
        <x:v>2</x:v>
      </x:c>
      <x:c r="F160" s="46" t="n">
        <x:v>5</x:v>
      </x:c>
      <x:c r="G160" s="12" t="n">
        <x:v>0.1111111111111111</x:v>
      </x:c>
      <x:c r="H160" s="12" t="n">
        <x:v>0.2222222222222222</x:v>
      </x:c>
      <x:c r="I160" s="29" t="n">
        <x:f>'Assumptions'!$D$11+'Assumptions'!$D$12*(0.5-(G160+H160)/2)</x:f>
        <x:v>0.3666666666666667</x:v>
      </x:c>
      <x:c r="J160" s="27" t="n">
        <x:f>'Assumptions'!$D$8*EXP(-'Assumptions'!$D$9*('Fleet Engine'!E211-10))*'Assumptions'!E57*'Assumptions'!D36</x:f>
        <x:v>7414.018585605744</x:v>
      </x:c>
      <x:c r="K160" s="27" t="n">
        <x:f>'Source Data'!F222+LN('Assumptions'!D57)+LN('Assumptions'!D35)</x:f>
        <x:v>8.319557366061195</x:v>
      </x:c>
      <x:c r="L160" s="27" t="n">
        <x:f>J160*(1-I160*(1-'Carrier Engine'!E91))</x:f>
        <x:v>4804.284043472521</x:v>
      </x:c>
      <x:c r="M160" s="29" t="n">
        <x:f>NORM.S.DIST((LN(L160)-K160)/'Assumptions'!$D$10,TRUE)</x:f>
        <x:v>0.5400010911799831</x:v>
      </x:c>
      <x:c r="N160" s="30" t="n">
        <x:f>MAX(0,H160-MAX(G160,M160))</x:f>
        <x:v>0</x:v>
      </x:c>
      <x:c r="O160" s="28" t="n">
        <x:f>J160*I160</x:f>
        <x:v>2718.473481388773</x:v>
      </x:c>
      <x:c r="P160" s="27" t="n">
        <x:f>(VLOOKUP(O160,'Fee Data'!$C$6:$G$50,2,TRUE)+O160*VLOOKUP(O160,'Fee Data'!$C$6:$G$50,3,TRUE)+VLOOKUP(O160,'Fee Data'!$I$6:$J$14,2,TRUE)+'Fee Data'!$J$20+'Fee Data'!$J$21)*'Assumptions'!D37</x:f>
        <x:v>820</x:v>
      </x:c>
      <x:c r="Q160" s="27" t="n">
        <x:f>(VLOOKUP(O160,'Fee Data'!$C$6:$G$50,4,TRUE)+O160*VLOOKUP(O160,'Fee Data'!$C$6:$G$50,5,TRUE)+VLOOKUP(O160,'Fee Data'!$I$6:$J$14,2,TRUE)+'Fee Data'!$J$20+'Fee Data'!$J$21)*'Assumptions'!D37</x:f>
        <x:v>670</x:v>
      </x:c>
      <x:c r="R160" s="27" t="n">
        <x:f>P160*(1-'Assumptions'!$D$14)+Q160*'Assumptions'!$D$14</x:f>
        <x:v>745</x:v>
      </x:c>
      <x:c r="S160" s="27" t="n">
        <x:f>O160*'Carrier Engine'!E91</x:f>
        <x:v>108.73893925555089</x:v>
      </x:c>
      <x:c r="T160" s="28" t="n">
        <x:f>R160+S160</x:f>
        <x:v>853.7389392555509</x:v>
      </x:c>
      <x:c r="U160" s="27" t="n">
        <x:f>N160*'Fleet Engine'!F211</x:f>
        <x:v>0</x:v>
      </x:c>
      <x:c r="V160" s="28" t="n">
        <x:f>U160*T160</x:f>
        <x:v>0</x:v>
      </x:c>
      <x:c r="W160" s="28" t="n">
        <x:f>U160*O160</x:f>
        <x:v>0</x:v>
      </x:c>
    </x:row>
    <x:row r="161" ht="19" customHeight="1">
      <x:c r="A161" s="2"/>
      <x:c r="B161" s="2"/>
      <x:c r="C161" s="46" t="n">
        <x:v>0</x:v>
      </x:c>
      <x:c r="D161" s="46" t="n">
        <x:v>17</x:v>
      </x:c>
      <x:c r="E161" s="46" t="n">
        <x:v>2</x:v>
      </x:c>
      <x:c r="F161" s="46" t="n">
        <x:v>5</x:v>
      </x:c>
      <x:c r="G161" s="12" t="n">
        <x:v>0.2222222222222222</x:v>
      </x:c>
      <x:c r="H161" s="12" t="n">
        <x:v>0.3333333333333333</x:v>
      </x:c>
      <x:c r="I161" s="29" t="n">
        <x:f>'Assumptions'!$D$11+'Assumptions'!$D$12*(0.5-(G161+H161)/2)</x:f>
        <x:v>0.34444444444444444</x:v>
      </x:c>
      <x:c r="J161" s="27" t="n">
        <x:f>'Assumptions'!$D$8*EXP(-'Assumptions'!$D$9*('Fleet Engine'!E211-10))*'Assumptions'!E57*'Assumptions'!D36</x:f>
        <x:v>7414.018585605744</x:v>
      </x:c>
      <x:c r="K161" s="27" t="n">
        <x:f>'Source Data'!F222+LN('Assumptions'!D57)+LN('Assumptions'!D35)</x:f>
        <x:v>8.319557366061195</x:v>
      </x:c>
      <x:c r="L161" s="27" t="n">
        <x:f>J161*(1-I161*(1-'Carrier Engine'!E91))</x:f>
        <x:v>4962.449773298778</x:v>
      </x:c>
      <x:c r="M161" s="29" t="n">
        <x:f>NORM.S.DIST((LN(L161)-K161)/'Assumptions'!$D$10,TRUE)</x:f>
        <x:v>0.5481803390545841</x:v>
      </x:c>
      <x:c r="N161" s="30" t="n">
        <x:f>MAX(0,H161-MAX(G161,M161))</x:f>
        <x:v>0</x:v>
      </x:c>
      <x:c r="O161" s="28" t="n">
        <x:f>J161*I161</x:f>
        <x:v>2553.7175128197564</x:v>
      </x:c>
      <x:c r="P161" s="27" t="n">
        <x:f>(VLOOKUP(O161,'Fee Data'!$C$6:$G$50,2,TRUE)+O161*VLOOKUP(O161,'Fee Data'!$C$6:$G$50,3,TRUE)+VLOOKUP(O161,'Fee Data'!$I$6:$J$14,2,TRUE)+'Fee Data'!$J$20+'Fee Data'!$J$21)*'Assumptions'!D37</x:f>
        <x:v>820</x:v>
      </x:c>
      <x:c r="Q161" s="27" t="n">
        <x:f>(VLOOKUP(O161,'Fee Data'!$C$6:$G$50,4,TRUE)+O161*VLOOKUP(O161,'Fee Data'!$C$6:$G$50,5,TRUE)+VLOOKUP(O161,'Fee Data'!$I$6:$J$14,2,TRUE)+'Fee Data'!$J$20+'Fee Data'!$J$21)*'Assumptions'!D37</x:f>
        <x:v>670</x:v>
      </x:c>
      <x:c r="R161" s="27" t="n">
        <x:f>P161*(1-'Assumptions'!$D$14)+Q161*'Assumptions'!$D$14</x:f>
        <x:v>745</x:v>
      </x:c>
      <x:c r="S161" s="27" t="n">
        <x:f>O161*'Carrier Engine'!E91</x:f>
        <x:v>102.14870051279023</x:v>
      </x:c>
      <x:c r="T161" s="28" t="n">
        <x:f>R161+S161</x:f>
        <x:v>847.1487005127902</x:v>
      </x:c>
      <x:c r="U161" s="27" t="n">
        <x:f>N161*'Fleet Engine'!F211</x:f>
        <x:v>0</x:v>
      </x:c>
      <x:c r="V161" s="28" t="n">
        <x:f>U161*T161</x:f>
        <x:v>0</x:v>
      </x:c>
      <x:c r="W161" s="28" t="n">
        <x:f>U161*O161</x:f>
        <x:v>0</x:v>
      </x:c>
    </x:row>
    <x:row r="162" ht="19" customHeight="1">
      <x:c r="A162" s="2"/>
      <x:c r="B162" s="2"/>
      <x:c r="C162" s="46" t="n">
        <x:v>0</x:v>
      </x:c>
      <x:c r="D162" s="46" t="n">
        <x:v>17</x:v>
      </x:c>
      <x:c r="E162" s="46" t="n">
        <x:v>2</x:v>
      </x:c>
      <x:c r="F162" s="46" t="n">
        <x:v>5</x:v>
      </x:c>
      <x:c r="G162" s="12" t="n">
        <x:v>0.3333333333333333</x:v>
      </x:c>
      <x:c r="H162" s="12" t="n">
        <x:v>0.4444444444444444</x:v>
      </x:c>
      <x:c r="I162" s="29" t="n">
        <x:f>'Assumptions'!$D$11+'Assumptions'!$D$12*(0.5-(G162+H162)/2)</x:f>
        <x:v>0.32222222222222224</x:v>
      </x:c>
      <x:c r="J162" s="27" t="n">
        <x:f>'Assumptions'!$D$8*EXP(-'Assumptions'!$D$9*('Fleet Engine'!E211-10))*'Assumptions'!E57*'Assumptions'!D36</x:f>
        <x:v>7414.018585605744</x:v>
      </x:c>
      <x:c r="K162" s="27" t="n">
        <x:f>'Source Data'!F222+LN('Assumptions'!D57)+LN('Assumptions'!D35)</x:f>
        <x:v>8.319557366061195</x:v>
      </x:c>
      <x:c r="L162" s="27" t="n">
        <x:f>J162*(1-I162*(1-'Carrier Engine'!E91))</x:f>
        <x:v>5120.615503125034</x:v>
      </x:c>
      <x:c r="M162" s="29" t="n">
        <x:f>NORM.S.DIST((LN(L162)-K162)/'Assumptions'!$D$10,TRUE)</x:f>
        <x:v>0.5560835236213721</x:v>
      </x:c>
      <x:c r="N162" s="30" t="n">
        <x:f>MAX(0,H162-MAX(G162,M162))</x:f>
        <x:v>0</x:v>
      </x:c>
      <x:c r="O162" s="28" t="n">
        <x:f>J162*I162</x:f>
        <x:v>2388.9615442507397</x:v>
      </x:c>
      <x:c r="P162" s="27" t="n">
        <x:f>(VLOOKUP(O162,'Fee Data'!$C$6:$G$50,2,TRUE)+O162*VLOOKUP(O162,'Fee Data'!$C$6:$G$50,3,TRUE)+VLOOKUP(O162,'Fee Data'!$I$6:$J$14,2,TRUE)+'Fee Data'!$J$20+'Fee Data'!$J$21)*'Assumptions'!D37</x:f>
        <x:v>745</x:v>
      </x:c>
      <x:c r="Q162" s="27" t="n">
        <x:f>(VLOOKUP(O162,'Fee Data'!$C$6:$G$50,4,TRUE)+O162*VLOOKUP(O162,'Fee Data'!$C$6:$G$50,5,TRUE)+VLOOKUP(O162,'Fee Data'!$I$6:$J$14,2,TRUE)+'Fee Data'!$J$20+'Fee Data'!$J$21)*'Assumptions'!D37</x:f>
        <x:v>600</x:v>
      </x:c>
      <x:c r="R162" s="27" t="n">
        <x:f>P162*(1-'Assumptions'!$D$14)+Q162*'Assumptions'!$D$14</x:f>
        <x:v>672.5</x:v>
      </x:c>
      <x:c r="S162" s="27" t="n">
        <x:f>O162*'Carrier Engine'!E91</x:f>
        <x:v>95.55846177002955</x:v>
      </x:c>
      <x:c r="T162" s="28" t="n">
        <x:f>R162+S162</x:f>
        <x:v>768.0584617700296</x:v>
      </x:c>
      <x:c r="U162" s="27" t="n">
        <x:f>N162*'Fleet Engine'!F211</x:f>
        <x:v>0</x:v>
      </x:c>
      <x:c r="V162" s="28" t="n">
        <x:f>U162*T162</x:f>
        <x:v>0</x:v>
      </x:c>
      <x:c r="W162" s="28" t="n">
        <x:f>U162*O162</x:f>
        <x:v>0</x:v>
      </x:c>
    </x:row>
    <x:row r="163" ht="19" customHeight="1">
      <x:c r="A163" s="2"/>
      <x:c r="B163" s="2"/>
      <x:c r="C163" s="46" t="n">
        <x:v>0</x:v>
      </x:c>
      <x:c r="D163" s="46" t="n">
        <x:v>17</x:v>
      </x:c>
      <x:c r="E163" s="46" t="n">
        <x:v>2</x:v>
      </x:c>
      <x:c r="F163" s="46" t="n">
        <x:v>5</x:v>
      </x:c>
      <x:c r="G163" s="12" t="n">
        <x:v>0.4444444444444444</x:v>
      </x:c>
      <x:c r="H163" s="12" t="n">
        <x:v>0.5555555555555556</x:v>
      </x:c>
      <x:c r="I163" s="29" t="n">
        <x:f>'Assumptions'!$D$11+'Assumptions'!$D$12*(0.5-(G163+H163)/2)</x:f>
        <x:v>0.3</x:v>
      </x:c>
      <x:c r="J163" s="27" t="n">
        <x:f>'Assumptions'!$D$8*EXP(-'Assumptions'!$D$9*('Fleet Engine'!E211-10))*'Assumptions'!E57*'Assumptions'!D36</x:f>
        <x:v>7414.018585605744</x:v>
      </x:c>
      <x:c r="K163" s="27" t="n">
        <x:f>'Source Data'!F222+LN('Assumptions'!D57)+LN('Assumptions'!D35)</x:f>
        <x:v>8.319557366061195</x:v>
      </x:c>
      <x:c r="L163" s="27" t="n">
        <x:f>J163*(1-I163*(1-'Carrier Engine'!E91))</x:f>
        <x:v>5278.78123295129</x:v>
      </x:c>
      <x:c r="M163" s="29" t="n">
        <x:f>NORM.S.DIST((LN(L163)-K163)/'Assumptions'!$D$10,TRUE)</x:f>
        <x:v>0.5637250623121128</x:v>
      </x:c>
      <x:c r="N163" s="30" t="n">
        <x:f>MAX(0,H163-MAX(G163,M163))</x:f>
        <x:v>0</x:v>
      </x:c>
      <x:c r="O163" s="28" t="n">
        <x:f>J163*I163</x:f>
        <x:v>2224.205575681723</x:v>
      </x:c>
      <x:c r="P163" s="27" t="n">
        <x:f>(VLOOKUP(O163,'Fee Data'!$C$6:$G$50,2,TRUE)+O163*VLOOKUP(O163,'Fee Data'!$C$6:$G$50,3,TRUE)+VLOOKUP(O163,'Fee Data'!$I$6:$J$14,2,TRUE)+'Fee Data'!$J$20+'Fee Data'!$J$21)*'Assumptions'!D37</x:f>
        <x:v>745</x:v>
      </x:c>
      <x:c r="Q163" s="27" t="n">
        <x:f>(VLOOKUP(O163,'Fee Data'!$C$6:$G$50,4,TRUE)+O163*VLOOKUP(O163,'Fee Data'!$C$6:$G$50,5,TRUE)+VLOOKUP(O163,'Fee Data'!$I$6:$J$14,2,TRUE)+'Fee Data'!$J$20+'Fee Data'!$J$21)*'Assumptions'!D37</x:f>
        <x:v>600</x:v>
      </x:c>
      <x:c r="R163" s="27" t="n">
        <x:f>P163*(1-'Assumptions'!$D$14)+Q163*'Assumptions'!$D$14</x:f>
        <x:v>672.5</x:v>
      </x:c>
      <x:c r="S163" s="27" t="n">
        <x:f>O163*'Carrier Engine'!E91</x:f>
        <x:v>88.96822302726889</x:v>
      </x:c>
      <x:c r="T163" s="28" t="n">
        <x:f>R163+S163</x:f>
        <x:v>761.4682230272689</x:v>
      </x:c>
      <x:c r="U163" s="27" t="n">
        <x:f>N163*'Fleet Engine'!F211</x:f>
        <x:v>0</x:v>
      </x:c>
      <x:c r="V163" s="28" t="n">
        <x:f>U163*T163</x:f>
        <x:v>0</x:v>
      </x:c>
      <x:c r="W163" s="28" t="n">
        <x:f>U163*O163</x:f>
        <x:v>0</x:v>
      </x:c>
    </x:row>
    <x:row r="164" ht="19" customHeight="1">
      <x:c r="A164" s="2"/>
      <x:c r="B164" s="2"/>
      <x:c r="C164" s="46" t="n">
        <x:v>0</x:v>
      </x:c>
      <x:c r="D164" s="46" t="n">
        <x:v>17</x:v>
      </x:c>
      <x:c r="E164" s="46" t="n">
        <x:v>2</x:v>
      </x:c>
      <x:c r="F164" s="46" t="n">
        <x:v>5</x:v>
      </x:c>
      <x:c r="G164" s="12" t="n">
        <x:v>0.5555555555555556</x:v>
      </x:c>
      <x:c r="H164" s="12" t="n">
        <x:v>0.6666666666666666</x:v>
      </x:c>
      <x:c r="I164" s="29" t="n">
        <x:f>'Assumptions'!$D$11+'Assumptions'!$D$12*(0.5-(G164+H164)/2)</x:f>
        <x:v>0.27777777777777773</x:v>
      </x:c>
      <x:c r="J164" s="27" t="n">
        <x:f>'Assumptions'!$D$8*EXP(-'Assumptions'!$D$9*('Fleet Engine'!E211-10))*'Assumptions'!E57*'Assumptions'!D36</x:f>
        <x:v>7414.018585605744</x:v>
      </x:c>
      <x:c r="K164" s="27" t="n">
        <x:f>'Source Data'!F222+LN('Assumptions'!D57)+LN('Assumptions'!D35)</x:f>
        <x:v>8.319557366061195</x:v>
      </x:c>
      <x:c r="L164" s="27" t="n">
        <x:f>J164*(1-I164*(1-'Carrier Engine'!E91))</x:f>
        <x:v>5436.946962777546</x:v>
      </x:c>
      <x:c r="M164" s="29" t="n">
        <x:f>NORM.S.DIST((LN(L164)-K164)/'Assumptions'!$D$10,TRUE)</x:f>
        <x:v>0.5711183414959459</x:v>
      </x:c>
      <x:c r="N164" s="30" t="n">
        <x:f>MAX(0,H164-MAX(G164,M164))</x:f>
        <x:v>0.09554832517072076</x:v>
      </x:c>
      <x:c r="O164" s="28" t="n">
        <x:f>J164*I164</x:f>
        <x:v>2059.4496071127064</x:v>
      </x:c>
      <x:c r="P164" s="27" t="n">
        <x:f>(VLOOKUP(O164,'Fee Data'!$C$6:$G$50,2,TRUE)+O164*VLOOKUP(O164,'Fee Data'!$C$6:$G$50,3,TRUE)+VLOOKUP(O164,'Fee Data'!$I$6:$J$14,2,TRUE)+'Fee Data'!$J$20+'Fee Data'!$J$21)*'Assumptions'!D37</x:f>
        <x:v>745</x:v>
      </x:c>
      <x:c r="Q164" s="27" t="n">
        <x:f>(VLOOKUP(O164,'Fee Data'!$C$6:$G$50,4,TRUE)+O164*VLOOKUP(O164,'Fee Data'!$C$6:$G$50,5,TRUE)+VLOOKUP(O164,'Fee Data'!$I$6:$J$14,2,TRUE)+'Fee Data'!$J$20+'Fee Data'!$J$21)*'Assumptions'!D37</x:f>
        <x:v>600</x:v>
      </x:c>
      <x:c r="R164" s="27" t="n">
        <x:f>P164*(1-'Assumptions'!$D$14)+Q164*'Assumptions'!$D$14</x:f>
        <x:v>672.5</x:v>
      </x:c>
      <x:c r="S164" s="27" t="n">
        <x:f>O164*'Carrier Engine'!E91</x:f>
        <x:v>82.37798428450823</x:v>
      </x:c>
      <x:c r="T164" s="28" t="n">
        <x:f>R164+S164</x:f>
        <x:v>754.8779842845082</x:v>
      </x:c>
      <x:c r="U164" s="27" t="n">
        <x:f>N164*'Fleet Engine'!F211</x:f>
        <x:v>296.27572718289343</x:v>
      </x:c>
      <x:c r="V164" s="28" t="n">
        <x:f>U164*T164</x:f>
        <x:v>223652.02372824948</x:v>
      </x:c>
      <x:c r="W164" s="28" t="n">
        <x:f>U164*O164</x:f>
        <x:v>610164.9299438413</x:v>
      </x:c>
    </x:row>
    <x:row r="165" ht="19" customHeight="1">
      <x:c r="A165" s="2"/>
      <x:c r="B165" s="2"/>
      <x:c r="C165" s="46" t="n">
        <x:v>0</x:v>
      </x:c>
      <x:c r="D165" s="46" t="n">
        <x:v>17</x:v>
      </x:c>
      <x:c r="E165" s="46" t="n">
        <x:v>2</x:v>
      </x:c>
      <x:c r="F165" s="46" t="n">
        <x:v>5</x:v>
      </x:c>
      <x:c r="G165" s="12" t="n">
        <x:v>0.6666666666666666</x:v>
      </x:c>
      <x:c r="H165" s="12" t="n">
        <x:v>0.7777777777777778</x:v>
      </x:c>
      <x:c r="I165" s="29" t="n">
        <x:f>'Assumptions'!$D$11+'Assumptions'!$D$12*(0.5-(G165+H165)/2)</x:f>
        <x:v>0.25555555555555554</x:v>
      </x:c>
      <x:c r="J165" s="27" t="n">
        <x:f>'Assumptions'!$D$8*EXP(-'Assumptions'!$D$9*('Fleet Engine'!E211-10))*'Assumptions'!E57*'Assumptions'!D36</x:f>
        <x:v>7414.018585605744</x:v>
      </x:c>
      <x:c r="K165" s="27" t="n">
        <x:f>'Source Data'!F222+LN('Assumptions'!D57)+LN('Assumptions'!D35)</x:f>
        <x:v>8.319557366061195</x:v>
      </x:c>
      <x:c r="L165" s="27" t="n">
        <x:f>J165*(1-I165*(1-'Carrier Engine'!E91))</x:f>
        <x:v>5595.112692603802</x:v>
      </x:c>
      <x:c r="M165" s="29" t="n">
        <x:f>NORM.S.DIST((LN(L165)-K165)/'Assumptions'!$D$10,TRUE)</x:f>
        <x:v>0.5782758099492802</x:v>
      </x:c>
      <x:c r="N165" s="30" t="n">
        <x:f>MAX(0,H165-MAX(G165,M165))</x:f>
        <x:v>0.11111111111111116</x:v>
      </x:c>
      <x:c r="O165" s="28" t="n">
        <x:f>J165*I165</x:f>
        <x:v>1894.69363854369</x:v>
      </x:c>
      <x:c r="P165" s="27" t="n">
        <x:f>(VLOOKUP(O165,'Fee Data'!$C$6:$G$50,2,TRUE)+O165*VLOOKUP(O165,'Fee Data'!$C$6:$G$50,3,TRUE)+VLOOKUP(O165,'Fee Data'!$I$6:$J$14,2,TRUE)+'Fee Data'!$J$20+'Fee Data'!$J$21)*'Assumptions'!D37</x:f>
        <x:v>705</x:v>
      </x:c>
      <x:c r="Q165" s="27" t="n">
        <x:f>(VLOOKUP(O165,'Fee Data'!$C$6:$G$50,4,TRUE)+O165*VLOOKUP(O165,'Fee Data'!$C$6:$G$50,5,TRUE)+VLOOKUP(O165,'Fee Data'!$I$6:$J$14,2,TRUE)+'Fee Data'!$J$20+'Fee Data'!$J$21)*'Assumptions'!D37</x:f>
        <x:v>565</x:v>
      </x:c>
      <x:c r="R165" s="27" t="n">
        <x:f>P165*(1-'Assumptions'!$D$14)+Q165*'Assumptions'!$D$14</x:f>
        <x:v>635</x:v>
      </x:c>
      <x:c r="S165" s="27" t="n">
        <x:f>O165*'Carrier Engine'!E91</x:f>
        <x:v>75.78774554174757</x:v>
      </x:c>
      <x:c r="T165" s="28" t="n">
        <x:f>R165+S165</x:f>
        <x:v>710.7877455417475</x:v>
      </x:c>
      <x:c r="U165" s="27" t="n">
        <x:f>N165*'Fleet Engine'!F211</x:f>
        <x:v>344.532729210322</x:v>
      </x:c>
      <x:c r="V165" s="28" t="n">
        <x:f>U165*T165</x:f>
        <x:v>244889.64186075015</x:v>
      </x:c>
      <x:c r="W165" s="28" t="n">
        <x:f>U165*O165</x:f>
        <x:v>652783.9703048927</x:v>
      </x:c>
    </x:row>
    <x:row r="166" ht="19" customHeight="1">
      <x:c r="A166" s="2"/>
      <x:c r="B166" s="2"/>
      <x:c r="C166" s="46" t="n">
        <x:v>0</x:v>
      </x:c>
      <x:c r="D166" s="46" t="n">
        <x:v>17</x:v>
      </x:c>
      <x:c r="E166" s="46" t="n">
        <x:v>2</x:v>
      </x:c>
      <x:c r="F166" s="46" t="n">
        <x:v>5</x:v>
      </x:c>
      <x:c r="G166" s="12" t="n">
        <x:v>0.7777777777777778</x:v>
      </x:c>
      <x:c r="H166" s="12" t="n">
        <x:v>0.8888888888888888</x:v>
      </x:c>
      <x:c r="I166" s="29" t="n">
        <x:f>'Assumptions'!$D$11+'Assumptions'!$D$12*(0.5-(G166+H166)/2)</x:f>
        <x:v>0.23333333333333334</x:v>
      </x:c>
      <x:c r="J166" s="27" t="n">
        <x:f>'Assumptions'!$D$8*EXP(-'Assumptions'!$D$9*('Fleet Engine'!E211-10))*'Assumptions'!E57*'Assumptions'!D36</x:f>
        <x:v>7414.018585605744</x:v>
      </x:c>
      <x:c r="K166" s="27" t="n">
        <x:f>'Source Data'!F222+LN('Assumptions'!D57)+LN('Assumptions'!D35)</x:f>
        <x:v>8.319557366061195</x:v>
      </x:c>
      <x:c r="L166" s="27" t="n">
        <x:f>J166*(1-I166*(1-'Carrier Engine'!E91))</x:f>
        <x:v>5753.278422430058</x:v>
      </x:c>
      <x:c r="M166" s="29" t="n">
        <x:f>NORM.S.DIST((LN(L166)-K166)/'Assumptions'!$D$10,TRUE)</x:f>
        <x:v>0.5852090621304324</x:v>
      </x:c>
      <x:c r="N166" s="30" t="n">
        <x:f>MAX(0,H166-MAX(G166,M166))</x:f>
        <x:v>0.11111111111111105</x:v>
      </x:c>
      <x:c r="O166" s="28" t="n">
        <x:f>J166*I166</x:f>
        <x:v>1729.9376699746738</x:v>
      </x:c>
      <x:c r="P166" s="27" t="n">
        <x:f>(VLOOKUP(O166,'Fee Data'!$C$6:$G$50,2,TRUE)+O166*VLOOKUP(O166,'Fee Data'!$C$6:$G$50,3,TRUE)+VLOOKUP(O166,'Fee Data'!$I$6:$J$14,2,TRUE)+'Fee Data'!$J$20+'Fee Data'!$J$21)*'Assumptions'!D37</x:f>
        <x:v>680</x:v>
      </x:c>
      <x:c r="Q166" s="27" t="n">
        <x:f>(VLOOKUP(O166,'Fee Data'!$C$6:$G$50,4,TRUE)+O166*VLOOKUP(O166,'Fee Data'!$C$6:$G$50,5,TRUE)+VLOOKUP(O166,'Fee Data'!$I$6:$J$14,2,TRUE)+'Fee Data'!$J$20+'Fee Data'!$J$21)*'Assumptions'!D37</x:f>
        <x:v>545</x:v>
      </x:c>
      <x:c r="R166" s="27" t="n">
        <x:f>P166*(1-'Assumptions'!$D$14)+Q166*'Assumptions'!$D$14</x:f>
        <x:v>612.5</x:v>
      </x:c>
      <x:c r="S166" s="27" t="n">
        <x:f>O166*'Carrier Engine'!E91</x:f>
        <x:v>69.19750679898692</x:v>
      </x:c>
      <x:c r="T166" s="28" t="n">
        <x:f>R166+S166</x:f>
        <x:v>681.697506798987</x:v>
      </x:c>
      <x:c r="U166" s="27" t="n">
        <x:f>N166*'Fleet Engine'!F211</x:f>
        <x:v>344.53272921032163</x:v>
      </x:c>
      <x:c r="V166" s="28" t="n">
        <x:f>U166*T166</x:f>
        <x:v>234867.10251332677</x:v>
      </x:c>
      <x:c r="W166" s="28" t="n">
        <x:f>U166*O166</x:f>
        <x:v>596020.1468001191</x:v>
      </x:c>
    </x:row>
    <x:row r="167" ht="19" customHeight="1">
      <x:c r="A167" s="2"/>
      <x:c r="B167" s="2"/>
      <x:c r="C167" s="46" t="n">
        <x:v>0</x:v>
      </x:c>
      <x:c r="D167" s="46" t="n">
        <x:v>17</x:v>
      </x:c>
      <x:c r="E167" s="46" t="n">
        <x:v>2</x:v>
      </x:c>
      <x:c r="F167" s="46" t="n">
        <x:v>5</x:v>
      </x:c>
      <x:c r="G167" s="12" t="n">
        <x:v>0.8888888888888888</x:v>
      </x:c>
      <x:c r="H167" s="12" t="n">
        <x:v>1</x:v>
      </x:c>
      <x:c r="I167" s="29" t="n">
        <x:f>'Assumptions'!$D$11+'Assumptions'!$D$12*(0.5-(G167+H167)/2)</x:f>
        <x:v>0.21111111111111108</x:v>
      </x:c>
      <x:c r="J167" s="27" t="n">
        <x:f>'Assumptions'!$D$8*EXP(-'Assumptions'!$D$9*('Fleet Engine'!E211-10))*'Assumptions'!E57*'Assumptions'!D36</x:f>
        <x:v>7414.018585605744</x:v>
      </x:c>
      <x:c r="K167" s="27" t="n">
        <x:f>'Source Data'!F222+LN('Assumptions'!D57)+LN('Assumptions'!D35)</x:f>
        <x:v>8.319557366061195</x:v>
      </x:c>
      <x:c r="L167" s="27" t="n">
        <x:f>J167*(1-I167*(1-'Carrier Engine'!E91))</x:f>
        <x:v>5911.444152256314</x:v>
      </x:c>
      <x:c r="M167" s="29" t="n">
        <x:f>NORM.S.DIST((LN(L167)-K167)/'Assumptions'!$D$10,TRUE)</x:f>
        <x:v>0.591928912547617</x:v>
      </x:c>
      <x:c r="N167" s="30" t="n">
        <x:f>MAX(0,H167-MAX(G167,M167))</x:f>
        <x:v>0.11111111111111116</x:v>
      </x:c>
      <x:c r="O167" s="28" t="n">
        <x:f>J167*I167</x:f>
        <x:v>1565.181701405657</x:v>
      </x:c>
      <x:c r="P167" s="27" t="n">
        <x:f>(VLOOKUP(O167,'Fee Data'!$C$6:$G$50,2,TRUE)+O167*VLOOKUP(O167,'Fee Data'!$C$6:$G$50,3,TRUE)+VLOOKUP(O167,'Fee Data'!$I$6:$J$14,2,TRUE)+'Fee Data'!$J$20+'Fee Data'!$J$21)*'Assumptions'!D37</x:f>
        <x:v>640</x:v>
      </x:c>
      <x:c r="Q167" s="27" t="n">
        <x:f>(VLOOKUP(O167,'Fee Data'!$C$6:$G$50,4,TRUE)+O167*VLOOKUP(O167,'Fee Data'!$C$6:$G$50,5,TRUE)+VLOOKUP(O167,'Fee Data'!$I$6:$J$14,2,TRUE)+'Fee Data'!$J$20+'Fee Data'!$J$21)*'Assumptions'!D37</x:f>
        <x:v>510</x:v>
      </x:c>
      <x:c r="R167" s="27" t="n">
        <x:f>P167*(1-'Assumptions'!$D$14)+Q167*'Assumptions'!$D$14</x:f>
        <x:v>575</x:v>
      </x:c>
      <x:c r="S167" s="27" t="n">
        <x:f>O167*'Carrier Engine'!E91</x:f>
        <x:v>62.60726805622625</x:v>
      </x:c>
      <x:c r="T167" s="28" t="n">
        <x:f>R167+S167</x:f>
        <x:v>637.6072680562263</x:v>
      </x:c>
      <x:c r="U167" s="27" t="n">
        <x:f>N167*'Fleet Engine'!F211</x:f>
        <x:v>344.532729210322</x:v>
      </x:c>
      <x:c r="V167" s="28" t="n">
        <x:f>U167*T167</x:f>
        <x:v>219676.57222774898</x:v>
      </x:c>
      <x:c r="W167" s="28" t="n">
        <x:f>U167*O167</x:f>
        <x:v>539256.3232953462</x:v>
      </x:c>
    </x:row>
    <x:row r="168" ht="19" customHeight="1">
      <x:c r="A168" s="2"/>
      <x:c r="B168" s="2"/>
      <x:c r="C168" s="46" t="n">
        <x:v>0</x:v>
      </x:c>
      <x:c r="D168" s="46" t="n">
        <x:v>18</x:v>
      </x:c>
      <x:c r="E168" s="46" t="n">
        <x:v>3</x:v>
      </x:c>
      <x:c r="F168" s="46" t="n">
        <x:v>0</x:v>
      </x:c>
      <x:c r="G168" s="12" t="n">
        <x:v>0</x:v>
      </x:c>
      <x:c r="H168" s="12" t="n">
        <x:v>0.1111111111111111</x:v>
      </x:c>
      <x:c r="I168" s="29" t="n">
        <x:f>'Assumptions'!$D$11+'Assumptions'!$D$12*(0.5-(G168+H168)/2)</x:f>
        <x:v>0.3888888888888889</x:v>
      </x:c>
      <x:c r="J168" s="27" t="n">
        <x:f>'Assumptions'!$D$8*EXP(-'Assumptions'!$D$9*('Fleet Engine'!E212-10))*'Assumptions'!E58*'Assumptions'!D36</x:f>
        <x:v>27182.818284590452</x:v>
      </x:c>
      <x:c r="K168" s="27" t="n">
        <x:f>'Source Data'!F217+LN('Assumptions'!D58)+LN('Assumptions'!D35)</x:f>
        <x:v>8.005343029779286</x:v>
      </x:c>
      <x:c r="L168" s="27" t="n">
        <x:f>J168*(1-I168*(1-'Carrier Engine'!E91))</x:f>
        <x:v>17034.566125010017</x:v>
      </x:c>
      <x:c r="M168" s="29" t="n">
        <x:f>NORM.S.DIST((LN(L168)-K168)/'Assumptions'!$D$10,TRUE)</x:f>
        <x:v>0.8657757644693824</x:v>
      </x:c>
      <x:c r="N168" s="30" t="n">
        <x:f>MAX(0,H168-MAX(G168,M168))</x:f>
        <x:v>0</x:v>
      </x:c>
      <x:c r="O168" s="28" t="n">
        <x:f>J168*I168</x:f>
        <x:v>10571.095999562955</x:v>
      </x:c>
      <x:c r="P168" s="27" t="n">
        <x:f>(VLOOKUP(O168,'Fee Data'!$C$6:$G$50,2,TRUE)+O168*VLOOKUP(O168,'Fee Data'!$C$6:$G$50,3,TRUE)+VLOOKUP(O168,'Fee Data'!$I$6:$J$14,2,TRUE)+'Fee Data'!$J$20+'Fee Data'!$J$21)*'Assumptions'!D37</x:f>
        <x:v>1250</x:v>
      </x:c>
      <x:c r="Q168" s="27" t="n">
        <x:f>(VLOOKUP(O168,'Fee Data'!$C$6:$G$50,4,TRUE)+O168*VLOOKUP(O168,'Fee Data'!$C$6:$G$50,5,TRUE)+VLOOKUP(O168,'Fee Data'!$I$6:$J$14,2,TRUE)+'Fee Data'!$J$20+'Fee Data'!$J$21)*'Assumptions'!D37</x:f>
        <x:v>1100</x:v>
      </x:c>
      <x:c r="R168" s="27" t="n">
        <x:f>P168*(1-'Assumptions'!$D$14)+Q168*'Assumptions'!$D$14</x:f>
        <x:v>1175</x:v>
      </x:c>
      <x:c r="S168" s="27" t="n">
        <x:f>O168*'Carrier Engine'!E91</x:f>
        <x:v>422.84383998251803</x:v>
      </x:c>
      <x:c r="T168" s="28" t="n">
        <x:f>R168+S168</x:f>
        <x:v>1597.8438399825181</x:v>
      </x:c>
      <x:c r="U168" s="27" t="n">
        <x:f>N168*'Fleet Engine'!F212</x:f>
        <x:v>0</x:v>
      </x:c>
      <x:c r="V168" s="28" t="n">
        <x:f>U168*T168</x:f>
        <x:v>0</x:v>
      </x:c>
      <x:c r="W168" s="28" t="n">
        <x:f>U168*O168</x:f>
        <x:v>0</x:v>
      </x:c>
    </x:row>
    <x:row r="169" ht="19" customHeight="1">
      <x:c r="A169" s="2"/>
      <x:c r="B169" s="2"/>
      <x:c r="C169" s="46" t="n">
        <x:v>0</x:v>
      </x:c>
      <x:c r="D169" s="46" t="n">
        <x:v>18</x:v>
      </x:c>
      <x:c r="E169" s="46" t="n">
        <x:v>3</x:v>
      </x:c>
      <x:c r="F169" s="46" t="n">
        <x:v>0</x:v>
      </x:c>
      <x:c r="G169" s="12" t="n">
        <x:v>0.1111111111111111</x:v>
      </x:c>
      <x:c r="H169" s="12" t="n">
        <x:v>0.2222222222222222</x:v>
      </x:c>
      <x:c r="I169" s="29" t="n">
        <x:f>'Assumptions'!$D$11+'Assumptions'!$D$12*(0.5-(G169+H169)/2)</x:f>
        <x:v>0.3666666666666667</x:v>
      </x:c>
      <x:c r="J169" s="27" t="n">
        <x:f>'Assumptions'!$D$8*EXP(-'Assumptions'!$D$9*('Fleet Engine'!E212-10))*'Assumptions'!E58*'Assumptions'!D36</x:f>
        <x:v>27182.818284590452</x:v>
      </x:c>
      <x:c r="K169" s="27" t="n">
        <x:f>'Source Data'!F217+LN('Assumptions'!D58)+LN('Assumptions'!D35)</x:f>
        <x:v>8.005343029779286</x:v>
      </x:c>
      <x:c r="L169" s="27" t="n">
        <x:f>J169*(1-I169*(1-'Carrier Engine'!E91))</x:f>
        <x:v>17614.46624841461</x:v>
      </x:c>
      <x:c r="M169" s="29" t="n">
        <x:f>NORM.S.DIST((LN(L169)-K169)/'Assumptions'!$D$10,TRUE)</x:f>
        <x:v>0.8703320319855985</x:v>
      </x:c>
      <x:c r="N169" s="30" t="n">
        <x:f>MAX(0,H169-MAX(G169,M169))</x:f>
        <x:v>0</x:v>
      </x:c>
      <x:c r="O169" s="28" t="n">
        <x:f>J169*I169</x:f>
        <x:v>9967.0333710165</x:v>
      </x:c>
      <x:c r="P169" s="27" t="n">
        <x:f>(VLOOKUP(O169,'Fee Data'!$C$6:$G$50,2,TRUE)+O169*VLOOKUP(O169,'Fee Data'!$C$6:$G$50,3,TRUE)+VLOOKUP(O169,'Fee Data'!$I$6:$J$14,2,TRUE)+'Fee Data'!$J$20+'Fee Data'!$J$21)*'Assumptions'!D37</x:f>
        <x:v>1195</x:v>
      </x:c>
      <x:c r="Q169" s="27" t="n">
        <x:f>(VLOOKUP(O169,'Fee Data'!$C$6:$G$50,4,TRUE)+O169*VLOOKUP(O169,'Fee Data'!$C$6:$G$50,5,TRUE)+VLOOKUP(O169,'Fee Data'!$I$6:$J$14,2,TRUE)+'Fee Data'!$J$20+'Fee Data'!$J$21)*'Assumptions'!D37</x:f>
        <x:v>1070</x:v>
      </x:c>
      <x:c r="R169" s="27" t="n">
        <x:f>P169*(1-'Assumptions'!$D$14)+Q169*'Assumptions'!$D$14</x:f>
        <x:v>1132.5</x:v>
      </x:c>
      <x:c r="S169" s="27" t="n">
        <x:f>O169*'Carrier Engine'!E91</x:f>
        <x:v>398.6813348406599</x:v>
      </x:c>
      <x:c r="T169" s="28" t="n">
        <x:f>R169+S169</x:f>
        <x:v>1531.18133484066</x:v>
      </x:c>
      <x:c r="U169" s="27" t="n">
        <x:f>N169*'Fleet Engine'!F212</x:f>
        <x:v>0</x:v>
      </x:c>
      <x:c r="V169" s="28" t="n">
        <x:f>U169*T169</x:f>
        <x:v>0</x:v>
      </x:c>
      <x:c r="W169" s="28" t="n">
        <x:f>U169*O169</x:f>
        <x:v>0</x:v>
      </x:c>
    </x:row>
    <x:row r="170" ht="19" customHeight="1">
      <x:c r="A170" s="2"/>
      <x:c r="B170" s="2"/>
      <x:c r="C170" s="46" t="n">
        <x:v>0</x:v>
      </x:c>
      <x:c r="D170" s="46" t="n">
        <x:v>18</x:v>
      </x:c>
      <x:c r="E170" s="46" t="n">
        <x:v>3</x:v>
      </x:c>
      <x:c r="F170" s="46" t="n">
        <x:v>0</x:v>
      </x:c>
      <x:c r="G170" s="12" t="n">
        <x:v>0.2222222222222222</x:v>
      </x:c>
      <x:c r="H170" s="12" t="n">
        <x:v>0.3333333333333333</x:v>
      </x:c>
      <x:c r="I170" s="29" t="n">
        <x:f>'Assumptions'!$D$11+'Assumptions'!$D$12*(0.5-(G170+H170)/2)</x:f>
        <x:v>0.34444444444444444</x:v>
      </x:c>
      <x:c r="J170" s="27" t="n">
        <x:f>'Assumptions'!$D$8*EXP(-'Assumptions'!$D$9*('Fleet Engine'!E212-10))*'Assumptions'!E58*'Assumptions'!D36</x:f>
        <x:v>27182.818284590452</x:v>
      </x:c>
      <x:c r="K170" s="27" t="n">
        <x:f>'Source Data'!F217+LN('Assumptions'!D58)+LN('Assumptions'!D35)</x:f>
        <x:v>8.005343029779286</x:v>
      </x:c>
      <x:c r="L170" s="27" t="n">
        <x:f>J170*(1-I170*(1-'Carrier Engine'!E91))</x:f>
        <x:v>18194.36637181921</x:v>
      </x:c>
      <x:c r="M170" s="29" t="n">
        <x:f>NORM.S.DIST((LN(L170)-K170)/'Assumptions'!$D$10,TRUE)</x:f>
        <x:v>0.874637643415871</x:v>
      </x:c>
      <x:c r="N170" s="30" t="n">
        <x:f>MAX(0,H170-MAX(G170,M170))</x:f>
        <x:v>0</x:v>
      </x:c>
      <x:c r="O170" s="28" t="n">
        <x:f>J170*I170</x:f>
        <x:v>9362.970742470045</x:v>
      </x:c>
      <x:c r="P170" s="27" t="n">
        <x:f>(VLOOKUP(O170,'Fee Data'!$C$6:$G$50,2,TRUE)+O170*VLOOKUP(O170,'Fee Data'!$C$6:$G$50,3,TRUE)+VLOOKUP(O170,'Fee Data'!$I$6:$J$14,2,TRUE)+'Fee Data'!$J$20+'Fee Data'!$J$21)*'Assumptions'!D37</x:f>
        <x:v>1195</x:v>
      </x:c>
      <x:c r="Q170" s="27" t="n">
        <x:f>(VLOOKUP(O170,'Fee Data'!$C$6:$G$50,4,TRUE)+O170*VLOOKUP(O170,'Fee Data'!$C$6:$G$50,5,TRUE)+VLOOKUP(O170,'Fee Data'!$I$6:$J$14,2,TRUE)+'Fee Data'!$J$20+'Fee Data'!$J$21)*'Assumptions'!D37</x:f>
        <x:v>1070</x:v>
      </x:c>
      <x:c r="R170" s="27" t="n">
        <x:f>P170*(1-'Assumptions'!$D$14)+Q170*'Assumptions'!$D$14</x:f>
        <x:v>1132.5</x:v>
      </x:c>
      <x:c r="S170" s="27" t="n">
        <x:f>O170*'Carrier Engine'!E91</x:f>
        <x:v>374.51882969880165</x:v>
      </x:c>
      <x:c r="T170" s="28" t="n">
        <x:f>R170+S170</x:f>
        <x:v>1507.0188296988017</x:v>
      </x:c>
      <x:c r="U170" s="27" t="n">
        <x:f>N170*'Fleet Engine'!F212</x:f>
        <x:v>0</x:v>
      </x:c>
      <x:c r="V170" s="28" t="n">
        <x:f>U170*T170</x:f>
        <x:v>0</x:v>
      </x:c>
      <x:c r="W170" s="28" t="n">
        <x:f>U170*O170</x:f>
        <x:v>0</x:v>
      </x:c>
    </x:row>
    <x:row r="171" ht="19" customHeight="1">
      <x:c r="A171" s="2"/>
      <x:c r="B171" s="2"/>
      <x:c r="C171" s="46" t="n">
        <x:v>0</x:v>
      </x:c>
      <x:c r="D171" s="46" t="n">
        <x:v>18</x:v>
      </x:c>
      <x:c r="E171" s="46" t="n">
        <x:v>3</x:v>
      </x:c>
      <x:c r="F171" s="46" t="n">
        <x:v>0</x:v>
      </x:c>
      <x:c r="G171" s="12" t="n">
        <x:v>0.3333333333333333</x:v>
      </x:c>
      <x:c r="H171" s="12" t="n">
        <x:v>0.4444444444444444</x:v>
      </x:c>
      <x:c r="I171" s="29" t="n">
        <x:f>'Assumptions'!$D$11+'Assumptions'!$D$12*(0.5-(G171+H171)/2)</x:f>
        <x:v>0.32222222222222224</x:v>
      </x:c>
      <x:c r="J171" s="27" t="n">
        <x:f>'Assumptions'!$D$8*EXP(-'Assumptions'!$D$9*('Fleet Engine'!E212-10))*'Assumptions'!E58*'Assumptions'!D36</x:f>
        <x:v>27182.818284590452</x:v>
      </x:c>
      <x:c r="K171" s="27" t="n">
        <x:f>'Source Data'!F217+LN('Assumptions'!D58)+LN('Assumptions'!D35)</x:f>
        <x:v>8.005343029779286</x:v>
      </x:c>
      <x:c r="L171" s="27" t="n">
        <x:f>J171*(1-I171*(1-'Carrier Engine'!E91))</x:f>
        <x:v>18774.266495223805</x:v>
      </x:c>
      <x:c r="M171" s="29" t="n">
        <x:f>NORM.S.DIST((LN(L171)-K171)/'Assumptions'!$D$10,TRUE)</x:f>
        <x:v>0.8787120289402852</x:v>
      </x:c>
      <x:c r="N171" s="30" t="n">
        <x:f>MAX(0,H171-MAX(G171,M171))</x:f>
        <x:v>0</x:v>
      </x:c>
      <x:c r="O171" s="28" t="n">
        <x:f>J171*I171</x:f>
        <x:v>8758.908113923591</x:v>
      </x:c>
      <x:c r="P171" s="27" t="n">
        <x:f>(VLOOKUP(O171,'Fee Data'!$C$6:$G$50,2,TRUE)+O171*VLOOKUP(O171,'Fee Data'!$C$6:$G$50,3,TRUE)+VLOOKUP(O171,'Fee Data'!$I$6:$J$14,2,TRUE)+'Fee Data'!$J$20+'Fee Data'!$J$21)*'Assumptions'!D37</x:f>
        <x:v>1195</x:v>
      </x:c>
      <x:c r="Q171" s="27" t="n">
        <x:f>(VLOOKUP(O171,'Fee Data'!$C$6:$G$50,4,TRUE)+O171*VLOOKUP(O171,'Fee Data'!$C$6:$G$50,5,TRUE)+VLOOKUP(O171,'Fee Data'!$I$6:$J$14,2,TRUE)+'Fee Data'!$J$20+'Fee Data'!$J$21)*'Assumptions'!D37</x:f>
        <x:v>1070</x:v>
      </x:c>
      <x:c r="R171" s="27" t="n">
        <x:f>P171*(1-'Assumptions'!$D$14)+Q171*'Assumptions'!$D$14</x:f>
        <x:v>1132.5</x:v>
      </x:c>
      <x:c r="S171" s="27" t="n">
        <x:f>O171*'Carrier Engine'!E91</x:f>
        <x:v>350.35632455694355</x:v>
      </x:c>
      <x:c r="T171" s="28" t="n">
        <x:f>R171+S171</x:f>
        <x:v>1482.8563245569435</x:v>
      </x:c>
      <x:c r="U171" s="27" t="n">
        <x:f>N171*'Fleet Engine'!F212</x:f>
        <x:v>0</x:v>
      </x:c>
      <x:c r="V171" s="28" t="n">
        <x:f>U171*T171</x:f>
        <x:v>0</x:v>
      </x:c>
      <x:c r="W171" s="28" t="n">
        <x:f>U171*O171</x:f>
        <x:v>0</x:v>
      </x:c>
    </x:row>
    <x:row r="172" ht="19" customHeight="1">
      <x:c r="A172" s="2"/>
      <x:c r="B172" s="2"/>
      <x:c r="C172" s="46" t="n">
        <x:v>0</x:v>
      </x:c>
      <x:c r="D172" s="46" t="n">
        <x:v>18</x:v>
      </x:c>
      <x:c r="E172" s="46" t="n">
        <x:v>3</x:v>
      </x:c>
      <x:c r="F172" s="46" t="n">
        <x:v>0</x:v>
      </x:c>
      <x:c r="G172" s="12" t="n">
        <x:v>0.4444444444444444</x:v>
      </x:c>
      <x:c r="H172" s="12" t="n">
        <x:v>0.5555555555555556</x:v>
      </x:c>
      <x:c r="I172" s="29" t="n">
        <x:f>'Assumptions'!$D$11+'Assumptions'!$D$12*(0.5-(G172+H172)/2)</x:f>
        <x:v>0.3</x:v>
      </x:c>
      <x:c r="J172" s="27" t="n">
        <x:f>'Assumptions'!$D$8*EXP(-'Assumptions'!$D$9*('Fleet Engine'!E212-10))*'Assumptions'!E58*'Assumptions'!D36</x:f>
        <x:v>27182.818284590452</x:v>
      </x:c>
      <x:c r="K172" s="27" t="n">
        <x:f>'Source Data'!F217+LN('Assumptions'!D58)+LN('Assumptions'!D35)</x:f>
        <x:v>8.005343029779286</x:v>
      </x:c>
      <x:c r="L172" s="27" t="n">
        <x:f>J172*(1-I172*(1-'Carrier Engine'!E91))</x:f>
        <x:v>19354.166618628402</x:v>
      </x:c>
      <x:c r="M172" s="29" t="n">
        <x:f>NORM.S.DIST((LN(L172)-K172)/'Assumptions'!$D$10,TRUE)</x:f>
        <x:v>0.882572669925294</x:v>
      </x:c>
      <x:c r="N172" s="30" t="n">
        <x:f>MAX(0,H172-MAX(G172,M172))</x:f>
        <x:v>0</x:v>
      </x:c>
      <x:c r="O172" s="28" t="n">
        <x:f>J172*I172</x:f>
        <x:v>8154.845485377135</x:v>
      </x:c>
      <x:c r="P172" s="27" t="n">
        <x:f>(VLOOKUP(O172,'Fee Data'!$C$6:$G$50,2,TRUE)+O172*VLOOKUP(O172,'Fee Data'!$C$6:$G$50,3,TRUE)+VLOOKUP(O172,'Fee Data'!$I$6:$J$14,2,TRUE)+'Fee Data'!$J$20+'Fee Data'!$J$21)*'Assumptions'!D37</x:f>
        <x:v>1175</x:v>
      </x:c>
      <x:c r="Q172" s="27" t="n">
        <x:f>(VLOOKUP(O172,'Fee Data'!$C$6:$G$50,4,TRUE)+O172*VLOOKUP(O172,'Fee Data'!$C$6:$G$50,5,TRUE)+VLOOKUP(O172,'Fee Data'!$I$6:$J$14,2,TRUE)+'Fee Data'!$J$20+'Fee Data'!$J$21)*'Assumptions'!D37</x:f>
        <x:v>1050</x:v>
      </x:c>
      <x:c r="R172" s="27" t="n">
        <x:f>P172*(1-'Assumptions'!$D$14)+Q172*'Assumptions'!$D$14</x:f>
        <x:v>1112.5</x:v>
      </x:c>
      <x:c r="S172" s="27" t="n">
        <x:f>O172*'Carrier Engine'!E91</x:f>
        <x:v>326.19381941508533</x:v>
      </x:c>
      <x:c r="T172" s="28" t="n">
        <x:f>R172+S172</x:f>
        <x:v>1438.6938194150853</x:v>
      </x:c>
      <x:c r="U172" s="27" t="n">
        <x:f>N172*'Fleet Engine'!F212</x:f>
        <x:v>0</x:v>
      </x:c>
      <x:c r="V172" s="28" t="n">
        <x:f>U172*T172</x:f>
        <x:v>0</x:v>
      </x:c>
      <x:c r="W172" s="28" t="n">
        <x:f>U172*O172</x:f>
        <x:v>0</x:v>
      </x:c>
    </x:row>
    <x:row r="173" ht="19" customHeight="1">
      <x:c r="A173" s="2"/>
      <x:c r="B173" s="2"/>
      <x:c r="C173" s="46" t="n">
        <x:v>0</x:v>
      </x:c>
      <x:c r="D173" s="46" t="n">
        <x:v>18</x:v>
      </x:c>
      <x:c r="E173" s="46" t="n">
        <x:v>3</x:v>
      </x:c>
      <x:c r="F173" s="46" t="n">
        <x:v>0</x:v>
      </x:c>
      <x:c r="G173" s="12" t="n">
        <x:v>0.5555555555555556</x:v>
      </x:c>
      <x:c r="H173" s="12" t="n">
        <x:v>0.6666666666666666</x:v>
      </x:c>
      <x:c r="I173" s="29" t="n">
        <x:f>'Assumptions'!$D$11+'Assumptions'!$D$12*(0.5-(G173+H173)/2)</x:f>
        <x:v>0.27777777777777773</x:v>
      </x:c>
      <x:c r="J173" s="27" t="n">
        <x:f>'Assumptions'!$D$8*EXP(-'Assumptions'!$D$9*('Fleet Engine'!E212-10))*'Assumptions'!E58*'Assumptions'!D36</x:f>
        <x:v>27182.818284590452</x:v>
      </x:c>
      <x:c r="K173" s="27" t="n">
        <x:f>'Source Data'!F217+LN('Assumptions'!D58)+LN('Assumptions'!D35)</x:f>
        <x:v>8.005343029779286</x:v>
      </x:c>
      <x:c r="L173" s="27" t="n">
        <x:f>J173*(1-I173*(1-'Carrier Engine'!E91))</x:f>
        <x:v>19934.066742033</x:v>
      </x:c>
      <x:c r="M173" s="29" t="n">
        <x:f>NORM.S.DIST((LN(L173)-K173)/'Assumptions'!$D$10,TRUE)</x:f>
        <x:v>0.8862353381924654</x:v>
      </x:c>
      <x:c r="N173" s="30" t="n">
        <x:f>MAX(0,H173-MAX(G173,M173))</x:f>
        <x:v>0</x:v>
      </x:c>
      <x:c r="O173" s="28" t="n">
        <x:f>J173*I173</x:f>
        <x:v>7550.7828568306795</x:v>
      </x:c>
      <x:c r="P173" s="27" t="n">
        <x:f>(VLOOKUP(O173,'Fee Data'!$C$6:$G$50,2,TRUE)+O173*VLOOKUP(O173,'Fee Data'!$C$6:$G$50,3,TRUE)+VLOOKUP(O173,'Fee Data'!$I$6:$J$14,2,TRUE)+'Fee Data'!$J$20+'Fee Data'!$J$21)*'Assumptions'!D37</x:f>
        <x:v>1135</x:v>
      </x:c>
      <x:c r="Q173" s="27" t="n">
        <x:f>(VLOOKUP(O173,'Fee Data'!$C$6:$G$50,4,TRUE)+O173*VLOOKUP(O173,'Fee Data'!$C$6:$G$50,5,TRUE)+VLOOKUP(O173,'Fee Data'!$I$6:$J$14,2,TRUE)+'Fee Data'!$J$20+'Fee Data'!$J$21)*'Assumptions'!D37</x:f>
        <x:v>1010</x:v>
      </x:c>
      <x:c r="R173" s="27" t="n">
        <x:f>P173*(1-'Assumptions'!$D$14)+Q173*'Assumptions'!$D$14</x:f>
        <x:v>1072.5</x:v>
      </x:c>
      <x:c r="S173" s="27" t="n">
        <x:f>O173*'Carrier Engine'!E91</x:f>
        <x:v>302.0313142732271</x:v>
      </x:c>
      <x:c r="T173" s="28" t="n">
        <x:f>R173+S173</x:f>
        <x:v>1374.531314273227</x:v>
      </x:c>
      <x:c r="U173" s="27" t="n">
        <x:f>N173*'Fleet Engine'!F212</x:f>
        <x:v>0</x:v>
      </x:c>
      <x:c r="V173" s="28" t="n">
        <x:f>U173*T173</x:f>
        <x:v>0</x:v>
      </x:c>
      <x:c r="W173" s="28" t="n">
        <x:f>U173*O173</x:f>
        <x:v>0</x:v>
      </x:c>
    </x:row>
    <x:row r="174" ht="19" customHeight="1">
      <x:c r="A174" s="2"/>
      <x:c r="B174" s="2"/>
      <x:c r="C174" s="46" t="n">
        <x:v>0</x:v>
      </x:c>
      <x:c r="D174" s="46" t="n">
        <x:v>18</x:v>
      </x:c>
      <x:c r="E174" s="46" t="n">
        <x:v>3</x:v>
      </x:c>
      <x:c r="F174" s="46" t="n">
        <x:v>0</x:v>
      </x:c>
      <x:c r="G174" s="12" t="n">
        <x:v>0.6666666666666666</x:v>
      </x:c>
      <x:c r="H174" s="12" t="n">
        <x:v>0.7777777777777778</x:v>
      </x:c>
      <x:c r="I174" s="29" t="n">
        <x:f>'Assumptions'!$D$11+'Assumptions'!$D$12*(0.5-(G174+H174)/2)</x:f>
        <x:v>0.25555555555555554</x:v>
      </x:c>
      <x:c r="J174" s="27" t="n">
        <x:f>'Assumptions'!$D$8*EXP(-'Assumptions'!$D$9*('Fleet Engine'!E212-10))*'Assumptions'!E58*'Assumptions'!D36</x:f>
        <x:v>27182.818284590452</x:v>
      </x:c>
      <x:c r="K174" s="27" t="n">
        <x:f>'Source Data'!F217+LN('Assumptions'!D58)+LN('Assumptions'!D35)</x:f>
        <x:v>8.005343029779286</x:v>
      </x:c>
      <x:c r="L174" s="27" t="n">
        <x:f>J174*(1-I174*(1-'Carrier Engine'!E91))</x:f>
        <x:v>20513.966865437596</x:v>
      </x:c>
      <x:c r="M174" s="29" t="n">
        <x:f>NORM.S.DIST((LN(L174)-K174)/'Assumptions'!$D$10,TRUE)</x:f>
        <x:v>0.8897143006733278</x:v>
      </x:c>
      <x:c r="N174" s="30" t="n">
        <x:f>MAX(0,H174-MAX(G174,M174))</x:f>
        <x:v>0</x:v>
      </x:c>
      <x:c r="O174" s="28" t="n">
        <x:f>J174*I174</x:f>
        <x:v>6946.720228284226</x:v>
      </x:c>
      <x:c r="P174" s="27" t="n">
        <x:f>(VLOOKUP(O174,'Fee Data'!$C$6:$G$50,2,TRUE)+O174*VLOOKUP(O174,'Fee Data'!$C$6:$G$50,3,TRUE)+VLOOKUP(O174,'Fee Data'!$I$6:$J$14,2,TRUE)+'Fee Data'!$J$20+'Fee Data'!$J$21)*'Assumptions'!D37</x:f>
        <x:v>1080</x:v>
      </x:c>
      <x:c r="Q174" s="27" t="n">
        <x:f>(VLOOKUP(O174,'Fee Data'!$C$6:$G$50,4,TRUE)+O174*VLOOKUP(O174,'Fee Data'!$C$6:$G$50,5,TRUE)+VLOOKUP(O174,'Fee Data'!$I$6:$J$14,2,TRUE)+'Fee Data'!$J$20+'Fee Data'!$J$21)*'Assumptions'!D37</x:f>
        <x:v>955</x:v>
      </x:c>
      <x:c r="R174" s="27" t="n">
        <x:f>P174*(1-'Assumptions'!$D$14)+Q174*'Assumptions'!$D$14</x:f>
        <x:v>1017.5</x:v>
      </x:c>
      <x:c r="S174" s="27" t="n">
        <x:f>O174*'Carrier Engine'!E91</x:f>
        <x:v>277.86880913136895</x:v>
      </x:c>
      <x:c r="T174" s="28" t="n">
        <x:f>R174+S174</x:f>
        <x:v>1295.3688091313688</x:v>
      </x:c>
      <x:c r="U174" s="27" t="n">
        <x:f>N174*'Fleet Engine'!F212</x:f>
        <x:v>0</x:v>
      </x:c>
      <x:c r="V174" s="28" t="n">
        <x:f>U174*T174</x:f>
        <x:v>0</x:v>
      </x:c>
      <x:c r="W174" s="28" t="n">
        <x:f>U174*O174</x:f>
        <x:v>0</x:v>
      </x:c>
    </x:row>
    <x:row r="175" ht="19" customHeight="1">
      <x:c r="A175" s="2"/>
      <x:c r="B175" s="2"/>
      <x:c r="C175" s="46" t="n">
        <x:v>0</x:v>
      </x:c>
      <x:c r="D175" s="46" t="n">
        <x:v>18</x:v>
      </x:c>
      <x:c r="E175" s="46" t="n">
        <x:v>3</x:v>
      </x:c>
      <x:c r="F175" s="46" t="n">
        <x:v>0</x:v>
      </x:c>
      <x:c r="G175" s="12" t="n">
        <x:v>0.7777777777777778</x:v>
      </x:c>
      <x:c r="H175" s="12" t="n">
        <x:v>0.8888888888888888</x:v>
      </x:c>
      <x:c r="I175" s="29" t="n">
        <x:f>'Assumptions'!$D$11+'Assumptions'!$D$12*(0.5-(G175+H175)/2)</x:f>
        <x:v>0.23333333333333334</x:v>
      </x:c>
      <x:c r="J175" s="27" t="n">
        <x:f>'Assumptions'!$D$8*EXP(-'Assumptions'!$D$9*('Fleet Engine'!E212-10))*'Assumptions'!E58*'Assumptions'!D36</x:f>
        <x:v>27182.818284590452</x:v>
      </x:c>
      <x:c r="K175" s="27" t="n">
        <x:f>'Source Data'!F217+LN('Assumptions'!D58)+LN('Assumptions'!D35)</x:f>
        <x:v>8.005343029779286</x:v>
      </x:c>
      <x:c r="L175" s="27" t="n">
        <x:f>J175*(1-I175*(1-'Carrier Engine'!E91))</x:f>
        <x:v>21093.86698884219</x:v>
      </x:c>
      <x:c r="M175" s="29" t="n">
        <x:f>NORM.S.DIST((LN(L175)-K175)/'Assumptions'!$D$10,TRUE)</x:f>
        <x:v>0.8930224951902263</x:v>
      </x:c>
      <x:c r="N175" s="30" t="n">
        <x:f>MAX(0,H175-MAX(G175,M175))</x:f>
        <x:v>0</x:v>
      </x:c>
      <x:c r="O175" s="28" t="n">
        <x:f>J175*I175</x:f>
        <x:v>6342.657599737772</x:v>
      </x:c>
      <x:c r="P175" s="27" t="n">
        <x:f>(VLOOKUP(O175,'Fee Data'!$C$6:$G$50,2,TRUE)+O175*VLOOKUP(O175,'Fee Data'!$C$6:$G$50,3,TRUE)+VLOOKUP(O175,'Fee Data'!$I$6:$J$14,2,TRUE)+'Fee Data'!$J$20+'Fee Data'!$J$21)*'Assumptions'!D37</x:f>
        <x:v>1060</x:v>
      </x:c>
      <x:c r="Q175" s="27" t="n">
        <x:f>(VLOOKUP(O175,'Fee Data'!$C$6:$G$50,4,TRUE)+O175*VLOOKUP(O175,'Fee Data'!$C$6:$G$50,5,TRUE)+VLOOKUP(O175,'Fee Data'!$I$6:$J$14,2,TRUE)+'Fee Data'!$J$20+'Fee Data'!$J$21)*'Assumptions'!D37</x:f>
        <x:v>935</x:v>
      </x:c>
      <x:c r="R175" s="27" t="n">
        <x:f>P175*(1-'Assumptions'!$D$14)+Q175*'Assumptions'!$D$14</x:f>
        <x:v>997.5</x:v>
      </x:c>
      <x:c r="S175" s="27" t="n">
        <x:f>O175*'Carrier Engine'!E91</x:f>
        <x:v>253.70630398951081</x:v>
      </x:c>
      <x:c r="T175" s="28" t="n">
        <x:f>R175+S175</x:f>
        <x:v>1251.2063039895108</x:v>
      </x:c>
      <x:c r="U175" s="27" t="n">
        <x:f>N175*'Fleet Engine'!F212</x:f>
        <x:v>0</x:v>
      </x:c>
      <x:c r="V175" s="28" t="n">
        <x:f>U175*T175</x:f>
        <x:v>0</x:v>
      </x:c>
      <x:c r="W175" s="28" t="n">
        <x:f>U175*O175</x:f>
        <x:v>0</x:v>
      </x:c>
    </x:row>
    <x:row r="176" ht="19" customHeight="1">
      <x:c r="A176" s="2"/>
      <x:c r="B176" s="2"/>
      <x:c r="C176" s="46" t="n">
        <x:v>0</x:v>
      </x:c>
      <x:c r="D176" s="46" t="n">
        <x:v>18</x:v>
      </x:c>
      <x:c r="E176" s="46" t="n">
        <x:v>3</x:v>
      </x:c>
      <x:c r="F176" s="46" t="n">
        <x:v>0</x:v>
      </x:c>
      <x:c r="G176" s="12" t="n">
        <x:v>0.8888888888888888</x:v>
      </x:c>
      <x:c r="H176" s="12" t="n">
        <x:v>1</x:v>
      </x:c>
      <x:c r="I176" s="29" t="n">
        <x:f>'Assumptions'!$D$11+'Assumptions'!$D$12*(0.5-(G176+H176)/2)</x:f>
        <x:v>0.21111111111111108</x:v>
      </x:c>
      <x:c r="J176" s="27" t="n">
        <x:f>'Assumptions'!$D$8*EXP(-'Assumptions'!$D$9*('Fleet Engine'!E212-10))*'Assumptions'!E58*'Assumptions'!D36</x:f>
        <x:v>27182.818284590452</x:v>
      </x:c>
      <x:c r="K176" s="27" t="n">
        <x:f>'Source Data'!F217+LN('Assumptions'!D58)+LN('Assumptions'!D35)</x:f>
        <x:v>8.005343029779286</x:v>
      </x:c>
      <x:c r="L176" s="27" t="n">
        <x:f>J176*(1-I176*(1-'Carrier Engine'!E91))</x:f>
        <x:v>21673.767112246787</x:v>
      </x:c>
      <x:c r="M176" s="29" t="n">
        <x:f>NORM.S.DIST((LN(L176)-K176)/'Assumptions'!$D$10,TRUE)</x:f>
        <x:v>0.8961716820343077</x:v>
      </x:c>
      <x:c r="N176" s="30" t="n">
        <x:f>MAX(0,H176-MAX(G176,M176))</x:f>
        <x:v>0.10382831796569225</x:v>
      </x:c>
      <x:c r="O176" s="28" t="n">
        <x:f>J176*I176</x:f>
        <x:v>5738.594971191317</x:v>
      </x:c>
      <x:c r="P176" s="27" t="n">
        <x:f>(VLOOKUP(O176,'Fee Data'!$C$6:$G$50,2,TRUE)+O176*VLOOKUP(O176,'Fee Data'!$C$6:$G$50,3,TRUE)+VLOOKUP(O176,'Fee Data'!$I$6:$J$14,2,TRUE)+'Fee Data'!$J$20+'Fee Data'!$J$21)*'Assumptions'!D37</x:f>
        <x:v>1020</x:v>
      </x:c>
      <x:c r="Q176" s="27" t="n">
        <x:f>(VLOOKUP(O176,'Fee Data'!$C$6:$G$50,4,TRUE)+O176*VLOOKUP(O176,'Fee Data'!$C$6:$G$50,5,TRUE)+VLOOKUP(O176,'Fee Data'!$I$6:$J$14,2,TRUE)+'Fee Data'!$J$20+'Fee Data'!$J$21)*'Assumptions'!D37</x:f>
        <x:v>895</x:v>
      </x:c>
      <x:c r="R176" s="27" t="n">
        <x:f>P176*(1-'Assumptions'!$D$14)+Q176*'Assumptions'!$D$14</x:f>
        <x:v>957.5</x:v>
      </x:c>
      <x:c r="S176" s="27" t="n">
        <x:f>O176*'Carrier Engine'!E91</x:f>
        <x:v>229.54379884765262</x:v>
      </x:c>
      <x:c r="T176" s="28" t="n">
        <x:f>R176+S176</x:f>
        <x:v>1187.0437988476526</x:v>
      </x:c>
      <x:c r="U176" s="27" t="n">
        <x:f>N176*'Fleet Engine'!F212</x:f>
        <x:v>55.732050277125396</x:v>
      </x:c>
      <x:c r="V176" s="28" t="n">
        <x:f>U176*T176</x:f>
        <x:v>66156.3846785273</x:v>
      </x:c>
      <x:c r="W176" s="28" t="n">
        <x:f>U176*O176</x:f>
        <x:v>319823.66345449345</x:v>
      </x:c>
    </x:row>
    <x:row r="177" ht="19" customHeight="1">
      <x:c r="A177" s="2"/>
      <x:c r="B177" s="2"/>
      <x:c r="C177" s="46" t="n">
        <x:v>0</x:v>
      </x:c>
      <x:c r="D177" s="46" t="n">
        <x:v>19</x:v>
      </x:c>
      <x:c r="E177" s="46" t="n">
        <x:v>3</x:v>
      </x:c>
      <x:c r="F177" s="46" t="n">
        <x:v>1</x:v>
      </x:c>
      <x:c r="G177" s="12" t="n">
        <x:v>0</x:v>
      </x:c>
      <x:c r="H177" s="12" t="n">
        <x:v>0.1111111111111111</x:v>
      </x:c>
      <x:c r="I177" s="29" t="n">
        <x:f>'Assumptions'!$D$11+'Assumptions'!$D$12*(0.5-(G177+H177)/2)</x:f>
        <x:v>0.3888888888888889</x:v>
      </x:c>
      <x:c r="J177" s="27" t="n">
        <x:f>'Assumptions'!$D$8*EXP(-'Assumptions'!$D$9*('Fleet Engine'!E213-10))*'Assumptions'!E58*'Assumptions'!D36</x:f>
        <x:v>22255.409284924677</x:v>
      </x:c>
      <x:c r="K177" s="27" t="n">
        <x:f>'Source Data'!F218+LN('Assumptions'!D58)+LN('Assumptions'!D35)</x:f>
        <x:v>7.890902228235048</x:v>
      </x:c>
      <x:c r="L177" s="27" t="n">
        <x:f>J177*(1-I177*(1-'Carrier Engine'!E91))</x:f>
        <x:v>13946.723151886132</x:v>
      </x:c>
      <x:c r="M177" s="29" t="n">
        <x:f>NORM.S.DIST((LN(L177)-K177)/'Assumptions'!$D$10,TRUE)</x:f>
        <x:v>0.8536354275611799</x:v>
      </x:c>
      <x:c r="N177" s="30" t="n">
        <x:f>MAX(0,H177-MAX(G177,M177))</x:f>
        <x:v>0</x:v>
      </x:c>
      <x:c r="O177" s="28" t="n">
        <x:f>J177*I177</x:f>
        <x:v>8654.88138858182</x:v>
      </x:c>
      <x:c r="P177" s="27" t="n">
        <x:f>(VLOOKUP(O177,'Fee Data'!$C$6:$G$50,2,TRUE)+O177*VLOOKUP(O177,'Fee Data'!$C$6:$G$50,3,TRUE)+VLOOKUP(O177,'Fee Data'!$I$6:$J$14,2,TRUE)+'Fee Data'!$J$20+'Fee Data'!$J$21)*'Assumptions'!D37</x:f>
        <x:v>1195</x:v>
      </x:c>
      <x:c r="Q177" s="27" t="n">
        <x:f>(VLOOKUP(O177,'Fee Data'!$C$6:$G$50,4,TRUE)+O177*VLOOKUP(O177,'Fee Data'!$C$6:$G$50,5,TRUE)+VLOOKUP(O177,'Fee Data'!$I$6:$J$14,2,TRUE)+'Fee Data'!$J$20+'Fee Data'!$J$21)*'Assumptions'!D37</x:f>
        <x:v>1070</x:v>
      </x:c>
      <x:c r="R177" s="27" t="n">
        <x:f>P177*(1-'Assumptions'!$D$14)+Q177*'Assumptions'!$D$14</x:f>
        <x:v>1132.5</x:v>
      </x:c>
      <x:c r="S177" s="27" t="n">
        <x:f>O177*'Carrier Engine'!E91</x:f>
        <x:v>346.1952555432727</x:v>
      </x:c>
      <x:c r="T177" s="28" t="n">
        <x:f>R177+S177</x:f>
        <x:v>1478.6952555432727</x:v>
      </x:c>
      <x:c r="U177" s="27" t="n">
        <x:f>N177*'Fleet Engine'!F213</x:f>
        <x:v>0</x:v>
      </x:c>
      <x:c r="V177" s="28" t="n">
        <x:f>U177*T177</x:f>
        <x:v>0</x:v>
      </x:c>
      <x:c r="W177" s="28" t="n">
        <x:f>U177*O177</x:f>
        <x:v>0</x:v>
      </x:c>
    </x:row>
    <x:row r="178" ht="19" customHeight="1">
      <x:c r="A178" s="2"/>
      <x:c r="B178" s="2"/>
      <x:c r="C178" s="46" t="n">
        <x:v>0</x:v>
      </x:c>
      <x:c r="D178" s="46" t="n">
        <x:v>19</x:v>
      </x:c>
      <x:c r="E178" s="46" t="n">
        <x:v>3</x:v>
      </x:c>
      <x:c r="F178" s="46" t="n">
        <x:v>1</x:v>
      </x:c>
      <x:c r="G178" s="12" t="n">
        <x:v>0.1111111111111111</x:v>
      </x:c>
      <x:c r="H178" s="12" t="n">
        <x:v>0.2222222222222222</x:v>
      </x:c>
      <x:c r="I178" s="29" t="n">
        <x:f>'Assumptions'!$D$11+'Assumptions'!$D$12*(0.5-(G178+H178)/2)</x:f>
        <x:v>0.3666666666666667</x:v>
      </x:c>
      <x:c r="J178" s="27" t="n">
        <x:f>'Assumptions'!$D$8*EXP(-'Assumptions'!$D$9*('Fleet Engine'!E213-10))*'Assumptions'!E58*'Assumptions'!D36</x:f>
        <x:v>22255.409284924677</x:v>
      </x:c>
      <x:c r="K178" s="27" t="n">
        <x:f>'Source Data'!F218+LN('Assumptions'!D58)+LN('Assumptions'!D35)</x:f>
        <x:v>7.890902228235048</x:v>
      </x:c>
      <x:c r="L178" s="27" t="n">
        <x:f>J178*(1-I178*(1-'Carrier Engine'!E91))</x:f>
        <x:v>14421.505216631189</x:v>
      </x:c>
      <x:c r="M178" s="29" t="n">
        <x:f>NORM.S.DIST((LN(L178)-K178)/'Assumptions'!$D$10,TRUE)</x:f>
        <x:v>0.858470508362788</x:v>
      </x:c>
      <x:c r="N178" s="30" t="n">
        <x:f>MAX(0,H178-MAX(G178,M178))</x:f>
        <x:v>0</x:v>
      </x:c>
      <x:c r="O178" s="28" t="n">
        <x:f>J178*I178</x:f>
        <x:v>8160.316737805716</x:v>
      </x:c>
      <x:c r="P178" s="27" t="n">
        <x:f>(VLOOKUP(O178,'Fee Data'!$C$6:$G$50,2,TRUE)+O178*VLOOKUP(O178,'Fee Data'!$C$6:$G$50,3,TRUE)+VLOOKUP(O178,'Fee Data'!$I$6:$J$14,2,TRUE)+'Fee Data'!$J$20+'Fee Data'!$J$21)*'Assumptions'!D37</x:f>
        <x:v>1175</x:v>
      </x:c>
      <x:c r="Q178" s="27" t="n">
        <x:f>(VLOOKUP(O178,'Fee Data'!$C$6:$G$50,4,TRUE)+O178*VLOOKUP(O178,'Fee Data'!$C$6:$G$50,5,TRUE)+VLOOKUP(O178,'Fee Data'!$I$6:$J$14,2,TRUE)+'Fee Data'!$J$20+'Fee Data'!$J$21)*'Assumptions'!D37</x:f>
        <x:v>1050</x:v>
      </x:c>
      <x:c r="R178" s="27" t="n">
        <x:f>P178*(1-'Assumptions'!$D$14)+Q178*'Assumptions'!$D$14</x:f>
        <x:v>1112.5</x:v>
      </x:c>
      <x:c r="S178" s="27" t="n">
        <x:f>O178*'Carrier Engine'!E91</x:f>
        <x:v>326.41266951222855</x:v>
      </x:c>
      <x:c r="T178" s="28" t="n">
        <x:f>R178+S178</x:f>
        <x:v>1438.9126695122286</x:v>
      </x:c>
      <x:c r="U178" s="27" t="n">
        <x:f>N178*'Fleet Engine'!F213</x:f>
        <x:v>0</x:v>
      </x:c>
      <x:c r="V178" s="28" t="n">
        <x:f>U178*T178</x:f>
        <x:v>0</x:v>
      </x:c>
      <x:c r="W178" s="28" t="n">
        <x:f>U178*O178</x:f>
        <x:v>0</x:v>
      </x:c>
    </x:row>
    <x:row r="179" ht="19" customHeight="1">
      <x:c r="A179" s="2"/>
      <x:c r="B179" s="2"/>
      <x:c r="C179" s="46" t="n">
        <x:v>0</x:v>
      </x:c>
      <x:c r="D179" s="46" t="n">
        <x:v>19</x:v>
      </x:c>
      <x:c r="E179" s="46" t="n">
        <x:v>3</x:v>
      </x:c>
      <x:c r="F179" s="46" t="n">
        <x:v>1</x:v>
      </x:c>
      <x:c r="G179" s="12" t="n">
        <x:v>0.2222222222222222</x:v>
      </x:c>
      <x:c r="H179" s="12" t="n">
        <x:v>0.3333333333333333</x:v>
      </x:c>
      <x:c r="I179" s="29" t="n">
        <x:f>'Assumptions'!$D$11+'Assumptions'!$D$12*(0.5-(G179+H179)/2)</x:f>
        <x:v>0.34444444444444444</x:v>
      </x:c>
      <x:c r="J179" s="27" t="n">
        <x:f>'Assumptions'!$D$8*EXP(-'Assumptions'!$D$9*('Fleet Engine'!E213-10))*'Assumptions'!E58*'Assumptions'!D36</x:f>
        <x:v>22255.409284924677</x:v>
      </x:c>
      <x:c r="K179" s="27" t="n">
        <x:f>'Source Data'!F218+LN('Assumptions'!D58)+LN('Assumptions'!D35)</x:f>
        <x:v>7.890902228235048</x:v>
      </x:c>
      <x:c r="L179" s="27" t="n">
        <x:f>J179*(1-I179*(1-'Carrier Engine'!E91))</x:f>
        <x:v>14896.287281376251</x:v>
      </x:c>
      <x:c r="M179" s="29" t="n">
        <x:f>NORM.S.DIST((LN(L179)-K179)/'Assumptions'!$D$10,TRUE)</x:f>
        <x:v>0.8630448198872039</x:v>
      </x:c>
      <x:c r="N179" s="30" t="n">
        <x:f>MAX(0,H179-MAX(G179,M179))</x:f>
        <x:v>0</x:v>
      </x:c>
      <x:c r="O179" s="28" t="n">
        <x:f>J179*I179</x:f>
        <x:v>7665.752087029611</x:v>
      </x:c>
      <x:c r="P179" s="27" t="n">
        <x:f>(VLOOKUP(O179,'Fee Data'!$C$6:$G$50,2,TRUE)+O179*VLOOKUP(O179,'Fee Data'!$C$6:$G$50,3,TRUE)+VLOOKUP(O179,'Fee Data'!$I$6:$J$14,2,TRUE)+'Fee Data'!$J$20+'Fee Data'!$J$21)*'Assumptions'!D37</x:f>
        <x:v>1135</x:v>
      </x:c>
      <x:c r="Q179" s="27" t="n">
        <x:f>(VLOOKUP(O179,'Fee Data'!$C$6:$G$50,4,TRUE)+O179*VLOOKUP(O179,'Fee Data'!$C$6:$G$50,5,TRUE)+VLOOKUP(O179,'Fee Data'!$I$6:$J$14,2,TRUE)+'Fee Data'!$J$20+'Fee Data'!$J$21)*'Assumptions'!D37</x:f>
        <x:v>1010</x:v>
      </x:c>
      <x:c r="R179" s="27" t="n">
        <x:f>P179*(1-'Assumptions'!$D$14)+Q179*'Assumptions'!$D$14</x:f>
        <x:v>1072.5</x:v>
      </x:c>
      <x:c r="S179" s="27" t="n">
        <x:f>O179*'Carrier Engine'!E91</x:f>
        <x:v>306.63008348118433</x:v>
      </x:c>
      <x:c r="T179" s="28" t="n">
        <x:f>R179+S179</x:f>
        <x:v>1379.1300834811843</x:v>
      </x:c>
      <x:c r="U179" s="27" t="n">
        <x:f>N179*'Fleet Engine'!F213</x:f>
        <x:v>0</x:v>
      </x:c>
      <x:c r="V179" s="28" t="n">
        <x:f>U179*T179</x:f>
        <x:v>0</x:v>
      </x:c>
      <x:c r="W179" s="28" t="n">
        <x:f>U179*O179</x:f>
        <x:v>0</x:v>
      </x:c>
    </x:row>
    <x:row r="180" ht="19" customHeight="1">
      <x:c r="A180" s="2"/>
      <x:c r="B180" s="2"/>
      <x:c r="C180" s="46" t="n">
        <x:v>0</x:v>
      </x:c>
      <x:c r="D180" s="46" t="n">
        <x:v>19</x:v>
      </x:c>
      <x:c r="E180" s="46" t="n">
        <x:v>3</x:v>
      </x:c>
      <x:c r="F180" s="46" t="n">
        <x:v>1</x:v>
      </x:c>
      <x:c r="G180" s="12" t="n">
        <x:v>0.3333333333333333</x:v>
      </x:c>
      <x:c r="H180" s="12" t="n">
        <x:v>0.4444444444444444</x:v>
      </x:c>
      <x:c r="I180" s="29" t="n">
        <x:f>'Assumptions'!$D$11+'Assumptions'!$D$12*(0.5-(G180+H180)/2)</x:f>
        <x:v>0.32222222222222224</x:v>
      </x:c>
      <x:c r="J180" s="27" t="n">
        <x:f>'Assumptions'!$D$8*EXP(-'Assumptions'!$D$9*('Fleet Engine'!E213-10))*'Assumptions'!E58*'Assumptions'!D36</x:f>
        <x:v>22255.409284924677</x:v>
      </x:c>
      <x:c r="K180" s="27" t="n">
        <x:f>'Source Data'!F218+LN('Assumptions'!D58)+LN('Assumptions'!D35)</x:f>
        <x:v>7.890902228235048</x:v>
      </x:c>
      <x:c r="L180" s="27" t="n">
        <x:f>J180*(1-I180*(1-'Carrier Engine'!E91))</x:f>
        <x:v>15371.06934612131</x:v>
      </x:c>
      <x:c r="M180" s="29" t="n">
        <x:f>NORM.S.DIST((LN(L180)-K180)/'Assumptions'!$D$10,TRUE)</x:f>
        <x:v>0.8673782677431042</x:v>
      </x:c>
      <x:c r="N180" s="30" t="n">
        <x:f>MAX(0,H180-MAX(G180,M180))</x:f>
        <x:v>0</x:v>
      </x:c>
      <x:c r="O180" s="28" t="n">
        <x:f>J180*I180</x:f>
        <x:v>7171.187436253507</x:v>
      </x:c>
      <x:c r="P180" s="27" t="n">
        <x:f>(VLOOKUP(O180,'Fee Data'!$C$6:$G$50,2,TRUE)+O180*VLOOKUP(O180,'Fee Data'!$C$6:$G$50,3,TRUE)+VLOOKUP(O180,'Fee Data'!$I$6:$J$14,2,TRUE)+'Fee Data'!$J$20+'Fee Data'!$J$21)*'Assumptions'!D37</x:f>
        <x:v>1115</x:v>
      </x:c>
      <x:c r="Q180" s="27" t="n">
        <x:f>(VLOOKUP(O180,'Fee Data'!$C$6:$G$50,4,TRUE)+O180*VLOOKUP(O180,'Fee Data'!$C$6:$G$50,5,TRUE)+VLOOKUP(O180,'Fee Data'!$I$6:$J$14,2,TRUE)+'Fee Data'!$J$20+'Fee Data'!$J$21)*'Assumptions'!D37</x:f>
        <x:v>990</x:v>
      </x:c>
      <x:c r="R180" s="27" t="n">
        <x:f>P180*(1-'Assumptions'!$D$14)+Q180*'Assumptions'!$D$14</x:f>
        <x:v>1052.5</x:v>
      </x:c>
      <x:c r="S180" s="27" t="n">
        <x:f>O180*'Carrier Engine'!E91</x:f>
        <x:v>286.8474974501402</x:v>
      </x:c>
      <x:c r="T180" s="28" t="n">
        <x:f>R180+S180</x:f>
        <x:v>1339.3474974501403</x:v>
      </x:c>
      <x:c r="U180" s="27" t="n">
        <x:f>N180*'Fleet Engine'!F213</x:f>
        <x:v>0</x:v>
      </x:c>
      <x:c r="V180" s="28" t="n">
        <x:f>U180*T180</x:f>
        <x:v>0</x:v>
      </x:c>
      <x:c r="W180" s="28" t="n">
        <x:f>U180*O180</x:f>
        <x:v>0</x:v>
      </x:c>
    </x:row>
    <x:row r="181" ht="19" customHeight="1">
      <x:c r="A181" s="2"/>
      <x:c r="B181" s="2"/>
      <x:c r="C181" s="46" t="n">
        <x:v>0</x:v>
      </x:c>
      <x:c r="D181" s="46" t="n">
        <x:v>19</x:v>
      </x:c>
      <x:c r="E181" s="46" t="n">
        <x:v>3</x:v>
      </x:c>
      <x:c r="F181" s="46" t="n">
        <x:v>1</x:v>
      </x:c>
      <x:c r="G181" s="12" t="n">
        <x:v>0.4444444444444444</x:v>
      </x:c>
      <x:c r="H181" s="12" t="n">
        <x:v>0.5555555555555556</x:v>
      </x:c>
      <x:c r="I181" s="29" t="n">
        <x:f>'Assumptions'!$D$11+'Assumptions'!$D$12*(0.5-(G181+H181)/2)</x:f>
        <x:v>0.3</x:v>
      </x:c>
      <x:c r="J181" s="27" t="n">
        <x:f>'Assumptions'!$D$8*EXP(-'Assumptions'!$D$9*('Fleet Engine'!E213-10))*'Assumptions'!E58*'Assumptions'!D36</x:f>
        <x:v>22255.409284924677</x:v>
      </x:c>
      <x:c r="K181" s="27" t="n">
        <x:f>'Source Data'!F218+LN('Assumptions'!D58)+LN('Assumptions'!D35)</x:f>
        <x:v>7.890902228235048</x:v>
      </x:c>
      <x:c r="L181" s="27" t="n">
        <x:f>J181*(1-I181*(1-'Carrier Engine'!E91))</x:f>
        <x:v>15845.85141086637</x:v>
      </x:c>
      <x:c r="M181" s="29" t="n">
        <x:f>NORM.S.DIST((LN(L181)-K181)/'Assumptions'!$D$10,TRUE)</x:f>
        <x:v>0.8714887858690716</x:v>
      </x:c>
      <x:c r="N181" s="30" t="n">
        <x:f>MAX(0,H181-MAX(G181,M181))</x:f>
        <x:v>0</x:v>
      </x:c>
      <x:c r="O181" s="28" t="n">
        <x:f>J181*I181</x:f>
        <x:v>6676.622785477403</x:v>
      </x:c>
      <x:c r="P181" s="27" t="n">
        <x:f>(VLOOKUP(O181,'Fee Data'!$C$6:$G$50,2,TRUE)+O181*VLOOKUP(O181,'Fee Data'!$C$6:$G$50,3,TRUE)+VLOOKUP(O181,'Fee Data'!$I$6:$J$14,2,TRUE)+'Fee Data'!$J$20+'Fee Data'!$J$21)*'Assumptions'!D37</x:f>
        <x:v>1080</x:v>
      </x:c>
      <x:c r="Q181" s="27" t="n">
        <x:f>(VLOOKUP(O181,'Fee Data'!$C$6:$G$50,4,TRUE)+O181*VLOOKUP(O181,'Fee Data'!$C$6:$G$50,5,TRUE)+VLOOKUP(O181,'Fee Data'!$I$6:$J$14,2,TRUE)+'Fee Data'!$J$20+'Fee Data'!$J$21)*'Assumptions'!D37</x:f>
        <x:v>955</x:v>
      </x:c>
      <x:c r="R181" s="27" t="n">
        <x:f>P181*(1-'Assumptions'!$D$14)+Q181*'Assumptions'!$D$14</x:f>
        <x:v>1017.5</x:v>
      </x:c>
      <x:c r="S181" s="27" t="n">
        <x:f>O181*'Carrier Engine'!E91</x:f>
        <x:v>267.06491141909606</x:v>
      </x:c>
      <x:c r="T181" s="28" t="n">
        <x:f>R181+S181</x:f>
        <x:v>1284.564911419096</x:v>
      </x:c>
      <x:c r="U181" s="27" t="n">
        <x:f>N181*'Fleet Engine'!F213</x:f>
        <x:v>0</x:v>
      </x:c>
      <x:c r="V181" s="28" t="n">
        <x:f>U181*T181</x:f>
        <x:v>0</x:v>
      </x:c>
      <x:c r="W181" s="28" t="n">
        <x:f>U181*O181</x:f>
        <x:v>0</x:v>
      </x:c>
    </x:row>
    <x:row r="182" ht="19" customHeight="1">
      <x:c r="A182" s="2"/>
      <x:c r="B182" s="2"/>
      <x:c r="C182" s="46" t="n">
        <x:v>0</x:v>
      </x:c>
      <x:c r="D182" s="46" t="n">
        <x:v>19</x:v>
      </x:c>
      <x:c r="E182" s="46" t="n">
        <x:v>3</x:v>
      </x:c>
      <x:c r="F182" s="46" t="n">
        <x:v>1</x:v>
      </x:c>
      <x:c r="G182" s="12" t="n">
        <x:v>0.5555555555555556</x:v>
      </x:c>
      <x:c r="H182" s="12" t="n">
        <x:v>0.6666666666666666</x:v>
      </x:c>
      <x:c r="I182" s="29" t="n">
        <x:f>'Assumptions'!$D$11+'Assumptions'!$D$12*(0.5-(G182+H182)/2)</x:f>
        <x:v>0.27777777777777773</x:v>
      </x:c>
      <x:c r="J182" s="27" t="n">
        <x:f>'Assumptions'!$D$8*EXP(-'Assumptions'!$D$9*('Fleet Engine'!E213-10))*'Assumptions'!E58*'Assumptions'!D36</x:f>
        <x:v>22255.409284924677</x:v>
      </x:c>
      <x:c r="K182" s="27" t="n">
        <x:f>'Source Data'!F218+LN('Assumptions'!D58)+LN('Assumptions'!D35)</x:f>
        <x:v>7.890902228235048</x:v>
      </x:c>
      <x:c r="L182" s="27" t="n">
        <x:f>J182*(1-I182*(1-'Carrier Engine'!E91))</x:f>
        <x:v>16320.633475611432</x:v>
      </x:c>
      <x:c r="M182" s="29" t="n">
        <x:f>NORM.S.DIST((LN(L182)-K182)/'Assumptions'!$D$10,TRUE)</x:f>
        <x:v>0.875392576065582</x:v>
      </x:c>
      <x:c r="N182" s="30" t="n">
        <x:f>MAX(0,H182-MAX(G182,M182))</x:f>
        <x:v>0</x:v>
      </x:c>
      <x:c r="O182" s="28" t="n">
        <x:f>J182*I182</x:f>
        <x:v>6182.0581347012985</x:v>
      </x:c>
      <x:c r="P182" s="27" t="n">
        <x:f>(VLOOKUP(O182,'Fee Data'!$C$6:$G$50,2,TRUE)+O182*VLOOKUP(O182,'Fee Data'!$C$6:$G$50,3,TRUE)+VLOOKUP(O182,'Fee Data'!$I$6:$J$14,2,TRUE)+'Fee Data'!$J$20+'Fee Data'!$J$21)*'Assumptions'!D37</x:f>
        <x:v>1060</x:v>
      </x:c>
      <x:c r="Q182" s="27" t="n">
        <x:f>(VLOOKUP(O182,'Fee Data'!$C$6:$G$50,4,TRUE)+O182*VLOOKUP(O182,'Fee Data'!$C$6:$G$50,5,TRUE)+VLOOKUP(O182,'Fee Data'!$I$6:$J$14,2,TRUE)+'Fee Data'!$J$20+'Fee Data'!$J$21)*'Assumptions'!D37</x:f>
        <x:v>935</x:v>
      </x:c>
      <x:c r="R182" s="27" t="n">
        <x:f>P182*(1-'Assumptions'!$D$14)+Q182*'Assumptions'!$D$14</x:f>
        <x:v>997.5</x:v>
      </x:c>
      <x:c r="S182" s="27" t="n">
        <x:f>O182*'Carrier Engine'!E91</x:f>
        <x:v>247.28232538805187</x:v>
      </x:c>
      <x:c r="T182" s="28" t="n">
        <x:f>R182+S182</x:f>
        <x:v>1244.782325388052</x:v>
      </x:c>
      <x:c r="U182" s="27" t="n">
        <x:f>N182*'Fleet Engine'!F213</x:f>
        <x:v>0</x:v>
      </x:c>
      <x:c r="V182" s="28" t="n">
        <x:f>U182*T182</x:f>
        <x:v>0</x:v>
      </x:c>
      <x:c r="W182" s="28" t="n">
        <x:f>U182*O182</x:f>
        <x:v>0</x:v>
      </x:c>
    </x:row>
    <x:row r="183" ht="19" customHeight="1">
      <x:c r="A183" s="2"/>
      <x:c r="B183" s="2"/>
      <x:c r="C183" s="46" t="n">
        <x:v>0</x:v>
      </x:c>
      <x:c r="D183" s="46" t="n">
        <x:v>19</x:v>
      </x:c>
      <x:c r="E183" s="46" t="n">
        <x:v>3</x:v>
      </x:c>
      <x:c r="F183" s="46" t="n">
        <x:v>1</x:v>
      </x:c>
      <x:c r="G183" s="12" t="n">
        <x:v>0.6666666666666666</x:v>
      </x:c>
      <x:c r="H183" s="12" t="n">
        <x:v>0.7777777777777778</x:v>
      </x:c>
      <x:c r="I183" s="29" t="n">
        <x:f>'Assumptions'!$D$11+'Assumptions'!$D$12*(0.5-(G183+H183)/2)</x:f>
        <x:v>0.25555555555555554</x:v>
      </x:c>
      <x:c r="J183" s="27" t="n">
        <x:f>'Assumptions'!$D$8*EXP(-'Assumptions'!$D$9*('Fleet Engine'!E213-10))*'Assumptions'!E58*'Assumptions'!D36</x:f>
        <x:v>22255.409284924677</x:v>
      </x:c>
      <x:c r="K183" s="27" t="n">
        <x:f>'Source Data'!F218+LN('Assumptions'!D58)+LN('Assumptions'!D35)</x:f>
        <x:v>7.890902228235048</x:v>
      </x:c>
      <x:c r="L183" s="27" t="n">
        <x:f>J183*(1-I183*(1-'Carrier Engine'!E91))</x:f>
        <x:v>16795.41554035649</x:v>
      </x:c>
      <x:c r="M183" s="29" t="n">
        <x:f>NORM.S.DIST((LN(L183)-K183)/'Assumptions'!$D$10,TRUE)</x:f>
        <x:v>0.879104313191051</x:v>
      </x:c>
      <x:c r="N183" s="30" t="n">
        <x:f>MAX(0,H183-MAX(G183,M183))</x:f>
        <x:v>0</x:v>
      </x:c>
      <x:c r="O183" s="28" t="n">
        <x:f>J183*I183</x:f>
        <x:v>5687.493483925195</x:v>
      </x:c>
      <x:c r="P183" s="27" t="n">
        <x:f>(VLOOKUP(O183,'Fee Data'!$C$6:$G$50,2,TRUE)+O183*VLOOKUP(O183,'Fee Data'!$C$6:$G$50,3,TRUE)+VLOOKUP(O183,'Fee Data'!$I$6:$J$14,2,TRUE)+'Fee Data'!$J$20+'Fee Data'!$J$21)*'Assumptions'!D37</x:f>
        <x:v>1020</x:v>
      </x:c>
      <x:c r="Q183" s="27" t="n">
        <x:f>(VLOOKUP(O183,'Fee Data'!$C$6:$G$50,4,TRUE)+O183*VLOOKUP(O183,'Fee Data'!$C$6:$G$50,5,TRUE)+VLOOKUP(O183,'Fee Data'!$I$6:$J$14,2,TRUE)+'Fee Data'!$J$20+'Fee Data'!$J$21)*'Assumptions'!D37</x:f>
        <x:v>895</x:v>
      </x:c>
      <x:c r="R183" s="27" t="n">
        <x:f>P183*(1-'Assumptions'!$D$14)+Q183*'Assumptions'!$D$14</x:f>
        <x:v>957.5</x:v>
      </x:c>
      <x:c r="S183" s="27" t="n">
        <x:f>O183*'Carrier Engine'!E91</x:f>
        <x:v>227.4997393570077</x:v>
      </x:c>
      <x:c r="T183" s="28" t="n">
        <x:f>R183+S183</x:f>
        <x:v>1184.9997393570077</x:v>
      </x:c>
      <x:c r="U183" s="27" t="n">
        <x:f>N183*'Fleet Engine'!F213</x:f>
        <x:v>0</x:v>
      </x:c>
      <x:c r="V183" s="28" t="n">
        <x:f>U183*T183</x:f>
        <x:v>0</x:v>
      </x:c>
      <x:c r="W183" s="28" t="n">
        <x:f>U183*O183</x:f>
        <x:v>0</x:v>
      </x:c>
    </x:row>
    <x:row r="184" ht="19" customHeight="1">
      <x:c r="A184" s="2"/>
      <x:c r="B184" s="2"/>
      <x:c r="C184" s="46" t="n">
        <x:v>0</x:v>
      </x:c>
      <x:c r="D184" s="46" t="n">
        <x:v>19</x:v>
      </x:c>
      <x:c r="E184" s="46" t="n">
        <x:v>3</x:v>
      </x:c>
      <x:c r="F184" s="46" t="n">
        <x:v>1</x:v>
      </x:c>
      <x:c r="G184" s="12" t="n">
        <x:v>0.7777777777777778</x:v>
      </x:c>
      <x:c r="H184" s="12" t="n">
        <x:v>0.8888888888888888</x:v>
      </x:c>
      <x:c r="I184" s="29" t="n">
        <x:f>'Assumptions'!$D$11+'Assumptions'!$D$12*(0.5-(G184+H184)/2)</x:f>
        <x:v>0.23333333333333334</x:v>
      </x:c>
      <x:c r="J184" s="27" t="n">
        <x:f>'Assumptions'!$D$8*EXP(-'Assumptions'!$D$9*('Fleet Engine'!E213-10))*'Assumptions'!E58*'Assumptions'!D36</x:f>
        <x:v>22255.409284924677</x:v>
      </x:c>
      <x:c r="K184" s="27" t="n">
        <x:f>'Source Data'!F218+LN('Assumptions'!D58)+LN('Assumptions'!D35)</x:f>
        <x:v>7.890902228235048</x:v>
      </x:c>
      <x:c r="L184" s="27" t="n">
        <x:f>J184*(1-I184*(1-'Carrier Engine'!E91))</x:f>
        <x:v>17270.19760510155</x:v>
      </x:c>
      <x:c r="M184" s="29" t="n">
        <x:f>NORM.S.DIST((LN(L184)-K184)/'Assumptions'!$D$10,TRUE)</x:f>
        <x:v>0.8826373216697017</x:v>
      </x:c>
      <x:c r="N184" s="30" t="n">
        <x:f>MAX(0,H184-MAX(G184,M184))</x:f>
        <x:v>0.006251567219187182</x:v>
      </x:c>
      <x:c r="O184" s="28" t="n">
        <x:f>J184*I184</x:f>
        <x:v>5192.928833149092</x:v>
      </x:c>
      <x:c r="P184" s="27" t="n">
        <x:f>(VLOOKUP(O184,'Fee Data'!$C$6:$G$50,2,TRUE)+O184*VLOOKUP(O184,'Fee Data'!$C$6:$G$50,3,TRUE)+VLOOKUP(O184,'Fee Data'!$I$6:$J$14,2,TRUE)+'Fee Data'!$J$20+'Fee Data'!$J$21)*'Assumptions'!D37</x:f>
        <x:v>995</x:v>
      </x:c>
      <x:c r="Q184" s="27" t="n">
        <x:f>(VLOOKUP(O184,'Fee Data'!$C$6:$G$50,4,TRUE)+O184*VLOOKUP(O184,'Fee Data'!$C$6:$G$50,5,TRUE)+VLOOKUP(O184,'Fee Data'!$I$6:$J$14,2,TRUE)+'Fee Data'!$J$20+'Fee Data'!$J$21)*'Assumptions'!D37</x:f>
        <x:v>870</x:v>
      </x:c>
      <x:c r="R184" s="27" t="n">
        <x:f>P184*(1-'Assumptions'!$D$14)+Q184*'Assumptions'!$D$14</x:f>
        <x:v>932.5</x:v>
      </x:c>
      <x:c r="S184" s="27" t="n">
        <x:f>O184*'Carrier Engine'!E91</x:f>
        <x:v>207.7171533259636</x:v>
      </x:c>
      <x:c r="T184" s="28" t="n">
        <x:f>R184+S184</x:f>
        <x:v>1140.2171533259636</x:v>
      </x:c>
      <x:c r="U184" s="27" t="n">
        <x:f>N184*'Fleet Engine'!F213</x:f>
        <x:v>17.71590826136612</x:v>
      </x:c>
      <x:c r="V184" s="28" t="n">
        <x:f>U184*T184</x:f>
        <x:v>20199.9824863588</x:v>
      </x:c>
      <x:c r="W184" s="28" t="n">
        <x:f>U184*O184</x:f>
        <x:v>91997.45081587232</x:v>
      </x:c>
    </x:row>
    <x:row r="185" ht="19" customHeight="1">
      <x:c r="A185" s="2"/>
      <x:c r="B185" s="2"/>
      <x:c r="C185" s="46" t="n">
        <x:v>0</x:v>
      </x:c>
      <x:c r="D185" s="46" t="n">
        <x:v>19</x:v>
      </x:c>
      <x:c r="E185" s="46" t="n">
        <x:v>3</x:v>
      </x:c>
      <x:c r="F185" s="46" t="n">
        <x:v>1</x:v>
      </x:c>
      <x:c r="G185" s="12" t="n">
        <x:v>0.8888888888888888</x:v>
      </x:c>
      <x:c r="H185" s="12" t="n">
        <x:v>1</x:v>
      </x:c>
      <x:c r="I185" s="29" t="n">
        <x:f>'Assumptions'!$D$11+'Assumptions'!$D$12*(0.5-(G185+H185)/2)</x:f>
        <x:v>0.21111111111111108</x:v>
      </x:c>
      <x:c r="J185" s="27" t="n">
        <x:f>'Assumptions'!$D$8*EXP(-'Assumptions'!$D$9*('Fleet Engine'!E213-10))*'Assumptions'!E58*'Assumptions'!D36</x:f>
        <x:v>22255.409284924677</x:v>
      </x:c>
      <x:c r="K185" s="27" t="n">
        <x:f>'Source Data'!F218+LN('Assumptions'!D58)+LN('Assumptions'!D35)</x:f>
        <x:v>7.890902228235048</x:v>
      </x:c>
      <x:c r="L185" s="27" t="n">
        <x:f>J185*(1-I185*(1-'Carrier Engine'!E91))</x:f>
        <x:v>17744.97966984661</x:v>
      </x:c>
      <x:c r="M185" s="29" t="n">
        <x:f>NORM.S.DIST((LN(L185)-K185)/'Assumptions'!$D$10,TRUE)</x:f>
        <x:v>0.8860037279150648</x:v>
      </x:c>
      <x:c r="N185" s="30" t="n">
        <x:f>MAX(0,H185-MAX(G185,M185))</x:f>
        <x:v>0.11111111111111116</x:v>
      </x:c>
      <x:c r="O185" s="28" t="n">
        <x:f>J185*I185</x:f>
        <x:v>4698.364182372987</x:v>
      </x:c>
      <x:c r="P185" s="27" t="n">
        <x:f>(VLOOKUP(O185,'Fee Data'!$C$6:$G$50,2,TRUE)+O185*VLOOKUP(O185,'Fee Data'!$C$6:$G$50,3,TRUE)+VLOOKUP(O185,'Fee Data'!$I$6:$J$14,2,TRUE)+'Fee Data'!$J$20+'Fee Data'!$J$21)*'Assumptions'!D37</x:f>
        <x:v>970</x:v>
      </x:c>
      <x:c r="Q185" s="27" t="n">
        <x:f>(VLOOKUP(O185,'Fee Data'!$C$6:$G$50,4,TRUE)+O185*VLOOKUP(O185,'Fee Data'!$C$6:$G$50,5,TRUE)+VLOOKUP(O185,'Fee Data'!$I$6:$J$14,2,TRUE)+'Fee Data'!$J$20+'Fee Data'!$J$21)*'Assumptions'!D37</x:f>
        <x:v>845</x:v>
      </x:c>
      <x:c r="R185" s="27" t="n">
        <x:f>P185*(1-'Assumptions'!$D$14)+Q185*'Assumptions'!$D$14</x:f>
        <x:v>907.5</x:v>
      </x:c>
      <x:c r="S185" s="27" t="n">
        <x:f>O185*'Carrier Engine'!E91</x:f>
        <x:v>187.93456729491942</x:v>
      </x:c>
      <x:c r="T185" s="28" t="n">
        <x:f>R185+S185</x:f>
        <x:v>1095.4345672949194</x:v>
      </x:c>
      <x:c r="U185" s="27" t="n">
        <x:f>N185*'Fleet Engine'!F213</x:f>
        <x:v>314.870524821588</x:v>
      </x:c>
      <x:c r="V185" s="28" t="n">
        <x:f>U185*T185</x:f>
        <x:v>344920.0571118604</x:v>
      </x:c>
      <x:c r="W185" s="28" t="n">
        <x:f>U185*O185</x:f>
        <x:v>1479376.3959067336</x:v>
      </x:c>
    </x:row>
    <x:row r="186" ht="19" customHeight="1">
      <x:c r="A186" s="2"/>
      <x:c r="B186" s="2"/>
      <x:c r="C186" s="46" t="n">
        <x:v>0</x:v>
      </x:c>
      <x:c r="D186" s="46" t="n">
        <x:v>20</x:v>
      </x:c>
      <x:c r="E186" s="46" t="n">
        <x:v>3</x:v>
      </x:c>
      <x:c r="F186" s="46" t="n">
        <x:v>2</x:v>
      </x:c>
      <x:c r="G186" s="12" t="n">
        <x:v>0</x:v>
      </x:c>
      <x:c r="H186" s="12" t="n">
        <x:v>0.1111111111111111</x:v>
      </x:c>
      <x:c r="I186" s="29" t="n">
        <x:f>'Assumptions'!$D$11+'Assumptions'!$D$12*(0.5-(G186+H186)/2)</x:f>
        <x:v>0.3888888888888889</x:v>
      </x:c>
      <x:c r="J186" s="27" t="n">
        <x:f>'Assumptions'!$D$8*EXP(-'Assumptions'!$D$9*('Fleet Engine'!E214-10))*'Assumptions'!E58*'Assumptions'!D36</x:f>
        <x:v>16487.212707001283</x:v>
      </x:c>
      <x:c r="K186" s="27" t="n">
        <x:f>'Source Data'!F219+LN('Assumptions'!D58)+LN('Assumptions'!D35)</x:f>
        <x:v>7.936584069520856</x:v>
      </x:c>
      <x:c r="L186" s="27" t="n">
        <x:f>J186*(1-I186*(1-'Carrier Engine'!E91))</x:f>
        <x:v>10331.986629720805</x:v>
      </x:c>
      <x:c r="M186" s="29" t="n">
        <x:f>NORM.S.DIST((LN(L186)-K186)/'Assumptions'!$D$10,TRUE)</x:f>
        <x:v>0.7972963261215247</x:v>
      </x:c>
      <x:c r="N186" s="30" t="n">
        <x:f>MAX(0,H186-MAX(G186,M186))</x:f>
        <x:v>0</x:v>
      </x:c>
      <x:c r="O186" s="28" t="n">
        <x:f>J186*I186</x:f>
        <x:v>6411.693830500499</x:v>
      </x:c>
      <x:c r="P186" s="27" t="n">
        <x:f>(VLOOKUP(O186,'Fee Data'!$C$6:$G$50,2,TRUE)+O186*VLOOKUP(O186,'Fee Data'!$C$6:$G$50,3,TRUE)+VLOOKUP(O186,'Fee Data'!$I$6:$J$14,2,TRUE)+'Fee Data'!$J$20+'Fee Data'!$J$21)*'Assumptions'!D37</x:f>
        <x:v>1060</x:v>
      </x:c>
      <x:c r="Q186" s="27" t="n">
        <x:f>(VLOOKUP(O186,'Fee Data'!$C$6:$G$50,4,TRUE)+O186*VLOOKUP(O186,'Fee Data'!$C$6:$G$50,5,TRUE)+VLOOKUP(O186,'Fee Data'!$I$6:$J$14,2,TRUE)+'Fee Data'!$J$20+'Fee Data'!$J$21)*'Assumptions'!D37</x:f>
        <x:v>935</x:v>
      </x:c>
      <x:c r="R186" s="27" t="n">
        <x:f>P186*(1-'Assumptions'!$D$14)+Q186*'Assumptions'!$D$14</x:f>
        <x:v>997.5</x:v>
      </x:c>
      <x:c r="S186" s="27" t="n">
        <x:f>O186*'Carrier Engine'!E91</x:f>
        <x:v>256.46775322001986</x:v>
      </x:c>
      <x:c r="T186" s="28" t="n">
        <x:f>R186+S186</x:f>
        <x:v>1253.9677532200199</x:v>
      </x:c>
      <x:c r="U186" s="27" t="n">
        <x:f>N186*'Fleet Engine'!F214</x:f>
        <x:v>0</x:v>
      </x:c>
      <x:c r="V186" s="28" t="n">
        <x:f>U186*T186</x:f>
        <x:v>0</x:v>
      </x:c>
      <x:c r="W186" s="28" t="n">
        <x:f>U186*O186</x:f>
        <x:v>0</x:v>
      </x:c>
    </x:row>
    <x:row r="187" ht="19" customHeight="1">
      <x:c r="A187" s="2"/>
      <x:c r="B187" s="2"/>
      <x:c r="C187" s="46" t="n">
        <x:v>0</x:v>
      </x:c>
      <x:c r="D187" s="46" t="n">
        <x:v>20</x:v>
      </x:c>
      <x:c r="E187" s="46" t="n">
        <x:v>3</x:v>
      </x:c>
      <x:c r="F187" s="46" t="n">
        <x:v>2</x:v>
      </x:c>
      <x:c r="G187" s="12" t="n">
        <x:v>0.1111111111111111</x:v>
      </x:c>
      <x:c r="H187" s="12" t="n">
        <x:v>0.2222222222222222</x:v>
      </x:c>
      <x:c r="I187" s="29" t="n">
        <x:f>'Assumptions'!$D$11+'Assumptions'!$D$12*(0.5-(G187+H187)/2)</x:f>
        <x:v>0.3666666666666667</x:v>
      </x:c>
      <x:c r="J187" s="27" t="n">
        <x:f>'Assumptions'!$D$8*EXP(-'Assumptions'!$D$9*('Fleet Engine'!E214-10))*'Assumptions'!E58*'Assumptions'!D36</x:f>
        <x:v>16487.212707001283</x:v>
      </x:c>
      <x:c r="K187" s="27" t="n">
        <x:f>'Source Data'!F219+LN('Assumptions'!D58)+LN('Assumptions'!D35)</x:f>
        <x:v>7.936584069520856</x:v>
      </x:c>
      <x:c r="L187" s="27" t="n">
        <x:f>J187*(1-I187*(1-'Carrier Engine'!E91))</x:f>
        <x:v>10683.71383413683</x:v>
      </x:c>
      <x:c r="M187" s="29" t="n">
        <x:f>NORM.S.DIST((LN(L187)-K187)/'Assumptions'!$D$10,TRUE)</x:f>
        <x:v>0.8032596960589325</x:v>
      </x:c>
      <x:c r="N187" s="30" t="n">
        <x:f>MAX(0,H187-MAX(G187,M187))</x:f>
        <x:v>0</x:v>
      </x:c>
      <x:c r="O187" s="28" t="n">
        <x:f>J187*I187</x:f>
        <x:v>6045.311325900471</x:v>
      </x:c>
      <x:c r="P187" s="27" t="n">
        <x:f>(VLOOKUP(O187,'Fee Data'!$C$6:$G$50,2,TRUE)+O187*VLOOKUP(O187,'Fee Data'!$C$6:$G$50,3,TRUE)+VLOOKUP(O187,'Fee Data'!$I$6:$J$14,2,TRUE)+'Fee Data'!$J$20+'Fee Data'!$J$21)*'Assumptions'!D37</x:f>
        <x:v>1060</x:v>
      </x:c>
      <x:c r="Q187" s="27" t="n">
        <x:f>(VLOOKUP(O187,'Fee Data'!$C$6:$G$50,4,TRUE)+O187*VLOOKUP(O187,'Fee Data'!$C$6:$G$50,5,TRUE)+VLOOKUP(O187,'Fee Data'!$I$6:$J$14,2,TRUE)+'Fee Data'!$J$20+'Fee Data'!$J$21)*'Assumptions'!D37</x:f>
        <x:v>935</x:v>
      </x:c>
      <x:c r="R187" s="27" t="n">
        <x:f>P187*(1-'Assumptions'!$D$14)+Q187*'Assumptions'!$D$14</x:f>
        <x:v>997.5</x:v>
      </x:c>
      <x:c r="S187" s="27" t="n">
        <x:f>O187*'Carrier Engine'!E91</x:f>
        <x:v>241.81245303601878</x:v>
      </x:c>
      <x:c r="T187" s="28" t="n">
        <x:f>R187+S187</x:f>
        <x:v>1239.3124530360187</x:v>
      </x:c>
      <x:c r="U187" s="27" t="n">
        <x:f>N187*'Fleet Engine'!F214</x:f>
        <x:v>0</x:v>
      </x:c>
      <x:c r="V187" s="28" t="n">
        <x:f>U187*T187</x:f>
        <x:v>0</x:v>
      </x:c>
      <x:c r="W187" s="28" t="n">
        <x:f>U187*O187</x:f>
        <x:v>0</x:v>
      </x:c>
    </x:row>
    <x:row r="188" ht="19" customHeight="1">
      <x:c r="A188" s="2"/>
      <x:c r="B188" s="2"/>
      <x:c r="C188" s="46" t="n">
        <x:v>0</x:v>
      </x:c>
      <x:c r="D188" s="46" t="n">
        <x:v>20</x:v>
      </x:c>
      <x:c r="E188" s="46" t="n">
        <x:v>3</x:v>
      </x:c>
      <x:c r="F188" s="46" t="n">
        <x:v>2</x:v>
      </x:c>
      <x:c r="G188" s="12" t="n">
        <x:v>0.2222222222222222</x:v>
      </x:c>
      <x:c r="H188" s="12" t="n">
        <x:v>0.3333333333333333</x:v>
      </x:c>
      <x:c r="I188" s="29" t="n">
        <x:f>'Assumptions'!$D$11+'Assumptions'!$D$12*(0.5-(G188+H188)/2)</x:f>
        <x:v>0.34444444444444444</x:v>
      </x:c>
      <x:c r="J188" s="27" t="n">
        <x:f>'Assumptions'!$D$8*EXP(-'Assumptions'!$D$9*('Fleet Engine'!E214-10))*'Assumptions'!E58*'Assumptions'!D36</x:f>
        <x:v>16487.212707001283</x:v>
      </x:c>
      <x:c r="K188" s="27" t="n">
        <x:f>'Source Data'!F219+LN('Assumptions'!D58)+LN('Assumptions'!D35)</x:f>
        <x:v>7.936584069520856</x:v>
      </x:c>
      <x:c r="L188" s="27" t="n">
        <x:f>J188*(1-I188*(1-'Carrier Engine'!E91))</x:f>
        <x:v>11035.441038552859</x:v>
      </x:c>
      <x:c r="M188" s="29" t="n">
        <x:f>NORM.S.DIST((LN(L188)-K188)/'Assumptions'!$D$10,TRUE)</x:f>
        <x:v>0.8089275577472801</x:v>
      </x:c>
      <x:c r="N188" s="30" t="n">
        <x:f>MAX(0,H188-MAX(G188,M188))</x:f>
        <x:v>0</x:v>
      </x:c>
      <x:c r="O188" s="28" t="n">
        <x:f>J188*I188</x:f>
        <x:v>5678.928821300442</x:v>
      </x:c>
      <x:c r="P188" s="27" t="n">
        <x:f>(VLOOKUP(O188,'Fee Data'!$C$6:$G$50,2,TRUE)+O188*VLOOKUP(O188,'Fee Data'!$C$6:$G$50,3,TRUE)+VLOOKUP(O188,'Fee Data'!$I$6:$J$14,2,TRUE)+'Fee Data'!$J$20+'Fee Data'!$J$21)*'Assumptions'!D37</x:f>
        <x:v>1020</x:v>
      </x:c>
      <x:c r="Q188" s="27" t="n">
        <x:f>(VLOOKUP(O188,'Fee Data'!$C$6:$G$50,4,TRUE)+O188*VLOOKUP(O188,'Fee Data'!$C$6:$G$50,5,TRUE)+VLOOKUP(O188,'Fee Data'!$I$6:$J$14,2,TRUE)+'Fee Data'!$J$20+'Fee Data'!$J$21)*'Assumptions'!D37</x:f>
        <x:v>895</x:v>
      </x:c>
      <x:c r="R188" s="27" t="n">
        <x:f>P188*(1-'Assumptions'!$D$14)+Q188*'Assumptions'!$D$14</x:f>
        <x:v>957.5</x:v>
      </x:c>
      <x:c r="S188" s="27" t="n">
        <x:f>O188*'Carrier Engine'!E91</x:f>
        <x:v>227.15715285201762</x:v>
      </x:c>
      <x:c r="T188" s="28" t="n">
        <x:f>R188+S188</x:f>
        <x:v>1184.6571528520176</x:v>
      </x:c>
      <x:c r="U188" s="27" t="n">
        <x:f>N188*'Fleet Engine'!F214</x:f>
        <x:v>0</x:v>
      </x:c>
      <x:c r="V188" s="28" t="n">
        <x:f>U188*T188</x:f>
        <x:v>0</x:v>
      </x:c>
      <x:c r="W188" s="28" t="n">
        <x:f>U188*O188</x:f>
        <x:v>0</x:v>
      </x:c>
    </x:row>
    <x:row r="189" ht="19" customHeight="1">
      <x:c r="A189" s="2"/>
      <x:c r="B189" s="2"/>
      <x:c r="C189" s="46" t="n">
        <x:v>0</x:v>
      </x:c>
      <x:c r="D189" s="46" t="n">
        <x:v>20</x:v>
      </x:c>
      <x:c r="E189" s="46" t="n">
        <x:v>3</x:v>
      </x:c>
      <x:c r="F189" s="46" t="n">
        <x:v>2</x:v>
      </x:c>
      <x:c r="G189" s="12" t="n">
        <x:v>0.3333333333333333</x:v>
      </x:c>
      <x:c r="H189" s="12" t="n">
        <x:v>0.4444444444444444</x:v>
      </x:c>
      <x:c r="I189" s="29" t="n">
        <x:f>'Assumptions'!$D$11+'Assumptions'!$D$12*(0.5-(G189+H189)/2)</x:f>
        <x:v>0.32222222222222224</x:v>
      </x:c>
      <x:c r="J189" s="27" t="n">
        <x:f>'Assumptions'!$D$8*EXP(-'Assumptions'!$D$9*('Fleet Engine'!E214-10))*'Assumptions'!E58*'Assumptions'!D36</x:f>
        <x:v>16487.212707001283</x:v>
      </x:c>
      <x:c r="K189" s="27" t="n">
        <x:f>'Source Data'!F219+LN('Assumptions'!D58)+LN('Assumptions'!D35)</x:f>
        <x:v>7.936584069520856</x:v>
      </x:c>
      <x:c r="L189" s="27" t="n">
        <x:f>J189*(1-I189*(1-'Carrier Engine'!E91))</x:f>
        <x:v>11387.168242968886</x:v>
      </x:c>
      <x:c r="M189" s="29" t="n">
        <x:f>NORM.S.DIST((LN(L189)-K189)/'Assumptions'!$D$10,TRUE)</x:f>
        <x:v>0.8143210319055623</x:v>
      </x:c>
      <x:c r="N189" s="30" t="n">
        <x:f>MAX(0,H189-MAX(G189,M189))</x:f>
        <x:v>0</x:v>
      </x:c>
      <x:c r="O189" s="28" t="n">
        <x:f>J189*I189</x:f>
        <x:v>5312.546316700414</x:v>
      </x:c>
      <x:c r="P189" s="27" t="n">
        <x:f>(VLOOKUP(O189,'Fee Data'!$C$6:$G$50,2,TRUE)+O189*VLOOKUP(O189,'Fee Data'!$C$6:$G$50,3,TRUE)+VLOOKUP(O189,'Fee Data'!$I$6:$J$14,2,TRUE)+'Fee Data'!$J$20+'Fee Data'!$J$21)*'Assumptions'!D37</x:f>
        <x:v>995</x:v>
      </x:c>
      <x:c r="Q189" s="27" t="n">
        <x:f>(VLOOKUP(O189,'Fee Data'!$C$6:$G$50,4,TRUE)+O189*VLOOKUP(O189,'Fee Data'!$C$6:$G$50,5,TRUE)+VLOOKUP(O189,'Fee Data'!$I$6:$J$14,2,TRUE)+'Fee Data'!$J$20+'Fee Data'!$J$21)*'Assumptions'!D37</x:f>
        <x:v>870</x:v>
      </x:c>
      <x:c r="R189" s="27" t="n">
        <x:f>P189*(1-'Assumptions'!$D$14)+Q189*'Assumptions'!$D$14</x:f>
        <x:v>932.5</x:v>
      </x:c>
      <x:c r="S189" s="27" t="n">
        <x:f>O189*'Carrier Engine'!E91</x:f>
        <x:v>212.50185266801648</x:v>
      </x:c>
      <x:c r="T189" s="28" t="n">
        <x:f>R189+S189</x:f>
        <x:v>1145.0018526680165</x:v>
      </x:c>
      <x:c r="U189" s="27" t="n">
        <x:f>N189*'Fleet Engine'!F214</x:f>
        <x:v>0</x:v>
      </x:c>
      <x:c r="V189" s="28" t="n">
        <x:f>U189*T189</x:f>
        <x:v>0</x:v>
      </x:c>
      <x:c r="W189" s="28" t="n">
        <x:f>U189*O189</x:f>
        <x:v>0</x:v>
      </x:c>
    </x:row>
    <x:row r="190" ht="19" customHeight="1">
      <x:c r="A190" s="2"/>
      <x:c r="B190" s="2"/>
      <x:c r="C190" s="46" t="n">
        <x:v>0</x:v>
      </x:c>
      <x:c r="D190" s="46" t="n">
        <x:v>20</x:v>
      </x:c>
      <x:c r="E190" s="46" t="n">
        <x:v>3</x:v>
      </x:c>
      <x:c r="F190" s="46" t="n">
        <x:v>2</x:v>
      </x:c>
      <x:c r="G190" s="12" t="n">
        <x:v>0.4444444444444444</x:v>
      </x:c>
      <x:c r="H190" s="12" t="n">
        <x:v>0.5555555555555556</x:v>
      </x:c>
      <x:c r="I190" s="29" t="n">
        <x:f>'Assumptions'!$D$11+'Assumptions'!$D$12*(0.5-(G190+H190)/2)</x:f>
        <x:v>0.3</x:v>
      </x:c>
      <x:c r="J190" s="27" t="n">
        <x:f>'Assumptions'!$D$8*EXP(-'Assumptions'!$D$9*('Fleet Engine'!E214-10))*'Assumptions'!E58*'Assumptions'!D36</x:f>
        <x:v>16487.212707001283</x:v>
      </x:c>
      <x:c r="K190" s="27" t="n">
        <x:f>'Source Data'!F219+LN('Assumptions'!D58)+LN('Assumptions'!D35)</x:f>
        <x:v>7.936584069520856</x:v>
      </x:c>
      <x:c r="L190" s="27" t="n">
        <x:f>J190*(1-I190*(1-'Carrier Engine'!E91))</x:f>
        <x:v>11738.895447384913</x:v>
      </x:c>
      <x:c r="M190" s="29" t="n">
        <x:f>NORM.S.DIST((LN(L190)-K190)/'Assumptions'!$D$10,TRUE)</x:f>
        <x:v>0.8194592567333258</x:v>
      </x:c>
      <x:c r="N190" s="30" t="n">
        <x:f>MAX(0,H190-MAX(G190,M190))</x:f>
        <x:v>0</x:v>
      </x:c>
      <x:c r="O190" s="28" t="n">
        <x:f>J190*I190</x:f>
        <x:v>4946.163812100384</x:v>
      </x:c>
      <x:c r="P190" s="27" t="n">
        <x:f>(VLOOKUP(O190,'Fee Data'!$C$6:$G$50,2,TRUE)+O190*VLOOKUP(O190,'Fee Data'!$C$6:$G$50,3,TRUE)+VLOOKUP(O190,'Fee Data'!$I$6:$J$14,2,TRUE)+'Fee Data'!$J$20+'Fee Data'!$J$21)*'Assumptions'!D37</x:f>
        <x:v>970</x:v>
      </x:c>
      <x:c r="Q190" s="27" t="n">
        <x:f>(VLOOKUP(O190,'Fee Data'!$C$6:$G$50,4,TRUE)+O190*VLOOKUP(O190,'Fee Data'!$C$6:$G$50,5,TRUE)+VLOOKUP(O190,'Fee Data'!$I$6:$J$14,2,TRUE)+'Fee Data'!$J$20+'Fee Data'!$J$21)*'Assumptions'!D37</x:f>
        <x:v>845</x:v>
      </x:c>
      <x:c r="R190" s="27" t="n">
        <x:f>P190*(1-'Assumptions'!$D$14)+Q190*'Assumptions'!$D$14</x:f>
        <x:v>907.5</x:v>
      </x:c>
      <x:c r="S190" s="27" t="n">
        <x:f>O190*'Carrier Engine'!E91</x:f>
        <x:v>197.84655248401532</x:v>
      </x:c>
      <x:c r="T190" s="28" t="n">
        <x:f>R190+S190</x:f>
        <x:v>1105.3465524840153</x:v>
      </x:c>
      <x:c r="U190" s="27" t="n">
        <x:f>N190*'Fleet Engine'!F214</x:f>
        <x:v>0</x:v>
      </x:c>
      <x:c r="V190" s="28" t="n">
        <x:f>U190*T190</x:f>
        <x:v>0</x:v>
      </x:c>
      <x:c r="W190" s="28" t="n">
        <x:f>U190*O190</x:f>
        <x:v>0</x:v>
      </x:c>
    </x:row>
    <x:row r="191" ht="19" customHeight="1">
      <x:c r="A191" s="2"/>
      <x:c r="B191" s="2"/>
      <x:c r="C191" s="46" t="n">
        <x:v>0</x:v>
      </x:c>
      <x:c r="D191" s="46" t="n">
        <x:v>20</x:v>
      </x:c>
      <x:c r="E191" s="46" t="n">
        <x:v>3</x:v>
      </x:c>
      <x:c r="F191" s="46" t="n">
        <x:v>2</x:v>
      </x:c>
      <x:c r="G191" s="12" t="n">
        <x:v>0.5555555555555556</x:v>
      </x:c>
      <x:c r="H191" s="12" t="n">
        <x:v>0.6666666666666666</x:v>
      </x:c>
      <x:c r="I191" s="29" t="n">
        <x:f>'Assumptions'!$D$11+'Assumptions'!$D$12*(0.5-(G191+H191)/2)</x:f>
        <x:v>0.27777777777777773</x:v>
      </x:c>
      <x:c r="J191" s="27" t="n">
        <x:f>'Assumptions'!$D$8*EXP(-'Assumptions'!$D$9*('Fleet Engine'!E214-10))*'Assumptions'!E58*'Assumptions'!D36</x:f>
        <x:v>16487.212707001283</x:v>
      </x:c>
      <x:c r="K191" s="27" t="n">
        <x:f>'Source Data'!F219+LN('Assumptions'!D58)+LN('Assumptions'!D35)</x:f>
        <x:v>7.936584069520856</x:v>
      </x:c>
      <x:c r="L191" s="27" t="n">
        <x:f>J191*(1-I191*(1-'Carrier Engine'!E91))</x:f>
        <x:v>12090.622651800943</x:v>
      </x:c>
      <x:c r="M191" s="29" t="n">
        <x:f>NORM.S.DIST((LN(L191)-K191)/'Assumptions'!$D$10,TRUE)</x:f>
        <x:v>0.824359618018476</x:v>
      </x:c>
      <x:c r="N191" s="30" t="n">
        <x:f>MAX(0,H191-MAX(G191,M191))</x:f>
        <x:v>0</x:v>
      </x:c>
      <x:c r="O191" s="28" t="n">
        <x:f>J191*I191</x:f>
        <x:v>4579.781307500356</x:v>
      </x:c>
      <x:c r="P191" s="27" t="n">
        <x:f>(VLOOKUP(O191,'Fee Data'!$C$6:$G$50,2,TRUE)+O191*VLOOKUP(O191,'Fee Data'!$C$6:$G$50,3,TRUE)+VLOOKUP(O191,'Fee Data'!$I$6:$J$14,2,TRUE)+'Fee Data'!$J$20+'Fee Data'!$J$21)*'Assumptions'!D37</x:f>
        <x:v>970</x:v>
      </x:c>
      <x:c r="Q191" s="27" t="n">
        <x:f>(VLOOKUP(O191,'Fee Data'!$C$6:$G$50,4,TRUE)+O191*VLOOKUP(O191,'Fee Data'!$C$6:$G$50,5,TRUE)+VLOOKUP(O191,'Fee Data'!$I$6:$J$14,2,TRUE)+'Fee Data'!$J$20+'Fee Data'!$J$21)*'Assumptions'!D37</x:f>
        <x:v>845</x:v>
      </x:c>
      <x:c r="R191" s="27" t="n">
        <x:f>P191*(1-'Assumptions'!$D$14)+Q191*'Assumptions'!$D$14</x:f>
        <x:v>907.5</x:v>
      </x:c>
      <x:c r="S191" s="27" t="n">
        <x:f>O191*'Carrier Engine'!E91</x:f>
        <x:v>183.19125230001418</x:v>
      </x:c>
      <x:c r="T191" s="28" t="n">
        <x:f>R191+S191</x:f>
        <x:v>1090.6912523000142</x:v>
      </x:c>
      <x:c r="U191" s="27" t="n">
        <x:f>N191*'Fleet Engine'!F214</x:f>
        <x:v>0</x:v>
      </x:c>
      <x:c r="V191" s="28" t="n">
        <x:f>U191*T191</x:f>
        <x:v>0</x:v>
      </x:c>
      <x:c r="W191" s="28" t="n">
        <x:f>U191*O191</x:f>
        <x:v>0</x:v>
      </x:c>
    </x:row>
    <x:row r="192" ht="19" customHeight="1">
      <x:c r="A192" s="2"/>
      <x:c r="B192" s="2"/>
      <x:c r="C192" s="46" t="n">
        <x:v>0</x:v>
      </x:c>
      <x:c r="D192" s="46" t="n">
        <x:v>20</x:v>
      </x:c>
      <x:c r="E192" s="46" t="n">
        <x:v>3</x:v>
      </x:c>
      <x:c r="F192" s="46" t="n">
        <x:v>2</x:v>
      </x:c>
      <x:c r="G192" s="12" t="n">
        <x:v>0.6666666666666666</x:v>
      </x:c>
      <x:c r="H192" s="12" t="n">
        <x:v>0.7777777777777778</x:v>
      </x:c>
      <x:c r="I192" s="29" t="n">
        <x:f>'Assumptions'!$D$11+'Assumptions'!$D$12*(0.5-(G192+H192)/2)</x:f>
        <x:v>0.25555555555555554</x:v>
      </x:c>
      <x:c r="J192" s="27" t="n">
        <x:f>'Assumptions'!$D$8*EXP(-'Assumptions'!$D$9*('Fleet Engine'!E214-10))*'Assumptions'!E58*'Assumptions'!D36</x:f>
        <x:v>16487.212707001283</x:v>
      </x:c>
      <x:c r="K192" s="27" t="n">
        <x:f>'Source Data'!F219+LN('Assumptions'!D58)+LN('Assumptions'!D35)</x:f>
        <x:v>7.936584069520856</x:v>
      </x:c>
      <x:c r="L192" s="27" t="n">
        <x:f>J192*(1-I192*(1-'Carrier Engine'!E91))</x:f>
        <x:v>12442.34985621697</x:v>
      </x:c>
      <x:c r="M192" s="29" t="n">
        <x:f>NORM.S.DIST((LN(L192)-K192)/'Assumptions'!$D$10,TRUE)</x:f>
        <x:v>0.8290379475487466</x:v>
      </x:c>
      <x:c r="N192" s="30" t="n">
        <x:f>MAX(0,H192-MAX(G192,M192))</x:f>
        <x:v>0</x:v>
      </x:c>
      <x:c r="O192" s="28" t="n">
        <x:f>J192*I192</x:f>
        <x:v>4213.398802900328</x:v>
      </x:c>
      <x:c r="P192" s="27" t="n">
        <x:f>(VLOOKUP(O192,'Fee Data'!$C$6:$G$50,2,TRUE)+O192*VLOOKUP(O192,'Fee Data'!$C$6:$G$50,3,TRUE)+VLOOKUP(O192,'Fee Data'!$I$6:$J$14,2,TRUE)+'Fee Data'!$J$20+'Fee Data'!$J$21)*'Assumptions'!D37</x:f>
        <x:v>945</x:v>
      </x:c>
      <x:c r="Q192" s="27" t="n">
        <x:f>(VLOOKUP(O192,'Fee Data'!$C$6:$G$50,4,TRUE)+O192*VLOOKUP(O192,'Fee Data'!$C$6:$G$50,5,TRUE)+VLOOKUP(O192,'Fee Data'!$I$6:$J$14,2,TRUE)+'Fee Data'!$J$20+'Fee Data'!$J$21)*'Assumptions'!D37</x:f>
        <x:v>820</x:v>
      </x:c>
      <x:c r="R192" s="27" t="n">
        <x:f>P192*(1-'Assumptions'!$D$14)+Q192*'Assumptions'!$D$14</x:f>
        <x:v>882.5</x:v>
      </x:c>
      <x:c r="S192" s="27" t="n">
        <x:f>O192*'Carrier Engine'!E91</x:f>
        <x:v>168.53595211601305</x:v>
      </x:c>
      <x:c r="T192" s="28" t="n">
        <x:f>R192+S192</x:f>
        <x:v>1051.035952116013</x:v>
      </x:c>
      <x:c r="U192" s="27" t="n">
        <x:f>N192*'Fleet Engine'!F214</x:f>
        <x:v>0</x:v>
      </x:c>
      <x:c r="V192" s="28" t="n">
        <x:f>U192*T192</x:f>
        <x:v>0</x:v>
      </x:c>
      <x:c r="W192" s="28" t="n">
        <x:f>U192*O192</x:f>
        <x:v>0</x:v>
      </x:c>
    </x:row>
    <x:row r="193" ht="19" customHeight="1">
      <x:c r="A193" s="2"/>
      <x:c r="B193" s="2"/>
      <x:c r="C193" s="46" t="n">
        <x:v>0</x:v>
      </x:c>
      <x:c r="D193" s="46" t="n">
        <x:v>20</x:v>
      </x:c>
      <x:c r="E193" s="46" t="n">
        <x:v>3</x:v>
      </x:c>
      <x:c r="F193" s="46" t="n">
        <x:v>2</x:v>
      </x:c>
      <x:c r="G193" s="12" t="n">
        <x:v>0.7777777777777778</x:v>
      </x:c>
      <x:c r="H193" s="12" t="n">
        <x:v>0.8888888888888888</x:v>
      </x:c>
      <x:c r="I193" s="29" t="n">
        <x:f>'Assumptions'!$D$11+'Assumptions'!$D$12*(0.5-(G193+H193)/2)</x:f>
        <x:v>0.23333333333333334</x:v>
      </x:c>
      <x:c r="J193" s="27" t="n">
        <x:f>'Assumptions'!$D$8*EXP(-'Assumptions'!$D$9*('Fleet Engine'!E214-10))*'Assumptions'!E58*'Assumptions'!D36</x:f>
        <x:v>16487.212707001283</x:v>
      </x:c>
      <x:c r="K193" s="27" t="n">
        <x:f>'Source Data'!F219+LN('Assumptions'!D58)+LN('Assumptions'!D35)</x:f>
        <x:v>7.936584069520856</x:v>
      </x:c>
      <x:c r="L193" s="27" t="n">
        <x:f>J193*(1-I193*(1-'Carrier Engine'!E91))</x:f>
        <x:v>12794.077060632995</x:v>
      </x:c>
      <x:c r="M193" s="29" t="n">
        <x:f>NORM.S.DIST((LN(L193)-K193)/'Assumptions'!$D$10,TRUE)</x:f>
        <x:v>0.8335086948581082</x:v>
      </x:c>
      <x:c r="N193" s="30" t="n">
        <x:f>MAX(0,H193-MAX(G193,M193))</x:f>
        <x:v>0.05538019403078065</x:v>
      </x:c>
      <x:c r="O193" s="28" t="n">
        <x:f>J193*I193</x:f>
        <x:v>3847.0162983002992</x:v>
      </x:c>
      <x:c r="P193" s="27" t="n">
        <x:f>(VLOOKUP(O193,'Fee Data'!$C$6:$G$50,2,TRUE)+O193*VLOOKUP(O193,'Fee Data'!$C$6:$G$50,3,TRUE)+VLOOKUP(O193,'Fee Data'!$I$6:$J$14,2,TRUE)+'Fee Data'!$J$20+'Fee Data'!$J$21)*'Assumptions'!D37</x:f>
        <x:v>915</x:v>
      </x:c>
      <x:c r="Q193" s="27" t="n">
        <x:f>(VLOOKUP(O193,'Fee Data'!$C$6:$G$50,4,TRUE)+O193*VLOOKUP(O193,'Fee Data'!$C$6:$G$50,5,TRUE)+VLOOKUP(O193,'Fee Data'!$I$6:$J$14,2,TRUE)+'Fee Data'!$J$20+'Fee Data'!$J$21)*'Assumptions'!D37</x:f>
        <x:v>765</x:v>
      </x:c>
      <x:c r="R193" s="27" t="n">
        <x:f>P193*(1-'Assumptions'!$D$14)+Q193*'Assumptions'!$D$14</x:f>
        <x:v>840</x:v>
      </x:c>
      <x:c r="S193" s="27" t="n">
        <x:f>O193*'Carrier Engine'!E91</x:f>
        <x:v>153.88065193201192</x:v>
      </x:c>
      <x:c r="T193" s="28" t="n">
        <x:f>R193+S193</x:f>
        <x:v>993.8806519320119</x:v>
      </x:c>
      <x:c r="U193" s="27" t="n">
        <x:f>N193*'Fleet Engine'!F214</x:f>
        <x:v>148.33511551796943</x:v>
      </x:c>
      <x:c r="V193" s="28" t="n">
        <x:f>U193*T193</x:f>
        <x:v>147427.40131540975</x:v>
      </x:c>
      <x:c r="W193" s="28" t="n">
        <x:f>U193*O193</x:f>
        <x:v>570647.607007886</x:v>
      </x:c>
    </x:row>
    <x:row r="194" ht="19" customHeight="1">
      <x:c r="A194" s="2"/>
      <x:c r="B194" s="2"/>
      <x:c r="C194" s="46" t="n">
        <x:v>0</x:v>
      </x:c>
      <x:c r="D194" s="46" t="n">
        <x:v>20</x:v>
      </x:c>
      <x:c r="E194" s="46" t="n">
        <x:v>3</x:v>
      </x:c>
      <x:c r="F194" s="46" t="n">
        <x:v>2</x:v>
      </x:c>
      <x:c r="G194" s="12" t="n">
        <x:v>0.8888888888888888</x:v>
      </x:c>
      <x:c r="H194" s="12" t="n">
        <x:v>1</x:v>
      </x:c>
      <x:c r="I194" s="29" t="n">
        <x:f>'Assumptions'!$D$11+'Assumptions'!$D$12*(0.5-(G194+H194)/2)</x:f>
        <x:v>0.21111111111111108</x:v>
      </x:c>
      <x:c r="J194" s="27" t="n">
        <x:f>'Assumptions'!$D$8*EXP(-'Assumptions'!$D$9*('Fleet Engine'!E214-10))*'Assumptions'!E58*'Assumptions'!D36</x:f>
        <x:v>16487.212707001283</x:v>
      </x:c>
      <x:c r="K194" s="27" t="n">
        <x:f>'Source Data'!F219+LN('Assumptions'!D58)+LN('Assumptions'!D35)</x:f>
        <x:v>7.936584069520856</x:v>
      </x:c>
      <x:c r="L194" s="27" t="n">
        <x:f>J194*(1-I194*(1-'Carrier Engine'!E91))</x:f>
        <x:v>13145.804265049022</x:v>
      </x:c>
      <x:c r="M194" s="29" t="n">
        <x:f>NORM.S.DIST((LN(L194)-K194)/'Assumptions'!$D$10,TRUE)</x:f>
        <x:v>0.8377850764390044</x:v>
      </x:c>
      <x:c r="N194" s="30" t="n">
        <x:f>MAX(0,H194-MAX(G194,M194))</x:f>
        <x:v>0.11111111111111116</x:v>
      </x:c>
      <x:c r="O194" s="28" t="n">
        <x:f>J194*I194</x:f>
        <x:v>3480.6337937002704</x:v>
      </x:c>
      <x:c r="P194" s="27" t="n">
        <x:f>(VLOOKUP(O194,'Fee Data'!$C$6:$G$50,2,TRUE)+O194*VLOOKUP(O194,'Fee Data'!$C$6:$G$50,3,TRUE)+VLOOKUP(O194,'Fee Data'!$I$6:$J$14,2,TRUE)+'Fee Data'!$J$20+'Fee Data'!$J$21)*'Assumptions'!D37</x:f>
        <x:v>865</x:v>
      </x:c>
      <x:c r="Q194" s="27" t="n">
        <x:f>(VLOOKUP(O194,'Fee Data'!$C$6:$G$50,4,TRUE)+O194*VLOOKUP(O194,'Fee Data'!$C$6:$G$50,5,TRUE)+VLOOKUP(O194,'Fee Data'!$I$6:$J$14,2,TRUE)+'Fee Data'!$J$20+'Fee Data'!$J$21)*'Assumptions'!D37</x:f>
        <x:v>715</x:v>
      </x:c>
      <x:c r="R194" s="27" t="n">
        <x:f>P194*(1-'Assumptions'!$D$14)+Q194*'Assumptions'!$D$14</x:f>
        <x:v>790</x:v>
      </x:c>
      <x:c r="S194" s="27" t="n">
        <x:f>O194*'Carrier Engine'!E91</x:f>
        <x:v>139.22535174801078</x:v>
      </x:c>
      <x:c r="T194" s="28" t="n">
        <x:f>R194+S194</x:f>
        <x:v>929.2253517480108</x:v>
      </x:c>
      <x:c r="U194" s="27" t="n">
        <x:f>N194*'Fleet Engine'!F214</x:f>
        <x:v>297.60963807450713</x:v>
      </x:c>
      <x:c r="V194" s="28" t="n">
        <x:f>U194*T194</x:f>
        <x:v>276546.4206233821</x:v>
      </x:c>
      <x:c r="W194" s="28" t="n">
        <x:f>U194*O194</x:f>
        <x:v>1035870.1636130362</x:v>
      </x:c>
    </x:row>
    <x:row r="195" ht="19" customHeight="1">
      <x:c r="A195" s="2"/>
      <x:c r="B195" s="2"/>
      <x:c r="C195" s="46" t="n">
        <x:v>0</x:v>
      </x:c>
      <x:c r="D195" s="46" t="n">
        <x:v>21</x:v>
      </x:c>
      <x:c r="E195" s="46" t="n">
        <x:v>3</x:v>
      </x:c>
      <x:c r="F195" s="46" t="n">
        <x:v>3</x:v>
      </x:c>
      <x:c r="G195" s="12" t="n">
        <x:v>0</x:v>
      </x:c>
      <x:c r="H195" s="12" t="n">
        <x:v>0.1111111111111111</x:v>
      </x:c>
      <x:c r="I195" s="29" t="n">
        <x:f>'Assumptions'!$D$11+'Assumptions'!$D$12*(0.5-(G195+H195)/2)</x:f>
        <x:v>0.3888888888888889</x:v>
      </x:c>
      <x:c r="J195" s="27" t="n">
        <x:f>'Assumptions'!$D$8*EXP(-'Assumptions'!$D$9*('Fleet Engine'!E215-10))*'Assumptions'!E58*'Assumptions'!D36</x:f>
        <x:v>12214.027581601698</x:v>
      </x:c>
      <x:c r="K195" s="27" t="n">
        <x:f>'Source Data'!F220+LN('Assumptions'!D58)+LN('Assumptions'!D35)</x:f>
        <x:v>8.04371664078851</x:v>
      </x:c>
      <x:c r="L195" s="27" t="n">
        <x:f>J195*(1-I195*(1-'Carrier Engine'!E91))</x:f>
        <x:v>7654.123951137065</x:v>
      </x:c>
      <x:c r="M195" s="29" t="n">
        <x:f>NORM.S.DIST((LN(L195)-K195)/'Assumptions'!$D$10,TRUE)</x:f>
        <x:v>0.7165817467781002</x:v>
      </x:c>
      <x:c r="N195" s="30" t="n">
        <x:f>MAX(0,H195-MAX(G195,M195))</x:f>
        <x:v>0</x:v>
      </x:c>
      <x:c r="O195" s="28" t="n">
        <x:f>J195*I195</x:f>
        <x:v>4749.899615067327</x:v>
      </x:c>
      <x:c r="P195" s="27" t="n">
        <x:f>(VLOOKUP(O195,'Fee Data'!$C$6:$G$50,2,TRUE)+O195*VLOOKUP(O195,'Fee Data'!$C$6:$G$50,3,TRUE)+VLOOKUP(O195,'Fee Data'!$I$6:$J$14,2,TRUE)+'Fee Data'!$J$20+'Fee Data'!$J$21)*'Assumptions'!D37</x:f>
        <x:v>970</x:v>
      </x:c>
      <x:c r="Q195" s="27" t="n">
        <x:f>(VLOOKUP(O195,'Fee Data'!$C$6:$G$50,4,TRUE)+O195*VLOOKUP(O195,'Fee Data'!$C$6:$G$50,5,TRUE)+VLOOKUP(O195,'Fee Data'!$I$6:$J$14,2,TRUE)+'Fee Data'!$J$20+'Fee Data'!$J$21)*'Assumptions'!D37</x:f>
        <x:v>845</x:v>
      </x:c>
      <x:c r="R195" s="27" t="n">
        <x:f>P195*(1-'Assumptions'!$D$14)+Q195*'Assumptions'!$D$14</x:f>
        <x:v>907.5</x:v>
      </x:c>
      <x:c r="S195" s="27" t="n">
        <x:f>O195*'Carrier Engine'!E91</x:f>
        <x:v>189.99598460269303</x:v>
      </x:c>
      <x:c r="T195" s="28" t="n">
        <x:f>R195+S195</x:f>
        <x:v>1097.495984602693</x:v>
      </x:c>
      <x:c r="U195" s="27" t="n">
        <x:f>N195*'Fleet Engine'!F215</x:f>
        <x:v>0</x:v>
      </x:c>
      <x:c r="V195" s="28" t="n">
        <x:f>U195*T195</x:f>
        <x:v>0</x:v>
      </x:c>
      <x:c r="W195" s="28" t="n">
        <x:f>U195*O195</x:f>
        <x:v>0</x:v>
      </x:c>
    </x:row>
    <x:row r="196" ht="19" customHeight="1">
      <x:c r="A196" s="2"/>
      <x:c r="B196" s="2"/>
      <x:c r="C196" s="46" t="n">
        <x:v>0</x:v>
      </x:c>
      <x:c r="D196" s="46" t="n">
        <x:v>21</x:v>
      </x:c>
      <x:c r="E196" s="46" t="n">
        <x:v>3</x:v>
      </x:c>
      <x:c r="F196" s="46" t="n">
        <x:v>3</x:v>
      </x:c>
      <x:c r="G196" s="12" t="n">
        <x:v>0.1111111111111111</x:v>
      </x:c>
      <x:c r="H196" s="12" t="n">
        <x:v>0.2222222222222222</x:v>
      </x:c>
      <x:c r="I196" s="29" t="n">
        <x:f>'Assumptions'!$D$11+'Assumptions'!$D$12*(0.5-(G196+H196)/2)</x:f>
        <x:v>0.3666666666666667</x:v>
      </x:c>
      <x:c r="J196" s="27" t="n">
        <x:f>'Assumptions'!$D$8*EXP(-'Assumptions'!$D$9*('Fleet Engine'!E215-10))*'Assumptions'!E58*'Assumptions'!D36</x:f>
        <x:v>12214.027581601698</x:v>
      </x:c>
      <x:c r="K196" s="27" t="n">
        <x:f>'Source Data'!F220+LN('Assumptions'!D58)+LN('Assumptions'!D35)</x:f>
        <x:v>8.04371664078851</x:v>
      </x:c>
      <x:c r="L196" s="27" t="n">
        <x:f>J196*(1-I196*(1-'Carrier Engine'!E91))</x:f>
        <x:v>7914.6898728779</x:v>
      </x:c>
      <x:c r="M196" s="29" t="n">
        <x:f>NORM.S.DIST((LN(L196)-K196)/'Assumptions'!$D$10,TRUE)</x:f>
        <x:v>0.7237560438609862</x:v>
      </x:c>
      <x:c r="N196" s="30" t="n">
        <x:f>MAX(0,H196-MAX(G196,M196))</x:f>
        <x:v>0</x:v>
      </x:c>
      <x:c r="O196" s="28" t="n">
        <x:f>J196*I196</x:f>
        <x:v>4478.476779920623</x:v>
      </x:c>
      <x:c r="P196" s="27" t="n">
        <x:f>(VLOOKUP(O196,'Fee Data'!$C$6:$G$50,2,TRUE)+O196*VLOOKUP(O196,'Fee Data'!$C$6:$G$50,3,TRUE)+VLOOKUP(O196,'Fee Data'!$I$6:$J$14,2,TRUE)+'Fee Data'!$J$20+'Fee Data'!$J$21)*'Assumptions'!D37</x:f>
        <x:v>945</x:v>
      </x:c>
      <x:c r="Q196" s="27" t="n">
        <x:f>(VLOOKUP(O196,'Fee Data'!$C$6:$G$50,4,TRUE)+O196*VLOOKUP(O196,'Fee Data'!$C$6:$G$50,5,TRUE)+VLOOKUP(O196,'Fee Data'!$I$6:$J$14,2,TRUE)+'Fee Data'!$J$20+'Fee Data'!$J$21)*'Assumptions'!D37</x:f>
        <x:v>820</x:v>
      </x:c>
      <x:c r="R196" s="27" t="n">
        <x:f>P196*(1-'Assumptions'!$D$14)+Q196*'Assumptions'!$D$14</x:f>
        <x:v>882.5</x:v>
      </x:c>
      <x:c r="S196" s="27" t="n">
        <x:f>O196*'Carrier Engine'!E91</x:f>
        <x:v>179.13907119682486</x:v>
      </x:c>
      <x:c r="T196" s="28" t="n">
        <x:f>R196+S196</x:f>
        <x:v>1061.639071196825</x:v>
      </x:c>
      <x:c r="U196" s="27" t="n">
        <x:f>N196*'Fleet Engine'!F215</x:f>
        <x:v>0</x:v>
      </x:c>
      <x:c r="V196" s="28" t="n">
        <x:f>U196*T196</x:f>
        <x:v>0</x:v>
      </x:c>
      <x:c r="W196" s="28" t="n">
        <x:f>U196*O196</x:f>
        <x:v>0</x:v>
      </x:c>
    </x:row>
    <x:row r="197" ht="19" customHeight="1">
      <x:c r="A197" s="2"/>
      <x:c r="B197" s="2"/>
      <x:c r="C197" s="46" t="n">
        <x:v>0</x:v>
      </x:c>
      <x:c r="D197" s="46" t="n">
        <x:v>21</x:v>
      </x:c>
      <x:c r="E197" s="46" t="n">
        <x:v>3</x:v>
      </x:c>
      <x:c r="F197" s="46" t="n">
        <x:v>3</x:v>
      </x:c>
      <x:c r="G197" s="12" t="n">
        <x:v>0.2222222222222222</x:v>
      </x:c>
      <x:c r="H197" s="12" t="n">
        <x:v>0.3333333333333333</x:v>
      </x:c>
      <x:c r="I197" s="29" t="n">
        <x:f>'Assumptions'!$D$11+'Assumptions'!$D$12*(0.5-(G197+H197)/2)</x:f>
        <x:v>0.34444444444444444</x:v>
      </x:c>
      <x:c r="J197" s="27" t="n">
        <x:f>'Assumptions'!$D$8*EXP(-'Assumptions'!$D$9*('Fleet Engine'!E215-10))*'Assumptions'!E58*'Assumptions'!D36</x:f>
        <x:v>12214.027581601698</x:v>
      </x:c>
      <x:c r="K197" s="27" t="n">
        <x:f>'Source Data'!F220+LN('Assumptions'!D58)+LN('Assumptions'!D35)</x:f>
        <x:v>8.04371664078851</x:v>
      </x:c>
      <x:c r="L197" s="27" t="n">
        <x:f>J197*(1-I197*(1-'Carrier Engine'!E91))</x:f>
        <x:v>8175.255794618737</x:v>
      </x:c>
      <x:c r="M197" s="29" t="n">
        <x:f>NORM.S.DIST((LN(L197)-K197)/'Assumptions'!$D$10,TRUE)</x:f>
        <x:v>0.730612011881529</x:v>
      </x:c>
      <x:c r="N197" s="30" t="n">
        <x:f>MAX(0,H197-MAX(G197,M197))</x:f>
        <x:v>0</x:v>
      </x:c>
      <x:c r="O197" s="28" t="n">
        <x:f>J197*I197</x:f>
        <x:v>4207.053944773918</x:v>
      </x:c>
      <x:c r="P197" s="27" t="n">
        <x:f>(VLOOKUP(O197,'Fee Data'!$C$6:$G$50,2,TRUE)+O197*VLOOKUP(O197,'Fee Data'!$C$6:$G$50,3,TRUE)+VLOOKUP(O197,'Fee Data'!$I$6:$J$14,2,TRUE)+'Fee Data'!$J$20+'Fee Data'!$J$21)*'Assumptions'!D37</x:f>
        <x:v>945</x:v>
      </x:c>
      <x:c r="Q197" s="27" t="n">
        <x:f>(VLOOKUP(O197,'Fee Data'!$C$6:$G$50,4,TRUE)+O197*VLOOKUP(O197,'Fee Data'!$C$6:$G$50,5,TRUE)+VLOOKUP(O197,'Fee Data'!$I$6:$J$14,2,TRUE)+'Fee Data'!$J$20+'Fee Data'!$J$21)*'Assumptions'!D37</x:f>
        <x:v>820</x:v>
      </x:c>
      <x:c r="R197" s="27" t="n">
        <x:f>P197*(1-'Assumptions'!$D$14)+Q197*'Assumptions'!$D$14</x:f>
        <x:v>882.5</x:v>
      </x:c>
      <x:c r="S197" s="27" t="n">
        <x:f>O197*'Carrier Engine'!E91</x:f>
        <x:v>168.2821577909567</x:v>
      </x:c>
      <x:c r="T197" s="28" t="n">
        <x:f>R197+S197</x:f>
        <x:v>1050.7821577909567</x:v>
      </x:c>
      <x:c r="U197" s="27" t="n">
        <x:f>N197*'Fleet Engine'!F215</x:f>
        <x:v>0</x:v>
      </x:c>
      <x:c r="V197" s="28" t="n">
        <x:f>U197*T197</x:f>
        <x:v>0</x:v>
      </x:c>
      <x:c r="W197" s="28" t="n">
        <x:f>U197*O197</x:f>
        <x:v>0</x:v>
      </x:c>
    </x:row>
    <x:row r="198" ht="19" customHeight="1">
      <x:c r="A198" s="2"/>
      <x:c r="B198" s="2"/>
      <x:c r="C198" s="46" t="n">
        <x:v>0</x:v>
      </x:c>
      <x:c r="D198" s="46" t="n">
        <x:v>21</x:v>
      </x:c>
      <x:c r="E198" s="46" t="n">
        <x:v>3</x:v>
      </x:c>
      <x:c r="F198" s="46" t="n">
        <x:v>3</x:v>
      </x:c>
      <x:c r="G198" s="12" t="n">
        <x:v>0.3333333333333333</x:v>
      </x:c>
      <x:c r="H198" s="12" t="n">
        <x:v>0.4444444444444444</x:v>
      </x:c>
      <x:c r="I198" s="29" t="n">
        <x:f>'Assumptions'!$D$11+'Assumptions'!$D$12*(0.5-(G198+H198)/2)</x:f>
        <x:v>0.32222222222222224</x:v>
      </x:c>
      <x:c r="J198" s="27" t="n">
        <x:f>'Assumptions'!$D$8*EXP(-'Assumptions'!$D$9*('Fleet Engine'!E215-10))*'Assumptions'!E58*'Assumptions'!D36</x:f>
        <x:v>12214.027581601698</x:v>
      </x:c>
      <x:c r="K198" s="27" t="n">
        <x:f>'Source Data'!F220+LN('Assumptions'!D58)+LN('Assumptions'!D35)</x:f>
        <x:v>8.04371664078851</x:v>
      </x:c>
      <x:c r="L198" s="27" t="n">
        <x:f>J198*(1-I198*(1-'Carrier Engine'!E91))</x:f>
        <x:v>8435.821716359573</x:v>
      </x:c>
      <x:c r="M198" s="29" t="n">
        <x:f>NORM.S.DIST((LN(L198)-K198)/'Assumptions'!$D$10,TRUE)</x:f>
        <x:v>0.737170515190244</x:v>
      </x:c>
      <x:c r="N198" s="30" t="n">
        <x:f>MAX(0,H198-MAX(G198,M198))</x:f>
        <x:v>0</x:v>
      </x:c>
      <x:c r="O198" s="28" t="n">
        <x:f>J198*I198</x:f>
        <x:v>3935.6311096272143</x:v>
      </x:c>
      <x:c r="P198" s="27" t="n">
        <x:f>(VLOOKUP(O198,'Fee Data'!$C$6:$G$50,2,TRUE)+O198*VLOOKUP(O198,'Fee Data'!$C$6:$G$50,3,TRUE)+VLOOKUP(O198,'Fee Data'!$I$6:$J$14,2,TRUE)+'Fee Data'!$J$20+'Fee Data'!$J$21)*'Assumptions'!D37</x:f>
        <x:v>915</x:v>
      </x:c>
      <x:c r="Q198" s="27" t="n">
        <x:f>(VLOOKUP(O198,'Fee Data'!$C$6:$G$50,4,TRUE)+O198*VLOOKUP(O198,'Fee Data'!$C$6:$G$50,5,TRUE)+VLOOKUP(O198,'Fee Data'!$I$6:$J$14,2,TRUE)+'Fee Data'!$J$20+'Fee Data'!$J$21)*'Assumptions'!D37</x:f>
        <x:v>765</x:v>
      </x:c>
      <x:c r="R198" s="27" t="n">
        <x:f>P198*(1-'Assumptions'!$D$14)+Q198*'Assumptions'!$D$14</x:f>
        <x:v>840</x:v>
      </x:c>
      <x:c r="S198" s="27" t="n">
        <x:f>O198*'Carrier Engine'!E91</x:f>
        <x:v>157.42524438508852</x:v>
      </x:c>
      <x:c r="T198" s="28" t="n">
        <x:f>R198+S198</x:f>
        <x:v>997.4252443850885</x:v>
      </x:c>
      <x:c r="U198" s="27" t="n">
        <x:f>N198*'Fleet Engine'!F215</x:f>
        <x:v>0</x:v>
      </x:c>
      <x:c r="V198" s="28" t="n">
        <x:f>U198*T198</x:f>
        <x:v>0</x:v>
      </x:c>
      <x:c r="W198" s="28" t="n">
        <x:f>U198*O198</x:f>
        <x:v>0</x:v>
      </x:c>
    </x:row>
    <x:row r="199" ht="19" customHeight="1">
      <x:c r="A199" s="2"/>
      <x:c r="B199" s="2"/>
      <x:c r="C199" s="46" t="n">
        <x:v>0</x:v>
      </x:c>
      <x:c r="D199" s="46" t="n">
        <x:v>21</x:v>
      </x:c>
      <x:c r="E199" s="46" t="n">
        <x:v>3</x:v>
      </x:c>
      <x:c r="F199" s="46" t="n">
        <x:v>3</x:v>
      </x:c>
      <x:c r="G199" s="12" t="n">
        <x:v>0.4444444444444444</x:v>
      </x:c>
      <x:c r="H199" s="12" t="n">
        <x:v>0.5555555555555556</x:v>
      </x:c>
      <x:c r="I199" s="29" t="n">
        <x:f>'Assumptions'!$D$11+'Assumptions'!$D$12*(0.5-(G199+H199)/2)</x:f>
        <x:v>0.3</x:v>
      </x:c>
      <x:c r="J199" s="27" t="n">
        <x:f>'Assumptions'!$D$8*EXP(-'Assumptions'!$D$9*('Fleet Engine'!E215-10))*'Assumptions'!E58*'Assumptions'!D36</x:f>
        <x:v>12214.027581601698</x:v>
      </x:c>
      <x:c r="K199" s="27" t="n">
        <x:f>'Source Data'!F220+LN('Assumptions'!D58)+LN('Assumptions'!D35)</x:f>
        <x:v>8.04371664078851</x:v>
      </x:c>
      <x:c r="L199" s="27" t="n">
        <x:f>J199*(1-I199*(1-'Carrier Engine'!E91))</x:f>
        <x:v>8696.387638100408</x:v>
      </x:c>
      <x:c r="M199" s="29" t="n">
        <x:f>NORM.S.DIST((LN(L199)-K199)/'Assumptions'!$D$10,TRUE)</x:f>
        <x:v>0.7434505950635955</x:v>
      </x:c>
      <x:c r="N199" s="30" t="n">
        <x:f>MAX(0,H199-MAX(G199,M199))</x:f>
        <x:v>0</x:v>
      </x:c>
      <x:c r="O199" s="28" t="n">
        <x:f>J199*I199</x:f>
        <x:v>3664.2082744805093</x:v>
      </x:c>
      <x:c r="P199" s="27" t="n">
        <x:f>(VLOOKUP(O199,'Fee Data'!$C$6:$G$50,2,TRUE)+O199*VLOOKUP(O199,'Fee Data'!$C$6:$G$50,3,TRUE)+VLOOKUP(O199,'Fee Data'!$I$6:$J$14,2,TRUE)+'Fee Data'!$J$20+'Fee Data'!$J$21)*'Assumptions'!D37</x:f>
        <x:v>915</x:v>
      </x:c>
      <x:c r="Q199" s="27" t="n">
        <x:f>(VLOOKUP(O199,'Fee Data'!$C$6:$G$50,4,TRUE)+O199*VLOOKUP(O199,'Fee Data'!$C$6:$G$50,5,TRUE)+VLOOKUP(O199,'Fee Data'!$I$6:$J$14,2,TRUE)+'Fee Data'!$J$20+'Fee Data'!$J$21)*'Assumptions'!D37</x:f>
        <x:v>765</x:v>
      </x:c>
      <x:c r="R199" s="27" t="n">
        <x:f>P199*(1-'Assumptions'!$D$14)+Q199*'Assumptions'!$D$14</x:f>
        <x:v>840</x:v>
      </x:c>
      <x:c r="S199" s="27" t="n">
        <x:f>O199*'Carrier Engine'!E91</x:f>
        <x:v>146.56833097922032</x:v>
      </x:c>
      <x:c r="T199" s="28" t="n">
        <x:f>R199+S199</x:f>
        <x:v>986.5683309792203</x:v>
      </x:c>
      <x:c r="U199" s="27" t="n">
        <x:f>N199*'Fleet Engine'!F215</x:f>
        <x:v>0</x:v>
      </x:c>
      <x:c r="V199" s="28" t="n">
        <x:f>U199*T199</x:f>
        <x:v>0</x:v>
      </x:c>
      <x:c r="W199" s="28" t="n">
        <x:f>U199*O199</x:f>
        <x:v>0</x:v>
      </x:c>
    </x:row>
    <x:row r="200" ht="19" customHeight="1">
      <x:c r="A200" s="2"/>
      <x:c r="B200" s="2"/>
      <x:c r="C200" s="46" t="n">
        <x:v>0</x:v>
      </x:c>
      <x:c r="D200" s="46" t="n">
        <x:v>21</x:v>
      </x:c>
      <x:c r="E200" s="46" t="n">
        <x:v>3</x:v>
      </x:c>
      <x:c r="F200" s="46" t="n">
        <x:v>3</x:v>
      </x:c>
      <x:c r="G200" s="12" t="n">
        <x:v>0.5555555555555556</x:v>
      </x:c>
      <x:c r="H200" s="12" t="n">
        <x:v>0.6666666666666666</x:v>
      </x:c>
      <x:c r="I200" s="29" t="n">
        <x:f>'Assumptions'!$D$11+'Assumptions'!$D$12*(0.5-(G200+H200)/2)</x:f>
        <x:v>0.27777777777777773</x:v>
      </x:c>
      <x:c r="J200" s="27" t="n">
        <x:f>'Assumptions'!$D$8*EXP(-'Assumptions'!$D$9*('Fleet Engine'!E215-10))*'Assumptions'!E58*'Assumptions'!D36</x:f>
        <x:v>12214.027581601698</x:v>
      </x:c>
      <x:c r="K200" s="27" t="n">
        <x:f>'Source Data'!F220+LN('Assumptions'!D58)+LN('Assumptions'!D35)</x:f>
        <x:v>8.04371664078851</x:v>
      </x:c>
      <x:c r="L200" s="27" t="n">
        <x:f>J200*(1-I200*(1-'Carrier Engine'!E91))</x:f>
        <x:v>8956.953559841246</x:v>
      </x:c>
      <x:c r="M200" s="29" t="n">
        <x:f>NORM.S.DIST((LN(L200)-K200)/'Assumptions'!$D$10,TRUE)</x:f>
        <x:v>0.7494696686328344</x:v>
      </x:c>
      <x:c r="N200" s="30" t="n">
        <x:f>MAX(0,H200-MAX(G200,M200))</x:f>
        <x:v>0</x:v>
      </x:c>
      <x:c r="O200" s="28" t="n">
        <x:f>J200*I200</x:f>
        <x:v>3392.785439333805</x:v>
      </x:c>
      <x:c r="P200" s="27" t="n">
        <x:f>(VLOOKUP(O200,'Fee Data'!$C$6:$G$50,2,TRUE)+O200*VLOOKUP(O200,'Fee Data'!$C$6:$G$50,3,TRUE)+VLOOKUP(O200,'Fee Data'!$I$6:$J$14,2,TRUE)+'Fee Data'!$J$20+'Fee Data'!$J$21)*'Assumptions'!D37</x:f>
        <x:v>865</x:v>
      </x:c>
      <x:c r="Q200" s="27" t="n">
        <x:f>(VLOOKUP(O200,'Fee Data'!$C$6:$G$50,4,TRUE)+O200*VLOOKUP(O200,'Fee Data'!$C$6:$G$50,5,TRUE)+VLOOKUP(O200,'Fee Data'!$I$6:$J$14,2,TRUE)+'Fee Data'!$J$20+'Fee Data'!$J$21)*'Assumptions'!D37</x:f>
        <x:v>715</x:v>
      </x:c>
      <x:c r="R200" s="27" t="n">
        <x:f>P200*(1-'Assumptions'!$D$14)+Q200*'Assumptions'!$D$14</x:f>
        <x:v>790</x:v>
      </x:c>
      <x:c r="S200" s="27" t="n">
        <x:f>O200*'Carrier Engine'!E91</x:f>
        <x:v>135.71141757335215</x:v>
      </x:c>
      <x:c r="T200" s="28" t="n">
        <x:f>R200+S200</x:f>
        <x:v>925.7114175733522</x:v>
      </x:c>
      <x:c r="U200" s="27" t="n">
        <x:f>N200*'Fleet Engine'!F215</x:f>
        <x:v>0</x:v>
      </x:c>
      <x:c r="V200" s="28" t="n">
        <x:f>U200*T200</x:f>
        <x:v>0</x:v>
      </x:c>
      <x:c r="W200" s="28" t="n">
        <x:f>U200*O200</x:f>
        <x:v>0</x:v>
      </x:c>
    </x:row>
    <x:row r="201" ht="19" customHeight="1">
      <x:c r="A201" s="2"/>
      <x:c r="B201" s="2"/>
      <x:c r="C201" s="46" t="n">
        <x:v>0</x:v>
      </x:c>
      <x:c r="D201" s="46" t="n">
        <x:v>21</x:v>
      </x:c>
      <x:c r="E201" s="46" t="n">
        <x:v>3</x:v>
      </x:c>
      <x:c r="F201" s="46" t="n">
        <x:v>3</x:v>
      </x:c>
      <x:c r="G201" s="12" t="n">
        <x:v>0.6666666666666666</x:v>
      </x:c>
      <x:c r="H201" s="12" t="n">
        <x:v>0.7777777777777778</x:v>
      </x:c>
      <x:c r="I201" s="29" t="n">
        <x:f>'Assumptions'!$D$11+'Assumptions'!$D$12*(0.5-(G201+H201)/2)</x:f>
        <x:v>0.25555555555555554</x:v>
      </x:c>
      <x:c r="J201" s="27" t="n">
        <x:f>'Assumptions'!$D$8*EXP(-'Assumptions'!$D$9*('Fleet Engine'!E215-10))*'Assumptions'!E58*'Assumptions'!D36</x:f>
        <x:v>12214.027581601698</x:v>
      </x:c>
      <x:c r="K201" s="27" t="n">
        <x:f>'Source Data'!F220+LN('Assumptions'!D58)+LN('Assumptions'!D35)</x:f>
        <x:v>8.04371664078851</x:v>
      </x:c>
      <x:c r="L201" s="27" t="n">
        <x:f>J201*(1-I201*(1-'Carrier Engine'!E91))</x:f>
        <x:v>9217.519481582081</x:v>
      </x:c>
      <x:c r="M201" s="29" t="n">
        <x:f>NORM.S.DIST((LN(L201)-K201)/'Assumptions'!$D$10,TRUE)</x:f>
        <x:v>0.755243701876744</x:v>
      </x:c>
      <x:c r="N201" s="30" t="n">
        <x:f>MAX(0,H201-MAX(G201,M201))</x:f>
        <x:v>0.022534075901033845</x:v>
      </x:c>
      <x:c r="O201" s="28" t="n">
        <x:f>J201*I201</x:f>
        <x:v>3121.3626041871003</x:v>
      </x:c>
      <x:c r="P201" s="27" t="n">
        <x:f>(VLOOKUP(O201,'Fee Data'!$C$6:$G$50,2,TRUE)+O201*VLOOKUP(O201,'Fee Data'!$C$6:$G$50,3,TRUE)+VLOOKUP(O201,'Fee Data'!$I$6:$J$14,2,TRUE)+'Fee Data'!$J$20+'Fee Data'!$J$21)*'Assumptions'!D37</x:f>
        <x:v>865</x:v>
      </x:c>
      <x:c r="Q201" s="27" t="n">
        <x:f>(VLOOKUP(O201,'Fee Data'!$C$6:$G$50,4,TRUE)+O201*VLOOKUP(O201,'Fee Data'!$C$6:$G$50,5,TRUE)+VLOOKUP(O201,'Fee Data'!$I$6:$J$14,2,TRUE)+'Fee Data'!$J$20+'Fee Data'!$J$21)*'Assumptions'!D37</x:f>
        <x:v>715</x:v>
      </x:c>
      <x:c r="R201" s="27" t="n">
        <x:f>P201*(1-'Assumptions'!$D$14)+Q201*'Assumptions'!$D$14</x:f>
        <x:v>790</x:v>
      </x:c>
      <x:c r="S201" s="27" t="n">
        <x:f>O201*'Carrier Engine'!E91</x:f>
        <x:v>124.85450416748397</x:v>
      </x:c>
      <x:c r="T201" s="28" t="n">
        <x:f>R201+S201</x:f>
        <x:v>914.8545041674839</x:v>
      </x:c>
      <x:c r="U201" s="27" t="n">
        <x:f>N201*'Fleet Engine'!F215</x:f>
        <x:v>44.60582221959307</x:v>
      </x:c>
      <x:c r="V201" s="28" t="n">
        <x:f>U201*T201</x:f>
        <x:v>40807.83736968876</x:v>
      </x:c>
      <x:c r="W201" s="28" t="n">
        <x:f>U201*O201</x:f>
        <x:v>139230.94540525586</x:v>
      </x:c>
    </x:row>
    <x:row r="202" ht="19" customHeight="1">
      <x:c r="A202" s="2"/>
      <x:c r="B202" s="2"/>
      <x:c r="C202" s="46" t="n">
        <x:v>0</x:v>
      </x:c>
      <x:c r="D202" s="46" t="n">
        <x:v>21</x:v>
      </x:c>
      <x:c r="E202" s="46" t="n">
        <x:v>3</x:v>
      </x:c>
      <x:c r="F202" s="46" t="n">
        <x:v>3</x:v>
      </x:c>
      <x:c r="G202" s="12" t="n">
        <x:v>0.7777777777777778</x:v>
      </x:c>
      <x:c r="H202" s="12" t="n">
        <x:v>0.8888888888888888</x:v>
      </x:c>
      <x:c r="I202" s="29" t="n">
        <x:f>'Assumptions'!$D$11+'Assumptions'!$D$12*(0.5-(G202+H202)/2)</x:f>
        <x:v>0.23333333333333334</x:v>
      </x:c>
      <x:c r="J202" s="27" t="n">
        <x:f>'Assumptions'!$D$8*EXP(-'Assumptions'!$D$9*('Fleet Engine'!E215-10))*'Assumptions'!E58*'Assumptions'!D36</x:f>
        <x:v>12214.027581601698</x:v>
      </x:c>
      <x:c r="K202" s="27" t="n">
        <x:f>'Source Data'!F220+LN('Assumptions'!D58)+LN('Assumptions'!D35)</x:f>
        <x:v>8.04371664078851</x:v>
      </x:c>
      <x:c r="L202" s="27" t="n">
        <x:f>J202*(1-I202*(1-'Carrier Engine'!E91))</x:f>
        <x:v>9478.085403322919</x:v>
      </x:c>
      <x:c r="M202" s="29" t="n">
        <x:f>NORM.S.DIST((LN(L202)-K202)/'Assumptions'!$D$10,TRUE)</x:f>
        <x:v>0.7607873605938249</x:v>
      </x:c>
      <x:c r="N202" s="30" t="n">
        <x:f>MAX(0,H202-MAX(G202,M202))</x:f>
        <x:v>0.11111111111111105</x:v>
      </x:c>
      <x:c r="O202" s="28" t="n">
        <x:f>J202*I202</x:f>
        <x:v>2849.939769040396</x:v>
      </x:c>
      <x:c r="P202" s="27" t="n">
        <x:f>(VLOOKUP(O202,'Fee Data'!$C$6:$G$50,2,TRUE)+O202*VLOOKUP(O202,'Fee Data'!$C$6:$G$50,3,TRUE)+VLOOKUP(O202,'Fee Data'!$I$6:$J$14,2,TRUE)+'Fee Data'!$J$20+'Fee Data'!$J$21)*'Assumptions'!D37</x:f>
        <x:v>820</x:v>
      </x:c>
      <x:c r="Q202" s="27" t="n">
        <x:f>(VLOOKUP(O202,'Fee Data'!$C$6:$G$50,4,TRUE)+O202*VLOOKUP(O202,'Fee Data'!$C$6:$G$50,5,TRUE)+VLOOKUP(O202,'Fee Data'!$I$6:$J$14,2,TRUE)+'Fee Data'!$J$20+'Fee Data'!$J$21)*'Assumptions'!D37</x:f>
        <x:v>670</x:v>
      </x:c>
      <x:c r="R202" s="27" t="n">
        <x:f>P202*(1-'Assumptions'!$D$14)+Q202*'Assumptions'!$D$14</x:f>
        <x:v>745</x:v>
      </x:c>
      <x:c r="S202" s="27" t="n">
        <x:f>O202*'Carrier Engine'!E91</x:f>
        <x:v>113.99759076161581</x:v>
      </x:c>
      <x:c r="T202" s="28" t="n">
        <x:f>R202+S202</x:f>
        <x:v>858.9975907616158</x:v>
      </x:c>
      <x:c r="U202" s="27" t="n">
        <x:f>N202*'Fleet Engine'!F215</x:f>
        <x:v>219.94256567744523</x:v>
      </x:c>
      <x:c r="V202" s="28" t="n">
        <x:f>U202*T202</x:f>
        <x:v>188930.13402285392</x:v>
      </x:c>
      <x:c r="W202" s="28" t="n">
        <x:f>U202*O202</x:f>
        <x:v>626823.0648289304</x:v>
      </x:c>
    </x:row>
    <x:row r="203" ht="19" customHeight="1">
      <x:c r="A203" s="2"/>
      <x:c r="B203" s="2"/>
      <x:c r="C203" s="46" t="n">
        <x:v>0</x:v>
      </x:c>
      <x:c r="D203" s="46" t="n">
        <x:v>21</x:v>
      </x:c>
      <x:c r="E203" s="46" t="n">
        <x:v>3</x:v>
      </x:c>
      <x:c r="F203" s="46" t="n">
        <x:v>3</x:v>
      </x:c>
      <x:c r="G203" s="12" t="n">
        <x:v>0.8888888888888888</x:v>
      </x:c>
      <x:c r="H203" s="12" t="n">
        <x:v>1</x:v>
      </x:c>
      <x:c r="I203" s="29" t="n">
        <x:f>'Assumptions'!$D$11+'Assumptions'!$D$12*(0.5-(G203+H203)/2)</x:f>
        <x:v>0.21111111111111108</x:v>
      </x:c>
      <x:c r="J203" s="27" t="n">
        <x:f>'Assumptions'!$D$8*EXP(-'Assumptions'!$D$9*('Fleet Engine'!E215-10))*'Assumptions'!E58*'Assumptions'!D36</x:f>
        <x:v>12214.027581601698</x:v>
      </x:c>
      <x:c r="K203" s="27" t="n">
        <x:f>'Source Data'!F220+LN('Assumptions'!D58)+LN('Assumptions'!D35)</x:f>
        <x:v>8.04371664078851</x:v>
      </x:c>
      <x:c r="L203" s="27" t="n">
        <x:f>J203*(1-I203*(1-'Carrier Engine'!E91))</x:f>
        <x:v>9738.651325063754</x:v>
      </x:c>
      <x:c r="M203" s="29" t="n">
        <x:f>NORM.S.DIST((LN(L203)-K203)/'Assumptions'!$D$10,TRUE)</x:f>
        <x:v>0.7661141426007128</x:v>
      </x:c>
      <x:c r="N203" s="30" t="n">
        <x:f>MAX(0,H203-MAX(G203,M203))</x:f>
        <x:v>0.11111111111111116</x:v>
      </x:c>
      <x:c r="O203" s="28" t="n">
        <x:f>J203*I203</x:f>
        <x:v>2578.5169338936917</x:v>
      </x:c>
      <x:c r="P203" s="27" t="n">
        <x:f>(VLOOKUP(O203,'Fee Data'!$C$6:$G$50,2,TRUE)+O203*VLOOKUP(O203,'Fee Data'!$C$6:$G$50,3,TRUE)+VLOOKUP(O203,'Fee Data'!$I$6:$J$14,2,TRUE)+'Fee Data'!$J$20+'Fee Data'!$J$21)*'Assumptions'!D37</x:f>
        <x:v>820</x:v>
      </x:c>
      <x:c r="Q203" s="27" t="n">
        <x:f>(VLOOKUP(O203,'Fee Data'!$C$6:$G$50,4,TRUE)+O203*VLOOKUP(O203,'Fee Data'!$C$6:$G$50,5,TRUE)+VLOOKUP(O203,'Fee Data'!$I$6:$J$14,2,TRUE)+'Fee Data'!$J$20+'Fee Data'!$J$21)*'Assumptions'!D37</x:f>
        <x:v>670</x:v>
      </x:c>
      <x:c r="R203" s="27" t="n">
        <x:f>P203*(1-'Assumptions'!$D$14)+Q203*'Assumptions'!$D$14</x:f>
        <x:v>745</x:v>
      </x:c>
      <x:c r="S203" s="27" t="n">
        <x:f>O203*'Carrier Engine'!E91</x:f>
        <x:v>103.14067735574763</x:v>
      </x:c>
      <x:c r="T203" s="28" t="n">
        <x:f>R203+S203</x:f>
        <x:v>848.1406773557476</x:v>
      </x:c>
      <x:c r="U203" s="27" t="n">
        <x:f>N203*'Fleet Engine'!F215</x:f>
        <x:v>219.94256567744546</x:v>
      </x:c>
      <x:c r="V203" s="28" t="n">
        <x:f>U203*T203</x:f>
        <x:v>186542.2366330296</x:v>
      </x:c>
      <x:c r="W203" s="28" t="n">
        <x:f>U203*O203</x:f>
        <x:v>567125.6300833186</x:v>
      </x:c>
    </x:row>
    <x:row r="204" ht="19" customHeight="1">
      <x:c r="A204" s="2"/>
      <x:c r="B204" s="2"/>
      <x:c r="C204" s="46" t="n">
        <x:v>0</x:v>
      </x:c>
      <x:c r="D204" s="46" t="n">
        <x:v>22</x:v>
      </x:c>
      <x:c r="E204" s="46" t="n">
        <x:v>3</x:v>
      </x:c>
      <x:c r="F204" s="46" t="n">
        <x:v>4</x:v>
      </x:c>
      <x:c r="G204" s="12" t="n">
        <x:v>0</x:v>
      </x:c>
      <x:c r="H204" s="12" t="n">
        <x:v>0.1111111111111111</x:v>
      </x:c>
      <x:c r="I204" s="29" t="n">
        <x:f>'Assumptions'!$D$11+'Assumptions'!$D$12*(0.5-(G204+H204)/2)</x:f>
        <x:v>0.3888888888888889</x:v>
      </x:c>
      <x:c r="J204" s="27" t="n">
        <x:f>'Assumptions'!$D$8*EXP(-'Assumptions'!$D$9*('Fleet Engine'!E216-10))*'Assumptions'!E58*'Assumptions'!D36</x:f>
        <x:v>9048.374180359595</x:v>
      </x:c>
      <x:c r="K204" s="27" t="n">
        <x:f>'Source Data'!F221+LN('Assumptions'!D58)+LN('Assumptions'!D35)</x:f>
        <x:v>8.129564769703762</x:v>
      </x:c>
      <x:c r="L204" s="27" t="n">
        <x:f>J204*(1-I204*(1-'Carrier Engine'!E91))</x:f>
        <x:v>5670.3144863586795</x:v>
      </x:c>
      <x:c r="M204" s="29" t="n">
        <x:f>NORM.S.DIST((LN(L204)-K204)/'Assumptions'!$D$10,TRUE)</x:f>
        <x:v>0.6281606975277834</x:v>
      </x:c>
      <x:c r="N204" s="30" t="n">
        <x:f>MAX(0,H204-MAX(G204,M204))</x:f>
        <x:v>0</x:v>
      </x:c>
      <x:c r="O204" s="28" t="n">
        <x:f>J204*I204</x:f>
        <x:v>3518.8121812509535</x:v>
      </x:c>
      <x:c r="P204" s="27" t="n">
        <x:f>(VLOOKUP(O204,'Fee Data'!$C$6:$G$50,2,TRUE)+O204*VLOOKUP(O204,'Fee Data'!$C$6:$G$50,3,TRUE)+VLOOKUP(O204,'Fee Data'!$I$6:$J$14,2,TRUE)+'Fee Data'!$J$20+'Fee Data'!$J$21)*'Assumptions'!D37</x:f>
        <x:v>915</x:v>
      </x:c>
      <x:c r="Q204" s="27" t="n">
        <x:f>(VLOOKUP(O204,'Fee Data'!$C$6:$G$50,4,TRUE)+O204*VLOOKUP(O204,'Fee Data'!$C$6:$G$50,5,TRUE)+VLOOKUP(O204,'Fee Data'!$I$6:$J$14,2,TRUE)+'Fee Data'!$J$20+'Fee Data'!$J$21)*'Assumptions'!D37</x:f>
        <x:v>765</x:v>
      </x:c>
      <x:c r="R204" s="27" t="n">
        <x:f>P204*(1-'Assumptions'!$D$14)+Q204*'Assumptions'!$D$14</x:f>
        <x:v>840</x:v>
      </x:c>
      <x:c r="S204" s="27" t="n">
        <x:f>O204*'Carrier Engine'!E91</x:f>
        <x:v>140.7524872500381</x:v>
      </x:c>
      <x:c r="T204" s="28" t="n">
        <x:f>R204+S204</x:f>
        <x:v>980.752487250038</x:v>
      </x:c>
      <x:c r="U204" s="27" t="n">
        <x:f>N204*'Fleet Engine'!F216</x:f>
        <x:v>0</x:v>
      </x:c>
      <x:c r="V204" s="28" t="n">
        <x:f>U204*T204</x:f>
        <x:v>0</x:v>
      </x:c>
      <x:c r="W204" s="28" t="n">
        <x:f>U204*O204</x:f>
        <x:v>0</x:v>
      </x:c>
    </x:row>
    <x:row r="205" ht="19" customHeight="1">
      <x:c r="A205" s="2"/>
      <x:c r="B205" s="2"/>
      <x:c r="C205" s="46" t="n">
        <x:v>0</x:v>
      </x:c>
      <x:c r="D205" s="46" t="n">
        <x:v>22</x:v>
      </x:c>
      <x:c r="E205" s="46" t="n">
        <x:v>3</x:v>
      </x:c>
      <x:c r="F205" s="46" t="n">
        <x:v>4</x:v>
      </x:c>
      <x:c r="G205" s="12" t="n">
        <x:v>0.1111111111111111</x:v>
      </x:c>
      <x:c r="H205" s="12" t="n">
        <x:v>0.2222222222222222</x:v>
      </x:c>
      <x:c r="I205" s="29" t="n">
        <x:f>'Assumptions'!$D$11+'Assumptions'!$D$12*(0.5-(G205+H205)/2)</x:f>
        <x:v>0.3666666666666667</x:v>
      </x:c>
      <x:c r="J205" s="27" t="n">
        <x:f>'Assumptions'!$D$8*EXP(-'Assumptions'!$D$9*('Fleet Engine'!E216-10))*'Assumptions'!E58*'Assumptions'!D36</x:f>
        <x:v>9048.374180359595</x:v>
      </x:c>
      <x:c r="K205" s="27" t="n">
        <x:f>'Source Data'!F221+LN('Assumptions'!D58)+LN('Assumptions'!D35)</x:f>
        <x:v>8.129564769703762</x:v>
      </x:c>
      <x:c r="L205" s="27" t="n">
        <x:f>J205*(1-I205*(1-'Carrier Engine'!E91))</x:f>
        <x:v>5863.346468873016</x:v>
      </x:c>
      <x:c r="M205" s="29" t="n">
        <x:f>NORM.S.DIST((LN(L205)-K205)/'Assumptions'!$D$10,TRUE)</x:f>
        <x:v>0.6361945348683504</x:v>
      </x:c>
      <x:c r="N205" s="30" t="n">
        <x:f>MAX(0,H205-MAX(G205,M205))</x:f>
        <x:v>0</x:v>
      </x:c>
      <x:c r="O205" s="28" t="n">
        <x:f>J205*I205</x:f>
        <x:v>3317.737199465185</x:v>
      </x:c>
      <x:c r="P205" s="27" t="n">
        <x:f>(VLOOKUP(O205,'Fee Data'!$C$6:$G$50,2,TRUE)+O205*VLOOKUP(O205,'Fee Data'!$C$6:$G$50,3,TRUE)+VLOOKUP(O205,'Fee Data'!$I$6:$J$14,2,TRUE)+'Fee Data'!$J$20+'Fee Data'!$J$21)*'Assumptions'!D37</x:f>
        <x:v>865</x:v>
      </x:c>
      <x:c r="Q205" s="27" t="n">
        <x:f>(VLOOKUP(O205,'Fee Data'!$C$6:$G$50,4,TRUE)+O205*VLOOKUP(O205,'Fee Data'!$C$6:$G$50,5,TRUE)+VLOOKUP(O205,'Fee Data'!$I$6:$J$14,2,TRUE)+'Fee Data'!$J$20+'Fee Data'!$J$21)*'Assumptions'!D37</x:f>
        <x:v>715</x:v>
      </x:c>
      <x:c r="R205" s="27" t="n">
        <x:f>P205*(1-'Assumptions'!$D$14)+Q205*'Assumptions'!$D$14</x:f>
        <x:v>790</x:v>
      </x:c>
      <x:c r="S205" s="27" t="n">
        <x:f>O205*'Carrier Engine'!E91</x:f>
        <x:v>132.70948797860734</x:v>
      </x:c>
      <x:c r="T205" s="28" t="n">
        <x:f>R205+S205</x:f>
        <x:v>922.7094879786073</x:v>
      </x:c>
      <x:c r="U205" s="27" t="n">
        <x:f>N205*'Fleet Engine'!F216</x:f>
        <x:v>0</x:v>
      </x:c>
      <x:c r="V205" s="28" t="n">
        <x:f>U205*T205</x:f>
        <x:v>0</x:v>
      </x:c>
      <x:c r="W205" s="28" t="n">
        <x:f>U205*O205</x:f>
        <x:v>0</x:v>
      </x:c>
    </x:row>
    <x:row r="206" ht="19" customHeight="1">
      <x:c r="A206" s="2"/>
      <x:c r="B206" s="2"/>
      <x:c r="C206" s="46" t="n">
        <x:v>0</x:v>
      </x:c>
      <x:c r="D206" s="46" t="n">
        <x:v>22</x:v>
      </x:c>
      <x:c r="E206" s="46" t="n">
        <x:v>3</x:v>
      </x:c>
      <x:c r="F206" s="46" t="n">
        <x:v>4</x:v>
      </x:c>
      <x:c r="G206" s="12" t="n">
        <x:v>0.2222222222222222</x:v>
      </x:c>
      <x:c r="H206" s="12" t="n">
        <x:v>0.3333333333333333</x:v>
      </x:c>
      <x:c r="I206" s="29" t="n">
        <x:f>'Assumptions'!$D$11+'Assumptions'!$D$12*(0.5-(G206+H206)/2)</x:f>
        <x:v>0.34444444444444444</x:v>
      </x:c>
      <x:c r="J206" s="27" t="n">
        <x:f>'Assumptions'!$D$8*EXP(-'Assumptions'!$D$9*('Fleet Engine'!E216-10))*'Assumptions'!E58*'Assumptions'!D36</x:f>
        <x:v>9048.374180359595</x:v>
      </x:c>
      <x:c r="K206" s="27" t="n">
        <x:f>'Source Data'!F221+LN('Assumptions'!D58)+LN('Assumptions'!D35)</x:f>
        <x:v>8.129564769703762</x:v>
      </x:c>
      <x:c r="L206" s="27" t="n">
        <x:f>J206*(1-I206*(1-'Carrier Engine'!E91))</x:f>
        <x:v>6056.378451387355</x:v>
      </x:c>
      <x:c r="M206" s="29" t="n">
        <x:f>NORM.S.DIST((LN(L206)-K206)/'Assumptions'!$D$10,TRUE)</x:f>
        <x:v>0.6439115766417938</x:v>
      </x:c>
      <x:c r="N206" s="30" t="n">
        <x:f>MAX(0,H206-MAX(G206,M206))</x:f>
        <x:v>0</x:v>
      </x:c>
      <x:c r="O206" s="28" t="n">
        <x:f>J206*I206</x:f>
        <x:v>3116.662217679416</x:v>
      </x:c>
      <x:c r="P206" s="27" t="n">
        <x:f>(VLOOKUP(O206,'Fee Data'!$C$6:$G$50,2,TRUE)+O206*VLOOKUP(O206,'Fee Data'!$C$6:$G$50,3,TRUE)+VLOOKUP(O206,'Fee Data'!$I$6:$J$14,2,TRUE)+'Fee Data'!$J$20+'Fee Data'!$J$21)*'Assumptions'!D37</x:f>
        <x:v>865</x:v>
      </x:c>
      <x:c r="Q206" s="27" t="n">
        <x:f>(VLOOKUP(O206,'Fee Data'!$C$6:$G$50,4,TRUE)+O206*VLOOKUP(O206,'Fee Data'!$C$6:$G$50,5,TRUE)+VLOOKUP(O206,'Fee Data'!$I$6:$J$14,2,TRUE)+'Fee Data'!$J$20+'Fee Data'!$J$21)*'Assumptions'!D37</x:f>
        <x:v>715</x:v>
      </x:c>
      <x:c r="R206" s="27" t="n">
        <x:f>P206*(1-'Assumptions'!$D$14)+Q206*'Assumptions'!$D$14</x:f>
        <x:v>790</x:v>
      </x:c>
      <x:c r="S206" s="27" t="n">
        <x:f>O206*'Carrier Engine'!E91</x:f>
        <x:v>124.6664887071766</x:v>
      </x:c>
      <x:c r="T206" s="28" t="n">
        <x:f>R206+S206</x:f>
        <x:v>914.6664887071765</x:v>
      </x:c>
      <x:c r="U206" s="27" t="n">
        <x:f>N206*'Fleet Engine'!F216</x:f>
        <x:v>0</x:v>
      </x:c>
      <x:c r="V206" s="28" t="n">
        <x:f>U206*T206</x:f>
        <x:v>0</x:v>
      </x:c>
      <x:c r="W206" s="28" t="n">
        <x:f>U206*O206</x:f>
        <x:v>0</x:v>
      </x:c>
    </x:row>
    <x:row r="207" ht="19" customHeight="1">
      <x:c r="A207" s="2"/>
      <x:c r="B207" s="2"/>
      <x:c r="C207" s="46" t="n">
        <x:v>0</x:v>
      </x:c>
      <x:c r="D207" s="46" t="n">
        <x:v>22</x:v>
      </x:c>
      <x:c r="E207" s="46" t="n">
        <x:v>3</x:v>
      </x:c>
      <x:c r="F207" s="46" t="n">
        <x:v>4</x:v>
      </x:c>
      <x:c r="G207" s="12" t="n">
        <x:v>0.3333333333333333</x:v>
      </x:c>
      <x:c r="H207" s="12" t="n">
        <x:v>0.4444444444444444</x:v>
      </x:c>
      <x:c r="I207" s="29" t="n">
        <x:f>'Assumptions'!$D$11+'Assumptions'!$D$12*(0.5-(G207+H207)/2)</x:f>
        <x:v>0.32222222222222224</x:v>
      </x:c>
      <x:c r="J207" s="27" t="n">
        <x:f>'Assumptions'!$D$8*EXP(-'Assumptions'!$D$9*('Fleet Engine'!E216-10))*'Assumptions'!E58*'Assumptions'!D36</x:f>
        <x:v>9048.374180359595</x:v>
      </x:c>
      <x:c r="K207" s="27" t="n">
        <x:f>'Source Data'!F221+LN('Assumptions'!D58)+LN('Assumptions'!D35)</x:f>
        <x:v>8.129564769703762</x:v>
      </x:c>
      <x:c r="L207" s="27" t="n">
        <x:f>J207*(1-I207*(1-'Carrier Engine'!E91))</x:f>
        <x:v>6249.410433901693</x:v>
      </x:c>
      <x:c r="M207" s="29" t="n">
        <x:f>NORM.S.DIST((LN(L207)-K207)/'Assumptions'!$D$10,TRUE)</x:f>
        <x:v>0.651330720808863</x:v>
      </x:c>
      <x:c r="N207" s="30" t="n">
        <x:f>MAX(0,H207-MAX(G207,M207))</x:f>
        <x:v>0</x:v>
      </x:c>
      <x:c r="O207" s="28" t="n">
        <x:f>J207*I207</x:f>
        <x:v>2915.5872358936476</x:v>
      </x:c>
      <x:c r="P207" s="27" t="n">
        <x:f>(VLOOKUP(O207,'Fee Data'!$C$6:$G$50,2,TRUE)+O207*VLOOKUP(O207,'Fee Data'!$C$6:$G$50,3,TRUE)+VLOOKUP(O207,'Fee Data'!$I$6:$J$14,2,TRUE)+'Fee Data'!$J$20+'Fee Data'!$J$21)*'Assumptions'!D37</x:f>
        <x:v>820</x:v>
      </x:c>
      <x:c r="Q207" s="27" t="n">
        <x:f>(VLOOKUP(O207,'Fee Data'!$C$6:$G$50,4,TRUE)+O207*VLOOKUP(O207,'Fee Data'!$C$6:$G$50,5,TRUE)+VLOOKUP(O207,'Fee Data'!$I$6:$J$14,2,TRUE)+'Fee Data'!$J$20+'Fee Data'!$J$21)*'Assumptions'!D37</x:f>
        <x:v>670</x:v>
      </x:c>
      <x:c r="R207" s="27" t="n">
        <x:f>P207*(1-'Assumptions'!$D$14)+Q207*'Assumptions'!$D$14</x:f>
        <x:v>745</x:v>
      </x:c>
      <x:c r="S207" s="27" t="n">
        <x:f>O207*'Carrier Engine'!E91</x:f>
        <x:v>116.62348943574587</x:v>
      </x:c>
      <x:c r="T207" s="28" t="n">
        <x:f>R207+S207</x:f>
        <x:v>861.6234894357459</x:v>
      </x:c>
      <x:c r="U207" s="27" t="n">
        <x:f>N207*'Fleet Engine'!F216</x:f>
        <x:v>0</x:v>
      </x:c>
      <x:c r="V207" s="28" t="n">
        <x:f>U207*T207</x:f>
        <x:v>0</x:v>
      </x:c>
      <x:c r="W207" s="28" t="n">
        <x:f>U207*O207</x:f>
        <x:v>0</x:v>
      </x:c>
    </x:row>
    <x:row r="208" ht="19" customHeight="1">
      <x:c r="A208" s="2"/>
      <x:c r="B208" s="2"/>
      <x:c r="C208" s="46" t="n">
        <x:v>0</x:v>
      </x:c>
      <x:c r="D208" s="46" t="n">
        <x:v>22</x:v>
      </x:c>
      <x:c r="E208" s="46" t="n">
        <x:v>3</x:v>
      </x:c>
      <x:c r="F208" s="46" t="n">
        <x:v>4</x:v>
      </x:c>
      <x:c r="G208" s="12" t="n">
        <x:v>0.4444444444444444</x:v>
      </x:c>
      <x:c r="H208" s="12" t="n">
        <x:v>0.5555555555555556</x:v>
      </x:c>
      <x:c r="I208" s="29" t="n">
        <x:f>'Assumptions'!$D$11+'Assumptions'!$D$12*(0.5-(G208+H208)/2)</x:f>
        <x:v>0.3</x:v>
      </x:c>
      <x:c r="J208" s="27" t="n">
        <x:f>'Assumptions'!$D$8*EXP(-'Assumptions'!$D$9*('Fleet Engine'!E216-10))*'Assumptions'!E58*'Assumptions'!D36</x:f>
        <x:v>9048.374180359595</x:v>
      </x:c>
      <x:c r="K208" s="27" t="n">
        <x:f>'Source Data'!F221+LN('Assumptions'!D58)+LN('Assumptions'!D35)</x:f>
        <x:v>8.129564769703762</x:v>
      </x:c>
      <x:c r="L208" s="27" t="n">
        <x:f>J208*(1-I208*(1-'Carrier Engine'!E91))</x:f>
        <x:v>6442.442416416031</x:v>
      </x:c>
      <x:c r="M208" s="29" t="n">
        <x:f>NORM.S.DIST((LN(L208)-K208)/'Assumptions'!$D$10,TRUE)</x:f>
        <x:v>0.6584693407393539</x:v>
      </x:c>
      <x:c r="N208" s="30" t="n">
        <x:f>MAX(0,H208-MAX(G208,M208))</x:f>
        <x:v>0</x:v>
      </x:c>
      <x:c r="O208" s="28" t="n">
        <x:f>J208*I208</x:f>
        <x:v>2714.5122541078786</x:v>
      </x:c>
      <x:c r="P208" s="27" t="n">
        <x:f>(VLOOKUP(O208,'Fee Data'!$C$6:$G$50,2,TRUE)+O208*VLOOKUP(O208,'Fee Data'!$C$6:$G$50,3,TRUE)+VLOOKUP(O208,'Fee Data'!$I$6:$J$14,2,TRUE)+'Fee Data'!$J$20+'Fee Data'!$J$21)*'Assumptions'!D37</x:f>
        <x:v>820</x:v>
      </x:c>
      <x:c r="Q208" s="27" t="n">
        <x:f>(VLOOKUP(O208,'Fee Data'!$C$6:$G$50,4,TRUE)+O208*VLOOKUP(O208,'Fee Data'!$C$6:$G$50,5,TRUE)+VLOOKUP(O208,'Fee Data'!$I$6:$J$14,2,TRUE)+'Fee Data'!$J$20+'Fee Data'!$J$21)*'Assumptions'!D37</x:f>
        <x:v>670</x:v>
      </x:c>
      <x:c r="R208" s="27" t="n">
        <x:f>P208*(1-'Assumptions'!$D$14)+Q208*'Assumptions'!$D$14</x:f>
        <x:v>745</x:v>
      </x:c>
      <x:c r="S208" s="27" t="n">
        <x:f>O208*'Carrier Engine'!E91</x:f>
        <x:v>108.58049016431511</x:v>
      </x:c>
      <x:c r="T208" s="28" t="n">
        <x:f>R208+S208</x:f>
        <x:v>853.580490164315</x:v>
      </x:c>
      <x:c r="U208" s="27" t="n">
        <x:f>N208*'Fleet Engine'!F216</x:f>
        <x:v>0</x:v>
      </x:c>
      <x:c r="V208" s="28" t="n">
        <x:f>U208*T208</x:f>
        <x:v>0</x:v>
      </x:c>
      <x:c r="W208" s="28" t="n">
        <x:f>U208*O208</x:f>
        <x:v>0</x:v>
      </x:c>
    </x:row>
    <x:row r="209" ht="19" customHeight="1">
      <x:c r="A209" s="2"/>
      <x:c r="B209" s="2"/>
      <x:c r="C209" s="46" t="n">
        <x:v>0</x:v>
      </x:c>
      <x:c r="D209" s="46" t="n">
        <x:v>22</x:v>
      </x:c>
      <x:c r="E209" s="46" t="n">
        <x:v>3</x:v>
      </x:c>
      <x:c r="F209" s="46" t="n">
        <x:v>4</x:v>
      </x:c>
      <x:c r="G209" s="12" t="n">
        <x:v>0.5555555555555556</x:v>
      </x:c>
      <x:c r="H209" s="12" t="n">
        <x:v>0.6666666666666666</x:v>
      </x:c>
      <x:c r="I209" s="29" t="n">
        <x:f>'Assumptions'!$D$11+'Assumptions'!$D$12*(0.5-(G209+H209)/2)</x:f>
        <x:v>0.27777777777777773</x:v>
      </x:c>
      <x:c r="J209" s="27" t="n">
        <x:f>'Assumptions'!$D$8*EXP(-'Assumptions'!$D$9*('Fleet Engine'!E216-10))*'Assumptions'!E58*'Assumptions'!D36</x:f>
        <x:v>9048.374180359595</x:v>
      </x:c>
      <x:c r="K209" s="27" t="n">
        <x:f>'Source Data'!F221+LN('Assumptions'!D58)+LN('Assumptions'!D35)</x:f>
        <x:v>8.129564769703762</x:v>
      </x:c>
      <x:c r="L209" s="27" t="n">
        <x:f>J209*(1-I209*(1-'Carrier Engine'!E91))</x:f>
        <x:v>6635.47439893037</x:v>
      </x:c>
      <x:c r="M209" s="29" t="n">
        <x:f>NORM.S.DIST((LN(L209)-K209)/'Assumptions'!$D$10,TRUE)</x:f>
        <x:v>0.6653434401742447</x:v>
      </x:c>
      <x:c r="N209" s="30" t="n">
        <x:f>MAX(0,H209-MAX(G209,M209))</x:f>
        <x:v>0.0013232264924218917</x:v>
      </x:c>
      <x:c r="O209" s="28" t="n">
        <x:f>J209*I209</x:f>
        <x:v>2513.4372723221095</x:v>
      </x:c>
      <x:c r="P209" s="27" t="n">
        <x:f>(VLOOKUP(O209,'Fee Data'!$C$6:$G$50,2,TRUE)+O209*VLOOKUP(O209,'Fee Data'!$C$6:$G$50,3,TRUE)+VLOOKUP(O209,'Fee Data'!$I$6:$J$14,2,TRUE)+'Fee Data'!$J$20+'Fee Data'!$J$21)*'Assumptions'!D37</x:f>
        <x:v>820</x:v>
      </x:c>
      <x:c r="Q209" s="27" t="n">
        <x:f>(VLOOKUP(O209,'Fee Data'!$C$6:$G$50,4,TRUE)+O209*VLOOKUP(O209,'Fee Data'!$C$6:$G$50,5,TRUE)+VLOOKUP(O209,'Fee Data'!$I$6:$J$14,2,TRUE)+'Fee Data'!$J$20+'Fee Data'!$J$21)*'Assumptions'!D37</x:f>
        <x:v>670</x:v>
      </x:c>
      <x:c r="R209" s="27" t="n">
        <x:f>P209*(1-'Assumptions'!$D$14)+Q209*'Assumptions'!$D$14</x:f>
        <x:v>745</x:v>
      </x:c>
      <x:c r="S209" s="27" t="n">
        <x:f>O209*'Carrier Engine'!E91</x:f>
        <x:v>100.53749089288435</x:v>
      </x:c>
      <x:c r="T209" s="28" t="n">
        <x:f>R209+S209</x:f>
        <x:v>845.5374908928843</x:v>
      </x:c>
      <x:c r="U209" s="27" t="n">
        <x:f>N209*'Fleet Engine'!F216</x:f>
        <x:v>1.3919014047796285</x:v>
      </x:c>
      <x:c r="V209" s="28" t="n">
        <x:f>U209*T209</x:f>
        <x:v>1176.904821367648</x:v>
      </x:c>
      <x:c r="W209" s="28" t="n">
        <x:f>U209*O209</x:f>
        <x:v>3498.456870170622</x:v>
      </x:c>
    </x:row>
    <x:row r="210" ht="19" customHeight="1">
      <x:c r="A210" s="2"/>
      <x:c r="B210" s="2"/>
      <x:c r="C210" s="46" t="n">
        <x:v>0</x:v>
      </x:c>
      <x:c r="D210" s="46" t="n">
        <x:v>22</x:v>
      </x:c>
      <x:c r="E210" s="46" t="n">
        <x:v>3</x:v>
      </x:c>
      <x:c r="F210" s="46" t="n">
        <x:v>4</x:v>
      </x:c>
      <x:c r="G210" s="12" t="n">
        <x:v>0.6666666666666666</x:v>
      </x:c>
      <x:c r="H210" s="12" t="n">
        <x:v>0.7777777777777778</x:v>
      </x:c>
      <x:c r="I210" s="29" t="n">
        <x:f>'Assumptions'!$D$11+'Assumptions'!$D$12*(0.5-(G210+H210)/2)</x:f>
        <x:v>0.25555555555555554</x:v>
      </x:c>
      <x:c r="J210" s="27" t="n">
        <x:f>'Assumptions'!$D$8*EXP(-'Assumptions'!$D$9*('Fleet Engine'!E216-10))*'Assumptions'!E58*'Assumptions'!D36</x:f>
        <x:v>9048.374180359595</x:v>
      </x:c>
      <x:c r="K210" s="27" t="n">
        <x:f>'Source Data'!F221+LN('Assumptions'!D58)+LN('Assumptions'!D35)</x:f>
        <x:v>8.129564769703762</x:v>
      </x:c>
      <x:c r="L210" s="27" t="n">
        <x:f>J210*(1-I210*(1-'Carrier Engine'!E91))</x:f>
        <x:v>6828.506381444708</x:v>
      </x:c>
      <x:c r="M210" s="29" t="n">
        <x:f>NORM.S.DIST((LN(L210)-K210)/'Assumptions'!$D$10,TRUE)</x:f>
        <x:v>0.6719677892659592</x:v>
      </x:c>
      <x:c r="N210" s="30" t="n">
        <x:f>MAX(0,H210-MAX(G210,M210))</x:f>
        <x:v>0.10580998851181855</x:v>
      </x:c>
      <x:c r="O210" s="28" t="n">
        <x:f>J210*I210</x:f>
        <x:v>2312.362290536341</x:v>
      </x:c>
      <x:c r="P210" s="27" t="n">
        <x:f>(VLOOKUP(O210,'Fee Data'!$C$6:$G$50,2,TRUE)+O210*VLOOKUP(O210,'Fee Data'!$C$6:$G$50,3,TRUE)+VLOOKUP(O210,'Fee Data'!$I$6:$J$14,2,TRUE)+'Fee Data'!$J$20+'Fee Data'!$J$21)*'Assumptions'!D37</x:f>
        <x:v>745</x:v>
      </x:c>
      <x:c r="Q210" s="27" t="n">
        <x:f>(VLOOKUP(O210,'Fee Data'!$C$6:$G$50,4,TRUE)+O210*VLOOKUP(O210,'Fee Data'!$C$6:$G$50,5,TRUE)+VLOOKUP(O210,'Fee Data'!$I$6:$J$14,2,TRUE)+'Fee Data'!$J$20+'Fee Data'!$J$21)*'Assumptions'!D37</x:f>
        <x:v>600</x:v>
      </x:c>
      <x:c r="R210" s="27" t="n">
        <x:f>P210*(1-'Assumptions'!$D$14)+Q210*'Assumptions'!$D$14</x:f>
        <x:v>672.5</x:v>
      </x:c>
      <x:c r="S210" s="27" t="n">
        <x:f>O210*'Carrier Engine'!E91</x:f>
        <x:v>92.4944916214536</x:v>
      </x:c>
      <x:c r="T210" s="28" t="n">
        <x:f>R210+S210</x:f>
        <x:v>764.9944916214536</x:v>
      </x:c>
      <x:c r="U210" s="27" t="n">
        <x:f>N210*'Fleet Engine'!F216</x:f>
        <x:v>111.30148352740163</x:v>
      </x:c>
      <x:c r="V210" s="28" t="n">
        <x:f>U210*T210</x:f>
        <x:v>85145.0218077582</x:v>
      </x:c>
      <x:c r="W210" s="28" t="n">
        <x:f>U210*O210</x:f>
        <x:v>257369.35338951525</x:v>
      </x:c>
    </x:row>
    <x:row r="211" ht="19" customHeight="1">
      <x:c r="A211" s="2"/>
      <x:c r="B211" s="2"/>
      <x:c r="C211" s="46" t="n">
        <x:v>0</x:v>
      </x:c>
      <x:c r="D211" s="46" t="n">
        <x:v>22</x:v>
      </x:c>
      <x:c r="E211" s="46" t="n">
        <x:v>3</x:v>
      </x:c>
      <x:c r="F211" s="46" t="n">
        <x:v>4</x:v>
      </x:c>
      <x:c r="G211" s="12" t="n">
        <x:v>0.7777777777777778</x:v>
      </x:c>
      <x:c r="H211" s="12" t="n">
        <x:v>0.8888888888888888</x:v>
      </x:c>
      <x:c r="I211" s="29" t="n">
        <x:f>'Assumptions'!$D$11+'Assumptions'!$D$12*(0.5-(G211+H211)/2)</x:f>
        <x:v>0.23333333333333334</x:v>
      </x:c>
      <x:c r="J211" s="27" t="n">
        <x:f>'Assumptions'!$D$8*EXP(-'Assumptions'!$D$9*('Fleet Engine'!E216-10))*'Assumptions'!E58*'Assumptions'!D36</x:f>
        <x:v>9048.374180359595</x:v>
      </x:c>
      <x:c r="K211" s="27" t="n">
        <x:f>'Source Data'!F221+LN('Assumptions'!D58)+LN('Assumptions'!D35)</x:f>
        <x:v>8.129564769703762</x:v>
      </x:c>
      <x:c r="L211" s="27" t="n">
        <x:f>J211*(1-I211*(1-'Carrier Engine'!E91))</x:f>
        <x:v>7021.5383639590455</x:v>
      </x:c>
      <x:c r="M211" s="29" t="n">
        <x:f>NORM.S.DIST((LN(L211)-K211)/'Assumptions'!$D$10,TRUE)</x:f>
        <x:v>0.6783560443804386</x:v>
      </x:c>
      <x:c r="N211" s="30" t="n">
        <x:f>MAX(0,H211-MAX(G211,M211))</x:f>
        <x:v>0.11111111111111105</x:v>
      </x:c>
      <x:c r="O211" s="28" t="n">
        <x:f>J211*I211</x:f>
        <x:v>2111.2873087505723</x:v>
      </x:c>
      <x:c r="P211" s="27" t="n">
        <x:f>(VLOOKUP(O211,'Fee Data'!$C$6:$G$50,2,TRUE)+O211*VLOOKUP(O211,'Fee Data'!$C$6:$G$50,3,TRUE)+VLOOKUP(O211,'Fee Data'!$I$6:$J$14,2,TRUE)+'Fee Data'!$J$20+'Fee Data'!$J$21)*'Assumptions'!D37</x:f>
        <x:v>745</x:v>
      </x:c>
      <x:c r="Q211" s="27" t="n">
        <x:f>(VLOOKUP(O211,'Fee Data'!$C$6:$G$50,4,TRUE)+O211*VLOOKUP(O211,'Fee Data'!$C$6:$G$50,5,TRUE)+VLOOKUP(O211,'Fee Data'!$I$6:$J$14,2,TRUE)+'Fee Data'!$J$20+'Fee Data'!$J$21)*'Assumptions'!D37</x:f>
        <x:v>600</x:v>
      </x:c>
      <x:c r="R211" s="27" t="n">
        <x:f>P211*(1-'Assumptions'!$D$14)+Q211*'Assumptions'!$D$14</x:f>
        <x:v>672.5</x:v>
      </x:c>
      <x:c r="S211" s="27" t="n">
        <x:f>O211*'Carrier Engine'!E91</x:f>
        <x:v>84.45149235002286</x:v>
      </x:c>
      <x:c r="T211" s="28" t="n">
        <x:f>R211+S211</x:f>
        <x:v>756.9514923500228</x:v>
      </x:c>
      <x:c r="U211" s="27" t="n">
        <x:f>N211*'Fleet Engine'!F216</x:f>
        <x:v>116.87773221583227</x:v>
      </x:c>
      <x:c r="V211" s="28" t="n">
        <x:f>U211*T211</x:f>
        <x:v>88470.77382326058</x:v>
      </x:c>
      <x:c r="W211" s="28" t="n">
        <x:f>U211*O211</x:f>
        <x:v>246762.47270283458</x:v>
      </x:c>
    </x:row>
    <x:row r="212" ht="19" customHeight="1">
      <x:c r="A212" s="2"/>
      <x:c r="B212" s="2"/>
      <x:c r="C212" s="46" t="n">
        <x:v>0</x:v>
      </x:c>
      <x:c r="D212" s="46" t="n">
        <x:v>22</x:v>
      </x:c>
      <x:c r="E212" s="46" t="n">
        <x:v>3</x:v>
      </x:c>
      <x:c r="F212" s="46" t="n">
        <x:v>4</x:v>
      </x:c>
      <x:c r="G212" s="12" t="n">
        <x:v>0.8888888888888888</x:v>
      </x:c>
      <x:c r="H212" s="12" t="n">
        <x:v>1</x:v>
      </x:c>
      <x:c r="I212" s="29" t="n">
        <x:f>'Assumptions'!$D$11+'Assumptions'!$D$12*(0.5-(G212+H212)/2)</x:f>
        <x:v>0.21111111111111108</x:v>
      </x:c>
      <x:c r="J212" s="27" t="n">
        <x:f>'Assumptions'!$D$8*EXP(-'Assumptions'!$D$9*('Fleet Engine'!E216-10))*'Assumptions'!E58*'Assumptions'!D36</x:f>
        <x:v>9048.374180359595</x:v>
      </x:c>
      <x:c r="K212" s="27" t="n">
        <x:f>'Source Data'!F221+LN('Assumptions'!D58)+LN('Assumptions'!D35)</x:f>
        <x:v>8.129564769703762</x:v>
      </x:c>
      <x:c r="L212" s="27" t="n">
        <x:f>J212*(1-I212*(1-'Carrier Engine'!E91))</x:f>
        <x:v>7214.570346473383</x:v>
      </x:c>
      <x:c r="M212" s="29" t="n">
        <x:f>NORM.S.DIST((LN(L212)-K212)/'Assumptions'!$D$10,TRUE)</x:f>
        <x:v>0.6845208539134946</x:v>
      </x:c>
      <x:c r="N212" s="30" t="n">
        <x:f>MAX(0,H212-MAX(G212,M212))</x:f>
        <x:v>0.11111111111111116</x:v>
      </x:c>
      <x:c r="O212" s="28" t="n">
        <x:f>J212*I212</x:f>
        <x:v>1910.2123269648032</x:v>
      </x:c>
      <x:c r="P212" s="27" t="n">
        <x:f>(VLOOKUP(O212,'Fee Data'!$C$6:$G$50,2,TRUE)+O212*VLOOKUP(O212,'Fee Data'!$C$6:$G$50,3,TRUE)+VLOOKUP(O212,'Fee Data'!$I$6:$J$14,2,TRUE)+'Fee Data'!$J$20+'Fee Data'!$J$21)*'Assumptions'!D37</x:f>
        <x:v>705</x:v>
      </x:c>
      <x:c r="Q212" s="27" t="n">
        <x:f>(VLOOKUP(O212,'Fee Data'!$C$6:$G$50,4,TRUE)+O212*VLOOKUP(O212,'Fee Data'!$C$6:$G$50,5,TRUE)+VLOOKUP(O212,'Fee Data'!$I$6:$J$14,2,TRUE)+'Fee Data'!$J$20+'Fee Data'!$J$21)*'Assumptions'!D37</x:f>
        <x:v>565</x:v>
      </x:c>
      <x:c r="R212" s="27" t="n">
        <x:f>P212*(1-'Assumptions'!$D$14)+Q212*'Assumptions'!$D$14</x:f>
        <x:v>635</x:v>
      </x:c>
      <x:c r="S212" s="27" t="n">
        <x:f>O212*'Carrier Engine'!E91</x:f>
        <x:v>76.4084930785921</x:v>
      </x:c>
      <x:c r="T212" s="28" t="n">
        <x:f>R212+S212</x:f>
        <x:v>711.4084930785921</x:v>
      </x:c>
      <x:c r="U212" s="27" t="n">
        <x:f>N212*'Fleet Engine'!F216</x:f>
        <x:v>116.8777322158324</x:v>
      </x:c>
      <x:c r="V212" s="28" t="n">
        <x:f>U212*T212</x:f>
        <x:v>83147.81135010853</x:v>
      </x:c>
      <x:c r="W212" s="28" t="n">
        <x:f>U212*O212</x:f>
        <x:v>223261.28482637435</x:v>
      </x:c>
    </x:row>
    <x:row r="213" ht="19" customHeight="1">
      <x:c r="A213" s="2"/>
      <x:c r="B213" s="2"/>
      <x:c r="C213" s="46" t="n">
        <x:v>0</x:v>
      </x:c>
      <x:c r="D213" s="46" t="n">
        <x:v>23</x:v>
      </x:c>
      <x:c r="E213" s="46" t="n">
        <x:v>3</x:v>
      </x:c>
      <x:c r="F213" s="46" t="n">
        <x:v>5</x:v>
      </x:c>
      <x:c r="G213" s="12" t="n">
        <x:v>0</x:v>
      </x:c>
      <x:c r="H213" s="12" t="n">
        <x:v>0.1111111111111111</x:v>
      </x:c>
      <x:c r="I213" s="29" t="n">
        <x:f>'Assumptions'!$D$11+'Assumptions'!$D$12*(0.5-(G213+H213)/2)</x:f>
        <x:v>0.3888888888888889</x:v>
      </x:c>
      <x:c r="J213" s="27" t="n">
        <x:f>'Assumptions'!$D$8*EXP(-'Assumptions'!$D$9*('Fleet Engine'!E217-10))*'Assumptions'!E58*'Assumptions'!D36</x:f>
        <x:v>4965.853037914095</x:v>
      </x:c>
      <x:c r="K213" s="27" t="n">
        <x:f>'Source Data'!F222+LN('Assumptions'!D58)+LN('Assumptions'!D35)</x:f>
        <x:v>8.030635919980082</x:v>
      </x:c>
      <x:c r="L213" s="27" t="n">
        <x:f>J213*(1-I213*(1-'Carrier Engine'!E91))</x:f>
        <x:v>3111.9345704261664</x:v>
      </x:c>
      <x:c r="M213" s="29" t="n">
        <x:f>NORM.S.DIST((LN(L213)-K213)/'Assumptions'!$D$10,TRUE)</x:f>
        <x:v>0.5031412742530323</x:v>
      </x:c>
      <x:c r="N213" s="30" t="n">
        <x:f>MAX(0,H213-MAX(G213,M213))</x:f>
        <x:v>0</x:v>
      </x:c>
      <x:c r="O213" s="28" t="n">
        <x:f>J213*I213</x:f>
        <x:v>1931.1650702999257</x:v>
      </x:c>
      <x:c r="P213" s="27" t="n">
        <x:f>(VLOOKUP(O213,'Fee Data'!$C$6:$G$50,2,TRUE)+O213*VLOOKUP(O213,'Fee Data'!$C$6:$G$50,3,TRUE)+VLOOKUP(O213,'Fee Data'!$I$6:$J$14,2,TRUE)+'Fee Data'!$J$20+'Fee Data'!$J$21)*'Assumptions'!D37</x:f>
        <x:v>705</x:v>
      </x:c>
      <x:c r="Q213" s="27" t="n">
        <x:f>(VLOOKUP(O213,'Fee Data'!$C$6:$G$50,4,TRUE)+O213*VLOOKUP(O213,'Fee Data'!$C$6:$G$50,5,TRUE)+VLOOKUP(O213,'Fee Data'!$I$6:$J$14,2,TRUE)+'Fee Data'!$J$20+'Fee Data'!$J$21)*'Assumptions'!D37</x:f>
        <x:v>565</x:v>
      </x:c>
      <x:c r="R213" s="27" t="n">
        <x:f>P213*(1-'Assumptions'!$D$14)+Q213*'Assumptions'!$D$14</x:f>
        <x:v>635</x:v>
      </x:c>
      <x:c r="S213" s="27" t="n">
        <x:f>O213*'Carrier Engine'!E91</x:f>
        <x:v>77.24660281199701</x:v>
      </x:c>
      <x:c r="T213" s="28" t="n">
        <x:f>R213+S213</x:f>
        <x:v>712.246602811997</x:v>
      </x:c>
      <x:c r="U213" s="27" t="n">
        <x:f>N213*'Fleet Engine'!F217</x:f>
        <x:v>0</x:v>
      </x:c>
      <x:c r="V213" s="28" t="n">
        <x:f>U213*T213</x:f>
        <x:v>0</x:v>
      </x:c>
      <x:c r="W213" s="28" t="n">
        <x:f>U213*O213</x:f>
        <x:v>0</x:v>
      </x:c>
    </x:row>
    <x:row r="214" ht="19" customHeight="1">
      <x:c r="A214" s="2"/>
      <x:c r="B214" s="2"/>
      <x:c r="C214" s="46" t="n">
        <x:v>0</x:v>
      </x:c>
      <x:c r="D214" s="46" t="n">
        <x:v>23</x:v>
      </x:c>
      <x:c r="E214" s="46" t="n">
        <x:v>3</x:v>
      </x:c>
      <x:c r="F214" s="46" t="n">
        <x:v>5</x:v>
      </x:c>
      <x:c r="G214" s="12" t="n">
        <x:v>0.1111111111111111</x:v>
      </x:c>
      <x:c r="H214" s="12" t="n">
        <x:v>0.2222222222222222</x:v>
      </x:c>
      <x:c r="I214" s="29" t="n">
        <x:f>'Assumptions'!$D$11+'Assumptions'!$D$12*(0.5-(G214+H214)/2)</x:f>
        <x:v>0.3666666666666667</x:v>
      </x:c>
      <x:c r="J214" s="27" t="n">
        <x:f>'Assumptions'!$D$8*EXP(-'Assumptions'!$D$9*('Fleet Engine'!E217-10))*'Assumptions'!E58*'Assumptions'!D36</x:f>
        <x:v>4965.853037914095</x:v>
      </x:c>
      <x:c r="K214" s="27" t="n">
        <x:f>'Source Data'!F222+LN('Assumptions'!D58)+LN('Assumptions'!D35)</x:f>
        <x:v>8.030635919980082</x:v>
      </x:c>
      <x:c r="L214" s="27" t="n">
        <x:f>J214*(1-I214*(1-'Carrier Engine'!E91))</x:f>
        <x:v>3217.872768568333</x:v>
      </x:c>
      <x:c r="M214" s="29" t="n">
        <x:f>NORM.S.DIST((LN(L214)-K214)/'Assumptions'!$D$10,TRUE)</x:f>
        <x:v>0.511644883114373</x:v>
      </x:c>
      <x:c r="N214" s="30" t="n">
        <x:f>MAX(0,H214-MAX(G214,M214))</x:f>
        <x:v>0</x:v>
      </x:c>
      <x:c r="O214" s="28" t="n">
        <x:f>J214*I214</x:f>
        <x:v>1820.8127805685015</x:v>
      </x:c>
      <x:c r="P214" s="27" t="n">
        <x:f>(VLOOKUP(O214,'Fee Data'!$C$6:$G$50,2,TRUE)+O214*VLOOKUP(O214,'Fee Data'!$C$6:$G$50,3,TRUE)+VLOOKUP(O214,'Fee Data'!$I$6:$J$14,2,TRUE)+'Fee Data'!$J$20+'Fee Data'!$J$21)*'Assumptions'!D37</x:f>
        <x:v>705</x:v>
      </x:c>
      <x:c r="Q214" s="27" t="n">
        <x:f>(VLOOKUP(O214,'Fee Data'!$C$6:$G$50,4,TRUE)+O214*VLOOKUP(O214,'Fee Data'!$C$6:$G$50,5,TRUE)+VLOOKUP(O214,'Fee Data'!$I$6:$J$14,2,TRUE)+'Fee Data'!$J$20+'Fee Data'!$J$21)*'Assumptions'!D37</x:f>
        <x:v>565</x:v>
      </x:c>
      <x:c r="R214" s="27" t="n">
        <x:f>P214*(1-'Assumptions'!$D$14)+Q214*'Assumptions'!$D$14</x:f>
        <x:v>635</x:v>
      </x:c>
      <x:c r="S214" s="27" t="n">
        <x:f>O214*'Carrier Engine'!E91</x:f>
        <x:v>72.83251122274004</x:v>
      </x:c>
      <x:c r="T214" s="28" t="n">
        <x:f>R214+S214</x:f>
        <x:v>707.8325112227401</x:v>
      </x:c>
      <x:c r="U214" s="27" t="n">
        <x:f>N214*'Fleet Engine'!F217</x:f>
        <x:v>0</x:v>
      </x:c>
      <x:c r="V214" s="28" t="n">
        <x:f>U214*T214</x:f>
        <x:v>0</x:v>
      </x:c>
      <x:c r="W214" s="28" t="n">
        <x:f>U214*O214</x:f>
        <x:v>0</x:v>
      </x:c>
    </x:row>
    <x:row r="215" ht="19" customHeight="1">
      <x:c r="A215" s="2"/>
      <x:c r="B215" s="2"/>
      <x:c r="C215" s="46" t="n">
        <x:v>0</x:v>
      </x:c>
      <x:c r="D215" s="46" t="n">
        <x:v>23</x:v>
      </x:c>
      <x:c r="E215" s="46" t="n">
        <x:v>3</x:v>
      </x:c>
      <x:c r="F215" s="46" t="n">
        <x:v>5</x:v>
      </x:c>
      <x:c r="G215" s="12" t="n">
        <x:v>0.2222222222222222</x:v>
      </x:c>
      <x:c r="H215" s="12" t="n">
        <x:v>0.3333333333333333</x:v>
      </x:c>
      <x:c r="I215" s="29" t="n">
        <x:f>'Assumptions'!$D$11+'Assumptions'!$D$12*(0.5-(G215+H215)/2)</x:f>
        <x:v>0.34444444444444444</x:v>
      </x:c>
      <x:c r="J215" s="27" t="n">
        <x:f>'Assumptions'!$D$8*EXP(-'Assumptions'!$D$9*('Fleet Engine'!E217-10))*'Assumptions'!E58*'Assumptions'!D36</x:f>
        <x:v>4965.853037914095</x:v>
      </x:c>
      <x:c r="K215" s="27" t="n">
        <x:f>'Source Data'!F222+LN('Assumptions'!D58)+LN('Assumptions'!D35)</x:f>
        <x:v>8.030635919980082</x:v>
      </x:c>
      <x:c r="L215" s="27" t="n">
        <x:f>J215*(1-I215*(1-'Carrier Engine'!E91))</x:f>
        <x:v>3323.810966710501</x:v>
      </x:c>
      <x:c r="M215" s="29" t="n">
        <x:f>NORM.S.DIST((LN(L215)-K215)/'Assumptions'!$D$10,TRUE)</x:f>
        <x:v>0.5198680257298949</x:v>
      </x:c>
      <x:c r="N215" s="30" t="n">
        <x:f>MAX(0,H215-MAX(G215,M215))</x:f>
        <x:v>0</x:v>
      </x:c>
      <x:c r="O215" s="28" t="n">
        <x:f>J215*I215</x:f>
        <x:v>1710.460490837077</x:v>
      </x:c>
      <x:c r="P215" s="27" t="n">
        <x:f>(VLOOKUP(O215,'Fee Data'!$C$6:$G$50,2,TRUE)+O215*VLOOKUP(O215,'Fee Data'!$C$6:$G$50,3,TRUE)+VLOOKUP(O215,'Fee Data'!$I$6:$J$14,2,TRUE)+'Fee Data'!$J$20+'Fee Data'!$J$21)*'Assumptions'!D37</x:f>
        <x:v>680</x:v>
      </x:c>
      <x:c r="Q215" s="27" t="n">
        <x:f>(VLOOKUP(O215,'Fee Data'!$C$6:$G$50,4,TRUE)+O215*VLOOKUP(O215,'Fee Data'!$C$6:$G$50,5,TRUE)+VLOOKUP(O215,'Fee Data'!$I$6:$J$14,2,TRUE)+'Fee Data'!$J$20+'Fee Data'!$J$21)*'Assumptions'!D37</x:f>
        <x:v>545</x:v>
      </x:c>
      <x:c r="R215" s="27" t="n">
        <x:f>P215*(1-'Assumptions'!$D$14)+Q215*'Assumptions'!$D$14</x:f>
        <x:v>612.5</x:v>
      </x:c>
      <x:c r="S215" s="27" t="n">
        <x:f>O215*'Carrier Engine'!E91</x:f>
        <x:v>68.41841963348305</x:v>
      </x:c>
      <x:c r="T215" s="28" t="n">
        <x:f>R215+S215</x:f>
        <x:v>680.918419633483</x:v>
      </x:c>
      <x:c r="U215" s="27" t="n">
        <x:f>N215*'Fleet Engine'!F217</x:f>
        <x:v>0</x:v>
      </x:c>
      <x:c r="V215" s="28" t="n">
        <x:f>U215*T215</x:f>
        <x:v>0</x:v>
      </x:c>
      <x:c r="W215" s="28" t="n">
        <x:f>U215*O215</x:f>
        <x:v>0</x:v>
      </x:c>
    </x:row>
    <x:row r="216" ht="19" customHeight="1">
      <x:c r="A216" s="2"/>
      <x:c r="B216" s="2"/>
      <x:c r="C216" s="46" t="n">
        <x:v>0</x:v>
      </x:c>
      <x:c r="D216" s="46" t="n">
        <x:v>23</x:v>
      </x:c>
      <x:c r="E216" s="46" t="n">
        <x:v>3</x:v>
      </x:c>
      <x:c r="F216" s="46" t="n">
        <x:v>5</x:v>
      </x:c>
      <x:c r="G216" s="12" t="n">
        <x:v>0.3333333333333333</x:v>
      </x:c>
      <x:c r="H216" s="12" t="n">
        <x:v>0.4444444444444444</x:v>
      </x:c>
      <x:c r="I216" s="29" t="n">
        <x:f>'Assumptions'!$D$11+'Assumptions'!$D$12*(0.5-(G216+H216)/2)</x:f>
        <x:v>0.32222222222222224</x:v>
      </x:c>
      <x:c r="J216" s="27" t="n">
        <x:f>'Assumptions'!$D$8*EXP(-'Assumptions'!$D$9*('Fleet Engine'!E217-10))*'Assumptions'!E58*'Assumptions'!D36</x:f>
        <x:v>4965.853037914095</x:v>
      </x:c>
      <x:c r="K216" s="27" t="n">
        <x:f>'Source Data'!F222+LN('Assumptions'!D58)+LN('Assumptions'!D35)</x:f>
        <x:v>8.030635919980082</x:v>
      </x:c>
      <x:c r="L216" s="27" t="n">
        <x:f>J216*(1-I216*(1-'Carrier Engine'!E91))</x:f>
        <x:v>3429.749164852668</x:v>
      </x:c>
      <x:c r="M216" s="29" t="n">
        <x:f>NORM.S.DIST((LN(L216)-K216)/'Assumptions'!$D$10,TRUE)</x:f>
        <x:v>0.5278251256486162</x:v>
      </x:c>
      <x:c r="N216" s="30" t="n">
        <x:f>MAX(0,H216-MAX(G216,M216))</x:f>
        <x:v>0</x:v>
      </x:c>
      <x:c r="O216" s="28" t="n">
        <x:f>J216*I216</x:f>
        <x:v>1600.1082011056528</x:v>
      </x:c>
      <x:c r="P216" s="27" t="n">
        <x:f>(VLOOKUP(O216,'Fee Data'!$C$6:$G$50,2,TRUE)+O216*VLOOKUP(O216,'Fee Data'!$C$6:$G$50,3,TRUE)+VLOOKUP(O216,'Fee Data'!$I$6:$J$14,2,TRUE)+'Fee Data'!$J$20+'Fee Data'!$J$21)*'Assumptions'!D37</x:f>
        <x:v>660</x:v>
      </x:c>
      <x:c r="Q216" s="27" t="n">
        <x:f>(VLOOKUP(O216,'Fee Data'!$C$6:$G$50,4,TRUE)+O216*VLOOKUP(O216,'Fee Data'!$C$6:$G$50,5,TRUE)+VLOOKUP(O216,'Fee Data'!$I$6:$J$14,2,TRUE)+'Fee Data'!$J$20+'Fee Data'!$J$21)*'Assumptions'!D37</x:f>
        <x:v>525</x:v>
      </x:c>
      <x:c r="R216" s="27" t="n">
        <x:f>P216*(1-'Assumptions'!$D$14)+Q216*'Assumptions'!$D$14</x:f>
        <x:v>592.5</x:v>
      </x:c>
      <x:c r="S216" s="27" t="n">
        <x:f>O216*'Carrier Engine'!E91</x:f>
        <x:v>64.00432804422609</x:v>
      </x:c>
      <x:c r="T216" s="28" t="n">
        <x:f>R216+S216</x:f>
        <x:v>656.5043280442261</x:v>
      </x:c>
      <x:c r="U216" s="27" t="n">
        <x:f>N216*'Fleet Engine'!F217</x:f>
        <x:v>0</x:v>
      </x:c>
      <x:c r="V216" s="28" t="n">
        <x:f>U216*T216</x:f>
        <x:v>0</x:v>
      </x:c>
      <x:c r="W216" s="28" t="n">
        <x:f>U216*O216</x:f>
        <x:v>0</x:v>
      </x:c>
    </x:row>
    <x:row r="217" ht="19" customHeight="1">
      <x:c r="A217" s="2"/>
      <x:c r="B217" s="2"/>
      <x:c r="C217" s="46" t="n">
        <x:v>0</x:v>
      </x:c>
      <x:c r="D217" s="46" t="n">
        <x:v>23</x:v>
      </x:c>
      <x:c r="E217" s="46" t="n">
        <x:v>3</x:v>
      </x:c>
      <x:c r="F217" s="46" t="n">
        <x:v>5</x:v>
      </x:c>
      <x:c r="G217" s="12" t="n">
        <x:v>0.4444444444444444</x:v>
      </x:c>
      <x:c r="H217" s="12" t="n">
        <x:v>0.5555555555555556</x:v>
      </x:c>
      <x:c r="I217" s="29" t="n">
        <x:f>'Assumptions'!$D$11+'Assumptions'!$D$12*(0.5-(G217+H217)/2)</x:f>
        <x:v>0.3</x:v>
      </x:c>
      <x:c r="J217" s="27" t="n">
        <x:f>'Assumptions'!$D$8*EXP(-'Assumptions'!$D$9*('Fleet Engine'!E217-10))*'Assumptions'!E58*'Assumptions'!D36</x:f>
        <x:v>4965.853037914095</x:v>
      </x:c>
      <x:c r="K217" s="27" t="n">
        <x:f>'Source Data'!F222+LN('Assumptions'!D58)+LN('Assumptions'!D35)</x:f>
        <x:v>8.030635919980082</x:v>
      </x:c>
      <x:c r="L217" s="27" t="n">
        <x:f>J217*(1-I217*(1-'Carrier Engine'!E91))</x:f>
        <x:v>3535.6873629948354</x:v>
      </x:c>
      <x:c r="M217" s="29" t="n">
        <x:f>NORM.S.DIST((LN(L217)-K217)/'Assumptions'!$D$10,TRUE)</x:f>
        <x:v>0.5355295877473003</x:v>
      </x:c>
      <x:c r="N217" s="30" t="n">
        <x:f>MAX(0,H217-MAX(G217,M217))</x:f>
        <x:v>0.020025967808255274</x:v>
      </x:c>
      <x:c r="O217" s="28" t="n">
        <x:f>J217*I217</x:f>
        <x:v>1489.7559113742284</x:v>
      </x:c>
      <x:c r="P217" s="27" t="n">
        <x:f>(VLOOKUP(O217,'Fee Data'!$C$6:$G$50,2,TRUE)+O217*VLOOKUP(O217,'Fee Data'!$C$6:$G$50,3,TRUE)+VLOOKUP(O217,'Fee Data'!$I$6:$J$14,2,TRUE)+'Fee Data'!$J$20+'Fee Data'!$J$21)*'Assumptions'!D37</x:f>
        <x:v>615</x:v>
      </x:c>
      <x:c r="Q217" s="27" t="n">
        <x:f>(VLOOKUP(O217,'Fee Data'!$C$6:$G$50,4,TRUE)+O217*VLOOKUP(O217,'Fee Data'!$C$6:$G$50,5,TRUE)+VLOOKUP(O217,'Fee Data'!$I$6:$J$14,2,TRUE)+'Fee Data'!$J$20+'Fee Data'!$J$21)*'Assumptions'!D37</x:f>
        <x:v>485</x:v>
      </x:c>
      <x:c r="R217" s="27" t="n">
        <x:f>P217*(1-'Assumptions'!$D$14)+Q217*'Assumptions'!$D$14</x:f>
        <x:v>550</x:v>
      </x:c>
      <x:c r="S217" s="27" t="n">
        <x:f>O217*'Carrier Engine'!E91</x:f>
        <x:v>59.590236454969116</x:v>
      </x:c>
      <x:c r="T217" s="28" t="n">
        <x:f>R217+S217</x:f>
        <x:v>609.5902364549692</x:v>
      </x:c>
      <x:c r="U217" s="27" t="n">
        <x:f>N217*'Fleet Engine'!F217</x:f>
        <x:v>26.775517142530166</x:v>
      </x:c>
      <x:c r="V217" s="28" t="n">
        <x:f>U217*T217</x:f>
        <x:v>16322.093826119044</x:v>
      </x:c>
      <x:c r="W217" s="28" t="n">
        <x:f>U217*O217</x:f>
        <x:v>39888.984943186304</x:v>
      </x:c>
    </x:row>
    <x:row r="218" ht="19" customHeight="1">
      <x:c r="A218" s="2"/>
      <x:c r="B218" s="2"/>
      <x:c r="C218" s="46" t="n">
        <x:v>0</x:v>
      </x:c>
      <x:c r="D218" s="46" t="n">
        <x:v>23</x:v>
      </x:c>
      <x:c r="E218" s="46" t="n">
        <x:v>3</x:v>
      </x:c>
      <x:c r="F218" s="46" t="n">
        <x:v>5</x:v>
      </x:c>
      <x:c r="G218" s="12" t="n">
        <x:v>0.5555555555555556</x:v>
      </x:c>
      <x:c r="H218" s="12" t="n">
        <x:v>0.6666666666666666</x:v>
      </x:c>
      <x:c r="I218" s="29" t="n">
        <x:f>'Assumptions'!$D$11+'Assumptions'!$D$12*(0.5-(G218+H218)/2)</x:f>
        <x:v>0.27777777777777773</x:v>
      </x:c>
      <x:c r="J218" s="27" t="n">
        <x:f>'Assumptions'!$D$8*EXP(-'Assumptions'!$D$9*('Fleet Engine'!E217-10))*'Assumptions'!E58*'Assumptions'!D36</x:f>
        <x:v>4965.853037914095</x:v>
      </x:c>
      <x:c r="K218" s="27" t="n">
        <x:f>'Source Data'!F222+LN('Assumptions'!D58)+LN('Assumptions'!D35)</x:f>
        <x:v>8.030635919980082</x:v>
      </x:c>
      <x:c r="L218" s="27" t="n">
        <x:f>J218*(1-I218*(1-'Carrier Engine'!E91))</x:f>
        <x:v>3641.625561137003</x:v>
      </x:c>
      <x:c r="M218" s="29" t="n">
        <x:f>NORM.S.DIST((LN(L218)-K218)/'Assumptions'!$D$10,TRUE)</x:f>
        <x:v>0.5429938893858242</x:v>
      </x:c>
      <x:c r="N218" s="30" t="n">
        <x:f>MAX(0,H218-MAX(G218,M218))</x:f>
        <x:v>0.11111111111111105</x:v>
      </x:c>
      <x:c r="O218" s="28" t="n">
        <x:f>J218*I218</x:f>
        <x:v>1379.403621642804</x:v>
      </x:c>
      <x:c r="P218" s="27" t="n">
        <x:f>(VLOOKUP(O218,'Fee Data'!$C$6:$G$50,2,TRUE)+O218*VLOOKUP(O218,'Fee Data'!$C$6:$G$50,3,TRUE)+VLOOKUP(O218,'Fee Data'!$I$6:$J$14,2,TRUE)+'Fee Data'!$J$20+'Fee Data'!$J$21)*'Assumptions'!D37</x:f>
        <x:v>595</x:v>
      </x:c>
      <x:c r="Q218" s="27" t="n">
        <x:f>(VLOOKUP(O218,'Fee Data'!$C$6:$G$50,4,TRUE)+O218*VLOOKUP(O218,'Fee Data'!$C$6:$G$50,5,TRUE)+VLOOKUP(O218,'Fee Data'!$I$6:$J$14,2,TRUE)+'Fee Data'!$J$20+'Fee Data'!$J$21)*'Assumptions'!D37</x:f>
        <x:v>470</x:v>
      </x:c>
      <x:c r="R218" s="27" t="n">
        <x:f>P218*(1-'Assumptions'!$D$14)+Q218*'Assumptions'!$D$14</x:f>
        <x:v>532.5</x:v>
      </x:c>
      <x:c r="S218" s="27" t="n">
        <x:f>O218*'Carrier Engine'!E91</x:f>
        <x:v>55.17614486571214</x:v>
      </x:c>
      <x:c r="T218" s="28" t="n">
        <x:f>R218+S218</x:f>
        <x:v>587.6761448657121</x:v>
      </x:c>
      <x:c r="U218" s="27" t="n">
        <x:f>N218*'Fleet Engine'!F217</x:f>
        <x:v>148.55998415490933</x:v>
      </x:c>
      <x:c r="V218" s="28" t="n">
        <x:f>U218*T218</x:f>
        <x:v>87305.15876946838</x:v>
      </x:c>
      <x:c r="W218" s="28" t="n">
        <x:f>U218*O218</x:f>
        <x:v>204924.1801744795</x:v>
      </x:c>
    </x:row>
    <x:row r="219" ht="19" customHeight="1">
      <x:c r="A219" s="2"/>
      <x:c r="B219" s="2"/>
      <x:c r="C219" s="46" t="n">
        <x:v>0</x:v>
      </x:c>
      <x:c r="D219" s="46" t="n">
        <x:v>23</x:v>
      </x:c>
      <x:c r="E219" s="46" t="n">
        <x:v>3</x:v>
      </x:c>
      <x:c r="F219" s="46" t="n">
        <x:v>5</x:v>
      </x:c>
      <x:c r="G219" s="12" t="n">
        <x:v>0.6666666666666666</x:v>
      </x:c>
      <x:c r="H219" s="12" t="n">
        <x:v>0.7777777777777778</x:v>
      </x:c>
      <x:c r="I219" s="29" t="n">
        <x:f>'Assumptions'!$D$11+'Assumptions'!$D$12*(0.5-(G219+H219)/2)</x:f>
        <x:v>0.25555555555555554</x:v>
      </x:c>
      <x:c r="J219" s="27" t="n">
        <x:f>'Assumptions'!$D$8*EXP(-'Assumptions'!$D$9*('Fleet Engine'!E217-10))*'Assumptions'!E58*'Assumptions'!D36</x:f>
        <x:v>4965.853037914095</x:v>
      </x:c>
      <x:c r="K219" s="27" t="n">
        <x:f>'Source Data'!F222+LN('Assumptions'!D58)+LN('Assumptions'!D35)</x:f>
        <x:v>8.030635919980082</x:v>
      </x:c>
      <x:c r="L219" s="27" t="n">
        <x:f>J219*(1-I219*(1-'Carrier Engine'!E91))</x:f>
        <x:v>3747.5637592791704</x:v>
      </x:c>
      <x:c r="M219" s="29" t="n">
        <x:f>NORM.S.DIST((LN(L219)-K219)/'Assumptions'!$D$10,TRUE)</x:f>
        <x:v>0.5502296617814866</x:v>
      </x:c>
      <x:c r="N219" s="30" t="n">
        <x:f>MAX(0,H219-MAX(G219,M219))</x:f>
        <x:v>0.11111111111111116</x:v>
      </x:c>
      <x:c r="O219" s="28" t="n">
        <x:f>J219*I219</x:f>
        <x:v>1269.0513319113797</x:v>
      </x:c>
      <x:c r="P219" s="27" t="n">
        <x:f>(VLOOKUP(O219,'Fee Data'!$C$6:$G$50,2,TRUE)+O219*VLOOKUP(O219,'Fee Data'!$C$6:$G$50,3,TRUE)+VLOOKUP(O219,'Fee Data'!$I$6:$J$14,2,TRUE)+'Fee Data'!$J$20+'Fee Data'!$J$21)*'Assumptions'!D37</x:f>
        <x:v>580</x:v>
      </x:c>
      <x:c r="Q219" s="27" t="n">
        <x:f>(VLOOKUP(O219,'Fee Data'!$C$6:$G$50,4,TRUE)+O219*VLOOKUP(O219,'Fee Data'!$C$6:$G$50,5,TRUE)+VLOOKUP(O219,'Fee Data'!$I$6:$J$14,2,TRUE)+'Fee Data'!$J$20+'Fee Data'!$J$21)*'Assumptions'!D37</x:f>
        <x:v>455</x:v>
      </x:c>
      <x:c r="R219" s="27" t="n">
        <x:f>P219*(1-'Assumptions'!$D$14)+Q219*'Assumptions'!$D$14</x:f>
        <x:v>517.5</x:v>
      </x:c>
      <x:c r="S219" s="27" t="n">
        <x:f>O219*'Carrier Engine'!E91</x:f>
        <x:v>50.76205327645518</x:v>
      </x:c>
      <x:c r="T219" s="28" t="n">
        <x:f>R219+S219</x:f>
        <x:v>568.2620532764552</x:v>
      </x:c>
      <x:c r="U219" s="27" t="n">
        <x:f>N219*'Fleet Engine'!F217</x:f>
        <x:v>148.55998415490947</x:v>
      </x:c>
      <x:c r="V219" s="28" t="n">
        <x:f>U219*T219</x:f>
        <x:v>84421.0016305865</x:v>
      </x:c>
      <x:c r="W219" s="28" t="n">
        <x:f>U219*O219</x:f>
        <x:v>188530.24576052133</x:v>
      </x:c>
    </x:row>
    <x:row r="220" ht="19" customHeight="1">
      <x:c r="A220" s="2"/>
      <x:c r="B220" s="2"/>
      <x:c r="C220" s="46" t="n">
        <x:v>0</x:v>
      </x:c>
      <x:c r="D220" s="46" t="n">
        <x:v>23</x:v>
      </x:c>
      <x:c r="E220" s="46" t="n">
        <x:v>3</x:v>
      </x:c>
      <x:c r="F220" s="46" t="n">
        <x:v>5</x:v>
      </x:c>
      <x:c r="G220" s="12" t="n">
        <x:v>0.7777777777777778</x:v>
      </x:c>
      <x:c r="H220" s="12" t="n">
        <x:v>0.8888888888888888</x:v>
      </x:c>
      <x:c r="I220" s="29" t="n">
        <x:f>'Assumptions'!$D$11+'Assumptions'!$D$12*(0.5-(G220+H220)/2)</x:f>
        <x:v>0.23333333333333334</x:v>
      </x:c>
      <x:c r="J220" s="27" t="n">
        <x:f>'Assumptions'!$D$8*EXP(-'Assumptions'!$D$9*('Fleet Engine'!E217-10))*'Assumptions'!E58*'Assumptions'!D36</x:f>
        <x:v>4965.853037914095</x:v>
      </x:c>
      <x:c r="K220" s="27" t="n">
        <x:f>'Source Data'!F222+LN('Assumptions'!D58)+LN('Assumptions'!D35)</x:f>
        <x:v>8.030635919980082</x:v>
      </x:c>
      <x:c r="L220" s="27" t="n">
        <x:f>J220*(1-I220*(1-'Carrier Engine'!E91))</x:f>
        <x:v>3853.5019574213375</x:v>
      </x:c>
      <x:c r="M220" s="29" t="n">
        <x:f>NORM.S.DIST((LN(L220)-K220)/'Assumptions'!$D$10,TRUE)</x:f>
        <x:v>0.557247762810186</x:v>
      </x:c>
      <x:c r="N220" s="30" t="n">
        <x:f>MAX(0,H220-MAX(G220,M220))</x:f>
        <x:v>0.11111111111111105</x:v>
      </x:c>
      <x:c r="O220" s="28" t="n">
        <x:f>J220*I220</x:f>
        <x:v>1158.6990421799555</x:v>
      </x:c>
      <x:c r="P220" s="27" t="n">
        <x:f>(VLOOKUP(O220,'Fee Data'!$C$6:$G$50,2,TRUE)+O220*VLOOKUP(O220,'Fee Data'!$C$6:$G$50,3,TRUE)+VLOOKUP(O220,'Fee Data'!$I$6:$J$14,2,TRUE)+'Fee Data'!$J$20+'Fee Data'!$J$21)*'Assumptions'!D37</x:f>
        <x:v>560</x:v>
      </x:c>
      <x:c r="Q220" s="27" t="n">
        <x:f>(VLOOKUP(O220,'Fee Data'!$C$6:$G$50,4,TRUE)+O220*VLOOKUP(O220,'Fee Data'!$C$6:$G$50,5,TRUE)+VLOOKUP(O220,'Fee Data'!$I$6:$J$14,2,TRUE)+'Fee Data'!$J$20+'Fee Data'!$J$21)*'Assumptions'!D37</x:f>
        <x:v>435</x:v>
      </x:c>
      <x:c r="R220" s="27" t="n">
        <x:f>P220*(1-'Assumptions'!$D$14)+Q220*'Assumptions'!$D$14</x:f>
        <x:v>497.5</x:v>
      </x:c>
      <x:c r="S220" s="27" t="n">
        <x:f>O220*'Carrier Engine'!E91</x:f>
        <x:v>46.34796168719821</x:v>
      </x:c>
      <x:c r="T220" s="28" t="n">
        <x:f>R220+S220</x:f>
        <x:v>543.8479616871982</x:v>
      </x:c>
      <x:c r="U220" s="27" t="n">
        <x:f>N220*'Fleet Engine'!F217</x:f>
        <x:v>148.55998415490933</x:v>
      </x:c>
      <x:c r="V220" s="28" t="n">
        <x:f>U220*T220</x:f>
        <x:v>80794.04457092991</x:v>
      </x:c>
      <x:c r="W220" s="28" t="n">
        <x:f>U220*O220</x:f>
        <x:v>172136.3113465628</x:v>
      </x:c>
    </x:row>
    <x:row r="221" ht="19" customHeight="1">
      <x:c r="A221" s="2"/>
      <x:c r="B221" s="2"/>
      <x:c r="C221" s="46" t="n">
        <x:v>0</x:v>
      </x:c>
      <x:c r="D221" s="46" t="n">
        <x:v>23</x:v>
      </x:c>
      <x:c r="E221" s="46" t="n">
        <x:v>3</x:v>
      </x:c>
      <x:c r="F221" s="46" t="n">
        <x:v>5</x:v>
      </x:c>
      <x:c r="G221" s="12" t="n">
        <x:v>0.8888888888888888</x:v>
      </x:c>
      <x:c r="H221" s="12" t="n">
        <x:v>1</x:v>
      </x:c>
      <x:c r="I221" s="29" t="n">
        <x:f>'Assumptions'!$D$11+'Assumptions'!$D$12*(0.5-(G221+H221)/2)</x:f>
        <x:v>0.21111111111111108</x:v>
      </x:c>
      <x:c r="J221" s="27" t="n">
        <x:f>'Assumptions'!$D$8*EXP(-'Assumptions'!$D$9*('Fleet Engine'!E217-10))*'Assumptions'!E58*'Assumptions'!D36</x:f>
        <x:v>4965.853037914095</x:v>
      </x:c>
      <x:c r="K221" s="27" t="n">
        <x:f>'Source Data'!F222+LN('Assumptions'!D58)+LN('Assumptions'!D35)</x:f>
        <x:v>8.030635919980082</x:v>
      </x:c>
      <x:c r="L221" s="27" t="n">
        <x:f>J221*(1-I221*(1-'Carrier Engine'!E91))</x:f>
        <x:v>3959.440155563505</x:v>
      </x:c>
      <x:c r="M221" s="29" t="n">
        <x:f>NORM.S.DIST((LN(L221)-K221)/'Assumptions'!$D$10,TRUE)</x:f>
        <x:v>0.5640583422764271</x:v>
      </x:c>
      <x:c r="N221" s="30" t="n">
        <x:f>MAX(0,H221-MAX(G221,M221))</x:f>
        <x:v>0.11111111111111116</x:v>
      </x:c>
      <x:c r="O221" s="28" t="n">
        <x:f>J221*I221</x:f>
        <x:v>1048.3467524485309</x:v>
      </x:c>
      <x:c r="P221" s="27" t="n">
        <x:f>(VLOOKUP(O221,'Fee Data'!$C$6:$G$50,2,TRUE)+O221*VLOOKUP(O221,'Fee Data'!$C$6:$G$50,3,TRUE)+VLOOKUP(O221,'Fee Data'!$I$6:$J$14,2,TRUE)+'Fee Data'!$J$20+'Fee Data'!$J$21)*'Assumptions'!D37</x:f>
        <x:v>560</x:v>
      </x:c>
      <x:c r="Q221" s="27" t="n">
        <x:f>(VLOOKUP(O221,'Fee Data'!$C$6:$G$50,4,TRUE)+O221*VLOOKUP(O221,'Fee Data'!$C$6:$G$50,5,TRUE)+VLOOKUP(O221,'Fee Data'!$I$6:$J$14,2,TRUE)+'Fee Data'!$J$20+'Fee Data'!$J$21)*'Assumptions'!D37</x:f>
        <x:v>435</x:v>
      </x:c>
      <x:c r="R221" s="27" t="n">
        <x:f>P221*(1-'Assumptions'!$D$14)+Q221*'Assumptions'!$D$14</x:f>
        <x:v>497.5</x:v>
      </x:c>
      <x:c r="S221" s="27" t="n">
        <x:f>O221*'Carrier Engine'!E91</x:f>
        <x:v>41.933870097941224</x:v>
      </x:c>
      <x:c r="T221" s="28" t="n">
        <x:f>R221+S221</x:f>
        <x:v>539.4338700979413</x:v>
      </x:c>
      <x:c r="U221" s="27" t="n">
        <x:f>N221*'Fleet Engine'!F217</x:f>
        <x:v>148.55998415490947</x:v>
      </x:c>
      <x:c r="V221" s="28" t="n">
        <x:f>U221*T221</x:f>
        <x:v>80138.28719437165</x:v>
      </x:c>
      <x:c r="W221" s="28" t="n">
        <x:f>U221*O221</x:f>
        <x:v>155742.37693260456</x:v>
      </x:c>
    </x:row>
    <x:row r="222" ht="19" customHeight="1">
      <x:c r="A222" s="2"/>
      <x:c r="B222" s="2"/>
      <x:c r="C222" s="46" t="n">
        <x:v>1</x:v>
      </x:c>
      <x:c r="D222" s="46" t="n">
        <x:v>0</x:v>
      </x:c>
      <x:c r="E222" s="46" t="n">
        <x:v>0</x:v>
      </x:c>
      <x:c r="F222" s="46" t="n">
        <x:v>0</x:v>
      </x:c>
      <x:c r="G222" s="12" t="n">
        <x:v>0</x:v>
      </x:c>
      <x:c r="H222" s="12" t="n">
        <x:v>0.1111111111111111</x:v>
      </x:c>
      <x:c r="I222" s="29" t="n">
        <x:f>'Assumptions'!$D$11+'Assumptions'!$D$12*(0.5-(G222+H222)/2)</x:f>
        <x:v>0.3888888888888889</x:v>
      </x:c>
      <x:c r="J222" s="27" t="n">
        <x:f>'Assumptions'!$D$8*EXP(-'Assumptions'!$D$9*('Fleet Engine'!E194-10))*'Assumptions'!E55*'Assumptions'!E36</x:f>
        <x:v>27182.818284590452</x:v>
      </x:c>
      <x:c r="K222" s="27" t="n">
        <x:f>'Source Data'!F217+LN('Assumptions'!D55)+LN('Assumptions'!E35)</x:f>
        <x:v>8.024343827519704</x:v>
      </x:c>
      <x:c r="L222" s="27" t="n">
        <x:f>J222*(1-I222*(1-'Carrier Engine'!E92))</x:f>
        <x:v>17034.566125010017</x:v>
      </x:c>
      <x:c r="M222" s="29" t="n">
        <x:f>NORM.S.DIST((LN(L222)-K222)/'Assumptions'!$D$10,TRUE)</x:f>
        <x:v>0.8631412857617822</x:v>
      </x:c>
      <x:c r="N222" s="30" t="n">
        <x:f>MAX(0,H222-MAX(G222,M222))</x:f>
        <x:v>0</x:v>
      </x:c>
      <x:c r="O222" s="28" t="n">
        <x:f>J222*I222</x:f>
        <x:v>10571.095999562955</x:v>
      </x:c>
      <x:c r="P222" s="27" t="n">
        <x:f>(VLOOKUP(O222,'Fee Data'!$C$6:$G$50,2,TRUE)+O222*VLOOKUP(O222,'Fee Data'!$C$6:$G$50,3,TRUE)+VLOOKUP(O222,'Fee Data'!$I$6:$J$14,2,TRUE)+'Fee Data'!$J$20+'Fee Data'!$J$21)*'Assumptions'!E37</x:f>
        <x:v>1250</x:v>
      </x:c>
      <x:c r="Q222" s="27" t="n">
        <x:f>(VLOOKUP(O222,'Fee Data'!$C$6:$G$50,4,TRUE)+O222*VLOOKUP(O222,'Fee Data'!$C$6:$G$50,5,TRUE)+VLOOKUP(O222,'Fee Data'!$I$6:$J$14,2,TRUE)+'Fee Data'!$J$20+'Fee Data'!$J$21)*'Assumptions'!E37</x:f>
        <x:v>1100</x:v>
      </x:c>
      <x:c r="R222" s="27" t="n">
        <x:f>P222*(1-'Assumptions'!$D$14)+Q222*'Assumptions'!$D$14</x:f>
        <x:v>1175</x:v>
      </x:c>
      <x:c r="S222" s="27" t="n">
        <x:f>O222*'Carrier Engine'!E92</x:f>
        <x:v>422.84383998251826</x:v>
      </x:c>
      <x:c r="T222" s="28" t="n">
        <x:f>R222+S222</x:f>
        <x:v>1597.8438399825181</x:v>
      </x:c>
      <x:c r="U222" s="27" t="n">
        <x:f>N222*'Fleet Engine'!G194</x:f>
        <x:v>0</x:v>
      </x:c>
      <x:c r="V222" s="28" t="n">
        <x:f>U222*T222</x:f>
        <x:v>0</x:v>
      </x:c>
      <x:c r="W222" s="28" t="n">
        <x:f>U222*O222</x:f>
        <x:v>0</x:v>
      </x:c>
    </x:row>
    <x:row r="223" ht="19" customHeight="1">
      <x:c r="A223" s="2"/>
      <x:c r="B223" s="2"/>
      <x:c r="C223" s="46" t="n">
        <x:v>1</x:v>
      </x:c>
      <x:c r="D223" s="46" t="n">
        <x:v>0</x:v>
      </x:c>
      <x:c r="E223" s="46" t="n">
        <x:v>0</x:v>
      </x:c>
      <x:c r="F223" s="46" t="n">
        <x:v>0</x:v>
      </x:c>
      <x:c r="G223" s="12" t="n">
        <x:v>0.1111111111111111</x:v>
      </x:c>
      <x:c r="H223" s="12" t="n">
        <x:v>0.2222222222222222</x:v>
      </x:c>
      <x:c r="I223" s="29" t="n">
        <x:f>'Assumptions'!$D$11+'Assumptions'!$D$12*(0.5-(G223+H223)/2)</x:f>
        <x:v>0.3666666666666667</x:v>
      </x:c>
      <x:c r="J223" s="27" t="n">
        <x:f>'Assumptions'!$D$8*EXP(-'Assumptions'!$D$9*('Fleet Engine'!E194-10))*'Assumptions'!E55*'Assumptions'!E36</x:f>
        <x:v>27182.818284590452</x:v>
      </x:c>
      <x:c r="K223" s="27" t="n">
        <x:f>'Source Data'!F217+LN('Assumptions'!D55)+LN('Assumptions'!E35)</x:f>
        <x:v>8.024343827519704</x:v>
      </x:c>
      <x:c r="L223" s="27" t="n">
        <x:f>J223*(1-I223*(1-'Carrier Engine'!E92))</x:f>
        <x:v>17614.46624841461</x:v>
      </x:c>
      <x:c r="M223" s="29" t="n">
        <x:f>NORM.S.DIST((LN(L223)-K223)/'Assumptions'!$D$10,TRUE)</x:f>
        <x:v>0.867759233179046</x:v>
      </x:c>
      <x:c r="N223" s="30" t="n">
        <x:f>MAX(0,H223-MAX(G223,M223))</x:f>
        <x:v>0</x:v>
      </x:c>
      <x:c r="O223" s="28" t="n">
        <x:f>J223*I223</x:f>
        <x:v>9967.0333710165</x:v>
      </x:c>
      <x:c r="P223" s="27" t="n">
        <x:f>(VLOOKUP(O223,'Fee Data'!$C$6:$G$50,2,TRUE)+O223*VLOOKUP(O223,'Fee Data'!$C$6:$G$50,3,TRUE)+VLOOKUP(O223,'Fee Data'!$I$6:$J$14,2,TRUE)+'Fee Data'!$J$20+'Fee Data'!$J$21)*'Assumptions'!E37</x:f>
        <x:v>1195</x:v>
      </x:c>
      <x:c r="Q223" s="27" t="n">
        <x:f>(VLOOKUP(O223,'Fee Data'!$C$6:$G$50,4,TRUE)+O223*VLOOKUP(O223,'Fee Data'!$C$6:$G$50,5,TRUE)+VLOOKUP(O223,'Fee Data'!$I$6:$J$14,2,TRUE)+'Fee Data'!$J$20+'Fee Data'!$J$21)*'Assumptions'!E37</x:f>
        <x:v>1070</x:v>
      </x:c>
      <x:c r="R223" s="27" t="n">
        <x:f>P223*(1-'Assumptions'!$D$14)+Q223*'Assumptions'!$D$14</x:f>
        <x:v>1132.5</x:v>
      </x:c>
      <x:c r="S223" s="27" t="n">
        <x:f>O223*'Carrier Engine'!E92</x:f>
        <x:v>398.68133484066004</x:v>
      </x:c>
      <x:c r="T223" s="28" t="n">
        <x:f>R223+S223</x:f>
        <x:v>1531.18133484066</x:v>
      </x:c>
      <x:c r="U223" s="27" t="n">
        <x:f>N223*'Fleet Engine'!G194</x:f>
        <x:v>0</x:v>
      </x:c>
      <x:c r="V223" s="28" t="n">
        <x:f>U223*T223</x:f>
        <x:v>0</x:v>
      </x:c>
      <x:c r="W223" s="28" t="n">
        <x:f>U223*O223</x:f>
        <x:v>0</x:v>
      </x:c>
    </x:row>
    <x:row r="224" ht="19" customHeight="1">
      <x:c r="A224" s="2"/>
      <x:c r="B224" s="2"/>
      <x:c r="C224" s="46" t="n">
        <x:v>1</x:v>
      </x:c>
      <x:c r="D224" s="46" t="n">
        <x:v>0</x:v>
      </x:c>
      <x:c r="E224" s="46" t="n">
        <x:v>0</x:v>
      </x:c>
      <x:c r="F224" s="46" t="n">
        <x:v>0</x:v>
      </x:c>
      <x:c r="G224" s="12" t="n">
        <x:v>0.2222222222222222</x:v>
      </x:c>
      <x:c r="H224" s="12" t="n">
        <x:v>0.3333333333333333</x:v>
      </x:c>
      <x:c r="I224" s="29" t="n">
        <x:f>'Assumptions'!$D$11+'Assumptions'!$D$12*(0.5-(G224+H224)/2)</x:f>
        <x:v>0.34444444444444444</x:v>
      </x:c>
      <x:c r="J224" s="27" t="n">
        <x:f>'Assumptions'!$D$8*EXP(-'Assumptions'!$D$9*('Fleet Engine'!E194-10))*'Assumptions'!E55*'Assumptions'!E36</x:f>
        <x:v>27182.818284590452</x:v>
      </x:c>
      <x:c r="K224" s="27" t="n">
        <x:f>'Source Data'!F217+LN('Assumptions'!D55)+LN('Assumptions'!E35)</x:f>
        <x:v>8.024343827519704</x:v>
      </x:c>
      <x:c r="L224" s="27" t="n">
        <x:f>J224*(1-I224*(1-'Carrier Engine'!E92))</x:f>
        <x:v>18194.36637181921</x:v>
      </x:c>
      <x:c r="M224" s="29" t="n">
        <x:f>NORM.S.DIST((LN(L224)-K224)/'Assumptions'!$D$10,TRUE)</x:f>
        <x:v>0.8721242391048682</x:v>
      </x:c>
      <x:c r="N224" s="30" t="n">
        <x:f>MAX(0,H224-MAX(G224,M224))</x:f>
        <x:v>0</x:v>
      </x:c>
      <x:c r="O224" s="28" t="n">
        <x:f>J224*I224</x:f>
        <x:v>9362.970742470045</x:v>
      </x:c>
      <x:c r="P224" s="27" t="n">
        <x:f>(VLOOKUP(O224,'Fee Data'!$C$6:$G$50,2,TRUE)+O224*VLOOKUP(O224,'Fee Data'!$C$6:$G$50,3,TRUE)+VLOOKUP(O224,'Fee Data'!$I$6:$J$14,2,TRUE)+'Fee Data'!$J$20+'Fee Data'!$J$21)*'Assumptions'!E37</x:f>
        <x:v>1195</x:v>
      </x:c>
      <x:c r="Q224" s="27" t="n">
        <x:f>(VLOOKUP(O224,'Fee Data'!$C$6:$G$50,4,TRUE)+O224*VLOOKUP(O224,'Fee Data'!$C$6:$G$50,5,TRUE)+VLOOKUP(O224,'Fee Data'!$I$6:$J$14,2,TRUE)+'Fee Data'!$J$20+'Fee Data'!$J$21)*'Assumptions'!E37</x:f>
        <x:v>1070</x:v>
      </x:c>
      <x:c r="R224" s="27" t="n">
        <x:f>P224*(1-'Assumptions'!$D$14)+Q224*'Assumptions'!$D$14</x:f>
        <x:v>1132.5</x:v>
      </x:c>
      <x:c r="S224" s="27" t="n">
        <x:f>O224*'Carrier Engine'!E92</x:f>
        <x:v>374.5188296988019</x:v>
      </x:c>
      <x:c r="T224" s="28" t="n">
        <x:f>R224+S224</x:f>
        <x:v>1507.018829698802</x:v>
      </x:c>
      <x:c r="U224" s="27" t="n">
        <x:f>N224*'Fleet Engine'!G194</x:f>
        <x:v>0</x:v>
      </x:c>
      <x:c r="V224" s="28" t="n">
        <x:f>U224*T224</x:f>
        <x:v>0</x:v>
      </x:c>
      <x:c r="W224" s="28" t="n">
        <x:f>U224*O224</x:f>
        <x:v>0</x:v>
      </x:c>
    </x:row>
    <x:row r="225" ht="19" customHeight="1">
      <x:c r="A225" s="2"/>
      <x:c r="B225" s="2"/>
      <x:c r="C225" s="46" t="n">
        <x:v>1</x:v>
      </x:c>
      <x:c r="D225" s="46" t="n">
        <x:v>0</x:v>
      </x:c>
      <x:c r="E225" s="46" t="n">
        <x:v>0</x:v>
      </x:c>
      <x:c r="F225" s="46" t="n">
        <x:v>0</x:v>
      </x:c>
      <x:c r="G225" s="12" t="n">
        <x:v>0.3333333333333333</x:v>
      </x:c>
      <x:c r="H225" s="12" t="n">
        <x:v>0.4444444444444444</x:v>
      </x:c>
      <x:c r="I225" s="29" t="n">
        <x:f>'Assumptions'!$D$11+'Assumptions'!$D$12*(0.5-(G225+H225)/2)</x:f>
        <x:v>0.32222222222222224</x:v>
      </x:c>
      <x:c r="J225" s="27" t="n">
        <x:f>'Assumptions'!$D$8*EXP(-'Assumptions'!$D$9*('Fleet Engine'!E194-10))*'Assumptions'!E55*'Assumptions'!E36</x:f>
        <x:v>27182.818284590452</x:v>
      </x:c>
      <x:c r="K225" s="27" t="n">
        <x:f>'Source Data'!F217+LN('Assumptions'!D55)+LN('Assumptions'!E35)</x:f>
        <x:v>8.024343827519704</x:v>
      </x:c>
      <x:c r="L225" s="27" t="n">
        <x:f>J225*(1-I225*(1-'Carrier Engine'!E92))</x:f>
        <x:v>18774.266495223805</x:v>
      </x:c>
      <x:c r="M225" s="29" t="n">
        <x:f>NORM.S.DIST((LN(L225)-K225)/'Assumptions'!$D$10,TRUE)</x:f>
        <x:v>0.8762558445797033</x:v>
      </x:c>
      <x:c r="N225" s="30" t="n">
        <x:f>MAX(0,H225-MAX(G225,M225))</x:f>
        <x:v>0</x:v>
      </x:c>
      <x:c r="O225" s="28" t="n">
        <x:f>J225*I225</x:f>
        <x:v>8758.908113923591</x:v>
      </x:c>
      <x:c r="P225" s="27" t="n">
        <x:f>(VLOOKUP(O225,'Fee Data'!$C$6:$G$50,2,TRUE)+O225*VLOOKUP(O225,'Fee Data'!$C$6:$G$50,3,TRUE)+VLOOKUP(O225,'Fee Data'!$I$6:$J$14,2,TRUE)+'Fee Data'!$J$20+'Fee Data'!$J$21)*'Assumptions'!E37</x:f>
        <x:v>1195</x:v>
      </x:c>
      <x:c r="Q225" s="27" t="n">
        <x:f>(VLOOKUP(O225,'Fee Data'!$C$6:$G$50,4,TRUE)+O225*VLOOKUP(O225,'Fee Data'!$C$6:$G$50,5,TRUE)+VLOOKUP(O225,'Fee Data'!$I$6:$J$14,2,TRUE)+'Fee Data'!$J$20+'Fee Data'!$J$21)*'Assumptions'!E37</x:f>
        <x:v>1070</x:v>
      </x:c>
      <x:c r="R225" s="27" t="n">
        <x:f>P225*(1-'Assumptions'!$D$14)+Q225*'Assumptions'!$D$14</x:f>
        <x:v>1132.5</x:v>
      </x:c>
      <x:c r="S225" s="27" t="n">
        <x:f>O225*'Carrier Engine'!E92</x:f>
        <x:v>350.3563245569437</x:v>
      </x:c>
      <x:c r="T225" s="28" t="n">
        <x:f>R225+S225</x:f>
        <x:v>1482.8563245569437</x:v>
      </x:c>
      <x:c r="U225" s="27" t="n">
        <x:f>N225*'Fleet Engine'!G194</x:f>
        <x:v>0</x:v>
      </x:c>
      <x:c r="V225" s="28" t="n">
        <x:f>U225*T225</x:f>
        <x:v>0</x:v>
      </x:c>
      <x:c r="W225" s="28" t="n">
        <x:f>U225*O225</x:f>
        <x:v>0</x:v>
      </x:c>
    </x:row>
    <x:row r="226" ht="19" customHeight="1">
      <x:c r="A226" s="2"/>
      <x:c r="B226" s="2"/>
      <x:c r="C226" s="46" t="n">
        <x:v>1</x:v>
      </x:c>
      <x:c r="D226" s="46" t="n">
        <x:v>0</x:v>
      </x:c>
      <x:c r="E226" s="46" t="n">
        <x:v>0</x:v>
      </x:c>
      <x:c r="F226" s="46" t="n">
        <x:v>0</x:v>
      </x:c>
      <x:c r="G226" s="12" t="n">
        <x:v>0.4444444444444444</x:v>
      </x:c>
      <x:c r="H226" s="12" t="n">
        <x:v>0.5555555555555556</x:v>
      </x:c>
      <x:c r="I226" s="29" t="n">
        <x:f>'Assumptions'!$D$11+'Assumptions'!$D$12*(0.5-(G226+H226)/2)</x:f>
        <x:v>0.3</x:v>
      </x:c>
      <x:c r="J226" s="27" t="n">
        <x:f>'Assumptions'!$D$8*EXP(-'Assumptions'!$D$9*('Fleet Engine'!E194-10))*'Assumptions'!E55*'Assumptions'!E36</x:f>
        <x:v>27182.818284590452</x:v>
      </x:c>
      <x:c r="K226" s="27" t="n">
        <x:f>'Source Data'!F217+LN('Assumptions'!D55)+LN('Assumptions'!E35)</x:f>
        <x:v>8.024343827519704</x:v>
      </x:c>
      <x:c r="L226" s="27" t="n">
        <x:f>J226*(1-I226*(1-'Carrier Engine'!E92))</x:f>
        <x:v>19354.166618628402</x:v>
      </x:c>
      <x:c r="M226" s="29" t="n">
        <x:f>NORM.S.DIST((LN(L226)-K226)/'Assumptions'!$D$10,TRUE)</x:f>
        <x:v>0.8801716361024907</x:v>
      </x:c>
      <x:c r="N226" s="30" t="n">
        <x:f>MAX(0,H226-MAX(G226,M226))</x:f>
        <x:v>0</x:v>
      </x:c>
      <x:c r="O226" s="28" t="n">
        <x:f>J226*I226</x:f>
        <x:v>8154.845485377135</x:v>
      </x:c>
      <x:c r="P226" s="27" t="n">
        <x:f>(VLOOKUP(O226,'Fee Data'!$C$6:$G$50,2,TRUE)+O226*VLOOKUP(O226,'Fee Data'!$C$6:$G$50,3,TRUE)+VLOOKUP(O226,'Fee Data'!$I$6:$J$14,2,TRUE)+'Fee Data'!$J$20+'Fee Data'!$J$21)*'Assumptions'!E37</x:f>
        <x:v>1175</x:v>
      </x:c>
      <x:c r="Q226" s="27" t="n">
        <x:f>(VLOOKUP(O226,'Fee Data'!$C$6:$G$50,4,TRUE)+O226*VLOOKUP(O226,'Fee Data'!$C$6:$G$50,5,TRUE)+VLOOKUP(O226,'Fee Data'!$I$6:$J$14,2,TRUE)+'Fee Data'!$J$20+'Fee Data'!$J$21)*'Assumptions'!E37</x:f>
        <x:v>1050</x:v>
      </x:c>
      <x:c r="R226" s="27" t="n">
        <x:f>P226*(1-'Assumptions'!$D$14)+Q226*'Assumptions'!$D$14</x:f>
        <x:v>1112.5</x:v>
      </x:c>
      <x:c r="S226" s="27" t="n">
        <x:f>O226*'Carrier Engine'!E92</x:f>
        <x:v>326.1938194150855</x:v>
      </x:c>
      <x:c r="T226" s="28" t="n">
        <x:f>R226+S226</x:f>
        <x:v>1438.6938194150855</x:v>
      </x:c>
      <x:c r="U226" s="27" t="n">
        <x:f>N226*'Fleet Engine'!G194</x:f>
        <x:v>0</x:v>
      </x:c>
      <x:c r="V226" s="28" t="n">
        <x:f>U226*T226</x:f>
        <x:v>0</x:v>
      </x:c>
      <x:c r="W226" s="28" t="n">
        <x:f>U226*O226</x:f>
        <x:v>0</x:v>
      </x:c>
    </x:row>
    <x:row r="227" ht="19" customHeight="1">
      <x:c r="A227" s="2"/>
      <x:c r="B227" s="2"/>
      <x:c r="C227" s="46" t="n">
        <x:v>1</x:v>
      </x:c>
      <x:c r="D227" s="46" t="n">
        <x:v>0</x:v>
      </x:c>
      <x:c r="E227" s="46" t="n">
        <x:v>0</x:v>
      </x:c>
      <x:c r="F227" s="46" t="n">
        <x:v>0</x:v>
      </x:c>
      <x:c r="G227" s="12" t="n">
        <x:v>0.5555555555555556</x:v>
      </x:c>
      <x:c r="H227" s="12" t="n">
        <x:v>0.6666666666666666</x:v>
      </x:c>
      <x:c r="I227" s="29" t="n">
        <x:f>'Assumptions'!$D$11+'Assumptions'!$D$12*(0.5-(G227+H227)/2)</x:f>
        <x:v>0.27777777777777773</x:v>
      </x:c>
      <x:c r="J227" s="27" t="n">
        <x:f>'Assumptions'!$D$8*EXP(-'Assumptions'!$D$9*('Fleet Engine'!E194-10))*'Assumptions'!E55*'Assumptions'!E36</x:f>
        <x:v>27182.818284590452</x:v>
      </x:c>
      <x:c r="K227" s="27" t="n">
        <x:f>'Source Data'!F217+LN('Assumptions'!D55)+LN('Assumptions'!E35)</x:f>
        <x:v>8.024343827519704</x:v>
      </x:c>
      <x:c r="L227" s="27" t="n">
        <x:f>J227*(1-I227*(1-'Carrier Engine'!E92))</x:f>
        <x:v>19934.066742033</x:v>
      </x:c>
      <x:c r="M227" s="29" t="n">
        <x:f>NORM.S.DIST((LN(L227)-K227)/'Assumptions'!$D$10,TRUE)</x:f>
        <x:v>0.8838874850458363</x:v>
      </x:c>
      <x:c r="N227" s="30" t="n">
        <x:f>MAX(0,H227-MAX(G227,M227))</x:f>
        <x:v>0</x:v>
      </x:c>
      <x:c r="O227" s="28" t="n">
        <x:f>J227*I227</x:f>
        <x:v>7550.7828568306795</x:v>
      </x:c>
      <x:c r="P227" s="27" t="n">
        <x:f>(VLOOKUP(O227,'Fee Data'!$C$6:$G$50,2,TRUE)+O227*VLOOKUP(O227,'Fee Data'!$C$6:$G$50,3,TRUE)+VLOOKUP(O227,'Fee Data'!$I$6:$J$14,2,TRUE)+'Fee Data'!$J$20+'Fee Data'!$J$21)*'Assumptions'!E37</x:f>
        <x:v>1135</x:v>
      </x:c>
      <x:c r="Q227" s="27" t="n">
        <x:f>(VLOOKUP(O227,'Fee Data'!$C$6:$G$50,4,TRUE)+O227*VLOOKUP(O227,'Fee Data'!$C$6:$G$50,5,TRUE)+VLOOKUP(O227,'Fee Data'!$I$6:$J$14,2,TRUE)+'Fee Data'!$J$20+'Fee Data'!$J$21)*'Assumptions'!E37</x:f>
        <x:v>1010</x:v>
      </x:c>
      <x:c r="R227" s="27" t="n">
        <x:f>P227*(1-'Assumptions'!$D$14)+Q227*'Assumptions'!$D$14</x:f>
        <x:v>1072.5</x:v>
      </x:c>
      <x:c r="S227" s="27" t="n">
        <x:f>O227*'Carrier Engine'!E92</x:f>
        <x:v>302.0313142732272</x:v>
      </x:c>
      <x:c r="T227" s="28" t="n">
        <x:f>R227+S227</x:f>
        <x:v>1374.5313142732273</x:v>
      </x:c>
      <x:c r="U227" s="27" t="n">
        <x:f>N227*'Fleet Engine'!G194</x:f>
        <x:v>0</x:v>
      </x:c>
      <x:c r="V227" s="28" t="n">
        <x:f>U227*T227</x:f>
        <x:v>0</x:v>
      </x:c>
      <x:c r="W227" s="28" t="n">
        <x:f>U227*O227</x:f>
        <x:v>0</x:v>
      </x:c>
    </x:row>
    <x:row r="228" ht="19" customHeight="1">
      <x:c r="A228" s="2"/>
      <x:c r="B228" s="2"/>
      <x:c r="C228" s="46" t="n">
        <x:v>1</x:v>
      </x:c>
      <x:c r="D228" s="46" t="n">
        <x:v>0</x:v>
      </x:c>
      <x:c r="E228" s="46" t="n">
        <x:v>0</x:v>
      </x:c>
      <x:c r="F228" s="46" t="n">
        <x:v>0</x:v>
      </x:c>
      <x:c r="G228" s="12" t="n">
        <x:v>0.6666666666666666</x:v>
      </x:c>
      <x:c r="H228" s="12" t="n">
        <x:v>0.7777777777777778</x:v>
      </x:c>
      <x:c r="I228" s="29" t="n">
        <x:f>'Assumptions'!$D$11+'Assumptions'!$D$12*(0.5-(G228+H228)/2)</x:f>
        <x:v>0.25555555555555554</x:v>
      </x:c>
      <x:c r="J228" s="27" t="n">
        <x:f>'Assumptions'!$D$8*EXP(-'Assumptions'!$D$9*('Fleet Engine'!E194-10))*'Assumptions'!E55*'Assumptions'!E36</x:f>
        <x:v>27182.818284590452</x:v>
      </x:c>
      <x:c r="K228" s="27" t="n">
        <x:f>'Source Data'!F217+LN('Assumptions'!D55)+LN('Assumptions'!E35)</x:f>
        <x:v>8.024343827519704</x:v>
      </x:c>
      <x:c r="L228" s="27" t="n">
        <x:f>J228*(1-I228*(1-'Carrier Engine'!E92))</x:f>
        <x:v>20513.966865437596</x:v>
      </x:c>
      <x:c r="M228" s="29" t="n">
        <x:f>NORM.S.DIST((LN(L228)-K228)/'Assumptions'!$D$10,TRUE)</x:f>
        <x:v>0.8874177525057891</x:v>
      </x:c>
      <x:c r="N228" s="30" t="n">
        <x:f>MAX(0,H228-MAX(G228,M228))</x:f>
        <x:v>0</x:v>
      </x:c>
      <x:c r="O228" s="28" t="n">
        <x:f>J228*I228</x:f>
        <x:v>6946.720228284226</x:v>
      </x:c>
      <x:c r="P228" s="27" t="n">
        <x:f>(VLOOKUP(O228,'Fee Data'!$C$6:$G$50,2,TRUE)+O228*VLOOKUP(O228,'Fee Data'!$C$6:$G$50,3,TRUE)+VLOOKUP(O228,'Fee Data'!$I$6:$J$14,2,TRUE)+'Fee Data'!$J$20+'Fee Data'!$J$21)*'Assumptions'!E37</x:f>
        <x:v>1080</x:v>
      </x:c>
      <x:c r="Q228" s="27" t="n">
        <x:f>(VLOOKUP(O228,'Fee Data'!$C$6:$G$50,4,TRUE)+O228*VLOOKUP(O228,'Fee Data'!$C$6:$G$50,5,TRUE)+VLOOKUP(O228,'Fee Data'!$I$6:$J$14,2,TRUE)+'Fee Data'!$J$20+'Fee Data'!$J$21)*'Assumptions'!E37</x:f>
        <x:v>955</x:v>
      </x:c>
      <x:c r="R228" s="27" t="n">
        <x:f>P228*(1-'Assumptions'!$D$14)+Q228*'Assumptions'!$D$14</x:f>
        <x:v>1017.5</x:v>
      </x:c>
      <x:c r="S228" s="27" t="n">
        <x:f>O228*'Carrier Engine'!E92</x:f>
        <x:v>277.8688091313691</x:v>
      </x:c>
      <x:c r="T228" s="28" t="n">
        <x:f>R228+S228</x:f>
        <x:v>1295.368809131369</x:v>
      </x:c>
      <x:c r="U228" s="27" t="n">
        <x:f>N228*'Fleet Engine'!G194</x:f>
        <x:v>0</x:v>
      </x:c>
      <x:c r="V228" s="28" t="n">
        <x:f>U228*T228</x:f>
        <x:v>0</x:v>
      </x:c>
      <x:c r="W228" s="28" t="n">
        <x:f>U228*O228</x:f>
        <x:v>0</x:v>
      </x:c>
    </x:row>
    <x:row r="229" ht="19" customHeight="1">
      <x:c r="A229" s="2"/>
      <x:c r="B229" s="2"/>
      <x:c r="C229" s="46" t="n">
        <x:v>1</x:v>
      </x:c>
      <x:c r="D229" s="46" t="n">
        <x:v>0</x:v>
      </x:c>
      <x:c r="E229" s="46" t="n">
        <x:v>0</x:v>
      </x:c>
      <x:c r="F229" s="46" t="n">
        <x:v>0</x:v>
      </x:c>
      <x:c r="G229" s="12" t="n">
        <x:v>0.7777777777777778</x:v>
      </x:c>
      <x:c r="H229" s="12" t="n">
        <x:v>0.8888888888888888</x:v>
      </x:c>
      <x:c r="I229" s="29" t="n">
        <x:f>'Assumptions'!$D$11+'Assumptions'!$D$12*(0.5-(G229+H229)/2)</x:f>
        <x:v>0.23333333333333334</x:v>
      </x:c>
      <x:c r="J229" s="27" t="n">
        <x:f>'Assumptions'!$D$8*EXP(-'Assumptions'!$D$9*('Fleet Engine'!E194-10))*'Assumptions'!E55*'Assumptions'!E36</x:f>
        <x:v>27182.818284590452</x:v>
      </x:c>
      <x:c r="K229" s="27" t="n">
        <x:f>'Source Data'!F217+LN('Assumptions'!D55)+LN('Assumptions'!E35)</x:f>
        <x:v>8.024343827519704</x:v>
      </x:c>
      <x:c r="L229" s="27" t="n">
        <x:f>J229*(1-I229*(1-'Carrier Engine'!E92))</x:f>
        <x:v>21093.86698884219</x:v>
      </x:c>
      <x:c r="M229" s="29" t="n">
        <x:f>NORM.S.DIST((LN(L229)-K229)/'Assumptions'!$D$10,TRUE)</x:f>
        <x:v>0.8907754653078662</x:v>
      </x:c>
      <x:c r="N229" s="30" t="n">
        <x:f>MAX(0,H229-MAX(G229,M229))</x:f>
        <x:v>0</x:v>
      </x:c>
      <x:c r="O229" s="28" t="n">
        <x:f>J229*I229</x:f>
        <x:v>6342.657599737772</x:v>
      </x:c>
      <x:c r="P229" s="27" t="n">
        <x:f>(VLOOKUP(O229,'Fee Data'!$C$6:$G$50,2,TRUE)+O229*VLOOKUP(O229,'Fee Data'!$C$6:$G$50,3,TRUE)+VLOOKUP(O229,'Fee Data'!$I$6:$J$14,2,TRUE)+'Fee Data'!$J$20+'Fee Data'!$J$21)*'Assumptions'!E37</x:f>
        <x:v>1060</x:v>
      </x:c>
      <x:c r="Q229" s="27" t="n">
        <x:f>(VLOOKUP(O229,'Fee Data'!$C$6:$G$50,4,TRUE)+O229*VLOOKUP(O229,'Fee Data'!$C$6:$G$50,5,TRUE)+VLOOKUP(O229,'Fee Data'!$I$6:$J$14,2,TRUE)+'Fee Data'!$J$20+'Fee Data'!$J$21)*'Assumptions'!E37</x:f>
        <x:v>935</x:v>
      </x:c>
      <x:c r="R229" s="27" t="n">
        <x:f>P229*(1-'Assumptions'!$D$14)+Q229*'Assumptions'!$D$14</x:f>
        <x:v>997.5</x:v>
      </x:c>
      <x:c r="S229" s="27" t="n">
        <x:f>O229*'Carrier Engine'!E92</x:f>
        <x:v>253.70630398951093</x:v>
      </x:c>
      <x:c r="T229" s="28" t="n">
        <x:f>R229+S229</x:f>
        <x:v>1251.2063039895108</x:v>
      </x:c>
      <x:c r="U229" s="27" t="n">
        <x:f>N229*'Fleet Engine'!G194</x:f>
        <x:v>0</x:v>
      </x:c>
      <x:c r="V229" s="28" t="n">
        <x:f>U229*T229</x:f>
        <x:v>0</x:v>
      </x:c>
      <x:c r="W229" s="28" t="n">
        <x:f>U229*O229</x:f>
        <x:v>0</x:v>
      </x:c>
    </x:row>
    <x:row r="230" ht="19" customHeight="1">
      <x:c r="A230" s="2"/>
      <x:c r="B230" s="2"/>
      <x:c r="C230" s="46" t="n">
        <x:v>1</x:v>
      </x:c>
      <x:c r="D230" s="46" t="n">
        <x:v>0</x:v>
      </x:c>
      <x:c r="E230" s="46" t="n">
        <x:v>0</x:v>
      </x:c>
      <x:c r="F230" s="46" t="n">
        <x:v>0</x:v>
      </x:c>
      <x:c r="G230" s="12" t="n">
        <x:v>0.8888888888888888</x:v>
      </x:c>
      <x:c r="H230" s="12" t="n">
        <x:v>1</x:v>
      </x:c>
      <x:c r="I230" s="29" t="n">
        <x:f>'Assumptions'!$D$11+'Assumptions'!$D$12*(0.5-(G230+H230)/2)</x:f>
        <x:v>0.21111111111111108</x:v>
      </x:c>
      <x:c r="J230" s="27" t="n">
        <x:f>'Assumptions'!$D$8*EXP(-'Assumptions'!$D$9*('Fleet Engine'!E194-10))*'Assumptions'!E55*'Assumptions'!E36</x:f>
        <x:v>27182.818284590452</x:v>
      </x:c>
      <x:c r="K230" s="27" t="n">
        <x:f>'Source Data'!F217+LN('Assumptions'!D55)+LN('Assumptions'!E35)</x:f>
        <x:v>8.024343827519704</x:v>
      </x:c>
      <x:c r="L230" s="27" t="n">
        <x:f>J230*(1-I230*(1-'Carrier Engine'!E92))</x:f>
        <x:v>21673.767112246787</x:v>
      </x:c>
      <x:c r="M230" s="29" t="n">
        <x:f>NORM.S.DIST((LN(L230)-K230)/'Assumptions'!$D$10,TRUE)</x:f>
        <x:v>0.8939724678273033</x:v>
      </x:c>
      <x:c r="N230" s="30" t="n">
        <x:f>MAX(0,H230-MAX(G230,M230))</x:f>
        <x:v>0.10602753217269667</x:v>
      </x:c>
      <x:c r="O230" s="28" t="n">
        <x:f>J230*I230</x:f>
        <x:v>5738.594971191317</x:v>
      </x:c>
      <x:c r="P230" s="27" t="n">
        <x:f>(VLOOKUP(O230,'Fee Data'!$C$6:$G$50,2,TRUE)+O230*VLOOKUP(O230,'Fee Data'!$C$6:$G$50,3,TRUE)+VLOOKUP(O230,'Fee Data'!$I$6:$J$14,2,TRUE)+'Fee Data'!$J$20+'Fee Data'!$J$21)*'Assumptions'!E37</x:f>
        <x:v>1020</x:v>
      </x:c>
      <x:c r="Q230" s="27" t="n">
        <x:f>(VLOOKUP(O230,'Fee Data'!$C$6:$G$50,4,TRUE)+O230*VLOOKUP(O230,'Fee Data'!$C$6:$G$50,5,TRUE)+VLOOKUP(O230,'Fee Data'!$I$6:$J$14,2,TRUE)+'Fee Data'!$J$20+'Fee Data'!$J$21)*'Assumptions'!E37</x:f>
        <x:v>895</x:v>
      </x:c>
      <x:c r="R230" s="27" t="n">
        <x:f>P230*(1-'Assumptions'!$D$14)+Q230*'Assumptions'!$D$14</x:f>
        <x:v>957.5</x:v>
      </x:c>
      <x:c r="S230" s="27" t="n">
        <x:f>O230*'Carrier Engine'!E92</x:f>
        <x:v>229.54379884765274</x:v>
      </x:c>
      <x:c r="T230" s="28" t="n">
        <x:f>R230+S230</x:f>
        <x:v>1187.0437988476529</x:v>
      </x:c>
      <x:c r="U230" s="27" t="n">
        <x:f>N230*'Fleet Engine'!G194</x:f>
        <x:v>147.3644272366814</x:v>
      </x:c>
      <x:c r="V230" s="28" t="n">
        <x:f>U230*T230</x:f>
        <x:v>174928.0295220388</x:v>
      </x:c>
      <x:c r="W230" s="28" t="n">
        <x:f>U230*O230</x:f>
        <x:v>845664.7610729086</x:v>
      </x:c>
    </x:row>
    <x:row r="231" ht="19" customHeight="1">
      <x:c r="A231" s="2"/>
      <x:c r="B231" s="2"/>
      <x:c r="C231" s="46" t="n">
        <x:v>1</x:v>
      </x:c>
      <x:c r="D231" s="46" t="n">
        <x:v>1</x:v>
      </x:c>
      <x:c r="E231" s="46" t="n">
        <x:v>0</x:v>
      </x:c>
      <x:c r="F231" s="46" t="n">
        <x:v>1</x:v>
      </x:c>
      <x:c r="G231" s="12" t="n">
        <x:v>0</x:v>
      </x:c>
      <x:c r="H231" s="12" t="n">
        <x:v>0.1111111111111111</x:v>
      </x:c>
      <x:c r="I231" s="29" t="n">
        <x:f>'Assumptions'!$D$11+'Assumptions'!$D$12*(0.5-(G231+H231)/2)</x:f>
        <x:v>0.3888888888888889</x:v>
      </x:c>
      <x:c r="J231" s="27" t="n">
        <x:f>'Assumptions'!$D$8*EXP(-'Assumptions'!$D$9*('Fleet Engine'!E195-10))*'Assumptions'!E55*'Assumptions'!E36</x:f>
        <x:v>22255.409284924677</x:v>
      </x:c>
      <x:c r="K231" s="27" t="n">
        <x:f>'Source Data'!F218+LN('Assumptions'!D55)+LN('Assumptions'!E35)</x:f>
        <x:v>7.909903025975467</x:v>
      </x:c>
      <x:c r="L231" s="27" t="n">
        <x:f>J231*(1-I231*(1-'Carrier Engine'!E92))</x:f>
        <x:v>13946.723151886132</x:v>
      </x:c>
      <x:c r="M231" s="29" t="n">
        <x:f>NORM.S.DIST((LN(L231)-K231)/'Assumptions'!$D$10,TRUE)</x:f>
        <x:v>0.8508422763569413</x:v>
      </x:c>
      <x:c r="N231" s="30" t="n">
        <x:f>MAX(0,H231-MAX(G231,M231))</x:f>
        <x:v>0</x:v>
      </x:c>
      <x:c r="O231" s="28" t="n">
        <x:f>J231*I231</x:f>
        <x:v>8654.88138858182</x:v>
      </x:c>
      <x:c r="P231" s="27" t="n">
        <x:f>(VLOOKUP(O231,'Fee Data'!$C$6:$G$50,2,TRUE)+O231*VLOOKUP(O231,'Fee Data'!$C$6:$G$50,3,TRUE)+VLOOKUP(O231,'Fee Data'!$I$6:$J$14,2,TRUE)+'Fee Data'!$J$20+'Fee Data'!$J$21)*'Assumptions'!E37</x:f>
        <x:v>1195</x:v>
      </x:c>
      <x:c r="Q231" s="27" t="n">
        <x:f>(VLOOKUP(O231,'Fee Data'!$C$6:$G$50,4,TRUE)+O231*VLOOKUP(O231,'Fee Data'!$C$6:$G$50,5,TRUE)+VLOOKUP(O231,'Fee Data'!$I$6:$J$14,2,TRUE)+'Fee Data'!$J$20+'Fee Data'!$J$21)*'Assumptions'!E37</x:f>
        <x:v>1070</x:v>
      </x:c>
      <x:c r="R231" s="27" t="n">
        <x:f>P231*(1-'Assumptions'!$D$14)+Q231*'Assumptions'!$D$14</x:f>
        <x:v>1132.5</x:v>
      </x:c>
      <x:c r="S231" s="27" t="n">
        <x:f>O231*'Carrier Engine'!E92</x:f>
        <x:v>346.1952555432729</x:v>
      </x:c>
      <x:c r="T231" s="28" t="n">
        <x:f>R231+S231</x:f>
        <x:v>1478.6952555432729</x:v>
      </x:c>
      <x:c r="U231" s="27" t="n">
        <x:f>N231*'Fleet Engine'!G195</x:f>
        <x:v>0</x:v>
      </x:c>
      <x:c r="V231" s="28" t="n">
        <x:f>U231*T231</x:f>
        <x:v>0</x:v>
      </x:c>
      <x:c r="W231" s="28" t="n">
        <x:f>U231*O231</x:f>
        <x:v>0</x:v>
      </x:c>
    </x:row>
    <x:row r="232" ht="19" customHeight="1">
      <x:c r="A232" s="2"/>
      <x:c r="B232" s="2"/>
      <x:c r="C232" s="46" t="n">
        <x:v>1</x:v>
      </x:c>
      <x:c r="D232" s="46" t="n">
        <x:v>1</x:v>
      </x:c>
      <x:c r="E232" s="46" t="n">
        <x:v>0</x:v>
      </x:c>
      <x:c r="F232" s="46" t="n">
        <x:v>1</x:v>
      </x:c>
      <x:c r="G232" s="12" t="n">
        <x:v>0.1111111111111111</x:v>
      </x:c>
      <x:c r="H232" s="12" t="n">
        <x:v>0.2222222222222222</x:v>
      </x:c>
      <x:c r="I232" s="29" t="n">
        <x:f>'Assumptions'!$D$11+'Assumptions'!$D$12*(0.5-(G232+H232)/2)</x:f>
        <x:v>0.3666666666666667</x:v>
      </x:c>
      <x:c r="J232" s="27" t="n">
        <x:f>'Assumptions'!$D$8*EXP(-'Assumptions'!$D$9*('Fleet Engine'!E195-10))*'Assumptions'!E55*'Assumptions'!E36</x:f>
        <x:v>22255.409284924677</x:v>
      </x:c>
      <x:c r="K232" s="27" t="n">
        <x:f>'Source Data'!F218+LN('Assumptions'!D55)+LN('Assumptions'!E35)</x:f>
        <x:v>7.909903025975467</x:v>
      </x:c>
      <x:c r="L232" s="27" t="n">
        <x:f>J232*(1-I232*(1-'Carrier Engine'!E92))</x:f>
        <x:v>14421.505216631189</x:v>
      </x:c>
      <x:c r="M232" s="29" t="n">
        <x:f>NORM.S.DIST((LN(L232)-K232)/'Assumptions'!$D$10,TRUE)</x:f>
        <x:v>0.8557395814099102</x:v>
      </x:c>
      <x:c r="N232" s="30" t="n">
        <x:f>MAX(0,H232-MAX(G232,M232))</x:f>
        <x:v>0</x:v>
      </x:c>
      <x:c r="O232" s="28" t="n">
        <x:f>J232*I232</x:f>
        <x:v>8160.316737805716</x:v>
      </x:c>
      <x:c r="P232" s="27" t="n">
        <x:f>(VLOOKUP(O232,'Fee Data'!$C$6:$G$50,2,TRUE)+O232*VLOOKUP(O232,'Fee Data'!$C$6:$G$50,3,TRUE)+VLOOKUP(O232,'Fee Data'!$I$6:$J$14,2,TRUE)+'Fee Data'!$J$20+'Fee Data'!$J$21)*'Assumptions'!E37</x:f>
        <x:v>1175</x:v>
      </x:c>
      <x:c r="Q232" s="27" t="n">
        <x:f>(VLOOKUP(O232,'Fee Data'!$C$6:$G$50,4,TRUE)+O232*VLOOKUP(O232,'Fee Data'!$C$6:$G$50,5,TRUE)+VLOOKUP(O232,'Fee Data'!$I$6:$J$14,2,TRUE)+'Fee Data'!$J$20+'Fee Data'!$J$21)*'Assumptions'!E37</x:f>
        <x:v>1050</x:v>
      </x:c>
      <x:c r="R232" s="27" t="n">
        <x:f>P232*(1-'Assumptions'!$D$14)+Q232*'Assumptions'!$D$14</x:f>
        <x:v>1112.5</x:v>
      </x:c>
      <x:c r="S232" s="27" t="n">
        <x:f>O232*'Carrier Engine'!E92</x:f>
        <x:v>326.4126695122287</x:v>
      </x:c>
      <x:c r="T232" s="28" t="n">
        <x:f>R232+S232</x:f>
        <x:v>1438.9126695122286</x:v>
      </x:c>
      <x:c r="U232" s="27" t="n">
        <x:f>N232*'Fleet Engine'!G195</x:f>
        <x:v>0</x:v>
      </x:c>
      <x:c r="V232" s="28" t="n">
        <x:f>U232*T232</x:f>
        <x:v>0</x:v>
      </x:c>
      <x:c r="W232" s="28" t="n">
        <x:f>U232*O232</x:f>
        <x:v>0</x:v>
      </x:c>
    </x:row>
    <x:row r="233" ht="19" customHeight="1">
      <x:c r="A233" s="2"/>
      <x:c r="B233" s="2"/>
      <x:c r="C233" s="46" t="n">
        <x:v>1</x:v>
      </x:c>
      <x:c r="D233" s="46" t="n">
        <x:v>1</x:v>
      </x:c>
      <x:c r="E233" s="46" t="n">
        <x:v>0</x:v>
      </x:c>
      <x:c r="F233" s="46" t="n">
        <x:v>1</x:v>
      </x:c>
      <x:c r="G233" s="12" t="n">
        <x:v>0.2222222222222222</x:v>
      </x:c>
      <x:c r="H233" s="12" t="n">
        <x:v>0.3333333333333333</x:v>
      </x:c>
      <x:c r="I233" s="29" t="n">
        <x:f>'Assumptions'!$D$11+'Assumptions'!$D$12*(0.5-(G233+H233)/2)</x:f>
        <x:v>0.34444444444444444</x:v>
      </x:c>
      <x:c r="J233" s="27" t="n">
        <x:f>'Assumptions'!$D$8*EXP(-'Assumptions'!$D$9*('Fleet Engine'!E195-10))*'Assumptions'!E55*'Assumptions'!E36</x:f>
        <x:v>22255.409284924677</x:v>
      </x:c>
      <x:c r="K233" s="27" t="n">
        <x:f>'Source Data'!F218+LN('Assumptions'!D55)+LN('Assumptions'!E35)</x:f>
        <x:v>7.909903025975467</x:v>
      </x:c>
      <x:c r="L233" s="27" t="n">
        <x:f>J233*(1-I233*(1-'Carrier Engine'!E92))</x:f>
        <x:v>14896.287281376251</x:v>
      </x:c>
      <x:c r="M233" s="29" t="n">
        <x:f>NORM.S.DIST((LN(L233)-K233)/'Assumptions'!$D$10,TRUE)</x:f>
        <x:v>0.8603739374321665</x:v>
      </x:c>
      <x:c r="N233" s="30" t="n">
        <x:f>MAX(0,H233-MAX(G233,M233))</x:f>
        <x:v>0</x:v>
      </x:c>
      <x:c r="O233" s="28" t="n">
        <x:f>J233*I233</x:f>
        <x:v>7665.752087029611</x:v>
      </x:c>
      <x:c r="P233" s="27" t="n">
        <x:f>(VLOOKUP(O233,'Fee Data'!$C$6:$G$50,2,TRUE)+O233*VLOOKUP(O233,'Fee Data'!$C$6:$G$50,3,TRUE)+VLOOKUP(O233,'Fee Data'!$I$6:$J$14,2,TRUE)+'Fee Data'!$J$20+'Fee Data'!$J$21)*'Assumptions'!E37</x:f>
        <x:v>1135</x:v>
      </x:c>
      <x:c r="Q233" s="27" t="n">
        <x:f>(VLOOKUP(O233,'Fee Data'!$C$6:$G$50,4,TRUE)+O233*VLOOKUP(O233,'Fee Data'!$C$6:$G$50,5,TRUE)+VLOOKUP(O233,'Fee Data'!$I$6:$J$14,2,TRUE)+'Fee Data'!$J$20+'Fee Data'!$J$21)*'Assumptions'!E37</x:f>
        <x:v>1010</x:v>
      </x:c>
      <x:c r="R233" s="27" t="n">
        <x:f>P233*(1-'Assumptions'!$D$14)+Q233*'Assumptions'!$D$14</x:f>
        <x:v>1072.5</x:v>
      </x:c>
      <x:c r="S233" s="27" t="n">
        <x:f>O233*'Carrier Engine'!E92</x:f>
        <x:v>306.6300834811845</x:v>
      </x:c>
      <x:c r="T233" s="28" t="n">
        <x:f>R233+S233</x:f>
        <x:v>1379.1300834811846</x:v>
      </x:c>
      <x:c r="U233" s="27" t="n">
        <x:f>N233*'Fleet Engine'!G195</x:f>
        <x:v>0</x:v>
      </x:c>
      <x:c r="V233" s="28" t="n">
        <x:f>U233*T233</x:f>
        <x:v>0</x:v>
      </x:c>
      <x:c r="W233" s="28" t="n">
        <x:f>U233*O233</x:f>
        <x:v>0</x:v>
      </x:c>
    </x:row>
    <x:row r="234" ht="19" customHeight="1">
      <x:c r="A234" s="2"/>
      <x:c r="B234" s="2"/>
      <x:c r="C234" s="46" t="n">
        <x:v>1</x:v>
      </x:c>
      <x:c r="D234" s="46" t="n">
        <x:v>1</x:v>
      </x:c>
      <x:c r="E234" s="46" t="n">
        <x:v>0</x:v>
      </x:c>
      <x:c r="F234" s="46" t="n">
        <x:v>1</x:v>
      </x:c>
      <x:c r="G234" s="12" t="n">
        <x:v>0.3333333333333333</x:v>
      </x:c>
      <x:c r="H234" s="12" t="n">
        <x:v>0.4444444444444444</x:v>
      </x:c>
      <x:c r="I234" s="29" t="n">
        <x:f>'Assumptions'!$D$11+'Assumptions'!$D$12*(0.5-(G234+H234)/2)</x:f>
        <x:v>0.32222222222222224</x:v>
      </x:c>
      <x:c r="J234" s="27" t="n">
        <x:f>'Assumptions'!$D$8*EXP(-'Assumptions'!$D$9*('Fleet Engine'!E195-10))*'Assumptions'!E55*'Assumptions'!E36</x:f>
        <x:v>22255.409284924677</x:v>
      </x:c>
      <x:c r="K234" s="27" t="n">
        <x:f>'Source Data'!F218+LN('Assumptions'!D55)+LN('Assumptions'!E35)</x:f>
        <x:v>7.909903025975467</x:v>
      </x:c>
      <x:c r="L234" s="27" t="n">
        <x:f>J234*(1-I234*(1-'Carrier Engine'!E92))</x:f>
        <x:v>15371.06934612131</x:v>
      </x:c>
      <x:c r="M234" s="29" t="n">
        <x:f>NORM.S.DIST((LN(L234)-K234)/'Assumptions'!$D$10,TRUE)</x:f>
        <x:v>0.8647653470677638</x:v>
      </x:c>
      <x:c r="N234" s="30" t="n">
        <x:f>MAX(0,H234-MAX(G234,M234))</x:f>
        <x:v>0</x:v>
      </x:c>
      <x:c r="O234" s="28" t="n">
        <x:f>J234*I234</x:f>
        <x:v>7171.187436253507</x:v>
      </x:c>
      <x:c r="P234" s="27" t="n">
        <x:f>(VLOOKUP(O234,'Fee Data'!$C$6:$G$50,2,TRUE)+O234*VLOOKUP(O234,'Fee Data'!$C$6:$G$50,3,TRUE)+VLOOKUP(O234,'Fee Data'!$I$6:$J$14,2,TRUE)+'Fee Data'!$J$20+'Fee Data'!$J$21)*'Assumptions'!E37</x:f>
        <x:v>1115</x:v>
      </x:c>
      <x:c r="Q234" s="27" t="n">
        <x:f>(VLOOKUP(O234,'Fee Data'!$C$6:$G$50,4,TRUE)+O234*VLOOKUP(O234,'Fee Data'!$C$6:$G$50,5,TRUE)+VLOOKUP(O234,'Fee Data'!$I$6:$J$14,2,TRUE)+'Fee Data'!$J$20+'Fee Data'!$J$21)*'Assumptions'!E37</x:f>
        <x:v>990</x:v>
      </x:c>
      <x:c r="R234" s="27" t="n">
        <x:f>P234*(1-'Assumptions'!$D$14)+Q234*'Assumptions'!$D$14</x:f>
        <x:v>1052.5</x:v>
      </x:c>
      <x:c r="S234" s="27" t="n">
        <x:f>O234*'Carrier Engine'!E92</x:f>
        <x:v>286.84749745014034</x:v>
      </x:c>
      <x:c r="T234" s="28" t="n">
        <x:f>R234+S234</x:f>
        <x:v>1339.3474974501403</x:v>
      </x:c>
      <x:c r="U234" s="27" t="n">
        <x:f>N234*'Fleet Engine'!G195</x:f>
        <x:v>0</x:v>
      </x:c>
      <x:c r="V234" s="28" t="n">
        <x:f>U234*T234</x:f>
        <x:v>0</x:v>
      </x:c>
      <x:c r="W234" s="28" t="n">
        <x:f>U234*O234</x:f>
        <x:v>0</x:v>
      </x:c>
    </x:row>
    <x:row r="235" ht="19" customHeight="1">
      <x:c r="A235" s="2"/>
      <x:c r="B235" s="2"/>
      <x:c r="C235" s="46" t="n">
        <x:v>1</x:v>
      </x:c>
      <x:c r="D235" s="46" t="n">
        <x:v>1</x:v>
      </x:c>
      <x:c r="E235" s="46" t="n">
        <x:v>0</x:v>
      </x:c>
      <x:c r="F235" s="46" t="n">
        <x:v>1</x:v>
      </x:c>
      <x:c r="G235" s="12" t="n">
        <x:v>0.4444444444444444</x:v>
      </x:c>
      <x:c r="H235" s="12" t="n">
        <x:v>0.5555555555555556</x:v>
      </x:c>
      <x:c r="I235" s="29" t="n">
        <x:f>'Assumptions'!$D$11+'Assumptions'!$D$12*(0.5-(G235+H235)/2)</x:f>
        <x:v>0.3</x:v>
      </x:c>
      <x:c r="J235" s="27" t="n">
        <x:f>'Assumptions'!$D$8*EXP(-'Assumptions'!$D$9*('Fleet Engine'!E195-10))*'Assumptions'!E55*'Assumptions'!E36</x:f>
        <x:v>22255.409284924677</x:v>
      </x:c>
      <x:c r="K235" s="27" t="n">
        <x:f>'Source Data'!F218+LN('Assumptions'!D55)+LN('Assumptions'!E35)</x:f>
        <x:v>7.909903025975467</x:v>
      </x:c>
      <x:c r="L235" s="27" t="n">
        <x:f>J235*(1-I235*(1-'Carrier Engine'!E92))</x:f>
        <x:v>15845.85141086637</x:v>
      </x:c>
      <x:c r="M235" s="29" t="n">
        <x:f>NORM.S.DIST((LN(L235)-K235)/'Assumptions'!$D$10,TRUE)</x:f>
        <x:v>0.8689318372553634</x:v>
      </x:c>
      <x:c r="N235" s="30" t="n">
        <x:f>MAX(0,H235-MAX(G235,M235))</x:f>
        <x:v>0</x:v>
      </x:c>
      <x:c r="O235" s="28" t="n">
        <x:f>J235*I235</x:f>
        <x:v>6676.622785477403</x:v>
      </x:c>
      <x:c r="P235" s="27" t="n">
        <x:f>(VLOOKUP(O235,'Fee Data'!$C$6:$G$50,2,TRUE)+O235*VLOOKUP(O235,'Fee Data'!$C$6:$G$50,3,TRUE)+VLOOKUP(O235,'Fee Data'!$I$6:$J$14,2,TRUE)+'Fee Data'!$J$20+'Fee Data'!$J$21)*'Assumptions'!E37</x:f>
        <x:v>1080</x:v>
      </x:c>
      <x:c r="Q235" s="27" t="n">
        <x:f>(VLOOKUP(O235,'Fee Data'!$C$6:$G$50,4,TRUE)+O235*VLOOKUP(O235,'Fee Data'!$C$6:$G$50,5,TRUE)+VLOOKUP(O235,'Fee Data'!$I$6:$J$14,2,TRUE)+'Fee Data'!$J$20+'Fee Data'!$J$21)*'Assumptions'!E37</x:f>
        <x:v>955</x:v>
      </x:c>
      <x:c r="R235" s="27" t="n">
        <x:f>P235*(1-'Assumptions'!$D$14)+Q235*'Assumptions'!$D$14</x:f>
        <x:v>1017.5</x:v>
      </x:c>
      <x:c r="S235" s="27" t="n">
        <x:f>O235*'Carrier Engine'!E92</x:f>
        <x:v>267.0649114190962</x:v>
      </x:c>
      <x:c r="T235" s="28" t="n">
        <x:f>R235+S235</x:f>
        <x:v>1284.5649114190962</x:v>
      </x:c>
      <x:c r="U235" s="27" t="n">
        <x:f>N235*'Fleet Engine'!G195</x:f>
        <x:v>0</x:v>
      </x:c>
      <x:c r="V235" s="28" t="n">
        <x:f>U235*T235</x:f>
        <x:v>0</x:v>
      </x:c>
      <x:c r="W235" s="28" t="n">
        <x:f>U235*O235</x:f>
        <x:v>0</x:v>
      </x:c>
    </x:row>
    <x:row r="236" ht="19" customHeight="1">
      <x:c r="A236" s="2"/>
      <x:c r="B236" s="2"/>
      <x:c r="C236" s="46" t="n">
        <x:v>1</x:v>
      </x:c>
      <x:c r="D236" s="46" t="n">
        <x:v>1</x:v>
      </x:c>
      <x:c r="E236" s="46" t="n">
        <x:v>0</x:v>
      </x:c>
      <x:c r="F236" s="46" t="n">
        <x:v>1</x:v>
      </x:c>
      <x:c r="G236" s="12" t="n">
        <x:v>0.5555555555555556</x:v>
      </x:c>
      <x:c r="H236" s="12" t="n">
        <x:v>0.6666666666666666</x:v>
      </x:c>
      <x:c r="I236" s="29" t="n">
        <x:f>'Assumptions'!$D$11+'Assumptions'!$D$12*(0.5-(G236+H236)/2)</x:f>
        <x:v>0.27777777777777773</x:v>
      </x:c>
      <x:c r="J236" s="27" t="n">
        <x:f>'Assumptions'!$D$8*EXP(-'Assumptions'!$D$9*('Fleet Engine'!E195-10))*'Assumptions'!E55*'Assumptions'!E36</x:f>
        <x:v>22255.409284924677</x:v>
      </x:c>
      <x:c r="K236" s="27" t="n">
        <x:f>'Source Data'!F218+LN('Assumptions'!D55)+LN('Assumptions'!E35)</x:f>
        <x:v>7.909903025975467</x:v>
      </x:c>
      <x:c r="L236" s="27" t="n">
        <x:f>J236*(1-I236*(1-'Carrier Engine'!E92))</x:f>
        <x:v>16320.633475611432</x:v>
      </x:c>
      <x:c r="M236" s="29" t="n">
        <x:f>NORM.S.DIST((LN(L236)-K236)/'Assumptions'!$D$10,TRUE)</x:f>
        <x:v>0.8728896986796358</x:v>
      </x:c>
      <x:c r="N236" s="30" t="n">
        <x:f>MAX(0,H236-MAX(G236,M236))</x:f>
        <x:v>0</x:v>
      </x:c>
      <x:c r="O236" s="28" t="n">
        <x:f>J236*I236</x:f>
        <x:v>6182.0581347012985</x:v>
      </x:c>
      <x:c r="P236" s="27" t="n">
        <x:f>(VLOOKUP(O236,'Fee Data'!$C$6:$G$50,2,TRUE)+O236*VLOOKUP(O236,'Fee Data'!$C$6:$G$50,3,TRUE)+VLOOKUP(O236,'Fee Data'!$I$6:$J$14,2,TRUE)+'Fee Data'!$J$20+'Fee Data'!$J$21)*'Assumptions'!E37</x:f>
        <x:v>1060</x:v>
      </x:c>
      <x:c r="Q236" s="27" t="n">
        <x:f>(VLOOKUP(O236,'Fee Data'!$C$6:$G$50,4,TRUE)+O236*VLOOKUP(O236,'Fee Data'!$C$6:$G$50,5,TRUE)+VLOOKUP(O236,'Fee Data'!$I$6:$J$14,2,TRUE)+'Fee Data'!$J$20+'Fee Data'!$J$21)*'Assumptions'!E37</x:f>
        <x:v>935</x:v>
      </x:c>
      <x:c r="R236" s="27" t="n">
        <x:f>P236*(1-'Assumptions'!$D$14)+Q236*'Assumptions'!$D$14</x:f>
        <x:v>997.5</x:v>
      </x:c>
      <x:c r="S236" s="27" t="n">
        <x:f>O236*'Carrier Engine'!E92</x:f>
        <x:v>247.282325388052</x:v>
      </x:c>
      <x:c r="T236" s="28" t="n">
        <x:f>R236+S236</x:f>
        <x:v>1244.782325388052</x:v>
      </x:c>
      <x:c r="U236" s="27" t="n">
        <x:f>N236*'Fleet Engine'!G195</x:f>
        <x:v>0</x:v>
      </x:c>
      <x:c r="V236" s="28" t="n">
        <x:f>U236*T236</x:f>
        <x:v>0</x:v>
      </x:c>
      <x:c r="W236" s="28" t="n">
        <x:f>U236*O236</x:f>
        <x:v>0</x:v>
      </x:c>
    </x:row>
    <x:row r="237" ht="19" customHeight="1">
      <x:c r="A237" s="2"/>
      <x:c r="B237" s="2"/>
      <x:c r="C237" s="46" t="n">
        <x:v>1</x:v>
      </x:c>
      <x:c r="D237" s="46" t="n">
        <x:v>1</x:v>
      </x:c>
      <x:c r="E237" s="46" t="n">
        <x:v>0</x:v>
      </x:c>
      <x:c r="F237" s="46" t="n">
        <x:v>1</x:v>
      </x:c>
      <x:c r="G237" s="12" t="n">
        <x:v>0.6666666666666666</x:v>
      </x:c>
      <x:c r="H237" s="12" t="n">
        <x:v>0.7777777777777778</x:v>
      </x:c>
      <x:c r="I237" s="29" t="n">
        <x:f>'Assumptions'!$D$11+'Assumptions'!$D$12*(0.5-(G237+H237)/2)</x:f>
        <x:v>0.25555555555555554</x:v>
      </x:c>
      <x:c r="J237" s="27" t="n">
        <x:f>'Assumptions'!$D$8*EXP(-'Assumptions'!$D$9*('Fleet Engine'!E195-10))*'Assumptions'!E55*'Assumptions'!E36</x:f>
        <x:v>22255.409284924677</x:v>
      </x:c>
      <x:c r="K237" s="27" t="n">
        <x:f>'Source Data'!F218+LN('Assumptions'!D55)+LN('Assumptions'!E35)</x:f>
        <x:v>7.909903025975467</x:v>
      </x:c>
      <x:c r="L237" s="27" t="n">
        <x:f>J237*(1-I237*(1-'Carrier Engine'!E92))</x:f>
        <x:v>16795.41554035649</x:v>
      </x:c>
      <x:c r="M237" s="29" t="n">
        <x:f>NORM.S.DIST((LN(L237)-K237)/'Assumptions'!$D$10,TRUE)</x:f>
        <x:v>0.8766536909691995</x:v>
      </x:c>
      <x:c r="N237" s="30" t="n">
        <x:f>MAX(0,H237-MAX(G237,M237))</x:f>
        <x:v>0</x:v>
      </x:c>
      <x:c r="O237" s="28" t="n">
        <x:f>J237*I237</x:f>
        <x:v>5687.493483925195</x:v>
      </x:c>
      <x:c r="P237" s="27" t="n">
        <x:f>(VLOOKUP(O237,'Fee Data'!$C$6:$G$50,2,TRUE)+O237*VLOOKUP(O237,'Fee Data'!$C$6:$G$50,3,TRUE)+VLOOKUP(O237,'Fee Data'!$I$6:$J$14,2,TRUE)+'Fee Data'!$J$20+'Fee Data'!$J$21)*'Assumptions'!E37</x:f>
        <x:v>1020</x:v>
      </x:c>
      <x:c r="Q237" s="27" t="n">
        <x:f>(VLOOKUP(O237,'Fee Data'!$C$6:$G$50,4,TRUE)+O237*VLOOKUP(O237,'Fee Data'!$C$6:$G$50,5,TRUE)+VLOOKUP(O237,'Fee Data'!$I$6:$J$14,2,TRUE)+'Fee Data'!$J$20+'Fee Data'!$J$21)*'Assumptions'!E37</x:f>
        <x:v>895</x:v>
      </x:c>
      <x:c r="R237" s="27" t="n">
        <x:f>P237*(1-'Assumptions'!$D$14)+Q237*'Assumptions'!$D$14</x:f>
        <x:v>957.5</x:v>
      </x:c>
      <x:c r="S237" s="27" t="n">
        <x:f>O237*'Carrier Engine'!E92</x:f>
        <x:v>227.49973935700783</x:v>
      </x:c>
      <x:c r="T237" s="28" t="n">
        <x:f>R237+S237</x:f>
        <x:v>1184.999739357008</x:v>
      </x:c>
      <x:c r="U237" s="27" t="n">
        <x:f>N237*'Fleet Engine'!G195</x:f>
        <x:v>0</x:v>
      </x:c>
      <x:c r="V237" s="28" t="n">
        <x:f>U237*T237</x:f>
        <x:v>0</x:v>
      </x:c>
      <x:c r="W237" s="28" t="n">
        <x:f>U237*O237</x:f>
        <x:v>0</x:v>
      </x:c>
    </x:row>
    <x:row r="238" ht="19" customHeight="1">
      <x:c r="A238" s="2"/>
      <x:c r="B238" s="2"/>
      <x:c r="C238" s="46" t="n">
        <x:v>1</x:v>
      </x:c>
      <x:c r="D238" s="46" t="n">
        <x:v>1</x:v>
      </x:c>
      <x:c r="E238" s="46" t="n">
        <x:v>0</x:v>
      </x:c>
      <x:c r="F238" s="46" t="n">
        <x:v>1</x:v>
      </x:c>
      <x:c r="G238" s="12" t="n">
        <x:v>0.7777777777777778</x:v>
      </x:c>
      <x:c r="H238" s="12" t="n">
        <x:v>0.8888888888888888</x:v>
      </x:c>
      <x:c r="I238" s="29" t="n">
        <x:f>'Assumptions'!$D$11+'Assumptions'!$D$12*(0.5-(G238+H238)/2)</x:f>
        <x:v>0.23333333333333334</x:v>
      </x:c>
      <x:c r="J238" s="27" t="n">
        <x:f>'Assumptions'!$D$8*EXP(-'Assumptions'!$D$9*('Fleet Engine'!E195-10))*'Assumptions'!E55*'Assumptions'!E36</x:f>
        <x:v>22255.409284924677</x:v>
      </x:c>
      <x:c r="K238" s="27" t="n">
        <x:f>'Source Data'!F218+LN('Assumptions'!D55)+LN('Assumptions'!E35)</x:f>
        <x:v>7.909903025975467</x:v>
      </x:c>
      <x:c r="L238" s="27" t="n">
        <x:f>J238*(1-I238*(1-'Carrier Engine'!E92))</x:f>
        <x:v>17270.19760510155</x:v>
      </x:c>
      <x:c r="M238" s="29" t="n">
        <x:f>NORM.S.DIST((LN(L238)-K238)/'Assumptions'!$D$10,TRUE)</x:f>
        <x:v>0.880237219264955</x:v>
      </x:c>
      <x:c r="N238" s="30" t="n">
        <x:f>MAX(0,H238-MAX(G238,M238))</x:f>
        <x:v>0.008651669623933822</x:v>
      </x:c>
      <x:c r="O238" s="28" t="n">
        <x:f>J238*I238</x:f>
        <x:v>5192.928833149092</x:v>
      </x:c>
      <x:c r="P238" s="27" t="n">
        <x:f>(VLOOKUP(O238,'Fee Data'!$C$6:$G$50,2,TRUE)+O238*VLOOKUP(O238,'Fee Data'!$C$6:$G$50,3,TRUE)+VLOOKUP(O238,'Fee Data'!$I$6:$J$14,2,TRUE)+'Fee Data'!$J$20+'Fee Data'!$J$21)*'Assumptions'!E37</x:f>
        <x:v>995</x:v>
      </x:c>
      <x:c r="Q238" s="27" t="n">
        <x:f>(VLOOKUP(O238,'Fee Data'!$C$6:$G$50,4,TRUE)+O238*VLOOKUP(O238,'Fee Data'!$C$6:$G$50,5,TRUE)+VLOOKUP(O238,'Fee Data'!$I$6:$J$14,2,TRUE)+'Fee Data'!$J$20+'Fee Data'!$J$21)*'Assumptions'!E37</x:f>
        <x:v>870</x:v>
      </x:c>
      <x:c r="R238" s="27" t="n">
        <x:f>P238*(1-'Assumptions'!$D$14)+Q238*'Assumptions'!$D$14</x:f>
        <x:v>932.5</x:v>
      </x:c>
      <x:c r="S238" s="27" t="n">
        <x:f>O238*'Carrier Engine'!E92</x:f>
        <x:v>207.7171533259637</x:v>
      </x:c>
      <x:c r="T238" s="28" t="n">
        <x:f>R238+S238</x:f>
        <x:v>1140.2171533259636</x:v>
      </x:c>
      <x:c r="U238" s="27" t="n">
        <x:f>N238*'Fleet Engine'!G195</x:f>
        <x:v>78.96872041210021</x:v>
      </x:c>
      <x:c r="V238" s="28" t="n">
        <x:f>U238*T238</x:f>
        <x:v>90041.48959007883</x:v>
      </x:c>
      <x:c r="W238" s="28" t="n">
        <x:f>U238*O238</x:f>
        <x:v>410078.9451448844</x:v>
      </x:c>
    </x:row>
    <x:row r="239" ht="19" customHeight="1">
      <x:c r="A239" s="2"/>
      <x:c r="B239" s="2"/>
      <x:c r="C239" s="46" t="n">
        <x:v>1</x:v>
      </x:c>
      <x:c r="D239" s="46" t="n">
        <x:v>1</x:v>
      </x:c>
      <x:c r="E239" s="46" t="n">
        <x:v>0</x:v>
      </x:c>
      <x:c r="F239" s="46" t="n">
        <x:v>1</x:v>
      </x:c>
      <x:c r="G239" s="12" t="n">
        <x:v>0.8888888888888888</x:v>
      </x:c>
      <x:c r="H239" s="12" t="n">
        <x:v>1</x:v>
      </x:c>
      <x:c r="I239" s="29" t="n">
        <x:f>'Assumptions'!$D$11+'Assumptions'!$D$12*(0.5-(G239+H239)/2)</x:f>
        <x:v>0.21111111111111108</x:v>
      </x:c>
      <x:c r="J239" s="27" t="n">
        <x:f>'Assumptions'!$D$8*EXP(-'Assumptions'!$D$9*('Fleet Engine'!E195-10))*'Assumptions'!E55*'Assumptions'!E36</x:f>
        <x:v>22255.409284924677</x:v>
      </x:c>
      <x:c r="K239" s="27" t="n">
        <x:f>'Source Data'!F218+LN('Assumptions'!D55)+LN('Assumptions'!E35)</x:f>
        <x:v>7.909903025975467</x:v>
      </x:c>
      <x:c r="L239" s="27" t="n">
        <x:f>J239*(1-I239*(1-'Carrier Engine'!E92))</x:f>
        <x:v>17744.97966984661</x:v>
      </x:c>
      <x:c r="M239" s="29" t="n">
        <x:f>NORM.S.DIST((LN(L239)-K239)/'Assumptions'!$D$10,TRUE)</x:f>
        <x:v>0.8836524867448694</x:v>
      </x:c>
      <x:c r="N239" s="30" t="n">
        <x:f>MAX(0,H239-MAX(G239,M239))</x:f>
        <x:v>0.11111111111111116</x:v>
      </x:c>
      <x:c r="O239" s="28" t="n">
        <x:f>J239*I239</x:f>
        <x:v>4698.364182372987</x:v>
      </x:c>
      <x:c r="P239" s="27" t="n">
        <x:f>(VLOOKUP(O239,'Fee Data'!$C$6:$G$50,2,TRUE)+O239*VLOOKUP(O239,'Fee Data'!$C$6:$G$50,3,TRUE)+VLOOKUP(O239,'Fee Data'!$I$6:$J$14,2,TRUE)+'Fee Data'!$J$20+'Fee Data'!$J$21)*'Assumptions'!E37</x:f>
        <x:v>970</x:v>
      </x:c>
      <x:c r="Q239" s="27" t="n">
        <x:f>(VLOOKUP(O239,'Fee Data'!$C$6:$G$50,4,TRUE)+O239*VLOOKUP(O239,'Fee Data'!$C$6:$G$50,5,TRUE)+VLOOKUP(O239,'Fee Data'!$I$6:$J$14,2,TRUE)+'Fee Data'!$J$20+'Fee Data'!$J$21)*'Assumptions'!E37</x:f>
        <x:v>845</x:v>
      </x:c>
      <x:c r="R239" s="27" t="n">
        <x:f>P239*(1-'Assumptions'!$D$14)+Q239*'Assumptions'!$D$14</x:f>
        <x:v>907.5</x:v>
      </x:c>
      <x:c r="S239" s="27" t="n">
        <x:f>O239*'Carrier Engine'!E92</x:f>
        <x:v>187.9345672949195</x:v>
      </x:c>
      <x:c r="T239" s="28" t="n">
        <x:f>R239+S239</x:f>
        <x:v>1095.4345672949196</x:v>
      </x:c>
      <x:c r="U239" s="27" t="n">
        <x:f>N239*'Fleet Engine'!G195</x:f>
        <x:v>1014.1744483328475</x:v>
      </x:c>
      <x:c r="V239" s="28" t="n">
        <x:f>U239*T239</x:f>
        <x:v>1110961.7479710567</x:v>
      </x:c>
      <x:c r="W239" s="28" t="n">
        <x:f>U239*O239</x:f>
        <x:v>4764960.902724934</x:v>
      </x:c>
    </x:row>
    <x:row r="240" ht="19" customHeight="1">
      <x:c r="A240" s="2"/>
      <x:c r="B240" s="2"/>
      <x:c r="C240" s="46" t="n">
        <x:v>1</x:v>
      </x:c>
      <x:c r="D240" s="46" t="n">
        <x:v>2</x:v>
      </x:c>
      <x:c r="E240" s="46" t="n">
        <x:v>0</x:v>
      </x:c>
      <x:c r="F240" s="46" t="n">
        <x:v>2</x:v>
      </x:c>
      <x:c r="G240" s="12" t="n">
        <x:v>0</x:v>
      </x:c>
      <x:c r="H240" s="12" t="n">
        <x:v>0.1111111111111111</x:v>
      </x:c>
      <x:c r="I240" s="29" t="n">
        <x:f>'Assumptions'!$D$11+'Assumptions'!$D$12*(0.5-(G240+H240)/2)</x:f>
        <x:v>0.3888888888888889</x:v>
      </x:c>
      <x:c r="J240" s="27" t="n">
        <x:f>'Assumptions'!$D$8*EXP(-'Assumptions'!$D$9*('Fleet Engine'!E196-10))*'Assumptions'!E55*'Assumptions'!E36</x:f>
        <x:v>16487.212707001283</x:v>
      </x:c>
      <x:c r="K240" s="27" t="n">
        <x:f>'Source Data'!F219+LN('Assumptions'!D55)+LN('Assumptions'!E35)</x:f>
        <x:v>7.955584867261274</x:v>
      </x:c>
      <x:c r="L240" s="27" t="n">
        <x:f>J240*(1-I240*(1-'Carrier Engine'!E92))</x:f>
        <x:v>10331.986629720805</x:v>
      </x:c>
      <x:c r="M240" s="29" t="n">
        <x:f>NORM.S.DIST((LN(L240)-K240)/'Assumptions'!$D$10,TRUE)</x:f>
        <x:v>0.7938640109511643</x:v>
      </x:c>
      <x:c r="N240" s="30" t="n">
        <x:f>MAX(0,H240-MAX(G240,M240))</x:f>
        <x:v>0</x:v>
      </x:c>
      <x:c r="O240" s="28" t="n">
        <x:f>J240*I240</x:f>
        <x:v>6411.693830500499</x:v>
      </x:c>
      <x:c r="P240" s="27" t="n">
        <x:f>(VLOOKUP(O240,'Fee Data'!$C$6:$G$50,2,TRUE)+O240*VLOOKUP(O240,'Fee Data'!$C$6:$G$50,3,TRUE)+VLOOKUP(O240,'Fee Data'!$I$6:$J$14,2,TRUE)+'Fee Data'!$J$20+'Fee Data'!$J$21)*'Assumptions'!E37</x:f>
        <x:v>1060</x:v>
      </x:c>
      <x:c r="Q240" s="27" t="n">
        <x:f>(VLOOKUP(O240,'Fee Data'!$C$6:$G$50,4,TRUE)+O240*VLOOKUP(O240,'Fee Data'!$C$6:$G$50,5,TRUE)+VLOOKUP(O240,'Fee Data'!$I$6:$J$14,2,TRUE)+'Fee Data'!$J$20+'Fee Data'!$J$21)*'Assumptions'!E37</x:f>
        <x:v>935</x:v>
      </x:c>
      <x:c r="R240" s="27" t="n">
        <x:f>P240*(1-'Assumptions'!$D$14)+Q240*'Assumptions'!$D$14</x:f>
        <x:v>997.5</x:v>
      </x:c>
      <x:c r="S240" s="27" t="n">
        <x:f>O240*'Carrier Engine'!E92</x:f>
        <x:v>256.46775322002</x:v>
      </x:c>
      <x:c r="T240" s="28" t="n">
        <x:f>R240+S240</x:f>
        <x:v>1253.9677532200199</x:v>
      </x:c>
      <x:c r="U240" s="27" t="n">
        <x:f>N240*'Fleet Engine'!G196</x:f>
        <x:v>0</x:v>
      </x:c>
      <x:c r="V240" s="28" t="n">
        <x:f>U240*T240</x:f>
        <x:v>0</x:v>
      </x:c>
      <x:c r="W240" s="28" t="n">
        <x:f>U240*O240</x:f>
        <x:v>0</x:v>
      </x:c>
    </x:row>
    <x:row r="241" ht="19" customHeight="1">
      <x:c r="A241" s="2"/>
      <x:c r="B241" s="2"/>
      <x:c r="C241" s="46" t="n">
        <x:v>1</x:v>
      </x:c>
      <x:c r="D241" s="46" t="n">
        <x:v>2</x:v>
      </x:c>
      <x:c r="E241" s="46" t="n">
        <x:v>0</x:v>
      </x:c>
      <x:c r="F241" s="46" t="n">
        <x:v>2</x:v>
      </x:c>
      <x:c r="G241" s="12" t="n">
        <x:v>0.1111111111111111</x:v>
      </x:c>
      <x:c r="H241" s="12" t="n">
        <x:v>0.2222222222222222</x:v>
      </x:c>
      <x:c r="I241" s="29" t="n">
        <x:f>'Assumptions'!$D$11+'Assumptions'!$D$12*(0.5-(G241+H241)/2)</x:f>
        <x:v>0.3666666666666667</x:v>
      </x:c>
      <x:c r="J241" s="27" t="n">
        <x:f>'Assumptions'!$D$8*EXP(-'Assumptions'!$D$9*('Fleet Engine'!E196-10))*'Assumptions'!E55*'Assumptions'!E36</x:f>
        <x:v>16487.212707001283</x:v>
      </x:c>
      <x:c r="K241" s="27" t="n">
        <x:f>'Source Data'!F219+LN('Assumptions'!D55)+LN('Assumptions'!E35)</x:f>
        <x:v>7.955584867261274</x:v>
      </x:c>
      <x:c r="L241" s="27" t="n">
        <x:f>J241*(1-I241*(1-'Carrier Engine'!E92))</x:f>
        <x:v>10683.71383413683</x:v>
      </x:c>
      <x:c r="M241" s="29" t="n">
        <x:f>NORM.S.DIST((LN(L241)-K241)/'Assumptions'!$D$10,TRUE)</x:f>
        <x:v>0.7998880565872375</x:v>
      </x:c>
      <x:c r="N241" s="30" t="n">
        <x:f>MAX(0,H241-MAX(G241,M241))</x:f>
        <x:v>0</x:v>
      </x:c>
      <x:c r="O241" s="28" t="n">
        <x:f>J241*I241</x:f>
        <x:v>6045.311325900471</x:v>
      </x:c>
      <x:c r="P241" s="27" t="n">
        <x:f>(VLOOKUP(O241,'Fee Data'!$C$6:$G$50,2,TRUE)+O241*VLOOKUP(O241,'Fee Data'!$C$6:$G$50,3,TRUE)+VLOOKUP(O241,'Fee Data'!$I$6:$J$14,2,TRUE)+'Fee Data'!$J$20+'Fee Data'!$J$21)*'Assumptions'!E37</x:f>
        <x:v>1060</x:v>
      </x:c>
      <x:c r="Q241" s="27" t="n">
        <x:f>(VLOOKUP(O241,'Fee Data'!$C$6:$G$50,4,TRUE)+O241*VLOOKUP(O241,'Fee Data'!$C$6:$G$50,5,TRUE)+VLOOKUP(O241,'Fee Data'!$I$6:$J$14,2,TRUE)+'Fee Data'!$J$20+'Fee Data'!$J$21)*'Assumptions'!E37</x:f>
        <x:v>935</x:v>
      </x:c>
      <x:c r="R241" s="27" t="n">
        <x:f>P241*(1-'Assumptions'!$D$14)+Q241*'Assumptions'!$D$14</x:f>
        <x:v>997.5</x:v>
      </x:c>
      <x:c r="S241" s="27" t="n">
        <x:f>O241*'Carrier Engine'!E92</x:f>
        <x:v>241.8124530360189</x:v>
      </x:c>
      <x:c r="T241" s="28" t="n">
        <x:f>R241+S241</x:f>
        <x:v>1239.312453036019</x:v>
      </x:c>
      <x:c r="U241" s="27" t="n">
        <x:f>N241*'Fleet Engine'!G196</x:f>
        <x:v>0</x:v>
      </x:c>
      <x:c r="V241" s="28" t="n">
        <x:f>U241*T241</x:f>
        <x:v>0</x:v>
      </x:c>
      <x:c r="W241" s="28" t="n">
        <x:f>U241*O241</x:f>
        <x:v>0</x:v>
      </x:c>
    </x:row>
    <x:row r="242" ht="19" customHeight="1">
      <x:c r="A242" s="2"/>
      <x:c r="B242" s="2"/>
      <x:c r="C242" s="46" t="n">
        <x:v>1</x:v>
      </x:c>
      <x:c r="D242" s="46" t="n">
        <x:v>2</x:v>
      </x:c>
      <x:c r="E242" s="46" t="n">
        <x:v>0</x:v>
      </x:c>
      <x:c r="F242" s="46" t="n">
        <x:v>2</x:v>
      </x:c>
      <x:c r="G242" s="12" t="n">
        <x:v>0.2222222222222222</x:v>
      </x:c>
      <x:c r="H242" s="12" t="n">
        <x:v>0.3333333333333333</x:v>
      </x:c>
      <x:c r="I242" s="29" t="n">
        <x:f>'Assumptions'!$D$11+'Assumptions'!$D$12*(0.5-(G242+H242)/2)</x:f>
        <x:v>0.34444444444444444</x:v>
      </x:c>
      <x:c r="J242" s="27" t="n">
        <x:f>'Assumptions'!$D$8*EXP(-'Assumptions'!$D$9*('Fleet Engine'!E196-10))*'Assumptions'!E55*'Assumptions'!E36</x:f>
        <x:v>16487.212707001283</x:v>
      </x:c>
      <x:c r="K242" s="27" t="n">
        <x:f>'Source Data'!F219+LN('Assumptions'!D55)+LN('Assumptions'!E35)</x:f>
        <x:v>7.955584867261274</x:v>
      </x:c>
      <x:c r="L242" s="27" t="n">
        <x:f>J242*(1-I242*(1-'Carrier Engine'!E92))</x:f>
        <x:v>11035.441038552859</x:v>
      </x:c>
      <x:c r="M242" s="29" t="n">
        <x:f>NORM.S.DIST((LN(L242)-K242)/'Assumptions'!$D$10,TRUE)</x:f>
        <x:v>0.8056150406948284</x:v>
      </x:c>
      <x:c r="N242" s="30" t="n">
        <x:f>MAX(0,H242-MAX(G242,M242))</x:f>
        <x:v>0</x:v>
      </x:c>
      <x:c r="O242" s="28" t="n">
        <x:f>J242*I242</x:f>
        <x:v>5678.928821300442</x:v>
      </x:c>
      <x:c r="P242" s="27" t="n">
        <x:f>(VLOOKUP(O242,'Fee Data'!$C$6:$G$50,2,TRUE)+O242*VLOOKUP(O242,'Fee Data'!$C$6:$G$50,3,TRUE)+VLOOKUP(O242,'Fee Data'!$I$6:$J$14,2,TRUE)+'Fee Data'!$J$20+'Fee Data'!$J$21)*'Assumptions'!E37</x:f>
        <x:v>1020</x:v>
      </x:c>
      <x:c r="Q242" s="27" t="n">
        <x:f>(VLOOKUP(O242,'Fee Data'!$C$6:$G$50,4,TRUE)+O242*VLOOKUP(O242,'Fee Data'!$C$6:$G$50,5,TRUE)+VLOOKUP(O242,'Fee Data'!$I$6:$J$14,2,TRUE)+'Fee Data'!$J$20+'Fee Data'!$J$21)*'Assumptions'!E37</x:f>
        <x:v>895</x:v>
      </x:c>
      <x:c r="R242" s="27" t="n">
        <x:f>P242*(1-'Assumptions'!$D$14)+Q242*'Assumptions'!$D$14</x:f>
        <x:v>957.5</x:v>
      </x:c>
      <x:c r="S242" s="27" t="n">
        <x:f>O242*'Carrier Engine'!E92</x:f>
        <x:v>227.15715285201773</x:v>
      </x:c>
      <x:c r="T242" s="28" t="n">
        <x:f>R242+S242</x:f>
        <x:v>1184.6571528520178</x:v>
      </x:c>
      <x:c r="U242" s="27" t="n">
        <x:f>N242*'Fleet Engine'!G196</x:f>
        <x:v>0</x:v>
      </x:c>
      <x:c r="V242" s="28" t="n">
        <x:f>U242*T242</x:f>
        <x:v>0</x:v>
      </x:c>
      <x:c r="W242" s="28" t="n">
        <x:f>U242*O242</x:f>
        <x:v>0</x:v>
      </x:c>
    </x:row>
    <x:row r="243" ht="19" customHeight="1">
      <x:c r="A243" s="2"/>
      <x:c r="B243" s="2"/>
      <x:c r="C243" s="46" t="n">
        <x:v>1</x:v>
      </x:c>
      <x:c r="D243" s="46" t="n">
        <x:v>2</x:v>
      </x:c>
      <x:c r="E243" s="46" t="n">
        <x:v>0</x:v>
      </x:c>
      <x:c r="F243" s="46" t="n">
        <x:v>2</x:v>
      </x:c>
      <x:c r="G243" s="12" t="n">
        <x:v>0.3333333333333333</x:v>
      </x:c>
      <x:c r="H243" s="12" t="n">
        <x:v>0.4444444444444444</x:v>
      </x:c>
      <x:c r="I243" s="29" t="n">
        <x:f>'Assumptions'!$D$11+'Assumptions'!$D$12*(0.5-(G243+H243)/2)</x:f>
        <x:v>0.32222222222222224</x:v>
      </x:c>
      <x:c r="J243" s="27" t="n">
        <x:f>'Assumptions'!$D$8*EXP(-'Assumptions'!$D$9*('Fleet Engine'!E196-10))*'Assumptions'!E55*'Assumptions'!E36</x:f>
        <x:v>16487.212707001283</x:v>
      </x:c>
      <x:c r="K243" s="27" t="n">
        <x:f>'Source Data'!F219+LN('Assumptions'!D55)+LN('Assumptions'!E35)</x:f>
        <x:v>7.955584867261274</x:v>
      </x:c>
      <x:c r="L243" s="27" t="n">
        <x:f>J243*(1-I243*(1-'Carrier Engine'!E92))</x:f>
        <x:v>11387.168242968886</x:v>
      </x:c>
      <x:c r="M243" s="29" t="n">
        <x:f>NORM.S.DIST((LN(L243)-K243)/'Assumptions'!$D$10,TRUE)</x:f>
        <x:v>0.8110661143853564</x:v>
      </x:c>
      <x:c r="N243" s="30" t="n">
        <x:f>MAX(0,H243-MAX(G243,M243))</x:f>
        <x:v>0</x:v>
      </x:c>
      <x:c r="O243" s="28" t="n">
        <x:f>J243*I243</x:f>
        <x:v>5312.546316700414</x:v>
      </x:c>
      <x:c r="P243" s="27" t="n">
        <x:f>(VLOOKUP(O243,'Fee Data'!$C$6:$G$50,2,TRUE)+O243*VLOOKUP(O243,'Fee Data'!$C$6:$G$50,3,TRUE)+VLOOKUP(O243,'Fee Data'!$I$6:$J$14,2,TRUE)+'Fee Data'!$J$20+'Fee Data'!$J$21)*'Assumptions'!E37</x:f>
        <x:v>995</x:v>
      </x:c>
      <x:c r="Q243" s="27" t="n">
        <x:f>(VLOOKUP(O243,'Fee Data'!$C$6:$G$50,4,TRUE)+O243*VLOOKUP(O243,'Fee Data'!$C$6:$G$50,5,TRUE)+VLOOKUP(O243,'Fee Data'!$I$6:$J$14,2,TRUE)+'Fee Data'!$J$20+'Fee Data'!$J$21)*'Assumptions'!E37</x:f>
        <x:v>870</x:v>
      </x:c>
      <x:c r="R243" s="27" t="n">
        <x:f>P243*(1-'Assumptions'!$D$14)+Q243*'Assumptions'!$D$14</x:f>
        <x:v>932.5</x:v>
      </x:c>
      <x:c r="S243" s="27" t="n">
        <x:f>O243*'Carrier Engine'!E92</x:f>
        <x:v>212.5018526680166</x:v>
      </x:c>
      <x:c r="T243" s="28" t="n">
        <x:f>R243+S243</x:f>
        <x:v>1145.0018526680167</x:v>
      </x:c>
      <x:c r="U243" s="27" t="n">
        <x:f>N243*'Fleet Engine'!G196</x:f>
        <x:v>0</x:v>
      </x:c>
      <x:c r="V243" s="28" t="n">
        <x:f>U243*T243</x:f>
        <x:v>0</x:v>
      </x:c>
      <x:c r="W243" s="28" t="n">
        <x:f>U243*O243</x:f>
        <x:v>0</x:v>
      </x:c>
    </x:row>
    <x:row r="244" ht="19" customHeight="1">
      <x:c r="A244" s="2"/>
      <x:c r="B244" s="2"/>
      <x:c r="C244" s="46" t="n">
        <x:v>1</x:v>
      </x:c>
      <x:c r="D244" s="46" t="n">
        <x:v>2</x:v>
      </x:c>
      <x:c r="E244" s="46" t="n">
        <x:v>0</x:v>
      </x:c>
      <x:c r="F244" s="46" t="n">
        <x:v>2</x:v>
      </x:c>
      <x:c r="G244" s="12" t="n">
        <x:v>0.4444444444444444</x:v>
      </x:c>
      <x:c r="H244" s="12" t="n">
        <x:v>0.5555555555555556</x:v>
      </x:c>
      <x:c r="I244" s="29" t="n">
        <x:f>'Assumptions'!$D$11+'Assumptions'!$D$12*(0.5-(G244+H244)/2)</x:f>
        <x:v>0.3</x:v>
      </x:c>
      <x:c r="J244" s="27" t="n">
        <x:f>'Assumptions'!$D$8*EXP(-'Assumptions'!$D$9*('Fleet Engine'!E196-10))*'Assumptions'!E55*'Assumptions'!E36</x:f>
        <x:v>16487.212707001283</x:v>
      </x:c>
      <x:c r="K244" s="27" t="n">
        <x:f>'Source Data'!F219+LN('Assumptions'!D55)+LN('Assumptions'!E35)</x:f>
        <x:v>7.955584867261274</x:v>
      </x:c>
      <x:c r="L244" s="27" t="n">
        <x:f>J244*(1-I244*(1-'Carrier Engine'!E92))</x:f>
        <x:v>11738.895447384913</x:v>
      </x:c>
      <x:c r="M244" s="29" t="n">
        <x:f>NORM.S.DIST((LN(L244)-K244)/'Assumptions'!$D$10,TRUE)</x:f>
        <x:v>0.816260449587562</x:v>
      </x:c>
      <x:c r="N244" s="30" t="n">
        <x:f>MAX(0,H244-MAX(G244,M244))</x:f>
        <x:v>0</x:v>
      </x:c>
      <x:c r="O244" s="28" t="n">
        <x:f>J244*I244</x:f>
        <x:v>4946.163812100384</x:v>
      </x:c>
      <x:c r="P244" s="27" t="n">
        <x:f>(VLOOKUP(O244,'Fee Data'!$C$6:$G$50,2,TRUE)+O244*VLOOKUP(O244,'Fee Data'!$C$6:$G$50,3,TRUE)+VLOOKUP(O244,'Fee Data'!$I$6:$J$14,2,TRUE)+'Fee Data'!$J$20+'Fee Data'!$J$21)*'Assumptions'!E37</x:f>
        <x:v>970</x:v>
      </x:c>
      <x:c r="Q244" s="27" t="n">
        <x:f>(VLOOKUP(O244,'Fee Data'!$C$6:$G$50,4,TRUE)+O244*VLOOKUP(O244,'Fee Data'!$C$6:$G$50,5,TRUE)+VLOOKUP(O244,'Fee Data'!$I$6:$J$14,2,TRUE)+'Fee Data'!$J$20+'Fee Data'!$J$21)*'Assumptions'!E37</x:f>
        <x:v>845</x:v>
      </x:c>
      <x:c r="R244" s="27" t="n">
        <x:f>P244*(1-'Assumptions'!$D$14)+Q244*'Assumptions'!$D$14</x:f>
        <x:v>907.5</x:v>
      </x:c>
      <x:c r="S244" s="27" t="n">
        <x:f>O244*'Carrier Engine'!E92</x:f>
        <x:v>197.8465524840154</x:v>
      </x:c>
      <x:c r="T244" s="28" t="n">
        <x:f>R244+S244</x:f>
        <x:v>1105.3465524840153</x:v>
      </x:c>
      <x:c r="U244" s="27" t="n">
        <x:f>N244*'Fleet Engine'!G196</x:f>
        <x:v>0</x:v>
      </x:c>
      <x:c r="V244" s="28" t="n">
        <x:f>U244*T244</x:f>
        <x:v>0</x:v>
      </x:c>
      <x:c r="W244" s="28" t="n">
        <x:f>U244*O244</x:f>
        <x:v>0</x:v>
      </x:c>
    </x:row>
    <x:row r="245" ht="19" customHeight="1">
      <x:c r="A245" s="2"/>
      <x:c r="B245" s="2"/>
      <x:c r="C245" s="46" t="n">
        <x:v>1</x:v>
      </x:c>
      <x:c r="D245" s="46" t="n">
        <x:v>2</x:v>
      </x:c>
      <x:c r="E245" s="46" t="n">
        <x:v>0</x:v>
      </x:c>
      <x:c r="F245" s="46" t="n">
        <x:v>2</x:v>
      </x:c>
      <x:c r="G245" s="12" t="n">
        <x:v>0.5555555555555556</x:v>
      </x:c>
      <x:c r="H245" s="12" t="n">
        <x:v>0.6666666666666666</x:v>
      </x:c>
      <x:c r="I245" s="29" t="n">
        <x:f>'Assumptions'!$D$11+'Assumptions'!$D$12*(0.5-(G245+H245)/2)</x:f>
        <x:v>0.27777777777777773</x:v>
      </x:c>
      <x:c r="J245" s="27" t="n">
        <x:f>'Assumptions'!$D$8*EXP(-'Assumptions'!$D$9*('Fleet Engine'!E196-10))*'Assumptions'!E55*'Assumptions'!E36</x:f>
        <x:v>16487.212707001283</x:v>
      </x:c>
      <x:c r="K245" s="27" t="n">
        <x:f>'Source Data'!F219+LN('Assumptions'!D55)+LN('Assumptions'!E35)</x:f>
        <x:v>7.955584867261274</x:v>
      </x:c>
      <x:c r="L245" s="27" t="n">
        <x:f>J245*(1-I245*(1-'Carrier Engine'!E92))</x:f>
        <x:v>12090.622651800943</x:v>
      </x:c>
      <x:c r="M245" s="29" t="n">
        <x:f>NORM.S.DIST((LN(L245)-K245)/'Assumptions'!$D$10,TRUE)</x:f>
        <x:v>0.8212154681565336</x:v>
      </x:c>
      <x:c r="N245" s="30" t="n">
        <x:f>MAX(0,H245-MAX(G245,M245))</x:f>
        <x:v>0</x:v>
      </x:c>
      <x:c r="O245" s="28" t="n">
        <x:f>J245*I245</x:f>
        <x:v>4579.781307500356</x:v>
      </x:c>
      <x:c r="P245" s="27" t="n">
        <x:f>(VLOOKUP(O245,'Fee Data'!$C$6:$G$50,2,TRUE)+O245*VLOOKUP(O245,'Fee Data'!$C$6:$G$50,3,TRUE)+VLOOKUP(O245,'Fee Data'!$I$6:$J$14,2,TRUE)+'Fee Data'!$J$20+'Fee Data'!$J$21)*'Assumptions'!E37</x:f>
        <x:v>970</x:v>
      </x:c>
      <x:c r="Q245" s="27" t="n">
        <x:f>(VLOOKUP(O245,'Fee Data'!$C$6:$G$50,4,TRUE)+O245*VLOOKUP(O245,'Fee Data'!$C$6:$G$50,5,TRUE)+VLOOKUP(O245,'Fee Data'!$I$6:$J$14,2,TRUE)+'Fee Data'!$J$20+'Fee Data'!$J$21)*'Assumptions'!E37</x:f>
        <x:v>845</x:v>
      </x:c>
      <x:c r="R245" s="27" t="n">
        <x:f>P245*(1-'Assumptions'!$D$14)+Q245*'Assumptions'!$D$14</x:f>
        <x:v>907.5</x:v>
      </x:c>
      <x:c r="S245" s="27" t="n">
        <x:f>O245*'Carrier Engine'!E92</x:f>
        <x:v>183.19125230001427</x:v>
      </x:c>
      <x:c r="T245" s="28" t="n">
        <x:f>R245+S245</x:f>
        <x:v>1090.6912523000142</x:v>
      </x:c>
      <x:c r="U245" s="27" t="n">
        <x:f>N245*'Fleet Engine'!G196</x:f>
        <x:v>0</x:v>
      </x:c>
      <x:c r="V245" s="28" t="n">
        <x:f>U245*T245</x:f>
        <x:v>0</x:v>
      </x:c>
      <x:c r="W245" s="28" t="n">
        <x:f>U245*O245</x:f>
        <x:v>0</x:v>
      </x:c>
    </x:row>
    <x:row r="246" ht="19" customHeight="1">
      <x:c r="A246" s="2"/>
      <x:c r="B246" s="2"/>
      <x:c r="C246" s="46" t="n">
        <x:v>1</x:v>
      </x:c>
      <x:c r="D246" s="46" t="n">
        <x:v>2</x:v>
      </x:c>
      <x:c r="E246" s="46" t="n">
        <x:v>0</x:v>
      </x:c>
      <x:c r="F246" s="46" t="n">
        <x:v>2</x:v>
      </x:c>
      <x:c r="G246" s="12" t="n">
        <x:v>0.6666666666666666</x:v>
      </x:c>
      <x:c r="H246" s="12" t="n">
        <x:v>0.7777777777777778</x:v>
      </x:c>
      <x:c r="I246" s="29" t="n">
        <x:f>'Assumptions'!$D$11+'Assumptions'!$D$12*(0.5-(G246+H246)/2)</x:f>
        <x:v>0.25555555555555554</x:v>
      </x:c>
      <x:c r="J246" s="27" t="n">
        <x:f>'Assumptions'!$D$8*EXP(-'Assumptions'!$D$9*('Fleet Engine'!E196-10))*'Assumptions'!E55*'Assumptions'!E36</x:f>
        <x:v>16487.212707001283</x:v>
      </x:c>
      <x:c r="K246" s="27" t="n">
        <x:f>'Source Data'!F219+LN('Assumptions'!D55)+LN('Assumptions'!E35)</x:f>
        <x:v>7.955584867261274</x:v>
      </x:c>
      <x:c r="L246" s="27" t="n">
        <x:f>J246*(1-I246*(1-'Carrier Engine'!E92))</x:f>
        <x:v>12442.34985621697</x:v>
      </x:c>
      <x:c r="M246" s="29" t="n">
        <x:f>NORM.S.DIST((LN(L246)-K246)/'Assumptions'!$D$10,TRUE)</x:f>
        <x:v>0.8259470394978756</x:v>
      </x:c>
      <x:c r="N246" s="30" t="n">
        <x:f>MAX(0,H246-MAX(G246,M246))</x:f>
        <x:v>0</x:v>
      </x:c>
      <x:c r="O246" s="28" t="n">
        <x:f>J246*I246</x:f>
        <x:v>4213.398802900328</x:v>
      </x:c>
      <x:c r="P246" s="27" t="n">
        <x:f>(VLOOKUP(O246,'Fee Data'!$C$6:$G$50,2,TRUE)+O246*VLOOKUP(O246,'Fee Data'!$C$6:$G$50,3,TRUE)+VLOOKUP(O246,'Fee Data'!$I$6:$J$14,2,TRUE)+'Fee Data'!$J$20+'Fee Data'!$J$21)*'Assumptions'!E37</x:f>
        <x:v>945</x:v>
      </x:c>
      <x:c r="Q246" s="27" t="n">
        <x:f>(VLOOKUP(O246,'Fee Data'!$C$6:$G$50,4,TRUE)+O246*VLOOKUP(O246,'Fee Data'!$C$6:$G$50,5,TRUE)+VLOOKUP(O246,'Fee Data'!$I$6:$J$14,2,TRUE)+'Fee Data'!$J$20+'Fee Data'!$J$21)*'Assumptions'!E37</x:f>
        <x:v>820</x:v>
      </x:c>
      <x:c r="R246" s="27" t="n">
        <x:f>P246*(1-'Assumptions'!$D$14)+Q246*'Assumptions'!$D$14</x:f>
        <x:v>882.5</x:v>
      </x:c>
      <x:c r="S246" s="27" t="n">
        <x:f>O246*'Carrier Engine'!E92</x:f>
        <x:v>168.53595211601314</x:v>
      </x:c>
      <x:c r="T246" s="28" t="n">
        <x:f>R246+S246</x:f>
        <x:v>1051.035952116013</x:v>
      </x:c>
      <x:c r="U246" s="27" t="n">
        <x:f>N246*'Fleet Engine'!G196</x:f>
        <x:v>0</x:v>
      </x:c>
      <x:c r="V246" s="28" t="n">
        <x:f>U246*T246</x:f>
        <x:v>0</x:v>
      </x:c>
      <x:c r="W246" s="28" t="n">
        <x:f>U246*O246</x:f>
        <x:v>0</x:v>
      </x:c>
    </x:row>
    <x:row r="247" ht="19" customHeight="1">
      <x:c r="A247" s="2"/>
      <x:c r="B247" s="2"/>
      <x:c r="C247" s="46" t="n">
        <x:v>1</x:v>
      </x:c>
      <x:c r="D247" s="46" t="n">
        <x:v>2</x:v>
      </x:c>
      <x:c r="E247" s="46" t="n">
        <x:v>0</x:v>
      </x:c>
      <x:c r="F247" s="46" t="n">
        <x:v>2</x:v>
      </x:c>
      <x:c r="G247" s="12" t="n">
        <x:v>0.7777777777777778</x:v>
      </x:c>
      <x:c r="H247" s="12" t="n">
        <x:v>0.8888888888888888</x:v>
      </x:c>
      <x:c r="I247" s="29" t="n">
        <x:f>'Assumptions'!$D$11+'Assumptions'!$D$12*(0.5-(G247+H247)/2)</x:f>
        <x:v>0.23333333333333334</x:v>
      </x:c>
      <x:c r="J247" s="27" t="n">
        <x:f>'Assumptions'!$D$8*EXP(-'Assumptions'!$D$9*('Fleet Engine'!E196-10))*'Assumptions'!E55*'Assumptions'!E36</x:f>
        <x:v>16487.212707001283</x:v>
      </x:c>
      <x:c r="K247" s="27" t="n">
        <x:f>'Source Data'!F219+LN('Assumptions'!D55)+LN('Assumptions'!E35)</x:f>
        <x:v>7.955584867261274</x:v>
      </x:c>
      <x:c r="L247" s="27" t="n">
        <x:f>J247*(1-I247*(1-'Carrier Engine'!E92))</x:f>
        <x:v>12794.077060632995</x:v>
      </x:c>
      <x:c r="M247" s="29" t="n">
        <x:f>NORM.S.DIST((LN(L247)-K247)/'Assumptions'!$D$10,TRUE)</x:f>
        <x:v>0.8304696516941905</x:v>
      </x:c>
      <x:c r="N247" s="30" t="n">
        <x:f>MAX(0,H247-MAX(G247,M247))</x:f>
        <x:v>0.058419237194698326</x:v>
      </x:c>
      <x:c r="O247" s="28" t="n">
        <x:f>J247*I247</x:f>
        <x:v>3847.0162983002992</x:v>
      </x:c>
      <x:c r="P247" s="27" t="n">
        <x:f>(VLOOKUP(O247,'Fee Data'!$C$6:$G$50,2,TRUE)+O247*VLOOKUP(O247,'Fee Data'!$C$6:$G$50,3,TRUE)+VLOOKUP(O247,'Fee Data'!$I$6:$J$14,2,TRUE)+'Fee Data'!$J$20+'Fee Data'!$J$21)*'Assumptions'!E37</x:f>
        <x:v>915</x:v>
      </x:c>
      <x:c r="Q247" s="27" t="n">
        <x:f>(VLOOKUP(O247,'Fee Data'!$C$6:$G$50,4,TRUE)+O247*VLOOKUP(O247,'Fee Data'!$C$6:$G$50,5,TRUE)+VLOOKUP(O247,'Fee Data'!$I$6:$J$14,2,TRUE)+'Fee Data'!$J$20+'Fee Data'!$J$21)*'Assumptions'!E37</x:f>
        <x:v>765</x:v>
      </x:c>
      <x:c r="R247" s="27" t="n">
        <x:f>P247*(1-'Assumptions'!$D$14)+Q247*'Assumptions'!$D$14</x:f>
        <x:v>840</x:v>
      </x:c>
      <x:c r="S247" s="27" t="n">
        <x:f>O247*'Carrier Engine'!E92</x:f>
        <x:v>153.880651932012</x:v>
      </x:c>
      <x:c r="T247" s="28" t="n">
        <x:f>R247+S247</x:f>
        <x:v>993.880651932012</x:v>
      </x:c>
      <x:c r="U247" s="27" t="n">
        <x:f>N247*'Fleet Engine'!G196</x:f>
        <x:v>663.5212571000117</x:v>
      </x:c>
      <x:c r="V247" s="28" t="n">
        <x:f>U247*T247</x:f>
        <x:v>659460.9395773078</x:v>
      </x:c>
      <x:c r="W247" s="28" t="n">
        <x:f>U247*O247</x:f>
        <x:v>2552577.090332448</x:v>
      </x:c>
    </x:row>
    <x:row r="248" ht="19" customHeight="1">
      <x:c r="A248" s="2"/>
      <x:c r="B248" s="2"/>
      <x:c r="C248" s="46" t="n">
        <x:v>1</x:v>
      </x:c>
      <x:c r="D248" s="46" t="n">
        <x:v>2</x:v>
      </x:c>
      <x:c r="E248" s="46" t="n">
        <x:v>0</x:v>
      </x:c>
      <x:c r="F248" s="46" t="n">
        <x:v>2</x:v>
      </x:c>
      <x:c r="G248" s="12" t="n">
        <x:v>0.8888888888888888</x:v>
      </x:c>
      <x:c r="H248" s="12" t="n">
        <x:v>1</x:v>
      </x:c>
      <x:c r="I248" s="29" t="n">
        <x:f>'Assumptions'!$D$11+'Assumptions'!$D$12*(0.5-(G248+H248)/2)</x:f>
        <x:v>0.21111111111111108</x:v>
      </x:c>
      <x:c r="J248" s="27" t="n">
        <x:f>'Assumptions'!$D$8*EXP(-'Assumptions'!$D$9*('Fleet Engine'!E196-10))*'Assumptions'!E55*'Assumptions'!E36</x:f>
        <x:v>16487.212707001283</x:v>
      </x:c>
      <x:c r="K248" s="27" t="n">
        <x:f>'Source Data'!F219+LN('Assumptions'!D55)+LN('Assumptions'!E35)</x:f>
        <x:v>7.955584867261274</x:v>
      </x:c>
      <x:c r="L248" s="27" t="n">
        <x:f>J248*(1-I248*(1-'Carrier Engine'!E92))</x:f>
        <x:v>13145.804265049022</x:v>
      </x:c>
      <x:c r="M248" s="29" t="n">
        <x:f>NORM.S.DIST((LN(L248)-K248)/'Assumptions'!$D$10,TRUE)</x:f>
        <x:v>0.8347965602302723</x:v>
      </x:c>
      <x:c r="N248" s="30" t="n">
        <x:f>MAX(0,H248-MAX(G248,M248))</x:f>
        <x:v>0.11111111111111116</x:v>
      </x:c>
      <x:c r="O248" s="28" t="n">
        <x:f>J248*I248</x:f>
        <x:v>3480.6337937002704</x:v>
      </x:c>
      <x:c r="P248" s="27" t="n">
        <x:f>(VLOOKUP(O248,'Fee Data'!$C$6:$G$50,2,TRUE)+O248*VLOOKUP(O248,'Fee Data'!$C$6:$G$50,3,TRUE)+VLOOKUP(O248,'Fee Data'!$I$6:$J$14,2,TRUE)+'Fee Data'!$J$20+'Fee Data'!$J$21)*'Assumptions'!E37</x:f>
        <x:v>865</x:v>
      </x:c>
      <x:c r="Q248" s="27" t="n">
        <x:f>(VLOOKUP(O248,'Fee Data'!$C$6:$G$50,4,TRUE)+O248*VLOOKUP(O248,'Fee Data'!$C$6:$G$50,5,TRUE)+VLOOKUP(O248,'Fee Data'!$I$6:$J$14,2,TRUE)+'Fee Data'!$J$20+'Fee Data'!$J$21)*'Assumptions'!E37</x:f>
        <x:v>715</x:v>
      </x:c>
      <x:c r="R248" s="27" t="n">
        <x:f>P248*(1-'Assumptions'!$D$14)+Q248*'Assumptions'!$D$14</x:f>
        <x:v>790</x:v>
      </x:c>
      <x:c r="S248" s="27" t="n">
        <x:f>O248*'Carrier Engine'!E92</x:f>
        <x:v>139.22535174801084</x:v>
      </x:c>
      <x:c r="T248" s="28" t="n">
        <x:f>R248+S248</x:f>
        <x:v>929.2253517480108</x:v>
      </x:c>
      <x:c r="U248" s="27" t="n">
        <x:f>N248*'Fleet Engine'!G196</x:f>
        <x:v>1261.9915572761745</x:v>
      </x:c>
      <x:c r="V248" s="28" t="n">
        <x:f>U248*T248</x:f>
        <x:v>1172674.548712973</x:v>
      </x:c>
      <x:c r="W248" s="28" t="n">
        <x:f>U248*O248</x:f>
        <x:v>4392530.461619884</x:v>
      </x:c>
    </x:row>
    <x:row r="249" ht="19" customHeight="1">
      <x:c r="A249" s="2"/>
      <x:c r="B249" s="2"/>
      <x:c r="C249" s="46" t="n">
        <x:v>1</x:v>
      </x:c>
      <x:c r="D249" s="46" t="n">
        <x:v>3</x:v>
      </x:c>
      <x:c r="E249" s="46" t="n">
        <x:v>0</x:v>
      </x:c>
      <x:c r="F249" s="46" t="n">
        <x:v>3</x:v>
      </x:c>
      <x:c r="G249" s="12" t="n">
        <x:v>0</x:v>
      </x:c>
      <x:c r="H249" s="12" t="n">
        <x:v>0.1111111111111111</x:v>
      </x:c>
      <x:c r="I249" s="29" t="n">
        <x:f>'Assumptions'!$D$11+'Assumptions'!$D$12*(0.5-(G249+H249)/2)</x:f>
        <x:v>0.3888888888888889</x:v>
      </x:c>
      <x:c r="J249" s="27" t="n">
        <x:f>'Assumptions'!$D$8*EXP(-'Assumptions'!$D$9*('Fleet Engine'!E197-10))*'Assumptions'!E55*'Assumptions'!E36</x:f>
        <x:v>12214.027581601698</x:v>
      </x:c>
      <x:c r="K249" s="27" t="n">
        <x:f>'Source Data'!F220+LN('Assumptions'!D55)+LN('Assumptions'!E35)</x:f>
        <x:v>8.062717438528928</x:v>
      </x:c>
      <x:c r="L249" s="27" t="n">
        <x:f>J249*(1-I249*(1-'Carrier Engine'!E92))</x:f>
        <x:v>7654.123951137065</x:v>
      </x:c>
      <x:c r="M249" s="29" t="n">
        <x:f>NORM.S.DIST((LN(L249)-K249)/'Assumptions'!$D$10,TRUE)</x:f>
        <x:v>0.7124702952152316</x:v>
      </x:c>
      <x:c r="N249" s="30" t="n">
        <x:f>MAX(0,H249-MAX(G249,M249))</x:f>
        <x:v>0</x:v>
      </x:c>
      <x:c r="O249" s="28" t="n">
        <x:f>J249*I249</x:f>
        <x:v>4749.899615067327</x:v>
      </x:c>
      <x:c r="P249" s="27" t="n">
        <x:f>(VLOOKUP(O249,'Fee Data'!$C$6:$G$50,2,TRUE)+O249*VLOOKUP(O249,'Fee Data'!$C$6:$G$50,3,TRUE)+VLOOKUP(O249,'Fee Data'!$I$6:$J$14,2,TRUE)+'Fee Data'!$J$20+'Fee Data'!$J$21)*'Assumptions'!E37</x:f>
        <x:v>970</x:v>
      </x:c>
      <x:c r="Q249" s="27" t="n">
        <x:f>(VLOOKUP(O249,'Fee Data'!$C$6:$G$50,4,TRUE)+O249*VLOOKUP(O249,'Fee Data'!$C$6:$G$50,5,TRUE)+VLOOKUP(O249,'Fee Data'!$I$6:$J$14,2,TRUE)+'Fee Data'!$J$20+'Fee Data'!$J$21)*'Assumptions'!E37</x:f>
        <x:v>845</x:v>
      </x:c>
      <x:c r="R249" s="27" t="n">
        <x:f>P249*(1-'Assumptions'!$D$14)+Q249*'Assumptions'!$D$14</x:f>
        <x:v>907.5</x:v>
      </x:c>
      <x:c r="S249" s="27" t="n">
        <x:f>O249*'Carrier Engine'!E92</x:f>
        <x:v>189.99598460269314</x:v>
      </x:c>
      <x:c r="T249" s="28" t="n">
        <x:f>R249+S249</x:f>
        <x:v>1097.4959846026932</x:v>
      </x:c>
      <x:c r="U249" s="27" t="n">
        <x:f>N249*'Fleet Engine'!G197</x:f>
        <x:v>0</x:v>
      </x:c>
      <x:c r="V249" s="28" t="n">
        <x:f>U249*T249</x:f>
        <x:v>0</x:v>
      </x:c>
      <x:c r="W249" s="28" t="n">
        <x:f>U249*O249</x:f>
        <x:v>0</x:v>
      </x:c>
    </x:row>
    <x:row r="250" ht="19" customHeight="1">
      <x:c r="A250" s="2"/>
      <x:c r="B250" s="2"/>
      <x:c r="C250" s="46" t="n">
        <x:v>1</x:v>
      </x:c>
      <x:c r="D250" s="46" t="n">
        <x:v>3</x:v>
      </x:c>
      <x:c r="E250" s="46" t="n">
        <x:v>0</x:v>
      </x:c>
      <x:c r="F250" s="46" t="n">
        <x:v>3</x:v>
      </x:c>
      <x:c r="G250" s="12" t="n">
        <x:v>0.1111111111111111</x:v>
      </x:c>
      <x:c r="H250" s="12" t="n">
        <x:v>0.2222222222222222</x:v>
      </x:c>
      <x:c r="I250" s="29" t="n">
        <x:f>'Assumptions'!$D$11+'Assumptions'!$D$12*(0.5-(G250+H250)/2)</x:f>
        <x:v>0.3666666666666667</x:v>
      </x:c>
      <x:c r="J250" s="27" t="n">
        <x:f>'Assumptions'!$D$8*EXP(-'Assumptions'!$D$9*('Fleet Engine'!E197-10))*'Assumptions'!E55*'Assumptions'!E36</x:f>
        <x:v>12214.027581601698</x:v>
      </x:c>
      <x:c r="K250" s="27" t="n">
        <x:f>'Source Data'!F220+LN('Assumptions'!D55)+LN('Assumptions'!E35)</x:f>
        <x:v>8.062717438528928</x:v>
      </x:c>
      <x:c r="L250" s="27" t="n">
        <x:f>J250*(1-I250*(1-'Carrier Engine'!E92))</x:f>
        <x:v>7914.6898728779</x:v>
      </x:c>
      <x:c r="M250" s="29" t="n">
        <x:f>NORM.S.DIST((LN(L250)-K250)/'Assumptions'!$D$10,TRUE)</x:f>
        <x:v>0.7196948864067317</x:v>
      </x:c>
      <x:c r="N250" s="30" t="n">
        <x:f>MAX(0,H250-MAX(G250,M250))</x:f>
        <x:v>0</x:v>
      </x:c>
      <x:c r="O250" s="28" t="n">
        <x:f>J250*I250</x:f>
        <x:v>4478.476779920623</x:v>
      </x:c>
      <x:c r="P250" s="27" t="n">
        <x:f>(VLOOKUP(O250,'Fee Data'!$C$6:$G$50,2,TRUE)+O250*VLOOKUP(O250,'Fee Data'!$C$6:$G$50,3,TRUE)+VLOOKUP(O250,'Fee Data'!$I$6:$J$14,2,TRUE)+'Fee Data'!$J$20+'Fee Data'!$J$21)*'Assumptions'!E37</x:f>
        <x:v>945</x:v>
      </x:c>
      <x:c r="Q250" s="27" t="n">
        <x:f>(VLOOKUP(O250,'Fee Data'!$C$6:$G$50,4,TRUE)+O250*VLOOKUP(O250,'Fee Data'!$C$6:$G$50,5,TRUE)+VLOOKUP(O250,'Fee Data'!$I$6:$J$14,2,TRUE)+'Fee Data'!$J$20+'Fee Data'!$J$21)*'Assumptions'!E37</x:f>
        <x:v>820</x:v>
      </x:c>
      <x:c r="R250" s="27" t="n">
        <x:f>P250*(1-'Assumptions'!$D$14)+Q250*'Assumptions'!$D$14</x:f>
        <x:v>882.5</x:v>
      </x:c>
      <x:c r="S250" s="27" t="n">
        <x:f>O250*'Carrier Engine'!E92</x:f>
        <x:v>179.13907119682494</x:v>
      </x:c>
      <x:c r="T250" s="28" t="n">
        <x:f>R250+S250</x:f>
        <x:v>1061.639071196825</x:v>
      </x:c>
      <x:c r="U250" s="27" t="n">
        <x:f>N250*'Fleet Engine'!G197</x:f>
        <x:v>0</x:v>
      </x:c>
      <x:c r="V250" s="28" t="n">
        <x:f>U250*T250</x:f>
        <x:v>0</x:v>
      </x:c>
      <x:c r="W250" s="28" t="n">
        <x:f>U250*O250</x:f>
        <x:v>0</x:v>
      </x:c>
    </x:row>
    <x:row r="251" ht="19" customHeight="1">
      <x:c r="A251" s="2"/>
      <x:c r="B251" s="2"/>
      <x:c r="C251" s="46" t="n">
        <x:v>1</x:v>
      </x:c>
      <x:c r="D251" s="46" t="n">
        <x:v>3</x:v>
      </x:c>
      <x:c r="E251" s="46" t="n">
        <x:v>0</x:v>
      </x:c>
      <x:c r="F251" s="46" t="n">
        <x:v>3</x:v>
      </x:c>
      <x:c r="G251" s="12" t="n">
        <x:v>0.2222222222222222</x:v>
      </x:c>
      <x:c r="H251" s="12" t="n">
        <x:v>0.3333333333333333</x:v>
      </x:c>
      <x:c r="I251" s="29" t="n">
        <x:f>'Assumptions'!$D$11+'Assumptions'!$D$12*(0.5-(G251+H251)/2)</x:f>
        <x:v>0.34444444444444444</x:v>
      </x:c>
      <x:c r="J251" s="27" t="n">
        <x:f>'Assumptions'!$D$8*EXP(-'Assumptions'!$D$9*('Fleet Engine'!E197-10))*'Assumptions'!E55*'Assumptions'!E36</x:f>
        <x:v>12214.027581601698</x:v>
      </x:c>
      <x:c r="K251" s="27" t="n">
        <x:f>'Source Data'!F220+LN('Assumptions'!D55)+LN('Assumptions'!E35)</x:f>
        <x:v>8.062717438528928</x:v>
      </x:c>
      <x:c r="L251" s="27" t="n">
        <x:f>J251*(1-I251*(1-'Carrier Engine'!E92))</x:f>
        <x:v>8175.255794618737</x:v>
      </x:c>
      <x:c r="M251" s="29" t="n">
        <x:f>NORM.S.DIST((LN(L251)-K251)/'Assumptions'!$D$10,TRUE)</x:f>
        <x:v>0.7266006694983298</x:v>
      </x:c>
      <x:c r="N251" s="30" t="n">
        <x:f>MAX(0,H251-MAX(G251,M251))</x:f>
        <x:v>0</x:v>
      </x:c>
      <x:c r="O251" s="28" t="n">
        <x:f>J251*I251</x:f>
        <x:v>4207.053944773918</x:v>
      </x:c>
      <x:c r="P251" s="27" t="n">
        <x:f>(VLOOKUP(O251,'Fee Data'!$C$6:$G$50,2,TRUE)+O251*VLOOKUP(O251,'Fee Data'!$C$6:$G$50,3,TRUE)+VLOOKUP(O251,'Fee Data'!$I$6:$J$14,2,TRUE)+'Fee Data'!$J$20+'Fee Data'!$J$21)*'Assumptions'!E37</x:f>
        <x:v>945</x:v>
      </x:c>
      <x:c r="Q251" s="27" t="n">
        <x:f>(VLOOKUP(O251,'Fee Data'!$C$6:$G$50,4,TRUE)+O251*VLOOKUP(O251,'Fee Data'!$C$6:$G$50,5,TRUE)+VLOOKUP(O251,'Fee Data'!$I$6:$J$14,2,TRUE)+'Fee Data'!$J$20+'Fee Data'!$J$21)*'Assumptions'!E37</x:f>
        <x:v>820</x:v>
      </x:c>
      <x:c r="R251" s="27" t="n">
        <x:f>P251*(1-'Assumptions'!$D$14)+Q251*'Assumptions'!$D$14</x:f>
        <x:v>882.5</x:v>
      </x:c>
      <x:c r="S251" s="27" t="n">
        <x:f>O251*'Carrier Engine'!E92</x:f>
        <x:v>168.28215779095677</x:v>
      </x:c>
      <x:c r="T251" s="28" t="n">
        <x:f>R251+S251</x:f>
        <x:v>1050.7821577909567</x:v>
      </x:c>
      <x:c r="U251" s="27" t="n">
        <x:f>N251*'Fleet Engine'!G197</x:f>
        <x:v>0</x:v>
      </x:c>
      <x:c r="V251" s="28" t="n">
        <x:f>U251*T251</x:f>
        <x:v>0</x:v>
      </x:c>
      <x:c r="W251" s="28" t="n">
        <x:f>U251*O251</x:f>
        <x:v>0</x:v>
      </x:c>
    </x:row>
    <x:row r="252" ht="19" customHeight="1">
      <x:c r="A252" s="2"/>
      <x:c r="B252" s="2"/>
      <x:c r="C252" s="46" t="n">
        <x:v>1</x:v>
      </x:c>
      <x:c r="D252" s="46" t="n">
        <x:v>3</x:v>
      </x:c>
      <x:c r="E252" s="46" t="n">
        <x:v>0</x:v>
      </x:c>
      <x:c r="F252" s="46" t="n">
        <x:v>3</x:v>
      </x:c>
      <x:c r="G252" s="12" t="n">
        <x:v>0.3333333333333333</x:v>
      </x:c>
      <x:c r="H252" s="12" t="n">
        <x:v>0.4444444444444444</x:v>
      </x:c>
      <x:c r="I252" s="29" t="n">
        <x:f>'Assumptions'!$D$11+'Assumptions'!$D$12*(0.5-(G252+H252)/2)</x:f>
        <x:v>0.32222222222222224</x:v>
      </x:c>
      <x:c r="J252" s="27" t="n">
        <x:f>'Assumptions'!$D$8*EXP(-'Assumptions'!$D$9*('Fleet Engine'!E197-10))*'Assumptions'!E55*'Assumptions'!E36</x:f>
        <x:v>12214.027581601698</x:v>
      </x:c>
      <x:c r="K252" s="27" t="n">
        <x:f>'Source Data'!F220+LN('Assumptions'!D55)+LN('Assumptions'!E35)</x:f>
        <x:v>8.062717438528928</x:v>
      </x:c>
      <x:c r="L252" s="27" t="n">
        <x:f>J252*(1-I252*(1-'Carrier Engine'!E92))</x:f>
        <x:v>8435.821716359573</x:v>
      </x:c>
      <x:c r="M252" s="29" t="n">
        <x:f>NORM.S.DIST((LN(L252)-K252)/'Assumptions'!$D$10,TRUE)</x:f>
        <x:v>0.7332084499624358</x:v>
      </x:c>
      <x:c r="N252" s="30" t="n">
        <x:f>MAX(0,H252-MAX(G252,M252))</x:f>
        <x:v>0</x:v>
      </x:c>
      <x:c r="O252" s="28" t="n">
        <x:f>J252*I252</x:f>
        <x:v>3935.6311096272143</x:v>
      </x:c>
      <x:c r="P252" s="27" t="n">
        <x:f>(VLOOKUP(O252,'Fee Data'!$C$6:$G$50,2,TRUE)+O252*VLOOKUP(O252,'Fee Data'!$C$6:$G$50,3,TRUE)+VLOOKUP(O252,'Fee Data'!$I$6:$J$14,2,TRUE)+'Fee Data'!$J$20+'Fee Data'!$J$21)*'Assumptions'!E37</x:f>
        <x:v>915</x:v>
      </x:c>
      <x:c r="Q252" s="27" t="n">
        <x:f>(VLOOKUP(O252,'Fee Data'!$C$6:$G$50,4,TRUE)+O252*VLOOKUP(O252,'Fee Data'!$C$6:$G$50,5,TRUE)+VLOOKUP(O252,'Fee Data'!$I$6:$J$14,2,TRUE)+'Fee Data'!$J$20+'Fee Data'!$J$21)*'Assumptions'!E37</x:f>
        <x:v>765</x:v>
      </x:c>
      <x:c r="R252" s="27" t="n">
        <x:f>P252*(1-'Assumptions'!$D$14)+Q252*'Assumptions'!$D$14</x:f>
        <x:v>840</x:v>
      </x:c>
      <x:c r="S252" s="27" t="n">
        <x:f>O252*'Carrier Engine'!E92</x:f>
        <x:v>157.4252443850886</x:v>
      </x:c>
      <x:c r="T252" s="28" t="n">
        <x:f>R252+S252</x:f>
        <x:v>997.4252443850886</x:v>
      </x:c>
      <x:c r="U252" s="27" t="n">
        <x:f>N252*'Fleet Engine'!G197</x:f>
        <x:v>0</x:v>
      </x:c>
      <x:c r="V252" s="28" t="n">
        <x:f>U252*T252</x:f>
        <x:v>0</x:v>
      </x:c>
      <x:c r="W252" s="28" t="n">
        <x:f>U252*O252</x:f>
        <x:v>0</x:v>
      </x:c>
    </x:row>
    <x:row r="253" ht="19" customHeight="1">
      <x:c r="A253" s="2"/>
      <x:c r="B253" s="2"/>
      <x:c r="C253" s="46" t="n">
        <x:v>1</x:v>
      </x:c>
      <x:c r="D253" s="46" t="n">
        <x:v>3</x:v>
      </x:c>
      <x:c r="E253" s="46" t="n">
        <x:v>0</x:v>
      </x:c>
      <x:c r="F253" s="46" t="n">
        <x:v>3</x:v>
      </x:c>
      <x:c r="G253" s="12" t="n">
        <x:v>0.4444444444444444</x:v>
      </x:c>
      <x:c r="H253" s="12" t="n">
        <x:v>0.5555555555555556</x:v>
      </x:c>
      <x:c r="I253" s="29" t="n">
        <x:f>'Assumptions'!$D$11+'Assumptions'!$D$12*(0.5-(G253+H253)/2)</x:f>
        <x:v>0.3</x:v>
      </x:c>
      <x:c r="J253" s="27" t="n">
        <x:f>'Assumptions'!$D$8*EXP(-'Assumptions'!$D$9*('Fleet Engine'!E197-10))*'Assumptions'!E55*'Assumptions'!E36</x:f>
        <x:v>12214.027581601698</x:v>
      </x:c>
      <x:c r="K253" s="27" t="n">
        <x:f>'Source Data'!F220+LN('Assumptions'!D55)+LN('Assumptions'!E35)</x:f>
        <x:v>8.062717438528928</x:v>
      </x:c>
      <x:c r="L253" s="27" t="n">
        <x:f>J253*(1-I253*(1-'Carrier Engine'!E92))</x:f>
        <x:v>8696.387638100408</x:v>
      </x:c>
      <x:c r="M253" s="29" t="n">
        <x:f>NORM.S.DIST((LN(L253)-K253)/'Assumptions'!$D$10,TRUE)</x:f>
        <x:v>0.7395372219077186</x:v>
      </x:c>
      <x:c r="N253" s="30" t="n">
        <x:f>MAX(0,H253-MAX(G253,M253))</x:f>
        <x:v>0</x:v>
      </x:c>
      <x:c r="O253" s="28" t="n">
        <x:f>J253*I253</x:f>
        <x:v>3664.2082744805093</x:v>
      </x:c>
      <x:c r="P253" s="27" t="n">
        <x:f>(VLOOKUP(O253,'Fee Data'!$C$6:$G$50,2,TRUE)+O253*VLOOKUP(O253,'Fee Data'!$C$6:$G$50,3,TRUE)+VLOOKUP(O253,'Fee Data'!$I$6:$J$14,2,TRUE)+'Fee Data'!$J$20+'Fee Data'!$J$21)*'Assumptions'!E37</x:f>
        <x:v>915</x:v>
      </x:c>
      <x:c r="Q253" s="27" t="n">
        <x:f>(VLOOKUP(O253,'Fee Data'!$C$6:$G$50,4,TRUE)+O253*VLOOKUP(O253,'Fee Data'!$C$6:$G$50,5,TRUE)+VLOOKUP(O253,'Fee Data'!$I$6:$J$14,2,TRUE)+'Fee Data'!$J$20+'Fee Data'!$J$21)*'Assumptions'!E37</x:f>
        <x:v>765</x:v>
      </x:c>
      <x:c r="R253" s="27" t="n">
        <x:f>P253*(1-'Assumptions'!$D$14)+Q253*'Assumptions'!$D$14</x:f>
        <x:v>840</x:v>
      </x:c>
      <x:c r="S253" s="27" t="n">
        <x:f>O253*'Carrier Engine'!E92</x:f>
        <x:v>146.5683309792204</x:v>
      </x:c>
      <x:c r="T253" s="28" t="n">
        <x:f>R253+S253</x:f>
        <x:v>986.5683309792204</x:v>
      </x:c>
      <x:c r="U253" s="27" t="n">
        <x:f>N253*'Fleet Engine'!G197</x:f>
        <x:v>0</x:v>
      </x:c>
      <x:c r="V253" s="28" t="n">
        <x:f>U253*T253</x:f>
        <x:v>0</x:v>
      </x:c>
      <x:c r="W253" s="28" t="n">
        <x:f>U253*O253</x:f>
        <x:v>0</x:v>
      </x:c>
    </x:row>
    <x:row r="254" ht="19" customHeight="1">
      <x:c r="A254" s="2"/>
      <x:c r="B254" s="2"/>
      <x:c r="C254" s="46" t="n">
        <x:v>1</x:v>
      </x:c>
      <x:c r="D254" s="46" t="n">
        <x:v>3</x:v>
      </x:c>
      <x:c r="E254" s="46" t="n">
        <x:v>0</x:v>
      </x:c>
      <x:c r="F254" s="46" t="n">
        <x:v>3</x:v>
      </x:c>
      <x:c r="G254" s="12" t="n">
        <x:v>0.5555555555555556</x:v>
      </x:c>
      <x:c r="H254" s="12" t="n">
        <x:v>0.6666666666666666</x:v>
      </x:c>
      <x:c r="I254" s="29" t="n">
        <x:f>'Assumptions'!$D$11+'Assumptions'!$D$12*(0.5-(G254+H254)/2)</x:f>
        <x:v>0.27777777777777773</x:v>
      </x:c>
      <x:c r="J254" s="27" t="n">
        <x:f>'Assumptions'!$D$8*EXP(-'Assumptions'!$D$9*('Fleet Engine'!E197-10))*'Assumptions'!E55*'Assumptions'!E36</x:f>
        <x:v>12214.027581601698</x:v>
      </x:c>
      <x:c r="K254" s="27" t="n">
        <x:f>'Source Data'!F220+LN('Assumptions'!D55)+LN('Assumptions'!E35)</x:f>
        <x:v>8.062717438528928</x:v>
      </x:c>
      <x:c r="L254" s="27" t="n">
        <x:f>J254*(1-I254*(1-'Carrier Engine'!E92))</x:f>
        <x:v>8956.953559841246</x:v>
      </x:c>
      <x:c r="M254" s="29" t="n">
        <x:f>NORM.S.DIST((LN(L254)-K254)/'Assumptions'!$D$10,TRUE)</x:f>
        <x:v>0.7456043651066011</x:v>
      </x:c>
      <x:c r="N254" s="30" t="n">
        <x:f>MAX(0,H254-MAX(G254,M254))</x:f>
        <x:v>0</x:v>
      </x:c>
      <x:c r="O254" s="28" t="n">
        <x:f>J254*I254</x:f>
        <x:v>3392.785439333805</x:v>
      </x:c>
      <x:c r="P254" s="27" t="n">
        <x:f>(VLOOKUP(O254,'Fee Data'!$C$6:$G$50,2,TRUE)+O254*VLOOKUP(O254,'Fee Data'!$C$6:$G$50,3,TRUE)+VLOOKUP(O254,'Fee Data'!$I$6:$J$14,2,TRUE)+'Fee Data'!$J$20+'Fee Data'!$J$21)*'Assumptions'!E37</x:f>
        <x:v>865</x:v>
      </x:c>
      <x:c r="Q254" s="27" t="n">
        <x:f>(VLOOKUP(O254,'Fee Data'!$C$6:$G$50,4,TRUE)+O254*VLOOKUP(O254,'Fee Data'!$C$6:$G$50,5,TRUE)+VLOOKUP(O254,'Fee Data'!$I$6:$J$14,2,TRUE)+'Fee Data'!$J$20+'Fee Data'!$J$21)*'Assumptions'!E37</x:f>
        <x:v>715</x:v>
      </x:c>
      <x:c r="R254" s="27" t="n">
        <x:f>P254*(1-'Assumptions'!$D$14)+Q254*'Assumptions'!$D$14</x:f>
        <x:v>790</x:v>
      </x:c>
      <x:c r="S254" s="27" t="n">
        <x:f>O254*'Carrier Engine'!E92</x:f>
        <x:v>135.7114175733522</x:v>
      </x:c>
      <x:c r="T254" s="28" t="n">
        <x:f>R254+S254</x:f>
        <x:v>925.7114175733523</x:v>
      </x:c>
      <x:c r="U254" s="27" t="n">
        <x:f>N254*'Fleet Engine'!G197</x:f>
        <x:v>0</x:v>
      </x:c>
      <x:c r="V254" s="28" t="n">
        <x:f>U254*T254</x:f>
        <x:v>0</x:v>
      </x:c>
      <x:c r="W254" s="28" t="n">
        <x:f>U254*O254</x:f>
        <x:v>0</x:v>
      </x:c>
    </x:row>
    <x:row r="255" ht="19" customHeight="1">
      <x:c r="A255" s="2"/>
      <x:c r="B255" s="2"/>
      <x:c r="C255" s="46" t="n">
        <x:v>1</x:v>
      </x:c>
      <x:c r="D255" s="46" t="n">
        <x:v>3</x:v>
      </x:c>
      <x:c r="E255" s="46" t="n">
        <x:v>0</x:v>
      </x:c>
      <x:c r="F255" s="46" t="n">
        <x:v>3</x:v>
      </x:c>
      <x:c r="G255" s="12" t="n">
        <x:v>0.6666666666666666</x:v>
      </x:c>
      <x:c r="H255" s="12" t="n">
        <x:v>0.7777777777777778</x:v>
      </x:c>
      <x:c r="I255" s="29" t="n">
        <x:f>'Assumptions'!$D$11+'Assumptions'!$D$12*(0.5-(G255+H255)/2)</x:f>
        <x:v>0.25555555555555554</x:v>
      </x:c>
      <x:c r="J255" s="27" t="n">
        <x:f>'Assumptions'!$D$8*EXP(-'Assumptions'!$D$9*('Fleet Engine'!E197-10))*'Assumptions'!E55*'Assumptions'!E36</x:f>
        <x:v>12214.027581601698</x:v>
      </x:c>
      <x:c r="K255" s="27" t="n">
        <x:f>'Source Data'!F220+LN('Assumptions'!D55)+LN('Assumptions'!E35)</x:f>
        <x:v>8.062717438528928</x:v>
      </x:c>
      <x:c r="L255" s="27" t="n">
        <x:f>J255*(1-I255*(1-'Carrier Engine'!E92))</x:f>
        <x:v>9217.519481582081</x:v>
      </x:c>
      <x:c r="M255" s="29" t="n">
        <x:f>NORM.S.DIST((LN(L255)-K255)/'Assumptions'!$D$10,TRUE)</x:f>
        <x:v>0.7514258164078012</x:v>
      </x:c>
      <x:c r="N255" s="30" t="n">
        <x:f>MAX(0,H255-MAX(G255,M255))</x:f>
        <x:v>0.02635196136997664</x:v>
      </x:c>
      <x:c r="O255" s="28" t="n">
        <x:f>J255*I255</x:f>
        <x:v>3121.3626041871003</x:v>
      </x:c>
      <x:c r="P255" s="27" t="n">
        <x:f>(VLOOKUP(O255,'Fee Data'!$C$6:$G$50,2,TRUE)+O255*VLOOKUP(O255,'Fee Data'!$C$6:$G$50,3,TRUE)+VLOOKUP(O255,'Fee Data'!$I$6:$J$14,2,TRUE)+'Fee Data'!$J$20+'Fee Data'!$J$21)*'Assumptions'!E37</x:f>
        <x:v>865</x:v>
      </x:c>
      <x:c r="Q255" s="27" t="n">
        <x:f>(VLOOKUP(O255,'Fee Data'!$C$6:$G$50,4,TRUE)+O255*VLOOKUP(O255,'Fee Data'!$C$6:$G$50,5,TRUE)+VLOOKUP(O255,'Fee Data'!$I$6:$J$14,2,TRUE)+'Fee Data'!$J$20+'Fee Data'!$J$21)*'Assumptions'!E37</x:f>
        <x:v>715</x:v>
      </x:c>
      <x:c r="R255" s="27" t="n">
        <x:f>P255*(1-'Assumptions'!$D$14)+Q255*'Assumptions'!$D$14</x:f>
        <x:v>790</x:v>
      </x:c>
      <x:c r="S255" s="27" t="n">
        <x:f>O255*'Carrier Engine'!E92</x:f>
        <x:v>124.85450416748404</x:v>
      </x:c>
      <x:c r="T255" s="28" t="n">
        <x:f>R255+S255</x:f>
        <x:v>914.854504167484</x:v>
      </x:c>
      <x:c r="U255" s="27" t="n">
        <x:f>N255*'Fleet Engine'!G197</x:f>
        <x:v>383.70762430943637</x:v>
      </x:c>
      <x:c r="V255" s="28" t="n">
        <x:f>U255*T255</x:f>
        <x:v>351036.64838289266</x:v>
      </x:c>
      <x:c r="W255" s="28" t="n">
        <x:f>U255*O255</x:f>
        <x:v>1197690.6294609478</x:v>
      </x:c>
    </x:row>
    <x:row r="256" ht="19" customHeight="1">
      <x:c r="A256" s="2"/>
      <x:c r="B256" s="2"/>
      <x:c r="C256" s="46" t="n">
        <x:v>1</x:v>
      </x:c>
      <x:c r="D256" s="46" t="n">
        <x:v>3</x:v>
      </x:c>
      <x:c r="E256" s="46" t="n">
        <x:v>0</x:v>
      </x:c>
      <x:c r="F256" s="46" t="n">
        <x:v>3</x:v>
      </x:c>
      <x:c r="G256" s="12" t="n">
        <x:v>0.7777777777777778</x:v>
      </x:c>
      <x:c r="H256" s="12" t="n">
        <x:v>0.8888888888888888</x:v>
      </x:c>
      <x:c r="I256" s="29" t="n">
        <x:f>'Assumptions'!$D$11+'Assumptions'!$D$12*(0.5-(G256+H256)/2)</x:f>
        <x:v>0.23333333333333334</x:v>
      </x:c>
      <x:c r="J256" s="27" t="n">
        <x:f>'Assumptions'!$D$8*EXP(-'Assumptions'!$D$9*('Fleet Engine'!E197-10))*'Assumptions'!E55*'Assumptions'!E36</x:f>
        <x:v>12214.027581601698</x:v>
      </x:c>
      <x:c r="K256" s="27" t="n">
        <x:f>'Source Data'!F220+LN('Assumptions'!D55)+LN('Assumptions'!E35)</x:f>
        <x:v>8.062717438528928</x:v>
      </x:c>
      <x:c r="L256" s="27" t="n">
        <x:f>J256*(1-I256*(1-'Carrier Engine'!E92))</x:f>
        <x:v>9478.085403322919</x:v>
      </x:c>
      <x:c r="M256" s="29" t="n">
        <x:f>NORM.S.DIST((LN(L256)-K256)/'Assumptions'!$D$10,TRUE)</x:f>
        <x:v>0.7570162193907342</x:v>
      </x:c>
      <x:c r="N256" s="30" t="n">
        <x:f>MAX(0,H256-MAX(G256,M256))</x:f>
        <x:v>0.11111111111111105</x:v>
      </x:c>
      <x:c r="O256" s="28" t="n">
        <x:f>J256*I256</x:f>
        <x:v>2849.939769040396</x:v>
      </x:c>
      <x:c r="P256" s="27" t="n">
        <x:f>(VLOOKUP(O256,'Fee Data'!$C$6:$G$50,2,TRUE)+O256*VLOOKUP(O256,'Fee Data'!$C$6:$G$50,3,TRUE)+VLOOKUP(O256,'Fee Data'!$I$6:$J$14,2,TRUE)+'Fee Data'!$J$20+'Fee Data'!$J$21)*'Assumptions'!E37</x:f>
        <x:v>820</x:v>
      </x:c>
      <x:c r="Q256" s="27" t="n">
        <x:f>(VLOOKUP(O256,'Fee Data'!$C$6:$G$50,4,TRUE)+O256*VLOOKUP(O256,'Fee Data'!$C$6:$G$50,5,TRUE)+VLOOKUP(O256,'Fee Data'!$I$6:$J$14,2,TRUE)+'Fee Data'!$J$20+'Fee Data'!$J$21)*'Assumptions'!E37</x:f>
        <x:v>670</x:v>
      </x:c>
      <x:c r="R256" s="27" t="n">
        <x:f>P256*(1-'Assumptions'!$D$14)+Q256*'Assumptions'!$D$14</x:f>
        <x:v>745</x:v>
      </x:c>
      <x:c r="S256" s="27" t="n">
        <x:f>O256*'Carrier Engine'!E92</x:f>
        <x:v>113.99759076161587</x:v>
      </x:c>
      <x:c r="T256" s="28" t="n">
        <x:f>R256+S256</x:f>
        <x:v>858.9975907616158</x:v>
      </x:c>
      <x:c r="U256" s="27" t="n">
        <x:f>N256*'Fleet Engine'!G197</x:f>
        <x:v>1617.8750370892803</x:v>
      </x:c>
      <x:c r="V256" s="28" t="n">
        <x:f>U256*T256</x:f>
        <x:v>1389750.7590130516</x:v>
      </x:c>
      <x:c r="W256" s="28" t="n">
        <x:f>U256*O256</x:f>
        <x:v>4610846.409538446</x:v>
      </x:c>
    </x:row>
    <x:row r="257" ht="19" customHeight="1">
      <x:c r="A257" s="2"/>
      <x:c r="B257" s="2"/>
      <x:c r="C257" s="46" t="n">
        <x:v>1</x:v>
      </x:c>
      <x:c r="D257" s="46" t="n">
        <x:v>3</x:v>
      </x:c>
      <x:c r="E257" s="46" t="n">
        <x:v>0</x:v>
      </x:c>
      <x:c r="F257" s="46" t="n">
        <x:v>3</x:v>
      </x:c>
      <x:c r="G257" s="12" t="n">
        <x:v>0.8888888888888888</x:v>
      </x:c>
      <x:c r="H257" s="12" t="n">
        <x:v>1</x:v>
      </x:c>
      <x:c r="I257" s="29" t="n">
        <x:f>'Assumptions'!$D$11+'Assumptions'!$D$12*(0.5-(G257+H257)/2)</x:f>
        <x:v>0.21111111111111108</x:v>
      </x:c>
      <x:c r="J257" s="27" t="n">
        <x:f>'Assumptions'!$D$8*EXP(-'Assumptions'!$D$9*('Fleet Engine'!E197-10))*'Assumptions'!E55*'Assumptions'!E36</x:f>
        <x:v>12214.027581601698</x:v>
      </x:c>
      <x:c r="K257" s="27" t="n">
        <x:f>'Source Data'!F220+LN('Assumptions'!D55)+LN('Assumptions'!E35)</x:f>
        <x:v>8.062717438528928</x:v>
      </x:c>
      <x:c r="L257" s="27" t="n">
        <x:f>J257*(1-I257*(1-'Carrier Engine'!E92))</x:f>
        <x:v>9738.651325063754</x:v>
      </x:c>
      <x:c r="M257" s="29" t="n">
        <x:f>NORM.S.DIST((LN(L257)-K257)/'Assumptions'!$D$10,TRUE)</x:f>
        <x:v>0.76238905546153</x:v>
      </x:c>
      <x:c r="N257" s="30" t="n">
        <x:f>MAX(0,H257-MAX(G257,M257))</x:f>
        <x:v>0.11111111111111116</x:v>
      </x:c>
      <x:c r="O257" s="28" t="n">
        <x:f>J257*I257</x:f>
        <x:v>2578.5169338936917</x:v>
      </x:c>
      <x:c r="P257" s="27" t="n">
        <x:f>(VLOOKUP(O257,'Fee Data'!$C$6:$G$50,2,TRUE)+O257*VLOOKUP(O257,'Fee Data'!$C$6:$G$50,3,TRUE)+VLOOKUP(O257,'Fee Data'!$I$6:$J$14,2,TRUE)+'Fee Data'!$J$20+'Fee Data'!$J$21)*'Assumptions'!E37</x:f>
        <x:v>820</x:v>
      </x:c>
      <x:c r="Q257" s="27" t="n">
        <x:f>(VLOOKUP(O257,'Fee Data'!$C$6:$G$50,4,TRUE)+O257*VLOOKUP(O257,'Fee Data'!$C$6:$G$50,5,TRUE)+VLOOKUP(O257,'Fee Data'!$I$6:$J$14,2,TRUE)+'Fee Data'!$J$20+'Fee Data'!$J$21)*'Assumptions'!E37</x:f>
        <x:v>670</x:v>
      </x:c>
      <x:c r="R257" s="27" t="n">
        <x:f>P257*(1-'Assumptions'!$D$14)+Q257*'Assumptions'!$D$14</x:f>
        <x:v>745</x:v>
      </x:c>
      <x:c r="S257" s="27" t="n">
        <x:f>O257*'Carrier Engine'!E92</x:f>
        <x:v>103.14067735574768</x:v>
      </x:c>
      <x:c r="T257" s="28" t="n">
        <x:f>R257+S257</x:f>
        <x:v>848.1406773557477</x:v>
      </x:c>
      <x:c r="U257" s="27" t="n">
        <x:f>N257*'Fleet Engine'!G197</x:f>
        <x:v>1617.875037089282</x:v>
      </x:c>
      <x:c r="V257" s="28" t="n">
        <x:f>U257*T257</x:f>
        <x:v>1372185.629833859</x:v>
      </x:c>
      <x:c r="W257" s="28" t="n">
        <x:f>U257*O257</x:f>
        <x:v>4171718.180058598</x:v>
      </x:c>
    </x:row>
    <x:row r="258" ht="19" customHeight="1">
      <x:c r="A258" s="2"/>
      <x:c r="B258" s="2"/>
      <x:c r="C258" s="46" t="n">
        <x:v>1</x:v>
      </x:c>
      <x:c r="D258" s="46" t="n">
        <x:v>4</x:v>
      </x:c>
      <x:c r="E258" s="46" t="n">
        <x:v>0</x:v>
      </x:c>
      <x:c r="F258" s="46" t="n">
        <x:v>4</x:v>
      </x:c>
      <x:c r="G258" s="12" t="n">
        <x:v>0</x:v>
      </x:c>
      <x:c r="H258" s="12" t="n">
        <x:v>0.1111111111111111</x:v>
      </x:c>
      <x:c r="I258" s="29" t="n">
        <x:f>'Assumptions'!$D$11+'Assumptions'!$D$12*(0.5-(G258+H258)/2)</x:f>
        <x:v>0.3888888888888889</x:v>
      </x:c>
      <x:c r="J258" s="27" t="n">
        <x:f>'Assumptions'!$D$8*EXP(-'Assumptions'!$D$9*('Fleet Engine'!E198-10))*'Assumptions'!E55*'Assumptions'!E36</x:f>
        <x:v>9048.374180359595</x:v>
      </x:c>
      <x:c r="K258" s="27" t="n">
        <x:f>'Source Data'!F221+LN('Assumptions'!D55)+LN('Assumptions'!E35)</x:f>
        <x:v>8.14856556744418</x:v>
      </x:c>
      <x:c r="L258" s="27" t="n">
        <x:f>J258*(1-I258*(1-'Carrier Engine'!E92))</x:f>
        <x:v>5670.3144863586795</x:v>
      </x:c>
      <x:c r="M258" s="29" t="n">
        <x:f>NORM.S.DIST((LN(L258)-K258)/'Assumptions'!$D$10,TRUE)</x:f>
        <x:v>0.6235755127669419</x:v>
      </x:c>
      <x:c r="N258" s="30" t="n">
        <x:f>MAX(0,H258-MAX(G258,M258))</x:f>
        <x:v>0</x:v>
      </x:c>
      <x:c r="O258" s="28" t="n">
        <x:f>J258*I258</x:f>
        <x:v>3518.8121812509535</x:v>
      </x:c>
      <x:c r="P258" s="27" t="n">
        <x:f>(VLOOKUP(O258,'Fee Data'!$C$6:$G$50,2,TRUE)+O258*VLOOKUP(O258,'Fee Data'!$C$6:$G$50,3,TRUE)+VLOOKUP(O258,'Fee Data'!$I$6:$J$14,2,TRUE)+'Fee Data'!$J$20+'Fee Data'!$J$21)*'Assumptions'!E37</x:f>
        <x:v>915</x:v>
      </x:c>
      <x:c r="Q258" s="27" t="n">
        <x:f>(VLOOKUP(O258,'Fee Data'!$C$6:$G$50,4,TRUE)+O258*VLOOKUP(O258,'Fee Data'!$C$6:$G$50,5,TRUE)+VLOOKUP(O258,'Fee Data'!$I$6:$J$14,2,TRUE)+'Fee Data'!$J$20+'Fee Data'!$J$21)*'Assumptions'!E37</x:f>
        <x:v>765</x:v>
      </x:c>
      <x:c r="R258" s="27" t="n">
        <x:f>P258*(1-'Assumptions'!$D$14)+Q258*'Assumptions'!$D$14</x:f>
        <x:v>840</x:v>
      </x:c>
      <x:c r="S258" s="27" t="n">
        <x:f>O258*'Carrier Engine'!E92</x:f>
        <x:v>140.75248725003817</x:v>
      </x:c>
      <x:c r="T258" s="28" t="n">
        <x:f>R258+S258</x:f>
        <x:v>980.7524872500381</x:v>
      </x:c>
      <x:c r="U258" s="27" t="n">
        <x:f>N258*'Fleet Engine'!G198</x:f>
        <x:v>0</x:v>
      </x:c>
      <x:c r="V258" s="28" t="n">
        <x:f>U258*T258</x:f>
        <x:v>0</x:v>
      </x:c>
      <x:c r="W258" s="28" t="n">
        <x:f>U258*O258</x:f>
        <x:v>0</x:v>
      </x:c>
    </x:row>
    <x:row r="259" ht="19" customHeight="1">
      <x:c r="A259" s="2"/>
      <x:c r="B259" s="2"/>
      <x:c r="C259" s="46" t="n">
        <x:v>1</x:v>
      </x:c>
      <x:c r="D259" s="46" t="n">
        <x:v>4</x:v>
      </x:c>
      <x:c r="E259" s="46" t="n">
        <x:v>0</x:v>
      </x:c>
      <x:c r="F259" s="46" t="n">
        <x:v>4</x:v>
      </x:c>
      <x:c r="G259" s="12" t="n">
        <x:v>0.1111111111111111</x:v>
      </x:c>
      <x:c r="H259" s="12" t="n">
        <x:v>0.2222222222222222</x:v>
      </x:c>
      <x:c r="I259" s="29" t="n">
        <x:f>'Assumptions'!$D$11+'Assumptions'!$D$12*(0.5-(G259+H259)/2)</x:f>
        <x:v>0.3666666666666667</x:v>
      </x:c>
      <x:c r="J259" s="27" t="n">
        <x:f>'Assumptions'!$D$8*EXP(-'Assumptions'!$D$9*('Fleet Engine'!E198-10))*'Assumptions'!E55*'Assumptions'!E36</x:f>
        <x:v>9048.374180359595</x:v>
      </x:c>
      <x:c r="K259" s="27" t="n">
        <x:f>'Source Data'!F221+LN('Assumptions'!D55)+LN('Assumptions'!E35)</x:f>
        <x:v>8.14856556744418</x:v>
      </x:c>
      <x:c r="L259" s="27" t="n">
        <x:f>J259*(1-I259*(1-'Carrier Engine'!E92))</x:f>
        <x:v>5863.346468873016</x:v>
      </x:c>
      <x:c r="M259" s="29" t="n">
        <x:f>NORM.S.DIST((LN(L259)-K259)/'Assumptions'!$D$10,TRUE)</x:f>
        <x:v>0.6316416500338942</x:v>
      </x:c>
      <x:c r="N259" s="30" t="n">
        <x:f>MAX(0,H259-MAX(G259,M259))</x:f>
        <x:v>0</x:v>
      </x:c>
      <x:c r="O259" s="28" t="n">
        <x:f>J259*I259</x:f>
        <x:v>3317.737199465185</x:v>
      </x:c>
      <x:c r="P259" s="27" t="n">
        <x:f>(VLOOKUP(O259,'Fee Data'!$C$6:$G$50,2,TRUE)+O259*VLOOKUP(O259,'Fee Data'!$C$6:$G$50,3,TRUE)+VLOOKUP(O259,'Fee Data'!$I$6:$J$14,2,TRUE)+'Fee Data'!$J$20+'Fee Data'!$J$21)*'Assumptions'!E37</x:f>
        <x:v>865</x:v>
      </x:c>
      <x:c r="Q259" s="27" t="n">
        <x:f>(VLOOKUP(O259,'Fee Data'!$C$6:$G$50,4,TRUE)+O259*VLOOKUP(O259,'Fee Data'!$C$6:$G$50,5,TRUE)+VLOOKUP(O259,'Fee Data'!$I$6:$J$14,2,TRUE)+'Fee Data'!$J$20+'Fee Data'!$J$21)*'Assumptions'!E37</x:f>
        <x:v>715</x:v>
      </x:c>
      <x:c r="R259" s="27" t="n">
        <x:f>P259*(1-'Assumptions'!$D$14)+Q259*'Assumptions'!$D$14</x:f>
        <x:v>790</x:v>
      </x:c>
      <x:c r="S259" s="27" t="n">
        <x:f>O259*'Carrier Engine'!E92</x:f>
        <x:v>132.70948797860743</x:v>
      </x:c>
      <x:c r="T259" s="28" t="n">
        <x:f>R259+S259</x:f>
        <x:v>922.7094879786074</x:v>
      </x:c>
      <x:c r="U259" s="27" t="n">
        <x:f>N259*'Fleet Engine'!G198</x:f>
        <x:v>0</x:v>
      </x:c>
      <x:c r="V259" s="28" t="n">
        <x:f>U259*T259</x:f>
        <x:v>0</x:v>
      </x:c>
      <x:c r="W259" s="28" t="n">
        <x:f>U259*O259</x:f>
        <x:v>0</x:v>
      </x:c>
    </x:row>
    <x:row r="260" ht="19" customHeight="1">
      <x:c r="A260" s="2"/>
      <x:c r="B260" s="2"/>
      <x:c r="C260" s="46" t="n">
        <x:v>1</x:v>
      </x:c>
      <x:c r="D260" s="46" t="n">
        <x:v>4</x:v>
      </x:c>
      <x:c r="E260" s="46" t="n">
        <x:v>0</x:v>
      </x:c>
      <x:c r="F260" s="46" t="n">
        <x:v>4</x:v>
      </x:c>
      <x:c r="G260" s="12" t="n">
        <x:v>0.2222222222222222</x:v>
      </x:c>
      <x:c r="H260" s="12" t="n">
        <x:v>0.3333333333333333</x:v>
      </x:c>
      <x:c r="I260" s="29" t="n">
        <x:f>'Assumptions'!$D$11+'Assumptions'!$D$12*(0.5-(G260+H260)/2)</x:f>
        <x:v>0.34444444444444444</x:v>
      </x:c>
      <x:c r="J260" s="27" t="n">
        <x:f>'Assumptions'!$D$8*EXP(-'Assumptions'!$D$9*('Fleet Engine'!E198-10))*'Assumptions'!E55*'Assumptions'!E36</x:f>
        <x:v>9048.374180359595</x:v>
      </x:c>
      <x:c r="K260" s="27" t="n">
        <x:f>'Source Data'!F221+LN('Assumptions'!D55)+LN('Assumptions'!E35)</x:f>
        <x:v>8.14856556744418</x:v>
      </x:c>
      <x:c r="L260" s="27" t="n">
        <x:f>J260*(1-I260*(1-'Carrier Engine'!E92))</x:f>
        <x:v>6056.378451387355</x:v>
      </x:c>
      <x:c r="M260" s="29" t="n">
        <x:f>NORM.S.DIST((LN(L260)-K260)/'Assumptions'!$D$10,TRUE)</x:f>
        <x:v>0.6393916848110384</x:v>
      </x:c>
      <x:c r="N260" s="30" t="n">
        <x:f>MAX(0,H260-MAX(G260,M260))</x:f>
        <x:v>0</x:v>
      </x:c>
      <x:c r="O260" s="28" t="n">
        <x:f>J260*I260</x:f>
        <x:v>3116.662217679416</x:v>
      </x:c>
      <x:c r="P260" s="27" t="n">
        <x:f>(VLOOKUP(O260,'Fee Data'!$C$6:$G$50,2,TRUE)+O260*VLOOKUP(O260,'Fee Data'!$C$6:$G$50,3,TRUE)+VLOOKUP(O260,'Fee Data'!$I$6:$J$14,2,TRUE)+'Fee Data'!$J$20+'Fee Data'!$J$21)*'Assumptions'!E37</x:f>
        <x:v>865</x:v>
      </x:c>
      <x:c r="Q260" s="27" t="n">
        <x:f>(VLOOKUP(O260,'Fee Data'!$C$6:$G$50,4,TRUE)+O260*VLOOKUP(O260,'Fee Data'!$C$6:$G$50,5,TRUE)+VLOOKUP(O260,'Fee Data'!$I$6:$J$14,2,TRUE)+'Fee Data'!$J$20+'Fee Data'!$J$21)*'Assumptions'!E37</x:f>
        <x:v>715</x:v>
      </x:c>
      <x:c r="R260" s="27" t="n">
        <x:f>P260*(1-'Assumptions'!$D$14)+Q260*'Assumptions'!$D$14</x:f>
        <x:v>790</x:v>
      </x:c>
      <x:c r="S260" s="27" t="n">
        <x:f>O260*'Carrier Engine'!E92</x:f>
        <x:v>124.66648870717665</x:v>
      </x:c>
      <x:c r="T260" s="28" t="n">
        <x:f>R260+S260</x:f>
        <x:v>914.6664887071767</x:v>
      </x:c>
      <x:c r="U260" s="27" t="n">
        <x:f>N260*'Fleet Engine'!G198</x:f>
        <x:v>0</x:v>
      </x:c>
      <x:c r="V260" s="28" t="n">
        <x:f>U260*T260</x:f>
        <x:v>0</x:v>
      </x:c>
      <x:c r="W260" s="28" t="n">
        <x:f>U260*O260</x:f>
        <x:v>0</x:v>
      </x:c>
    </x:row>
    <x:row r="261" ht="19" customHeight="1">
      <x:c r="A261" s="2"/>
      <x:c r="B261" s="2"/>
      <x:c r="C261" s="46" t="n">
        <x:v>1</x:v>
      </x:c>
      <x:c r="D261" s="46" t="n">
        <x:v>4</x:v>
      </x:c>
      <x:c r="E261" s="46" t="n">
        <x:v>0</x:v>
      </x:c>
      <x:c r="F261" s="46" t="n">
        <x:v>4</x:v>
      </x:c>
      <x:c r="G261" s="12" t="n">
        <x:v>0.3333333333333333</x:v>
      </x:c>
      <x:c r="H261" s="12" t="n">
        <x:v>0.4444444444444444</x:v>
      </x:c>
      <x:c r="I261" s="29" t="n">
        <x:f>'Assumptions'!$D$11+'Assumptions'!$D$12*(0.5-(G261+H261)/2)</x:f>
        <x:v>0.32222222222222224</x:v>
      </x:c>
      <x:c r="J261" s="27" t="n">
        <x:f>'Assumptions'!$D$8*EXP(-'Assumptions'!$D$9*('Fleet Engine'!E198-10))*'Assumptions'!E55*'Assumptions'!E36</x:f>
        <x:v>9048.374180359595</x:v>
      </x:c>
      <x:c r="K261" s="27" t="n">
        <x:f>'Source Data'!F221+LN('Assumptions'!D55)+LN('Assumptions'!E35)</x:f>
        <x:v>8.14856556744418</x:v>
      </x:c>
      <x:c r="L261" s="27" t="n">
        <x:f>J261*(1-I261*(1-'Carrier Engine'!E92))</x:f>
        <x:v>6249.410433901693</x:v>
      </x:c>
      <x:c r="M261" s="29" t="n">
        <x:f>NORM.S.DIST((LN(L261)-K261)/'Assumptions'!$D$10,TRUE)</x:f>
        <x:v>0.6468443793490292</x:v>
      </x:c>
      <x:c r="N261" s="30" t="n">
        <x:f>MAX(0,H261-MAX(G261,M261))</x:f>
        <x:v>0</x:v>
      </x:c>
      <x:c r="O261" s="28" t="n">
        <x:f>J261*I261</x:f>
        <x:v>2915.5872358936476</x:v>
      </x:c>
      <x:c r="P261" s="27" t="n">
        <x:f>(VLOOKUP(O261,'Fee Data'!$C$6:$G$50,2,TRUE)+O261*VLOOKUP(O261,'Fee Data'!$C$6:$G$50,3,TRUE)+VLOOKUP(O261,'Fee Data'!$I$6:$J$14,2,TRUE)+'Fee Data'!$J$20+'Fee Data'!$J$21)*'Assumptions'!E37</x:f>
        <x:v>820</x:v>
      </x:c>
      <x:c r="Q261" s="27" t="n">
        <x:f>(VLOOKUP(O261,'Fee Data'!$C$6:$G$50,4,TRUE)+O261*VLOOKUP(O261,'Fee Data'!$C$6:$G$50,5,TRUE)+VLOOKUP(O261,'Fee Data'!$I$6:$J$14,2,TRUE)+'Fee Data'!$J$20+'Fee Data'!$J$21)*'Assumptions'!E37</x:f>
        <x:v>670</x:v>
      </x:c>
      <x:c r="R261" s="27" t="n">
        <x:f>P261*(1-'Assumptions'!$D$14)+Q261*'Assumptions'!$D$14</x:f>
        <x:v>745</x:v>
      </x:c>
      <x:c r="S261" s="27" t="n">
        <x:f>O261*'Carrier Engine'!E92</x:f>
        <x:v>116.62348943574592</x:v>
      </x:c>
      <x:c r="T261" s="28" t="n">
        <x:f>R261+S261</x:f>
        <x:v>861.6234894357459</x:v>
      </x:c>
      <x:c r="U261" s="27" t="n">
        <x:f>N261*'Fleet Engine'!G198</x:f>
        <x:v>0</x:v>
      </x:c>
      <x:c r="V261" s="28" t="n">
        <x:f>U261*T261</x:f>
        <x:v>0</x:v>
      </x:c>
      <x:c r="W261" s="28" t="n">
        <x:f>U261*O261</x:f>
        <x:v>0</x:v>
      </x:c>
    </x:row>
    <x:row r="262" ht="19" customHeight="1">
      <x:c r="A262" s="2"/>
      <x:c r="B262" s="2"/>
      <x:c r="C262" s="46" t="n">
        <x:v>1</x:v>
      </x:c>
      <x:c r="D262" s="46" t="n">
        <x:v>4</x:v>
      </x:c>
      <x:c r="E262" s="46" t="n">
        <x:v>0</x:v>
      </x:c>
      <x:c r="F262" s="46" t="n">
        <x:v>4</x:v>
      </x:c>
      <x:c r="G262" s="12" t="n">
        <x:v>0.4444444444444444</x:v>
      </x:c>
      <x:c r="H262" s="12" t="n">
        <x:v>0.5555555555555556</x:v>
      </x:c>
      <x:c r="I262" s="29" t="n">
        <x:f>'Assumptions'!$D$11+'Assumptions'!$D$12*(0.5-(G262+H262)/2)</x:f>
        <x:v>0.3</x:v>
      </x:c>
      <x:c r="J262" s="27" t="n">
        <x:f>'Assumptions'!$D$8*EXP(-'Assumptions'!$D$9*('Fleet Engine'!E198-10))*'Assumptions'!E55*'Assumptions'!E36</x:f>
        <x:v>9048.374180359595</x:v>
      </x:c>
      <x:c r="K262" s="27" t="n">
        <x:f>'Source Data'!F221+LN('Assumptions'!D55)+LN('Assumptions'!E35)</x:f>
        <x:v>8.14856556744418</x:v>
      </x:c>
      <x:c r="L262" s="27" t="n">
        <x:f>J262*(1-I262*(1-'Carrier Engine'!E92))</x:f>
        <x:v>6442.442416416031</x:v>
      </x:c>
      <x:c r="M262" s="29" t="n">
        <x:f>NORM.S.DIST((LN(L262)-K262)/'Assumptions'!$D$10,TRUE)</x:f>
        <x:v>0.654016988796613</x:v>
      </x:c>
      <x:c r="N262" s="30" t="n">
        <x:f>MAX(0,H262-MAX(G262,M262))</x:f>
        <x:v>0</x:v>
      </x:c>
      <x:c r="O262" s="28" t="n">
        <x:f>J262*I262</x:f>
        <x:v>2714.5122541078786</x:v>
      </x:c>
      <x:c r="P262" s="27" t="n">
        <x:f>(VLOOKUP(O262,'Fee Data'!$C$6:$G$50,2,TRUE)+O262*VLOOKUP(O262,'Fee Data'!$C$6:$G$50,3,TRUE)+VLOOKUP(O262,'Fee Data'!$I$6:$J$14,2,TRUE)+'Fee Data'!$J$20+'Fee Data'!$J$21)*'Assumptions'!E37</x:f>
        <x:v>820</x:v>
      </x:c>
      <x:c r="Q262" s="27" t="n">
        <x:f>(VLOOKUP(O262,'Fee Data'!$C$6:$G$50,4,TRUE)+O262*VLOOKUP(O262,'Fee Data'!$C$6:$G$50,5,TRUE)+VLOOKUP(O262,'Fee Data'!$I$6:$J$14,2,TRUE)+'Fee Data'!$J$20+'Fee Data'!$J$21)*'Assumptions'!E37</x:f>
        <x:v>670</x:v>
      </x:c>
      <x:c r="R262" s="27" t="n">
        <x:f>P262*(1-'Assumptions'!$D$14)+Q262*'Assumptions'!$D$14</x:f>
        <x:v>745</x:v>
      </x:c>
      <x:c r="S262" s="27" t="n">
        <x:f>O262*'Carrier Engine'!E92</x:f>
        <x:v>108.58049016431517</x:v>
      </x:c>
      <x:c r="T262" s="28" t="n">
        <x:f>R262+S262</x:f>
        <x:v>853.5804901643152</x:v>
      </x:c>
      <x:c r="U262" s="27" t="n">
        <x:f>N262*'Fleet Engine'!G198</x:f>
        <x:v>0</x:v>
      </x:c>
      <x:c r="V262" s="28" t="n">
        <x:f>U262*T262</x:f>
        <x:v>0</x:v>
      </x:c>
      <x:c r="W262" s="28" t="n">
        <x:f>U262*O262</x:f>
        <x:v>0</x:v>
      </x:c>
    </x:row>
    <x:row r="263" ht="19" customHeight="1">
      <x:c r="A263" s="2"/>
      <x:c r="B263" s="2"/>
      <x:c r="C263" s="46" t="n">
        <x:v>1</x:v>
      </x:c>
      <x:c r="D263" s="46" t="n">
        <x:v>4</x:v>
      </x:c>
      <x:c r="E263" s="46" t="n">
        <x:v>0</x:v>
      </x:c>
      <x:c r="F263" s="46" t="n">
        <x:v>4</x:v>
      </x:c>
      <x:c r="G263" s="12" t="n">
        <x:v>0.5555555555555556</x:v>
      </x:c>
      <x:c r="H263" s="12" t="n">
        <x:v>0.6666666666666666</x:v>
      </x:c>
      <x:c r="I263" s="29" t="n">
        <x:f>'Assumptions'!$D$11+'Assumptions'!$D$12*(0.5-(G263+H263)/2)</x:f>
        <x:v>0.27777777777777773</x:v>
      </x:c>
      <x:c r="J263" s="27" t="n">
        <x:f>'Assumptions'!$D$8*EXP(-'Assumptions'!$D$9*('Fleet Engine'!E198-10))*'Assumptions'!E55*'Assumptions'!E36</x:f>
        <x:v>9048.374180359595</x:v>
      </x:c>
      <x:c r="K263" s="27" t="n">
        <x:f>'Source Data'!F221+LN('Assumptions'!D55)+LN('Assumptions'!E35)</x:f>
        <x:v>8.14856556744418</x:v>
      </x:c>
      <x:c r="L263" s="27" t="n">
        <x:f>J263*(1-I263*(1-'Carrier Engine'!E92))</x:f>
        <x:v>6635.47439893037</x:v>
      </x:c>
      <x:c r="M263" s="29" t="n">
        <x:f>NORM.S.DIST((LN(L263)-K263)/'Assumptions'!$D$10,TRUE)</x:f>
        <x:v>0.6609254137826943</x:v>
      </x:c>
      <x:c r="N263" s="30" t="n">
        <x:f>MAX(0,H263-MAX(G263,M263))</x:f>
        <x:v>0.005741252883972314</x:v>
      </x:c>
      <x:c r="O263" s="28" t="n">
        <x:f>J263*I263</x:f>
        <x:v>2513.4372723221095</x:v>
      </x:c>
      <x:c r="P263" s="27" t="n">
        <x:f>(VLOOKUP(O263,'Fee Data'!$C$6:$G$50,2,TRUE)+O263*VLOOKUP(O263,'Fee Data'!$C$6:$G$50,3,TRUE)+VLOOKUP(O263,'Fee Data'!$I$6:$J$14,2,TRUE)+'Fee Data'!$J$20+'Fee Data'!$J$21)*'Assumptions'!E37</x:f>
        <x:v>820</x:v>
      </x:c>
      <x:c r="Q263" s="27" t="n">
        <x:f>(VLOOKUP(O263,'Fee Data'!$C$6:$G$50,4,TRUE)+O263*VLOOKUP(O263,'Fee Data'!$C$6:$G$50,5,TRUE)+VLOOKUP(O263,'Fee Data'!$I$6:$J$14,2,TRUE)+'Fee Data'!$J$20+'Fee Data'!$J$21)*'Assumptions'!E37</x:f>
        <x:v>670</x:v>
      </x:c>
      <x:c r="R263" s="27" t="n">
        <x:f>P263*(1-'Assumptions'!$D$14)+Q263*'Assumptions'!$D$14</x:f>
        <x:v>745</x:v>
      </x:c>
      <x:c r="S263" s="27" t="n">
        <x:f>O263*'Carrier Engine'!E92</x:f>
        <x:v>100.53749089288439</x:v>
      </x:c>
      <x:c r="T263" s="28" t="n">
        <x:f>R263+S263</x:f>
        <x:v>845.5374908928844</x:v>
      </x:c>
      <x:c r="U263" s="27" t="n">
        <x:f>N263*'Fleet Engine'!G198</x:f>
        <x:v>75.41742515074114</x:v>
      </x:c>
      <x:c r="V263" s="28" t="n">
        <x:f>U263*T263</x:f>
        <x:v>63768.260431559574</x:v>
      </x:c>
      <x:c r="W263" s="28" t="n">
        <x:f>U263*O263</x:f>
        <x:v>189556.96735643566</x:v>
      </x:c>
    </x:row>
    <x:row r="264" ht="19" customHeight="1">
      <x:c r="A264" s="2"/>
      <x:c r="B264" s="2"/>
      <x:c r="C264" s="46" t="n">
        <x:v>1</x:v>
      </x:c>
      <x:c r="D264" s="46" t="n">
        <x:v>4</x:v>
      </x:c>
      <x:c r="E264" s="46" t="n">
        <x:v>0</x:v>
      </x:c>
      <x:c r="F264" s="46" t="n">
        <x:v>4</x:v>
      </x:c>
      <x:c r="G264" s="12" t="n">
        <x:v>0.6666666666666666</x:v>
      </x:c>
      <x:c r="H264" s="12" t="n">
        <x:v>0.7777777777777778</x:v>
      </x:c>
      <x:c r="I264" s="29" t="n">
        <x:f>'Assumptions'!$D$11+'Assumptions'!$D$12*(0.5-(G264+H264)/2)</x:f>
        <x:v>0.25555555555555554</x:v>
      </x:c>
      <x:c r="J264" s="27" t="n">
        <x:f>'Assumptions'!$D$8*EXP(-'Assumptions'!$D$9*('Fleet Engine'!E198-10))*'Assumptions'!E55*'Assumptions'!E36</x:f>
        <x:v>9048.374180359595</x:v>
      </x:c>
      <x:c r="K264" s="27" t="n">
        <x:f>'Source Data'!F221+LN('Assumptions'!D55)+LN('Assumptions'!E35)</x:f>
        <x:v>8.14856556744418</x:v>
      </x:c>
      <x:c r="L264" s="27" t="n">
        <x:f>J264*(1-I264*(1-'Carrier Engine'!E92))</x:f>
        <x:v>6828.506381444708</x:v>
      </x:c>
      <x:c r="M264" s="29" t="n">
        <x:f>NORM.S.DIST((LN(L264)-K264)/'Assumptions'!$D$10,TRUE)</x:f>
        <x:v>0.6675843344367494</x:v>
      </x:c>
      <x:c r="N264" s="30" t="n">
        <x:f>MAX(0,H264-MAX(G264,M264))</x:f>
        <x:v>0.11019344334102843</x:v>
      </x:c>
      <x:c r="O264" s="28" t="n">
        <x:f>J264*I264</x:f>
        <x:v>2312.362290536341</x:v>
      </x:c>
      <x:c r="P264" s="27" t="n">
        <x:f>(VLOOKUP(O264,'Fee Data'!$C$6:$G$50,2,TRUE)+O264*VLOOKUP(O264,'Fee Data'!$C$6:$G$50,3,TRUE)+VLOOKUP(O264,'Fee Data'!$I$6:$J$14,2,TRUE)+'Fee Data'!$J$20+'Fee Data'!$J$21)*'Assumptions'!E37</x:f>
        <x:v>745</x:v>
      </x:c>
      <x:c r="Q264" s="27" t="n">
        <x:f>(VLOOKUP(O264,'Fee Data'!$C$6:$G$50,4,TRUE)+O264*VLOOKUP(O264,'Fee Data'!$C$6:$G$50,5,TRUE)+VLOOKUP(O264,'Fee Data'!$I$6:$J$14,2,TRUE)+'Fee Data'!$J$20+'Fee Data'!$J$21)*'Assumptions'!E37</x:f>
        <x:v>600</x:v>
      </x:c>
      <x:c r="R264" s="27" t="n">
        <x:f>P264*(1-'Assumptions'!$D$14)+Q264*'Assumptions'!$D$14</x:f>
        <x:v>672.5</x:v>
      </x:c>
      <x:c r="S264" s="27" t="n">
        <x:f>O264*'Carrier Engine'!E92</x:f>
        <x:v>92.49449162145365</x:v>
      </x:c>
      <x:c r="T264" s="28" t="n">
        <x:f>R264+S264</x:f>
        <x:v>764.9944916214537</x:v>
      </x:c>
      <x:c r="U264" s="27" t="n">
        <x:f>N264*'Fleet Engine'!G198</x:f>
        <x:v>1447.5073530508714</x:v>
      </x:c>
      <x:c r="V264" s="28" t="n">
        <x:f>U264*T264</x:f>
        <x:v>1107335.1516654675</x:v>
      </x:c>
      <x:c r="W264" s="28" t="n">
        <x:f>U264*O264</x:f>
        <x:v>3347161.418468909</x:v>
      </x:c>
    </x:row>
    <x:row r="265" ht="19" customHeight="1">
      <x:c r="A265" s="2"/>
      <x:c r="B265" s="2"/>
      <x:c r="C265" s="46" t="n">
        <x:v>1</x:v>
      </x:c>
      <x:c r="D265" s="46" t="n">
        <x:v>4</x:v>
      </x:c>
      <x:c r="E265" s="46" t="n">
        <x:v>0</x:v>
      </x:c>
      <x:c r="F265" s="46" t="n">
        <x:v>4</x:v>
      </x:c>
      <x:c r="G265" s="12" t="n">
        <x:v>0.7777777777777778</x:v>
      </x:c>
      <x:c r="H265" s="12" t="n">
        <x:v>0.8888888888888888</x:v>
      </x:c>
      <x:c r="I265" s="29" t="n">
        <x:f>'Assumptions'!$D$11+'Assumptions'!$D$12*(0.5-(G265+H265)/2)</x:f>
        <x:v>0.23333333333333334</x:v>
      </x:c>
      <x:c r="J265" s="27" t="n">
        <x:f>'Assumptions'!$D$8*EXP(-'Assumptions'!$D$9*('Fleet Engine'!E198-10))*'Assumptions'!E55*'Assumptions'!E36</x:f>
        <x:v>9048.374180359595</x:v>
      </x:c>
      <x:c r="K265" s="27" t="n">
        <x:f>'Source Data'!F221+LN('Assumptions'!D55)+LN('Assumptions'!E35)</x:f>
        <x:v>8.14856556744418</x:v>
      </x:c>
      <x:c r="L265" s="27" t="n">
        <x:f>J265*(1-I265*(1-'Carrier Engine'!E92))</x:f>
        <x:v>7021.5383639590455</x:v>
      </x:c>
      <x:c r="M265" s="29" t="n">
        <x:f>NORM.S.DIST((LN(L265)-K265)/'Assumptions'!$D$10,TRUE)</x:f>
        <x:v>0.6740073284704973</x:v>
      </x:c>
      <x:c r="N265" s="30" t="n">
        <x:f>MAX(0,H265-MAX(G265,M265))</x:f>
        <x:v>0.11111111111111105</x:v>
      </x:c>
      <x:c r="O265" s="28" t="n">
        <x:f>J265*I265</x:f>
        <x:v>2111.2873087505723</x:v>
      </x:c>
      <x:c r="P265" s="27" t="n">
        <x:f>(VLOOKUP(O265,'Fee Data'!$C$6:$G$50,2,TRUE)+O265*VLOOKUP(O265,'Fee Data'!$C$6:$G$50,3,TRUE)+VLOOKUP(O265,'Fee Data'!$I$6:$J$14,2,TRUE)+'Fee Data'!$J$20+'Fee Data'!$J$21)*'Assumptions'!E37</x:f>
        <x:v>745</x:v>
      </x:c>
      <x:c r="Q265" s="27" t="n">
        <x:f>(VLOOKUP(O265,'Fee Data'!$C$6:$G$50,4,TRUE)+O265*VLOOKUP(O265,'Fee Data'!$C$6:$G$50,5,TRUE)+VLOOKUP(O265,'Fee Data'!$I$6:$J$14,2,TRUE)+'Fee Data'!$J$20+'Fee Data'!$J$21)*'Assumptions'!E37</x:f>
        <x:v>600</x:v>
      </x:c>
      <x:c r="R265" s="27" t="n">
        <x:f>P265*(1-'Assumptions'!$D$14)+Q265*'Assumptions'!$D$14</x:f>
        <x:v>672.5</x:v>
      </x:c>
      <x:c r="S265" s="27" t="n">
        <x:f>O265*'Carrier Engine'!E92</x:f>
        <x:v>84.4514923500229</x:v>
      </x:c>
      <x:c r="T265" s="28" t="n">
        <x:f>R265+S265</x:f>
        <x:v>756.9514923500229</x:v>
      </x:c>
      <x:c r="U265" s="27" t="n">
        <x:f>N265*'Fleet Engine'!G198</x:f>
        <x:v>1459.5618891882118</x:v>
      </x:c>
      <x:c r="V265" s="28" t="n">
        <x:f>U265*T265</x:f>
        <x:v>1104817.5501982358</x:v>
      </x:c>
      <x:c r="W265" s="28" t="n">
        <x:f>U265*O265</x:f>
        <x:v>3081554.492979081</x:v>
      </x:c>
    </x:row>
    <x:row r="266" ht="19" customHeight="1">
      <x:c r="A266" s="2"/>
      <x:c r="B266" s="2"/>
      <x:c r="C266" s="46" t="n">
        <x:v>1</x:v>
      </x:c>
      <x:c r="D266" s="46" t="n">
        <x:v>4</x:v>
      </x:c>
      <x:c r="E266" s="46" t="n">
        <x:v>0</x:v>
      </x:c>
      <x:c r="F266" s="46" t="n">
        <x:v>4</x:v>
      </x:c>
      <x:c r="G266" s="12" t="n">
        <x:v>0.8888888888888888</x:v>
      </x:c>
      <x:c r="H266" s="12" t="n">
        <x:v>1</x:v>
      </x:c>
      <x:c r="I266" s="29" t="n">
        <x:f>'Assumptions'!$D$11+'Assumptions'!$D$12*(0.5-(G266+H266)/2)</x:f>
        <x:v>0.21111111111111108</x:v>
      </x:c>
      <x:c r="J266" s="27" t="n">
        <x:f>'Assumptions'!$D$8*EXP(-'Assumptions'!$D$9*('Fleet Engine'!E198-10))*'Assumptions'!E55*'Assumptions'!E36</x:f>
        <x:v>9048.374180359595</x:v>
      </x:c>
      <x:c r="K266" s="27" t="n">
        <x:f>'Source Data'!F221+LN('Assumptions'!D55)+LN('Assumptions'!E35)</x:f>
        <x:v>8.14856556744418</x:v>
      </x:c>
      <x:c r="L266" s="27" t="n">
        <x:f>J266*(1-I266*(1-'Carrier Engine'!E92))</x:f>
        <x:v>7214.570346473383</x:v>
      </x:c>
      <x:c r="M266" s="29" t="n">
        <x:f>NORM.S.DIST((LN(L266)-K266)/'Assumptions'!$D$10,TRUE)</x:f>
        <x:v>0.680206975523874</x:v>
      </x:c>
      <x:c r="N266" s="30" t="n">
        <x:f>MAX(0,H266-MAX(G266,M266))</x:f>
        <x:v>0.11111111111111116</x:v>
      </x:c>
      <x:c r="O266" s="28" t="n">
        <x:f>J266*I266</x:f>
        <x:v>1910.2123269648032</x:v>
      </x:c>
      <x:c r="P266" s="27" t="n">
        <x:f>(VLOOKUP(O266,'Fee Data'!$C$6:$G$50,2,TRUE)+O266*VLOOKUP(O266,'Fee Data'!$C$6:$G$50,3,TRUE)+VLOOKUP(O266,'Fee Data'!$I$6:$J$14,2,TRUE)+'Fee Data'!$J$20+'Fee Data'!$J$21)*'Assumptions'!E37</x:f>
        <x:v>705</x:v>
      </x:c>
      <x:c r="Q266" s="27" t="n">
        <x:f>(VLOOKUP(O266,'Fee Data'!$C$6:$G$50,4,TRUE)+O266*VLOOKUP(O266,'Fee Data'!$C$6:$G$50,5,TRUE)+VLOOKUP(O266,'Fee Data'!$I$6:$J$14,2,TRUE)+'Fee Data'!$J$20+'Fee Data'!$J$21)*'Assumptions'!E37</x:f>
        <x:v>565</x:v>
      </x:c>
      <x:c r="R266" s="27" t="n">
        <x:f>P266*(1-'Assumptions'!$D$14)+Q266*'Assumptions'!$D$14</x:f>
        <x:v>635</x:v>
      </x:c>
      <x:c r="S266" s="27" t="n">
        <x:f>O266*'Carrier Engine'!E92</x:f>
        <x:v>76.40849307859214</x:v>
      </x:c>
      <x:c r="T266" s="28" t="n">
        <x:f>R266+S266</x:f>
        <x:v>711.4084930785922</x:v>
      </x:c>
      <x:c r="U266" s="27" t="n">
        <x:f>N266*'Fleet Engine'!G198</x:f>
        <x:v>1459.5618891882132</x:v>
      </x:c>
      <x:c r="V266" s="28" t="n">
        <x:f>U266*T266</x:f>
        <x:v>1038344.7241423299</x:v>
      </x:c>
      <x:c r="W266" s="28" t="n">
        <x:f>U266*O266</x:f>
        <x:v>2788073.112695361</x:v>
      </x:c>
    </x:row>
    <x:row r="267" ht="19" customHeight="1">
      <x:c r="A267" s="2"/>
      <x:c r="B267" s="2"/>
      <x:c r="C267" s="46" t="n">
        <x:v>1</x:v>
      </x:c>
      <x:c r="D267" s="46" t="n">
        <x:v>5</x:v>
      </x:c>
      <x:c r="E267" s="46" t="n">
        <x:v>0</x:v>
      </x:c>
      <x:c r="F267" s="46" t="n">
        <x:v>5</x:v>
      </x:c>
      <x:c r="G267" s="12" t="n">
        <x:v>0</x:v>
      </x:c>
      <x:c r="H267" s="12" t="n">
        <x:v>0.1111111111111111</x:v>
      </x:c>
      <x:c r="I267" s="29" t="n">
        <x:f>'Assumptions'!$D$11+'Assumptions'!$D$12*(0.5-(G267+H267)/2)</x:f>
        <x:v>0.3888888888888889</x:v>
      </x:c>
      <x:c r="J267" s="27" t="n">
        <x:f>'Assumptions'!$D$8*EXP(-'Assumptions'!$D$9*('Fleet Engine'!E199-10))*'Assumptions'!E55*'Assumptions'!E36</x:f>
        <x:v>4965.853037914095</x:v>
      </x:c>
      <x:c r="K267" s="27" t="n">
        <x:f>'Source Data'!F222+LN('Assumptions'!D55)+LN('Assumptions'!E35)</x:f>
        <x:v>8.0496367177205</x:v>
      </x:c>
      <x:c r="L267" s="27" t="n">
        <x:f>J267*(1-I267*(1-'Carrier Engine'!E92))</x:f>
        <x:v>3111.9345704261664</x:v>
      </x:c>
      <x:c r="M267" s="29" t="n">
        <x:f>NORM.S.DIST((LN(L267)-K267)/'Assumptions'!$D$10,TRUE)</x:f>
        <x:v>0.4983137783845791</x:v>
      </x:c>
      <x:c r="N267" s="30" t="n">
        <x:f>MAX(0,H267-MAX(G267,M267))</x:f>
        <x:v>0</x:v>
      </x:c>
      <x:c r="O267" s="28" t="n">
        <x:f>J267*I267</x:f>
        <x:v>1931.1650702999257</x:v>
      </x:c>
      <x:c r="P267" s="27" t="n">
        <x:f>(VLOOKUP(O267,'Fee Data'!$C$6:$G$50,2,TRUE)+O267*VLOOKUP(O267,'Fee Data'!$C$6:$G$50,3,TRUE)+VLOOKUP(O267,'Fee Data'!$I$6:$J$14,2,TRUE)+'Fee Data'!$J$20+'Fee Data'!$J$21)*'Assumptions'!E37</x:f>
        <x:v>705</x:v>
      </x:c>
      <x:c r="Q267" s="27" t="n">
        <x:f>(VLOOKUP(O267,'Fee Data'!$C$6:$G$50,4,TRUE)+O267*VLOOKUP(O267,'Fee Data'!$C$6:$G$50,5,TRUE)+VLOOKUP(O267,'Fee Data'!$I$6:$J$14,2,TRUE)+'Fee Data'!$J$20+'Fee Data'!$J$21)*'Assumptions'!E37</x:f>
        <x:v>565</x:v>
      </x:c>
      <x:c r="R267" s="27" t="n">
        <x:f>P267*(1-'Assumptions'!$D$14)+Q267*'Assumptions'!$D$14</x:f>
        <x:v>635</x:v>
      </x:c>
      <x:c r="S267" s="27" t="n">
        <x:f>O267*'Carrier Engine'!E92</x:f>
        <x:v>77.24660281199704</x:v>
      </x:c>
      <x:c r="T267" s="28" t="n">
        <x:f>R267+S267</x:f>
        <x:v>712.246602811997</x:v>
      </x:c>
      <x:c r="U267" s="27" t="n">
        <x:f>N267*'Fleet Engine'!G199</x:f>
        <x:v>0</x:v>
      </x:c>
      <x:c r="V267" s="28" t="n">
        <x:f>U267*T267</x:f>
        <x:v>0</x:v>
      </x:c>
      <x:c r="W267" s="28" t="n">
        <x:f>U267*O267</x:f>
        <x:v>0</x:v>
      </x:c>
    </x:row>
    <x:row r="268" ht="19" customHeight="1">
      <x:c r="A268" s="2"/>
      <x:c r="B268" s="2"/>
      <x:c r="C268" s="46" t="n">
        <x:v>1</x:v>
      </x:c>
      <x:c r="D268" s="46" t="n">
        <x:v>5</x:v>
      </x:c>
      <x:c r="E268" s="46" t="n">
        <x:v>0</x:v>
      </x:c>
      <x:c r="F268" s="46" t="n">
        <x:v>5</x:v>
      </x:c>
      <x:c r="G268" s="12" t="n">
        <x:v>0.1111111111111111</x:v>
      </x:c>
      <x:c r="H268" s="12" t="n">
        <x:v>0.2222222222222222</x:v>
      </x:c>
      <x:c r="I268" s="29" t="n">
        <x:f>'Assumptions'!$D$11+'Assumptions'!$D$12*(0.5-(G268+H268)/2)</x:f>
        <x:v>0.3666666666666667</x:v>
      </x:c>
      <x:c r="J268" s="27" t="n">
        <x:f>'Assumptions'!$D$8*EXP(-'Assumptions'!$D$9*('Fleet Engine'!E199-10))*'Assumptions'!E55*'Assumptions'!E36</x:f>
        <x:v>4965.853037914095</x:v>
      </x:c>
      <x:c r="K268" s="27" t="n">
        <x:f>'Source Data'!F222+LN('Assumptions'!D55)+LN('Assumptions'!E35)</x:f>
        <x:v>8.0496367177205</x:v>
      </x:c>
      <x:c r="L268" s="27" t="n">
        <x:f>J268*(1-I268*(1-'Carrier Engine'!E92))</x:f>
        <x:v>3217.872768568333</x:v>
      </x:c>
      <x:c r="M268" s="29" t="n">
        <x:f>NORM.S.DIST((LN(L268)-K268)/'Assumptions'!$D$10,TRUE)</x:f>
        <x:v>0.5068186718451688</x:v>
      </x:c>
      <x:c r="N268" s="30" t="n">
        <x:f>MAX(0,H268-MAX(G268,M268))</x:f>
        <x:v>0</x:v>
      </x:c>
      <x:c r="O268" s="28" t="n">
        <x:f>J268*I268</x:f>
        <x:v>1820.8127805685015</x:v>
      </x:c>
      <x:c r="P268" s="27" t="n">
        <x:f>(VLOOKUP(O268,'Fee Data'!$C$6:$G$50,2,TRUE)+O268*VLOOKUP(O268,'Fee Data'!$C$6:$G$50,3,TRUE)+VLOOKUP(O268,'Fee Data'!$I$6:$J$14,2,TRUE)+'Fee Data'!$J$20+'Fee Data'!$J$21)*'Assumptions'!E37</x:f>
        <x:v>705</x:v>
      </x:c>
      <x:c r="Q268" s="27" t="n">
        <x:f>(VLOOKUP(O268,'Fee Data'!$C$6:$G$50,4,TRUE)+O268*VLOOKUP(O268,'Fee Data'!$C$6:$G$50,5,TRUE)+VLOOKUP(O268,'Fee Data'!$I$6:$J$14,2,TRUE)+'Fee Data'!$J$20+'Fee Data'!$J$21)*'Assumptions'!E37</x:f>
        <x:v>565</x:v>
      </x:c>
      <x:c r="R268" s="27" t="n">
        <x:f>P268*(1-'Assumptions'!$D$14)+Q268*'Assumptions'!$D$14</x:f>
        <x:v>635</x:v>
      </x:c>
      <x:c r="S268" s="27" t="n">
        <x:f>O268*'Carrier Engine'!E92</x:f>
        <x:v>72.83251122274007</x:v>
      </x:c>
      <x:c r="T268" s="28" t="n">
        <x:f>R268+S268</x:f>
        <x:v>707.8325112227401</x:v>
      </x:c>
      <x:c r="U268" s="27" t="n">
        <x:f>N268*'Fleet Engine'!G199</x:f>
        <x:v>0</x:v>
      </x:c>
      <x:c r="V268" s="28" t="n">
        <x:f>U268*T268</x:f>
        <x:v>0</x:v>
      </x:c>
      <x:c r="W268" s="28" t="n">
        <x:f>U268*O268</x:f>
        <x:v>0</x:v>
      </x:c>
    </x:row>
    <x:row r="269" ht="19" customHeight="1">
      <x:c r="A269" s="2"/>
      <x:c r="B269" s="2"/>
      <x:c r="C269" s="46" t="n">
        <x:v>1</x:v>
      </x:c>
      <x:c r="D269" s="46" t="n">
        <x:v>5</x:v>
      </x:c>
      <x:c r="E269" s="46" t="n">
        <x:v>0</x:v>
      </x:c>
      <x:c r="F269" s="46" t="n">
        <x:v>5</x:v>
      </x:c>
      <x:c r="G269" s="12" t="n">
        <x:v>0.2222222222222222</x:v>
      </x:c>
      <x:c r="H269" s="12" t="n">
        <x:v>0.3333333333333333</x:v>
      </x:c>
      <x:c r="I269" s="29" t="n">
        <x:f>'Assumptions'!$D$11+'Assumptions'!$D$12*(0.5-(G269+H269)/2)</x:f>
        <x:v>0.34444444444444444</x:v>
      </x:c>
      <x:c r="J269" s="27" t="n">
        <x:f>'Assumptions'!$D$8*EXP(-'Assumptions'!$D$9*('Fleet Engine'!E199-10))*'Assumptions'!E55*'Assumptions'!E36</x:f>
        <x:v>4965.853037914095</x:v>
      </x:c>
      <x:c r="K269" s="27" t="n">
        <x:f>'Source Data'!F222+LN('Assumptions'!D55)+LN('Assumptions'!E35)</x:f>
        <x:v>8.0496367177205</x:v>
      </x:c>
      <x:c r="L269" s="27" t="n">
        <x:f>J269*(1-I269*(1-'Carrier Engine'!E92))</x:f>
        <x:v>3323.810966710501</x:v>
      </x:c>
      <x:c r="M269" s="29" t="n">
        <x:f>NORM.S.DIST((LN(L269)-K269)/'Assumptions'!$D$10,TRUE)</x:f>
        <x:v>0.5150451442708714</x:v>
      </x:c>
      <x:c r="N269" s="30" t="n">
        <x:f>MAX(0,H269-MAX(G269,M269))</x:f>
        <x:v>0</x:v>
      </x:c>
      <x:c r="O269" s="28" t="n">
        <x:f>J269*I269</x:f>
        <x:v>1710.460490837077</x:v>
      </x:c>
      <x:c r="P269" s="27" t="n">
        <x:f>(VLOOKUP(O269,'Fee Data'!$C$6:$G$50,2,TRUE)+O269*VLOOKUP(O269,'Fee Data'!$C$6:$G$50,3,TRUE)+VLOOKUP(O269,'Fee Data'!$I$6:$J$14,2,TRUE)+'Fee Data'!$J$20+'Fee Data'!$J$21)*'Assumptions'!E37</x:f>
        <x:v>680</x:v>
      </x:c>
      <x:c r="Q269" s="27" t="n">
        <x:f>(VLOOKUP(O269,'Fee Data'!$C$6:$G$50,4,TRUE)+O269*VLOOKUP(O269,'Fee Data'!$C$6:$G$50,5,TRUE)+VLOOKUP(O269,'Fee Data'!$I$6:$J$14,2,TRUE)+'Fee Data'!$J$20+'Fee Data'!$J$21)*'Assumptions'!E37</x:f>
        <x:v>545</x:v>
      </x:c>
      <x:c r="R269" s="27" t="n">
        <x:f>P269*(1-'Assumptions'!$D$14)+Q269*'Assumptions'!$D$14</x:f>
        <x:v>612.5</x:v>
      </x:c>
      <x:c r="S269" s="27" t="n">
        <x:f>O269*'Carrier Engine'!E92</x:f>
        <x:v>68.4184196334831</x:v>
      </x:c>
      <x:c r="T269" s="28" t="n">
        <x:f>R269+S269</x:f>
        <x:v>680.9184196334832</x:v>
      </x:c>
      <x:c r="U269" s="27" t="n">
        <x:f>N269*'Fleet Engine'!G199</x:f>
        <x:v>0</x:v>
      </x:c>
      <x:c r="V269" s="28" t="n">
        <x:f>U269*T269</x:f>
        <x:v>0</x:v>
      </x:c>
      <x:c r="W269" s="28" t="n">
        <x:f>U269*O269</x:f>
        <x:v>0</x:v>
      </x:c>
    </x:row>
    <x:row r="270" ht="19" customHeight="1">
      <x:c r="A270" s="2"/>
      <x:c r="B270" s="2"/>
      <x:c r="C270" s="46" t="n">
        <x:v>1</x:v>
      </x:c>
      <x:c r="D270" s="46" t="n">
        <x:v>5</x:v>
      </x:c>
      <x:c r="E270" s="46" t="n">
        <x:v>0</x:v>
      </x:c>
      <x:c r="F270" s="46" t="n">
        <x:v>5</x:v>
      </x:c>
      <x:c r="G270" s="12" t="n">
        <x:v>0.3333333333333333</x:v>
      </x:c>
      <x:c r="H270" s="12" t="n">
        <x:v>0.4444444444444444</x:v>
      </x:c>
      <x:c r="I270" s="29" t="n">
        <x:f>'Assumptions'!$D$11+'Assumptions'!$D$12*(0.5-(G270+H270)/2)</x:f>
        <x:v>0.32222222222222224</x:v>
      </x:c>
      <x:c r="J270" s="27" t="n">
        <x:f>'Assumptions'!$D$8*EXP(-'Assumptions'!$D$9*('Fleet Engine'!E199-10))*'Assumptions'!E55*'Assumptions'!E36</x:f>
        <x:v>4965.853037914095</x:v>
      </x:c>
      <x:c r="K270" s="27" t="n">
        <x:f>'Source Data'!F222+LN('Assumptions'!D55)+LN('Assumptions'!E35)</x:f>
        <x:v>8.0496367177205</x:v>
      </x:c>
      <x:c r="L270" s="27" t="n">
        <x:f>J270*(1-I270*(1-'Carrier Engine'!E92))</x:f>
        <x:v>3429.749164852668</x:v>
      </x:c>
      <x:c r="M270" s="29" t="n">
        <x:f>NORM.S.DIST((LN(L270)-K270)/'Assumptions'!$D$10,TRUE)</x:f>
        <x:v>0.5230074223798904</x:v>
      </x:c>
      <x:c r="N270" s="30" t="n">
        <x:f>MAX(0,H270-MAX(G270,M270))</x:f>
        <x:v>0</x:v>
      </x:c>
      <x:c r="O270" s="28" t="n">
        <x:f>J270*I270</x:f>
        <x:v>1600.1082011056528</x:v>
      </x:c>
      <x:c r="P270" s="27" t="n">
        <x:f>(VLOOKUP(O270,'Fee Data'!$C$6:$G$50,2,TRUE)+O270*VLOOKUP(O270,'Fee Data'!$C$6:$G$50,3,TRUE)+VLOOKUP(O270,'Fee Data'!$I$6:$J$14,2,TRUE)+'Fee Data'!$J$20+'Fee Data'!$J$21)*'Assumptions'!E37</x:f>
        <x:v>660</x:v>
      </x:c>
      <x:c r="Q270" s="27" t="n">
        <x:f>(VLOOKUP(O270,'Fee Data'!$C$6:$G$50,4,TRUE)+O270*VLOOKUP(O270,'Fee Data'!$C$6:$G$50,5,TRUE)+VLOOKUP(O270,'Fee Data'!$I$6:$J$14,2,TRUE)+'Fee Data'!$J$20+'Fee Data'!$J$21)*'Assumptions'!E37</x:f>
        <x:v>525</x:v>
      </x:c>
      <x:c r="R270" s="27" t="n">
        <x:f>P270*(1-'Assumptions'!$D$14)+Q270*'Assumptions'!$D$14</x:f>
        <x:v>592.5</x:v>
      </x:c>
      <x:c r="S270" s="27" t="n">
        <x:f>O270*'Carrier Engine'!E92</x:f>
        <x:v>64.00432804422613</x:v>
      </x:c>
      <x:c r="T270" s="28" t="n">
        <x:f>R270+S270</x:f>
        <x:v>656.5043280442261</x:v>
      </x:c>
      <x:c r="U270" s="27" t="n">
        <x:f>N270*'Fleet Engine'!G199</x:f>
        <x:v>0</x:v>
      </x:c>
      <x:c r="V270" s="28" t="n">
        <x:f>U270*T270</x:f>
        <x:v>0</x:v>
      </x:c>
      <x:c r="W270" s="28" t="n">
        <x:f>U270*O270</x:f>
        <x:v>0</x:v>
      </x:c>
    </x:row>
    <x:row r="271" ht="19" customHeight="1">
      <x:c r="A271" s="2"/>
      <x:c r="B271" s="2"/>
      <x:c r="C271" s="46" t="n">
        <x:v>1</x:v>
      </x:c>
      <x:c r="D271" s="46" t="n">
        <x:v>5</x:v>
      </x:c>
      <x:c r="E271" s="46" t="n">
        <x:v>0</x:v>
      </x:c>
      <x:c r="F271" s="46" t="n">
        <x:v>5</x:v>
      </x:c>
      <x:c r="G271" s="12" t="n">
        <x:v>0.4444444444444444</x:v>
      </x:c>
      <x:c r="H271" s="12" t="n">
        <x:v>0.5555555555555556</x:v>
      </x:c>
      <x:c r="I271" s="29" t="n">
        <x:f>'Assumptions'!$D$11+'Assumptions'!$D$12*(0.5-(G271+H271)/2)</x:f>
        <x:v>0.3</x:v>
      </x:c>
      <x:c r="J271" s="27" t="n">
        <x:f>'Assumptions'!$D$8*EXP(-'Assumptions'!$D$9*('Fleet Engine'!E199-10))*'Assumptions'!E55*'Assumptions'!E36</x:f>
        <x:v>4965.853037914095</x:v>
      </x:c>
      <x:c r="K271" s="27" t="n">
        <x:f>'Source Data'!F222+LN('Assumptions'!D55)+LN('Assumptions'!E35)</x:f>
        <x:v>8.0496367177205</x:v>
      </x:c>
      <x:c r="L271" s="27" t="n">
        <x:f>J271*(1-I271*(1-'Carrier Engine'!E92))</x:f>
        <x:v>3535.6873629948354</x:v>
      </x:c>
      <x:c r="M271" s="29" t="n">
        <x:f>NORM.S.DIST((LN(L271)-K271)/'Assumptions'!$D$10,TRUE)</x:f>
        <x:v>0.530718734175407</x:v>
      </x:c>
      <x:c r="N271" s="30" t="n">
        <x:f>MAX(0,H271-MAX(G271,M271))</x:f>
        <x:v>0.024836821380148533</x:v>
      </x:c>
      <x:c r="O271" s="28" t="n">
        <x:f>J271*I271</x:f>
        <x:v>1489.7559113742284</x:v>
      </x:c>
      <x:c r="P271" s="27" t="n">
        <x:f>(VLOOKUP(O271,'Fee Data'!$C$6:$G$50,2,TRUE)+O271*VLOOKUP(O271,'Fee Data'!$C$6:$G$50,3,TRUE)+VLOOKUP(O271,'Fee Data'!$I$6:$J$14,2,TRUE)+'Fee Data'!$J$20+'Fee Data'!$J$21)*'Assumptions'!E37</x:f>
        <x:v>615</x:v>
      </x:c>
      <x:c r="Q271" s="27" t="n">
        <x:f>(VLOOKUP(O271,'Fee Data'!$C$6:$G$50,4,TRUE)+O271*VLOOKUP(O271,'Fee Data'!$C$6:$G$50,5,TRUE)+VLOOKUP(O271,'Fee Data'!$I$6:$J$14,2,TRUE)+'Fee Data'!$J$20+'Fee Data'!$J$21)*'Assumptions'!E37</x:f>
        <x:v>485</x:v>
      </x:c>
      <x:c r="R271" s="27" t="n">
        <x:f>P271*(1-'Assumptions'!$D$14)+Q271*'Assumptions'!$D$14</x:f>
        <x:v>550</x:v>
      </x:c>
      <x:c r="S271" s="27" t="n">
        <x:f>O271*'Carrier Engine'!E92</x:f>
        <x:v>59.590236454969144</x:v>
      </x:c>
      <x:c r="T271" s="28" t="n">
        <x:f>R271+S271</x:f>
        <x:v>609.5902364549692</x:v>
      </x:c>
      <x:c r="U271" s="27" t="n">
        <x:f>N271*'Fleet Engine'!G199</x:f>
        <x:v>442.08172144473497</x:v>
      </x:c>
      <x:c r="V271" s="28" t="n">
        <x:f>U271*T271</x:f>
        <x:v>269488.7011079158</x:v>
      </x:c>
      <x:c r="W271" s="28" t="n">
        <x:f>U271*O271</x:f>
        <x:v>658593.857832789</x:v>
      </x:c>
    </x:row>
    <x:row r="272" ht="19" customHeight="1">
      <x:c r="A272" s="2"/>
      <x:c r="B272" s="2"/>
      <x:c r="C272" s="46" t="n">
        <x:v>1</x:v>
      </x:c>
      <x:c r="D272" s="46" t="n">
        <x:v>5</x:v>
      </x:c>
      <x:c r="E272" s="46" t="n">
        <x:v>0</x:v>
      </x:c>
      <x:c r="F272" s="46" t="n">
        <x:v>5</x:v>
      </x:c>
      <x:c r="G272" s="12" t="n">
        <x:v>0.5555555555555556</x:v>
      </x:c>
      <x:c r="H272" s="12" t="n">
        <x:v>0.6666666666666666</x:v>
      </x:c>
      <x:c r="I272" s="29" t="n">
        <x:f>'Assumptions'!$D$11+'Assumptions'!$D$12*(0.5-(G272+H272)/2)</x:f>
        <x:v>0.27777777777777773</x:v>
      </x:c>
      <x:c r="J272" s="27" t="n">
        <x:f>'Assumptions'!$D$8*EXP(-'Assumptions'!$D$9*('Fleet Engine'!E199-10))*'Assumptions'!E55*'Assumptions'!E36</x:f>
        <x:v>4965.853037914095</x:v>
      </x:c>
      <x:c r="K272" s="27" t="n">
        <x:f>'Source Data'!F222+LN('Assumptions'!D55)+LN('Assumptions'!E35)</x:f>
        <x:v>8.0496367177205</x:v>
      </x:c>
      <x:c r="L272" s="27" t="n">
        <x:f>J272*(1-I272*(1-'Carrier Engine'!E92))</x:f>
        <x:v>3641.625561137003</x:v>
      </x:c>
      <x:c r="M272" s="29" t="n">
        <x:f>NORM.S.DIST((LN(L272)-K272)/'Assumptions'!$D$10,TRUE)</x:f>
        <x:v>0.5381913977645012</x:v>
      </x:c>
      <x:c r="N272" s="30" t="n">
        <x:f>MAX(0,H272-MAX(G272,M272))</x:f>
        <x:v>0.11111111111111105</x:v>
      </x:c>
      <x:c r="O272" s="28" t="n">
        <x:f>J272*I272</x:f>
        <x:v>1379.403621642804</x:v>
      </x:c>
      <x:c r="P272" s="27" t="n">
        <x:f>(VLOOKUP(O272,'Fee Data'!$C$6:$G$50,2,TRUE)+O272*VLOOKUP(O272,'Fee Data'!$C$6:$G$50,3,TRUE)+VLOOKUP(O272,'Fee Data'!$I$6:$J$14,2,TRUE)+'Fee Data'!$J$20+'Fee Data'!$J$21)*'Assumptions'!E37</x:f>
        <x:v>595</x:v>
      </x:c>
      <x:c r="Q272" s="27" t="n">
        <x:f>(VLOOKUP(O272,'Fee Data'!$C$6:$G$50,4,TRUE)+O272*VLOOKUP(O272,'Fee Data'!$C$6:$G$50,5,TRUE)+VLOOKUP(O272,'Fee Data'!$I$6:$J$14,2,TRUE)+'Fee Data'!$J$20+'Fee Data'!$J$21)*'Assumptions'!E37</x:f>
        <x:v>470</x:v>
      </x:c>
      <x:c r="R272" s="27" t="n">
        <x:f>P272*(1-'Assumptions'!$D$14)+Q272*'Assumptions'!$D$14</x:f>
        <x:v>532.5</x:v>
      </x:c>
      <x:c r="S272" s="27" t="n">
        <x:f>O272*'Carrier Engine'!E92</x:f>
        <x:v>55.17614486571217</x:v>
      </x:c>
      <x:c r="T272" s="28" t="n">
        <x:f>R272+S272</x:f>
        <x:v>587.6761448657122</x:v>
      </x:c>
      <x:c r="U272" s="27" t="n">
        <x:f>N272*'Fleet Engine'!G199</x:f>
        <x:v>1977.7164927754309</x:v>
      </x:c>
      <x:c r="V272" s="28" t="n">
        <x:f>U272*T272</x:f>
        <x:v>1162256.8041116025</x:v>
      </x:c>
      <x:c r="W272" s="28" t="n">
        <x:f>U272*O272</x:f>
        <x:v>2728069.2927171336</x:v>
      </x:c>
    </x:row>
    <x:row r="273" ht="19" customHeight="1">
      <x:c r="A273" s="2"/>
      <x:c r="B273" s="2"/>
      <x:c r="C273" s="46" t="n">
        <x:v>1</x:v>
      </x:c>
      <x:c r="D273" s="46" t="n">
        <x:v>5</x:v>
      </x:c>
      <x:c r="E273" s="46" t="n">
        <x:v>0</x:v>
      </x:c>
      <x:c r="F273" s="46" t="n">
        <x:v>5</x:v>
      </x:c>
      <x:c r="G273" s="12" t="n">
        <x:v>0.6666666666666666</x:v>
      </x:c>
      <x:c r="H273" s="12" t="n">
        <x:v>0.7777777777777778</x:v>
      </x:c>
      <x:c r="I273" s="29" t="n">
        <x:f>'Assumptions'!$D$11+'Assumptions'!$D$12*(0.5-(G273+H273)/2)</x:f>
        <x:v>0.25555555555555554</x:v>
      </x:c>
      <x:c r="J273" s="27" t="n">
        <x:f>'Assumptions'!$D$8*EXP(-'Assumptions'!$D$9*('Fleet Engine'!E199-10))*'Assumptions'!E55*'Assumptions'!E36</x:f>
        <x:v>4965.853037914095</x:v>
      </x:c>
      <x:c r="K273" s="27" t="n">
        <x:f>'Source Data'!F222+LN('Assumptions'!D55)+LN('Assumptions'!E35)</x:f>
        <x:v>8.0496367177205</x:v>
      </x:c>
      <x:c r="L273" s="27" t="n">
        <x:f>J273*(1-I273*(1-'Carrier Engine'!E92))</x:f>
        <x:v>3747.5637592791704</x:v>
      </x:c>
      <x:c r="M273" s="29" t="n">
        <x:f>NORM.S.DIST((LN(L273)-K273)/'Assumptions'!$D$10,TRUE)</x:f>
        <x:v>0.5454369007114661</x:v>
      </x:c>
      <x:c r="N273" s="30" t="n">
        <x:f>MAX(0,H273-MAX(G273,M273))</x:f>
        <x:v>0.11111111111111116</x:v>
      </x:c>
      <x:c r="O273" s="28" t="n">
        <x:f>J273*I273</x:f>
        <x:v>1269.0513319113797</x:v>
      </x:c>
      <x:c r="P273" s="27" t="n">
        <x:f>(VLOOKUP(O273,'Fee Data'!$C$6:$G$50,2,TRUE)+O273*VLOOKUP(O273,'Fee Data'!$C$6:$G$50,3,TRUE)+VLOOKUP(O273,'Fee Data'!$I$6:$J$14,2,TRUE)+'Fee Data'!$J$20+'Fee Data'!$J$21)*'Assumptions'!E37</x:f>
        <x:v>580</x:v>
      </x:c>
      <x:c r="Q273" s="27" t="n">
        <x:f>(VLOOKUP(O273,'Fee Data'!$C$6:$G$50,4,TRUE)+O273*VLOOKUP(O273,'Fee Data'!$C$6:$G$50,5,TRUE)+VLOOKUP(O273,'Fee Data'!$I$6:$J$14,2,TRUE)+'Fee Data'!$J$20+'Fee Data'!$J$21)*'Assumptions'!E37</x:f>
        <x:v>455</x:v>
      </x:c>
      <x:c r="R273" s="27" t="n">
        <x:f>P273*(1-'Assumptions'!$D$14)+Q273*'Assumptions'!$D$14</x:f>
        <x:v>517.5</x:v>
      </x:c>
      <x:c r="S273" s="27" t="n">
        <x:f>O273*'Carrier Engine'!E92</x:f>
        <x:v>50.7620532764552</x:v>
      </x:c>
      <x:c r="T273" s="28" t="n">
        <x:f>R273+S273</x:f>
        <x:v>568.2620532764552</x:v>
      </x:c>
      <x:c r="U273" s="27" t="n">
        <x:f>N273*'Fleet Engine'!G199</x:f>
        <x:v>1977.7164927754327</x:v>
      </x:c>
      <x:c r="V273" s="28" t="n">
        <x:f>U273*T273</x:f>
        <x:v>1123861.234983277</x:v>
      </x:c>
      <x:c r="W273" s="28" t="n">
        <x:f>U273*O273</x:f>
        <x:v>2509823.7492997656</x:v>
      </x:c>
    </x:row>
    <x:row r="274" ht="19" customHeight="1">
      <x:c r="A274" s="2"/>
      <x:c r="B274" s="2"/>
      <x:c r="C274" s="46" t="n">
        <x:v>1</x:v>
      </x:c>
      <x:c r="D274" s="46" t="n">
        <x:v>5</x:v>
      </x:c>
      <x:c r="E274" s="46" t="n">
        <x:v>0</x:v>
      </x:c>
      <x:c r="F274" s="46" t="n">
        <x:v>5</x:v>
      </x:c>
      <x:c r="G274" s="12" t="n">
        <x:v>0.7777777777777778</x:v>
      </x:c>
      <x:c r="H274" s="12" t="n">
        <x:v>0.8888888888888888</x:v>
      </x:c>
      <x:c r="I274" s="29" t="n">
        <x:f>'Assumptions'!$D$11+'Assumptions'!$D$12*(0.5-(G274+H274)/2)</x:f>
        <x:v>0.23333333333333334</x:v>
      </x:c>
      <x:c r="J274" s="27" t="n">
        <x:f>'Assumptions'!$D$8*EXP(-'Assumptions'!$D$9*('Fleet Engine'!E199-10))*'Assumptions'!E55*'Assumptions'!E36</x:f>
        <x:v>4965.853037914095</x:v>
      </x:c>
      <x:c r="K274" s="27" t="n">
        <x:f>'Source Data'!F222+LN('Assumptions'!D55)+LN('Assumptions'!E35)</x:f>
        <x:v>8.0496367177205</x:v>
      </x:c>
      <x:c r="L274" s="27" t="n">
        <x:f>J274*(1-I274*(1-'Carrier Engine'!E92))</x:f>
        <x:v>3853.5019574213375</x:v>
      </x:c>
      <x:c r="M274" s="29" t="n">
        <x:f>NORM.S.DIST((LN(L274)-K274)/'Assumptions'!$D$10,TRUE)</x:f>
        <x:v>0.5524659710850595</x:v>
      </x:c>
      <x:c r="N274" s="30" t="n">
        <x:f>MAX(0,H274-MAX(G274,M274))</x:f>
        <x:v>0.11111111111111105</x:v>
      </x:c>
      <x:c r="O274" s="28" t="n">
        <x:f>J274*I274</x:f>
        <x:v>1158.6990421799555</x:v>
      </x:c>
      <x:c r="P274" s="27" t="n">
        <x:f>(VLOOKUP(O274,'Fee Data'!$C$6:$G$50,2,TRUE)+O274*VLOOKUP(O274,'Fee Data'!$C$6:$G$50,3,TRUE)+VLOOKUP(O274,'Fee Data'!$I$6:$J$14,2,TRUE)+'Fee Data'!$J$20+'Fee Data'!$J$21)*'Assumptions'!E37</x:f>
        <x:v>560</x:v>
      </x:c>
      <x:c r="Q274" s="27" t="n">
        <x:f>(VLOOKUP(O274,'Fee Data'!$C$6:$G$50,4,TRUE)+O274*VLOOKUP(O274,'Fee Data'!$C$6:$G$50,5,TRUE)+VLOOKUP(O274,'Fee Data'!$I$6:$J$14,2,TRUE)+'Fee Data'!$J$20+'Fee Data'!$J$21)*'Assumptions'!E37</x:f>
        <x:v>435</x:v>
      </x:c>
      <x:c r="R274" s="27" t="n">
        <x:f>P274*(1-'Assumptions'!$D$14)+Q274*'Assumptions'!$D$14</x:f>
        <x:v>497.5</x:v>
      </x:c>
      <x:c r="S274" s="27" t="n">
        <x:f>O274*'Carrier Engine'!E92</x:f>
        <x:v>46.34796168719823</x:v>
      </x:c>
      <x:c r="T274" s="28" t="n">
        <x:f>R274+S274</x:f>
        <x:v>543.8479616871982</x:v>
      </x:c>
      <x:c r="U274" s="27" t="n">
        <x:f>N274*'Fleet Engine'!G199</x:f>
        <x:v>1977.7164927754309</x:v>
      </x:c>
      <x:c r="V274" s="28" t="n">
        <x:f>U274*T274</x:f>
        <x:v>1075577.0833910725</x:v>
      </x:c>
      <x:c r="W274" s="28" t="n">
        <x:f>U274*O274</x:f>
        <x:v>2291578.205882393</x:v>
      </x:c>
    </x:row>
    <x:row r="275" ht="19" customHeight="1">
      <x:c r="A275" s="2"/>
      <x:c r="B275" s="2"/>
      <x:c r="C275" s="46" t="n">
        <x:v>1</x:v>
      </x:c>
      <x:c r="D275" s="46" t="n">
        <x:v>5</x:v>
      </x:c>
      <x:c r="E275" s="46" t="n">
        <x:v>0</x:v>
      </x:c>
      <x:c r="F275" s="46" t="n">
        <x:v>5</x:v>
      </x:c>
      <x:c r="G275" s="12" t="n">
        <x:v>0.8888888888888888</x:v>
      </x:c>
      <x:c r="H275" s="12" t="n">
        <x:v>1</x:v>
      </x:c>
      <x:c r="I275" s="29" t="n">
        <x:f>'Assumptions'!$D$11+'Assumptions'!$D$12*(0.5-(G275+H275)/2)</x:f>
        <x:v>0.21111111111111108</x:v>
      </x:c>
      <x:c r="J275" s="27" t="n">
        <x:f>'Assumptions'!$D$8*EXP(-'Assumptions'!$D$9*('Fleet Engine'!E199-10))*'Assumptions'!E55*'Assumptions'!E36</x:f>
        <x:v>4965.853037914095</x:v>
      </x:c>
      <x:c r="K275" s="27" t="n">
        <x:f>'Source Data'!F222+LN('Assumptions'!D55)+LN('Assumptions'!E35)</x:f>
        <x:v>8.0496367177205</x:v>
      </x:c>
      <x:c r="L275" s="27" t="n">
        <x:f>J275*(1-I275*(1-'Carrier Engine'!E92))</x:f>
        <x:v>3959.440155563505</x:v>
      </x:c>
      <x:c r="M275" s="29" t="n">
        <x:f>NORM.S.DIST((LN(L275)-K275)/'Assumptions'!$D$10,TRUE)</x:f>
        <x:v>0.5592886412015461</x:v>
      </x:c>
      <x:c r="N275" s="30" t="n">
        <x:f>MAX(0,H275-MAX(G275,M275))</x:f>
        <x:v>0.11111111111111116</x:v>
      </x:c>
      <x:c r="O275" s="28" t="n">
        <x:f>J275*I275</x:f>
        <x:v>1048.3467524485309</x:v>
      </x:c>
      <x:c r="P275" s="27" t="n">
        <x:f>(VLOOKUP(O275,'Fee Data'!$C$6:$G$50,2,TRUE)+O275*VLOOKUP(O275,'Fee Data'!$C$6:$G$50,3,TRUE)+VLOOKUP(O275,'Fee Data'!$I$6:$J$14,2,TRUE)+'Fee Data'!$J$20+'Fee Data'!$J$21)*'Assumptions'!E37</x:f>
        <x:v>560</x:v>
      </x:c>
      <x:c r="Q275" s="27" t="n">
        <x:f>(VLOOKUP(O275,'Fee Data'!$C$6:$G$50,4,TRUE)+O275*VLOOKUP(O275,'Fee Data'!$C$6:$G$50,5,TRUE)+VLOOKUP(O275,'Fee Data'!$I$6:$J$14,2,TRUE)+'Fee Data'!$J$20+'Fee Data'!$J$21)*'Assumptions'!E37</x:f>
        <x:v>435</x:v>
      </x:c>
      <x:c r="R275" s="27" t="n">
        <x:f>P275*(1-'Assumptions'!$D$14)+Q275*'Assumptions'!$D$14</x:f>
        <x:v>497.5</x:v>
      </x:c>
      <x:c r="S275" s="27" t="n">
        <x:f>O275*'Carrier Engine'!E92</x:f>
        <x:v>41.933870097941245</x:v>
      </x:c>
      <x:c r="T275" s="28" t="n">
        <x:f>R275+S275</x:f>
        <x:v>539.4338700979413</x:v>
      </x:c>
      <x:c r="U275" s="27" t="n">
        <x:f>N275*'Fleet Engine'!G199</x:f>
        <x:v>1977.7164927754327</x:v>
      </x:c>
      <x:c r="V275" s="28" t="n">
        <x:f>U275*T275</x:f>
        <x:v>1066847.2616543788</x:v>
      </x:c>
      <x:c r="W275" s="28" t="n">
        <x:f>U275*O275</x:f>
        <x:v>2073332.6624650233</x:v>
      </x:c>
    </x:row>
    <x:row r="276" ht="19" customHeight="1">
      <x:c r="A276" s="2"/>
      <x:c r="B276" s="2"/>
      <x:c r="C276" s="46" t="n">
        <x:v>1</x:v>
      </x:c>
      <x:c r="D276" s="46" t="n">
        <x:v>6</x:v>
      </x:c>
      <x:c r="E276" s="46" t="n">
        <x:v>1</x:v>
      </x:c>
      <x:c r="F276" s="46" t="n">
        <x:v>0</x:v>
      </x:c>
      <x:c r="G276" s="12" t="n">
        <x:v>0</x:v>
      </x:c>
      <x:c r="H276" s="12" t="n">
        <x:v>0.1111111111111111</x:v>
      </x:c>
      <x:c r="I276" s="29" t="n">
        <x:f>'Assumptions'!$D$11+'Assumptions'!$D$12*(0.5-(G276+H276)/2)</x:f>
        <x:v>0.3888888888888889</x:v>
      </x:c>
      <x:c r="J276" s="27" t="n">
        <x:f>'Assumptions'!$D$8*EXP(-'Assumptions'!$D$9*('Fleet Engine'!E200-10))*'Assumptions'!E56*'Assumptions'!E36</x:f>
        <x:v>30662.21902501803</x:v>
      </x:c>
      <x:c r="K276" s="27" t="n">
        <x:f>'Source Data'!F217+LN('Assumptions'!D56)+LN('Assumptions'!E35)</x:f>
        <x:v>8.031104662881733</x:v>
      </x:c>
      <x:c r="L276" s="27" t="n">
        <x:f>J276*(1-I276*(1-'Carrier Engine'!E92))</x:f>
        <x:v>19214.9905890113</x:v>
      </x:c>
      <x:c r="M276" s="29" t="n">
        <x:f>NORM.S.DIST((LN(L276)-K276)/'Assumptions'!$D$10,TRUE)</x:f>
        <x:v>0.8783833710855731</x:v>
      </x:c>
      <x:c r="N276" s="30" t="n">
        <x:f>MAX(0,H276-MAX(G276,M276))</x:f>
        <x:v>0</x:v>
      </x:c>
      <x:c r="O276" s="28" t="n">
        <x:f>J276*I276</x:f>
        <x:v>11924.196287507011</x:v>
      </x:c>
      <x:c r="P276" s="27" t="n">
        <x:f>(VLOOKUP(O276,'Fee Data'!$C$6:$G$50,2,TRUE)+O276*VLOOKUP(O276,'Fee Data'!$C$6:$G$50,3,TRUE)+VLOOKUP(O276,'Fee Data'!$I$6:$J$14,2,TRUE)+'Fee Data'!$J$20+'Fee Data'!$J$21)*'Assumptions'!E37</x:f>
        <x:v>1250</x:v>
      </x:c>
      <x:c r="Q276" s="27" t="n">
        <x:f>(VLOOKUP(O276,'Fee Data'!$C$6:$G$50,4,TRUE)+O276*VLOOKUP(O276,'Fee Data'!$C$6:$G$50,5,TRUE)+VLOOKUP(O276,'Fee Data'!$I$6:$J$14,2,TRUE)+'Fee Data'!$J$20+'Fee Data'!$J$21)*'Assumptions'!E37</x:f>
        <x:v>1110</x:v>
      </x:c>
      <x:c r="R276" s="27" t="n">
        <x:f>P276*(1-'Assumptions'!$D$14)+Q276*'Assumptions'!$D$14</x:f>
        <x:v>1180</x:v>
      </x:c>
      <x:c r="S276" s="27" t="n">
        <x:f>O276*'Carrier Engine'!E92</x:f>
        <x:v>476.9678515002805</x:v>
      </x:c>
      <x:c r="T276" s="28" t="n">
        <x:f>R276+S276</x:f>
        <x:v>1656.9678515002806</x:v>
      </x:c>
      <x:c r="U276" s="27" t="n">
        <x:f>N276*'Fleet Engine'!G200</x:f>
        <x:v>0</x:v>
      </x:c>
      <x:c r="V276" s="28" t="n">
        <x:f>U276*T276</x:f>
        <x:v>0</x:v>
      </x:c>
      <x:c r="W276" s="28" t="n">
        <x:f>U276*O276</x:f>
        <x:v>0</x:v>
      </x:c>
    </x:row>
    <x:row r="277" ht="19" customHeight="1">
      <x:c r="A277" s="2"/>
      <x:c r="B277" s="2"/>
      <x:c r="C277" s="46" t="n">
        <x:v>1</x:v>
      </x:c>
      <x:c r="D277" s="46" t="n">
        <x:v>6</x:v>
      </x:c>
      <x:c r="E277" s="46" t="n">
        <x:v>1</x:v>
      </x:c>
      <x:c r="F277" s="46" t="n">
        <x:v>0</x:v>
      </x:c>
      <x:c r="G277" s="12" t="n">
        <x:v>0.1111111111111111</x:v>
      </x:c>
      <x:c r="H277" s="12" t="n">
        <x:v>0.2222222222222222</x:v>
      </x:c>
      <x:c r="I277" s="29" t="n">
        <x:f>'Assumptions'!$D$11+'Assumptions'!$D$12*(0.5-(G277+H277)/2)</x:f>
        <x:v>0.3666666666666667</x:v>
      </x:c>
      <x:c r="J277" s="27" t="n">
        <x:f>'Assumptions'!$D$8*EXP(-'Assumptions'!$D$9*('Fleet Engine'!E200-10))*'Assumptions'!E56*'Assumptions'!E36</x:f>
        <x:v>30662.21902501803</x:v>
      </x:c>
      <x:c r="K277" s="27" t="n">
        <x:f>'Source Data'!F217+LN('Assumptions'!D56)+LN('Assumptions'!E35)</x:f>
        <x:v>8.031104662881733</x:v>
      </x:c>
      <x:c r="L277" s="27" t="n">
        <x:f>J277*(1-I277*(1-'Carrier Engine'!E92))</x:f>
        <x:v>19869.11792821168</x:v>
      </x:c>
      <x:c r="M277" s="29" t="n">
        <x:f>NORM.S.DIST((LN(L277)-K277)/'Assumptions'!$D$10,TRUE)</x:f>
        <x:v>0.8826350510019572</x:v>
      </x:c>
      <x:c r="N277" s="30" t="n">
        <x:f>MAX(0,H277-MAX(G277,M277))</x:f>
        <x:v>0</x:v>
      </x:c>
      <x:c r="O277" s="28" t="n">
        <x:f>J277*I277</x:f>
        <x:v>11242.813642506611</x:v>
      </x:c>
      <x:c r="P277" s="27" t="n">
        <x:f>(VLOOKUP(O277,'Fee Data'!$C$6:$G$50,2,TRUE)+O277*VLOOKUP(O277,'Fee Data'!$C$6:$G$50,3,TRUE)+VLOOKUP(O277,'Fee Data'!$I$6:$J$14,2,TRUE)+'Fee Data'!$J$20+'Fee Data'!$J$21)*'Assumptions'!E37</x:f>
        <x:v>1250</x:v>
      </x:c>
      <x:c r="Q277" s="27" t="n">
        <x:f>(VLOOKUP(O277,'Fee Data'!$C$6:$G$50,4,TRUE)+O277*VLOOKUP(O277,'Fee Data'!$C$6:$G$50,5,TRUE)+VLOOKUP(O277,'Fee Data'!$I$6:$J$14,2,TRUE)+'Fee Data'!$J$20+'Fee Data'!$J$21)*'Assumptions'!E37</x:f>
        <x:v>1100</x:v>
      </x:c>
      <x:c r="R277" s="27" t="n">
        <x:f>P277*(1-'Assumptions'!$D$14)+Q277*'Assumptions'!$D$14</x:f>
        <x:v>1175</x:v>
      </x:c>
      <x:c r="S277" s="27" t="n">
        <x:f>O277*'Carrier Engine'!E92</x:f>
        <x:v>449.7125457002645</x:v>
      </x:c>
      <x:c r="T277" s="28" t="n">
        <x:f>R277+S277</x:f>
        <x:v>1624.7125457002644</x:v>
      </x:c>
      <x:c r="U277" s="27" t="n">
        <x:f>N277*'Fleet Engine'!G200</x:f>
        <x:v>0</x:v>
      </x:c>
      <x:c r="V277" s="28" t="n">
        <x:f>U277*T277</x:f>
        <x:v>0</x:v>
      </x:c>
      <x:c r="W277" s="28" t="n">
        <x:f>U277*O277</x:f>
        <x:v>0</x:v>
      </x:c>
    </x:row>
    <x:row r="278" ht="19" customHeight="1">
      <x:c r="A278" s="2"/>
      <x:c r="B278" s="2"/>
      <x:c r="C278" s="46" t="n">
        <x:v>1</x:v>
      </x:c>
      <x:c r="D278" s="46" t="n">
        <x:v>6</x:v>
      </x:c>
      <x:c r="E278" s="46" t="n">
        <x:v>1</x:v>
      </x:c>
      <x:c r="F278" s="46" t="n">
        <x:v>0</x:v>
      </x:c>
      <x:c r="G278" s="12" t="n">
        <x:v>0.2222222222222222</x:v>
      </x:c>
      <x:c r="H278" s="12" t="n">
        <x:v>0.3333333333333333</x:v>
      </x:c>
      <x:c r="I278" s="29" t="n">
        <x:f>'Assumptions'!$D$11+'Assumptions'!$D$12*(0.5-(G278+H278)/2)</x:f>
        <x:v>0.34444444444444444</x:v>
      </x:c>
      <x:c r="J278" s="27" t="n">
        <x:f>'Assumptions'!$D$8*EXP(-'Assumptions'!$D$9*('Fleet Engine'!E200-10))*'Assumptions'!E56*'Assumptions'!E36</x:f>
        <x:v>30662.21902501803</x:v>
      </x:c>
      <x:c r="K278" s="27" t="n">
        <x:f>'Source Data'!F217+LN('Assumptions'!D56)+LN('Assumptions'!E35)</x:f>
        <x:v>8.031104662881733</x:v>
      </x:c>
      <x:c r="L278" s="27" t="n">
        <x:f>J278*(1-I278*(1-'Carrier Engine'!E92))</x:f>
        <x:v>20523.24526741207</x:v>
      </x:c>
      <x:c r="M278" s="29" t="n">
        <x:f>NORM.S.DIST((LN(L278)-K278)/'Assumptions'!$D$10,TRUE)</x:f>
        <x:v>0.8866477524669126</x:v>
      </x:c>
      <x:c r="N278" s="30" t="n">
        <x:f>MAX(0,H278-MAX(G278,M278))</x:f>
        <x:v>0</x:v>
      </x:c>
      <x:c r="O278" s="28" t="n">
        <x:f>J278*I278</x:f>
        <x:v>10561.43099750621</x:v>
      </x:c>
      <x:c r="P278" s="27" t="n">
        <x:f>(VLOOKUP(O278,'Fee Data'!$C$6:$G$50,2,TRUE)+O278*VLOOKUP(O278,'Fee Data'!$C$6:$G$50,3,TRUE)+VLOOKUP(O278,'Fee Data'!$I$6:$J$14,2,TRUE)+'Fee Data'!$J$20+'Fee Data'!$J$21)*'Assumptions'!E37</x:f>
        <x:v>1250</x:v>
      </x:c>
      <x:c r="Q278" s="27" t="n">
        <x:f>(VLOOKUP(O278,'Fee Data'!$C$6:$G$50,4,TRUE)+O278*VLOOKUP(O278,'Fee Data'!$C$6:$G$50,5,TRUE)+VLOOKUP(O278,'Fee Data'!$I$6:$J$14,2,TRUE)+'Fee Data'!$J$20+'Fee Data'!$J$21)*'Assumptions'!E37</x:f>
        <x:v>1100</x:v>
      </x:c>
      <x:c r="R278" s="27" t="n">
        <x:f>P278*(1-'Assumptions'!$D$14)+Q278*'Assumptions'!$D$14</x:f>
        <x:v>1175</x:v>
      </x:c>
      <x:c r="S278" s="27" t="n">
        <x:f>O278*'Carrier Engine'!E92</x:f>
        <x:v>422.45723990024845</x:v>
      </x:c>
      <x:c r="T278" s="28" t="n">
        <x:f>R278+S278</x:f>
        <x:v>1597.4572399002484</x:v>
      </x:c>
      <x:c r="U278" s="27" t="n">
        <x:f>N278*'Fleet Engine'!G200</x:f>
        <x:v>0</x:v>
      </x:c>
      <x:c r="V278" s="28" t="n">
        <x:f>U278*T278</x:f>
        <x:v>0</x:v>
      </x:c>
      <x:c r="W278" s="28" t="n">
        <x:f>U278*O278</x:f>
        <x:v>0</x:v>
      </x:c>
    </x:row>
    <x:row r="279" ht="19" customHeight="1">
      <x:c r="A279" s="2"/>
      <x:c r="B279" s="2"/>
      <x:c r="C279" s="46" t="n">
        <x:v>1</x:v>
      </x:c>
      <x:c r="D279" s="46" t="n">
        <x:v>6</x:v>
      </x:c>
      <x:c r="E279" s="46" t="n">
        <x:v>1</x:v>
      </x:c>
      <x:c r="F279" s="46" t="n">
        <x:v>0</x:v>
      </x:c>
      <x:c r="G279" s="12" t="n">
        <x:v>0.3333333333333333</x:v>
      </x:c>
      <x:c r="H279" s="12" t="n">
        <x:v>0.4444444444444444</x:v>
      </x:c>
      <x:c r="I279" s="29" t="n">
        <x:f>'Assumptions'!$D$11+'Assumptions'!$D$12*(0.5-(G279+H279)/2)</x:f>
        <x:v>0.32222222222222224</x:v>
      </x:c>
      <x:c r="J279" s="27" t="n">
        <x:f>'Assumptions'!$D$8*EXP(-'Assumptions'!$D$9*('Fleet Engine'!E200-10))*'Assumptions'!E56*'Assumptions'!E36</x:f>
        <x:v>30662.21902501803</x:v>
      </x:c>
      <x:c r="K279" s="27" t="n">
        <x:f>'Source Data'!F217+LN('Assumptions'!D56)+LN('Assumptions'!E35)</x:f>
        <x:v>8.031104662881733</x:v>
      </x:c>
      <x:c r="L279" s="27" t="n">
        <x:f>J279*(1-I279*(1-'Carrier Engine'!E92))</x:f>
        <x:v>21177.37260661245</x:v>
      </x:c>
      <x:c r="M279" s="29" t="n">
        <x:f>NORM.S.DIST((LN(L279)-K279)/'Assumptions'!$D$10,TRUE)</x:f>
        <x:v>0.8904403113358262</x:v>
      </x:c>
      <x:c r="N279" s="30" t="n">
        <x:f>MAX(0,H279-MAX(G279,M279))</x:f>
        <x:v>0</x:v>
      </x:c>
      <x:c r="O279" s="28" t="n">
        <x:f>J279*I279</x:f>
        <x:v>9880.04835250581</x:v>
      </x:c>
      <x:c r="P279" s="27" t="n">
        <x:f>(VLOOKUP(O279,'Fee Data'!$C$6:$G$50,2,TRUE)+O279*VLOOKUP(O279,'Fee Data'!$C$6:$G$50,3,TRUE)+VLOOKUP(O279,'Fee Data'!$I$6:$J$14,2,TRUE)+'Fee Data'!$J$20+'Fee Data'!$J$21)*'Assumptions'!E37</x:f>
        <x:v>1195</x:v>
      </x:c>
      <x:c r="Q279" s="27" t="n">
        <x:f>(VLOOKUP(O279,'Fee Data'!$C$6:$G$50,4,TRUE)+O279*VLOOKUP(O279,'Fee Data'!$C$6:$G$50,5,TRUE)+VLOOKUP(O279,'Fee Data'!$I$6:$J$14,2,TRUE)+'Fee Data'!$J$20+'Fee Data'!$J$21)*'Assumptions'!E37</x:f>
        <x:v>1070</x:v>
      </x:c>
      <x:c r="R279" s="27" t="n">
        <x:f>P279*(1-'Assumptions'!$D$14)+Q279*'Assumptions'!$D$14</x:f>
        <x:v>1132.5</x:v>
      </x:c>
      <x:c r="S279" s="27" t="n">
        <x:f>O279*'Carrier Engine'!E92</x:f>
        <x:v>395.20193410023245</x:v>
      </x:c>
      <x:c r="T279" s="28" t="n">
        <x:f>R279+S279</x:f>
        <x:v>1527.7019341002324</x:v>
      </x:c>
      <x:c r="U279" s="27" t="n">
        <x:f>N279*'Fleet Engine'!G200</x:f>
        <x:v>0</x:v>
      </x:c>
      <x:c r="V279" s="28" t="n">
        <x:f>U279*T279</x:f>
        <x:v>0</x:v>
      </x:c>
      <x:c r="W279" s="28" t="n">
        <x:f>U279*O279</x:f>
        <x:v>0</x:v>
      </x:c>
    </x:row>
    <x:row r="280" ht="19" customHeight="1">
      <x:c r="A280" s="2"/>
      <x:c r="B280" s="2"/>
      <x:c r="C280" s="46" t="n">
        <x:v>1</x:v>
      </x:c>
      <x:c r="D280" s="46" t="n">
        <x:v>6</x:v>
      </x:c>
      <x:c r="E280" s="46" t="n">
        <x:v>1</x:v>
      </x:c>
      <x:c r="F280" s="46" t="n">
        <x:v>0</x:v>
      </x:c>
      <x:c r="G280" s="12" t="n">
        <x:v>0.4444444444444444</x:v>
      </x:c>
      <x:c r="H280" s="12" t="n">
        <x:v>0.5555555555555556</x:v>
      </x:c>
      <x:c r="I280" s="29" t="n">
        <x:f>'Assumptions'!$D$11+'Assumptions'!$D$12*(0.5-(G280+H280)/2)</x:f>
        <x:v>0.3</x:v>
      </x:c>
      <x:c r="J280" s="27" t="n">
        <x:f>'Assumptions'!$D$8*EXP(-'Assumptions'!$D$9*('Fleet Engine'!E200-10))*'Assumptions'!E56*'Assumptions'!E36</x:f>
        <x:v>30662.21902501803</x:v>
      </x:c>
      <x:c r="K280" s="27" t="n">
        <x:f>'Source Data'!F217+LN('Assumptions'!D56)+LN('Assumptions'!E35)</x:f>
        <x:v>8.031104662881733</x:v>
      </x:c>
      <x:c r="L280" s="27" t="n">
        <x:f>J280*(1-I280*(1-'Carrier Engine'!E92))</x:f>
        <x:v>21831.499945812837</x:v>
      </x:c>
      <x:c r="M280" s="29" t="n">
        <x:f>NORM.S.DIST((LN(L280)-K280)/'Assumptions'!$D$10,TRUE)</x:f>
        <x:v>0.8940296485335917</x:v>
      </x:c>
      <x:c r="N280" s="30" t="n">
        <x:f>MAX(0,H280-MAX(G280,M280))</x:f>
        <x:v>0</x:v>
      </x:c>
      <x:c r="O280" s="28" t="n">
        <x:f>J280*I280</x:f>
        <x:v>9198.665707505408</x:v>
      </x:c>
      <x:c r="P280" s="27" t="n">
        <x:f>(VLOOKUP(O280,'Fee Data'!$C$6:$G$50,2,TRUE)+O280*VLOOKUP(O280,'Fee Data'!$C$6:$G$50,3,TRUE)+VLOOKUP(O280,'Fee Data'!$I$6:$J$14,2,TRUE)+'Fee Data'!$J$20+'Fee Data'!$J$21)*'Assumptions'!E37</x:f>
        <x:v>1195</x:v>
      </x:c>
      <x:c r="Q280" s="27" t="n">
        <x:f>(VLOOKUP(O280,'Fee Data'!$C$6:$G$50,4,TRUE)+O280*VLOOKUP(O280,'Fee Data'!$C$6:$G$50,5,TRUE)+VLOOKUP(O280,'Fee Data'!$I$6:$J$14,2,TRUE)+'Fee Data'!$J$20+'Fee Data'!$J$21)*'Assumptions'!E37</x:f>
        <x:v>1070</x:v>
      </x:c>
      <x:c r="R280" s="27" t="n">
        <x:f>P280*(1-'Assumptions'!$D$14)+Q280*'Assumptions'!$D$14</x:f>
        <x:v>1132.5</x:v>
      </x:c>
      <x:c r="S280" s="27" t="n">
        <x:f>O280*'Carrier Engine'!E92</x:f>
        <x:v>367.9466283002164</x:v>
      </x:c>
      <x:c r="T280" s="28" t="n">
        <x:f>R280+S280</x:f>
        <x:v>1500.4466283002164</x:v>
      </x:c>
      <x:c r="U280" s="27" t="n">
        <x:f>N280*'Fleet Engine'!G200</x:f>
        <x:v>0</x:v>
      </x:c>
      <x:c r="V280" s="28" t="n">
        <x:f>U280*T280</x:f>
        <x:v>0</x:v>
      </x:c>
      <x:c r="W280" s="28" t="n">
        <x:f>U280*O280</x:f>
        <x:v>0</x:v>
      </x:c>
    </x:row>
    <x:row r="281" ht="19" customHeight="1">
      <x:c r="A281" s="2"/>
      <x:c r="B281" s="2"/>
      <x:c r="C281" s="46" t="n">
        <x:v>1</x:v>
      </x:c>
      <x:c r="D281" s="46" t="n">
        <x:v>6</x:v>
      </x:c>
      <x:c r="E281" s="46" t="n">
        <x:v>1</x:v>
      </x:c>
      <x:c r="F281" s="46" t="n">
        <x:v>0</x:v>
      </x:c>
      <x:c r="G281" s="12" t="n">
        <x:v>0.5555555555555556</x:v>
      </x:c>
      <x:c r="H281" s="12" t="n">
        <x:v>0.6666666666666666</x:v>
      </x:c>
      <x:c r="I281" s="29" t="n">
        <x:f>'Assumptions'!$D$11+'Assumptions'!$D$12*(0.5-(G281+H281)/2)</x:f>
        <x:v>0.27777777777777773</x:v>
      </x:c>
      <x:c r="J281" s="27" t="n">
        <x:f>'Assumptions'!$D$8*EXP(-'Assumptions'!$D$9*('Fleet Engine'!E200-10))*'Assumptions'!E56*'Assumptions'!E36</x:f>
        <x:v>30662.21902501803</x:v>
      </x:c>
      <x:c r="K281" s="27" t="n">
        <x:f>'Source Data'!F217+LN('Assumptions'!D56)+LN('Assumptions'!E35)</x:f>
        <x:v>8.031104662881733</x:v>
      </x:c>
      <x:c r="L281" s="27" t="n">
        <x:f>J281*(1-I281*(1-'Carrier Engine'!E92))</x:f>
        <x:v>22485.627285013223</x:v>
      </x:c>
      <x:c r="M281" s="29" t="n">
        <x:f>NORM.S.DIST((LN(L281)-K281)/'Assumptions'!$D$10,TRUE)</x:f>
        <x:v>0.8974310078578442</x:v>
      </x:c>
      <x:c r="N281" s="30" t="n">
        <x:f>MAX(0,H281-MAX(G281,M281))</x:f>
        <x:v>0</x:v>
      </x:c>
      <x:c r="O281" s="28" t="n">
        <x:f>J281*I281</x:f>
        <x:v>8517.283062505006</x:v>
      </x:c>
      <x:c r="P281" s="27" t="n">
        <x:f>(VLOOKUP(O281,'Fee Data'!$C$6:$G$50,2,TRUE)+O281*VLOOKUP(O281,'Fee Data'!$C$6:$G$50,3,TRUE)+VLOOKUP(O281,'Fee Data'!$I$6:$J$14,2,TRUE)+'Fee Data'!$J$20+'Fee Data'!$J$21)*'Assumptions'!E37</x:f>
        <x:v>1195</x:v>
      </x:c>
      <x:c r="Q281" s="27" t="n">
        <x:f>(VLOOKUP(O281,'Fee Data'!$C$6:$G$50,4,TRUE)+O281*VLOOKUP(O281,'Fee Data'!$C$6:$G$50,5,TRUE)+VLOOKUP(O281,'Fee Data'!$I$6:$J$14,2,TRUE)+'Fee Data'!$J$20+'Fee Data'!$J$21)*'Assumptions'!E37</x:f>
        <x:v>1070</x:v>
      </x:c>
      <x:c r="R281" s="27" t="n">
        <x:f>P281*(1-'Assumptions'!$D$14)+Q281*'Assumptions'!$D$14</x:f>
        <x:v>1132.5</x:v>
      </x:c>
      <x:c r="S281" s="27" t="n">
        <x:f>O281*'Carrier Engine'!E92</x:f>
        <x:v>340.69132250020033</x:v>
      </x:c>
      <x:c r="T281" s="28" t="n">
        <x:f>R281+S281</x:f>
        <x:v>1473.1913225002004</x:v>
      </x:c>
      <x:c r="U281" s="27" t="n">
        <x:f>N281*'Fleet Engine'!G200</x:f>
        <x:v>0</x:v>
      </x:c>
      <x:c r="V281" s="28" t="n">
        <x:f>U281*T281</x:f>
        <x:v>0</x:v>
      </x:c>
      <x:c r="W281" s="28" t="n">
        <x:f>U281*O281</x:f>
        <x:v>0</x:v>
      </x:c>
    </x:row>
    <x:row r="282" ht="19" customHeight="1">
      <x:c r="A282" s="2"/>
      <x:c r="B282" s="2"/>
      <x:c r="C282" s="46" t="n">
        <x:v>1</x:v>
      </x:c>
      <x:c r="D282" s="46" t="n">
        <x:v>6</x:v>
      </x:c>
      <x:c r="E282" s="46" t="n">
        <x:v>1</x:v>
      </x:c>
      <x:c r="F282" s="46" t="n">
        <x:v>0</x:v>
      </x:c>
      <x:c r="G282" s="12" t="n">
        <x:v>0.6666666666666666</x:v>
      </x:c>
      <x:c r="H282" s="12" t="n">
        <x:v>0.7777777777777778</x:v>
      </x:c>
      <x:c r="I282" s="29" t="n">
        <x:f>'Assumptions'!$D$11+'Assumptions'!$D$12*(0.5-(G282+H282)/2)</x:f>
        <x:v>0.25555555555555554</x:v>
      </x:c>
      <x:c r="J282" s="27" t="n">
        <x:f>'Assumptions'!$D$8*EXP(-'Assumptions'!$D$9*('Fleet Engine'!E200-10))*'Assumptions'!E56*'Assumptions'!E36</x:f>
        <x:v>30662.21902501803</x:v>
      </x:c>
      <x:c r="K282" s="27" t="n">
        <x:f>'Source Data'!F217+LN('Assumptions'!D56)+LN('Assumptions'!E35)</x:f>
        <x:v>8.031104662881733</x:v>
      </x:c>
      <x:c r="L282" s="27" t="n">
        <x:f>J282*(1-I282*(1-'Carrier Engine'!E92))</x:f>
        <x:v>23139.754624213605</x:v>
      </x:c>
      <x:c r="M282" s="29" t="n">
        <x:f>NORM.S.DIST((LN(L282)-K282)/'Assumptions'!$D$10,TRUE)</x:f>
        <x:v>0.9006581590391973</x:v>
      </x:c>
      <x:c r="N282" s="30" t="n">
        <x:f>MAX(0,H282-MAX(G282,M282))</x:f>
        <x:v>0</x:v>
      </x:c>
      <x:c r="O282" s="28" t="n">
        <x:f>J282*I282</x:f>
        <x:v>7835.900417504607</x:v>
      </x:c>
      <x:c r="P282" s="27" t="n">
        <x:f>(VLOOKUP(O282,'Fee Data'!$C$6:$G$50,2,TRUE)+O282*VLOOKUP(O282,'Fee Data'!$C$6:$G$50,3,TRUE)+VLOOKUP(O282,'Fee Data'!$I$6:$J$14,2,TRUE)+'Fee Data'!$J$20+'Fee Data'!$J$21)*'Assumptions'!E37</x:f>
        <x:v>1135</x:v>
      </x:c>
      <x:c r="Q282" s="27" t="n">
        <x:f>(VLOOKUP(O282,'Fee Data'!$C$6:$G$50,4,TRUE)+O282*VLOOKUP(O282,'Fee Data'!$C$6:$G$50,5,TRUE)+VLOOKUP(O282,'Fee Data'!$I$6:$J$14,2,TRUE)+'Fee Data'!$J$20+'Fee Data'!$J$21)*'Assumptions'!E37</x:f>
        <x:v>1010</x:v>
      </x:c>
      <x:c r="R282" s="27" t="n">
        <x:f>P282*(1-'Assumptions'!$D$14)+Q282*'Assumptions'!$D$14</x:f>
        <x:v>1072.5</x:v>
      </x:c>
      <x:c r="S282" s="27" t="n">
        <x:f>O282*'Carrier Engine'!E92</x:f>
        <x:v>313.4360167001843</x:v>
      </x:c>
      <x:c r="T282" s="28" t="n">
        <x:f>R282+S282</x:f>
        <x:v>1385.9360167001844</x:v>
      </x:c>
      <x:c r="U282" s="27" t="n">
        <x:f>N282*'Fleet Engine'!G200</x:f>
        <x:v>0</x:v>
      </x:c>
      <x:c r="V282" s="28" t="n">
        <x:f>U282*T282</x:f>
        <x:v>0</x:v>
      </x:c>
      <x:c r="W282" s="28" t="n">
        <x:f>U282*O282</x:f>
        <x:v>0</x:v>
      </x:c>
    </x:row>
    <x:row r="283" ht="19" customHeight="1">
      <x:c r="A283" s="2"/>
      <x:c r="B283" s="2"/>
      <x:c r="C283" s="46" t="n">
        <x:v>1</x:v>
      </x:c>
      <x:c r="D283" s="46" t="n">
        <x:v>6</x:v>
      </x:c>
      <x:c r="E283" s="46" t="n">
        <x:v>1</x:v>
      </x:c>
      <x:c r="F283" s="46" t="n">
        <x:v>0</x:v>
      </x:c>
      <x:c r="G283" s="12" t="n">
        <x:v>0.7777777777777778</x:v>
      </x:c>
      <x:c r="H283" s="12" t="n">
        <x:v>0.8888888888888888</x:v>
      </x:c>
      <x:c r="I283" s="29" t="n">
        <x:f>'Assumptions'!$D$11+'Assumptions'!$D$12*(0.5-(G283+H283)/2)</x:f>
        <x:v>0.23333333333333334</x:v>
      </x:c>
      <x:c r="J283" s="27" t="n">
        <x:f>'Assumptions'!$D$8*EXP(-'Assumptions'!$D$9*('Fleet Engine'!E200-10))*'Assumptions'!E56*'Assumptions'!E36</x:f>
        <x:v>30662.21902501803</x:v>
      </x:c>
      <x:c r="K283" s="27" t="n">
        <x:f>'Source Data'!F217+LN('Assumptions'!D56)+LN('Assumptions'!E35)</x:f>
        <x:v>8.031104662881733</x:v>
      </x:c>
      <x:c r="L283" s="27" t="n">
        <x:f>J283*(1-I283*(1-'Carrier Engine'!E92))</x:f>
        <x:v>23793.88196341399</x:v>
      </x:c>
      <x:c r="M283" s="29" t="n">
        <x:f>NORM.S.DIST((LN(L283)-K283)/'Assumptions'!$D$10,TRUE)</x:f>
        <x:v>0.9037235718702767</x:v>
      </x:c>
      <x:c r="N283" s="30" t="n">
        <x:f>MAX(0,H283-MAX(G283,M283))</x:f>
        <x:v>0</x:v>
      </x:c>
      <x:c r="O283" s="28" t="n">
        <x:f>J283*I283</x:f>
        <x:v>7154.517772504207</x:v>
      </x:c>
      <x:c r="P283" s="27" t="n">
        <x:f>(VLOOKUP(O283,'Fee Data'!$C$6:$G$50,2,TRUE)+O283*VLOOKUP(O283,'Fee Data'!$C$6:$G$50,3,TRUE)+VLOOKUP(O283,'Fee Data'!$I$6:$J$14,2,TRUE)+'Fee Data'!$J$20+'Fee Data'!$J$21)*'Assumptions'!E37</x:f>
        <x:v>1115</x:v>
      </x:c>
      <x:c r="Q283" s="27" t="n">
        <x:f>(VLOOKUP(O283,'Fee Data'!$C$6:$G$50,4,TRUE)+O283*VLOOKUP(O283,'Fee Data'!$C$6:$G$50,5,TRUE)+VLOOKUP(O283,'Fee Data'!$I$6:$J$14,2,TRUE)+'Fee Data'!$J$20+'Fee Data'!$J$21)*'Assumptions'!E37</x:f>
        <x:v>990</x:v>
      </x:c>
      <x:c r="R283" s="27" t="n">
        <x:f>P283*(1-'Assumptions'!$D$14)+Q283*'Assumptions'!$D$14</x:f>
        <x:v>1052.5</x:v>
      </x:c>
      <x:c r="S283" s="27" t="n">
        <x:f>O283*'Carrier Engine'!E92</x:f>
        <x:v>286.1807109001683</x:v>
      </x:c>
      <x:c r="T283" s="28" t="n">
        <x:f>R283+S283</x:f>
        <x:v>1338.6807109001684</x:v>
      </x:c>
      <x:c r="U283" s="27" t="n">
        <x:f>N283*'Fleet Engine'!G200</x:f>
        <x:v>0</x:v>
      </x:c>
      <x:c r="V283" s="28" t="n">
        <x:f>U283*T283</x:f>
        <x:v>0</x:v>
      </x:c>
      <x:c r="W283" s="28" t="n">
        <x:f>U283*O283</x:f>
        <x:v>0</x:v>
      </x:c>
    </x:row>
    <x:row r="284" ht="19" customHeight="1">
      <x:c r="A284" s="2"/>
      <x:c r="B284" s="2"/>
      <x:c r="C284" s="46" t="n">
        <x:v>1</x:v>
      </x:c>
      <x:c r="D284" s="46" t="n">
        <x:v>6</x:v>
      </x:c>
      <x:c r="E284" s="46" t="n">
        <x:v>1</x:v>
      </x:c>
      <x:c r="F284" s="46" t="n">
        <x:v>0</x:v>
      </x:c>
      <x:c r="G284" s="12" t="n">
        <x:v>0.8888888888888888</x:v>
      </x:c>
      <x:c r="H284" s="12" t="n">
        <x:v>1</x:v>
      </x:c>
      <x:c r="I284" s="29" t="n">
        <x:f>'Assumptions'!$D$11+'Assumptions'!$D$12*(0.5-(G284+H284)/2)</x:f>
        <x:v>0.21111111111111108</x:v>
      </x:c>
      <x:c r="J284" s="27" t="n">
        <x:f>'Assumptions'!$D$8*EXP(-'Assumptions'!$D$9*('Fleet Engine'!E200-10))*'Assumptions'!E56*'Assumptions'!E36</x:f>
        <x:v>30662.21902501803</x:v>
      </x:c>
      <x:c r="K284" s="27" t="n">
        <x:f>'Source Data'!F217+LN('Assumptions'!D56)+LN('Assumptions'!E35)</x:f>
        <x:v>8.031104662881733</x:v>
      </x:c>
      <x:c r="L284" s="27" t="n">
        <x:f>J284*(1-I284*(1-'Carrier Engine'!E92))</x:f>
        <x:v>24448.009302614373</x:v>
      </x:c>
      <x:c r="M284" s="29" t="n">
        <x:f>NORM.S.DIST((LN(L284)-K284)/'Assumptions'!$D$10,TRUE)</x:f>
        <x:v>0.9066385661246656</x:v>
      </x:c>
      <x:c r="N284" s="30" t="n">
        <x:f>MAX(0,H284-MAX(G284,M284))</x:f>
        <x:v>0.09336143387533435</x:v>
      </x:c>
      <x:c r="O284" s="28" t="n">
        <x:f>J284*I284</x:f>
        <x:v>6473.135127503805</x:v>
      </x:c>
      <x:c r="P284" s="27" t="n">
        <x:f>(VLOOKUP(O284,'Fee Data'!$C$6:$G$50,2,TRUE)+O284*VLOOKUP(O284,'Fee Data'!$C$6:$G$50,3,TRUE)+VLOOKUP(O284,'Fee Data'!$I$6:$J$14,2,TRUE)+'Fee Data'!$J$20+'Fee Data'!$J$21)*'Assumptions'!E37</x:f>
        <x:v>1060</x:v>
      </x:c>
      <x:c r="Q284" s="27" t="n">
        <x:f>(VLOOKUP(O284,'Fee Data'!$C$6:$G$50,4,TRUE)+O284*VLOOKUP(O284,'Fee Data'!$C$6:$G$50,5,TRUE)+VLOOKUP(O284,'Fee Data'!$I$6:$J$14,2,TRUE)+'Fee Data'!$J$20+'Fee Data'!$J$21)*'Assumptions'!E37</x:f>
        <x:v>935</x:v>
      </x:c>
      <x:c r="R284" s="27" t="n">
        <x:f>P284*(1-'Assumptions'!$D$14)+Q284*'Assumptions'!$D$14</x:f>
        <x:v>997.5</x:v>
      </x:c>
      <x:c r="S284" s="27" t="n">
        <x:f>O284*'Carrier Engine'!E92</x:f>
        <x:v>258.92540510015226</x:v>
      </x:c>
      <x:c r="T284" s="28" t="n">
        <x:f>R284+S284</x:f>
        <x:v>1256.4254051001521</x:v>
      </x:c>
      <x:c r="U284" s="27" t="n">
        <x:f>N284*'Fleet Engine'!G200</x:f>
        <x:v>441.16090191417516</x:v>
      </x:c>
      <x:c r="V284" s="28" t="n">
        <x:f>U284*T284</x:f>
        <x:v>554285.764901866</x:v>
      </x:c>
      <x:c r="W284" s="28" t="n">
        <x:f>U284*O284</x:f>
        <x:v>2855694.131061908</x:v>
      </x:c>
    </x:row>
    <x:row r="285" ht="19" customHeight="1">
      <x:c r="A285" s="2"/>
      <x:c r="B285" s="2"/>
      <x:c r="C285" s="46" t="n">
        <x:v>1</x:v>
      </x:c>
      <x:c r="D285" s="46" t="n">
        <x:v>7</x:v>
      </x:c>
      <x:c r="E285" s="46" t="n">
        <x:v>1</x:v>
      </x:c>
      <x:c r="F285" s="46" t="n">
        <x:v>1</x:v>
      </x:c>
      <x:c r="G285" s="12" t="n">
        <x:v>0</x:v>
      </x:c>
      <x:c r="H285" s="12" t="n">
        <x:v>0.1111111111111111</x:v>
      </x:c>
      <x:c r="I285" s="29" t="n">
        <x:f>'Assumptions'!$D$11+'Assumptions'!$D$12*(0.5-(G285+H285)/2)</x:f>
        <x:v>0.3888888888888889</x:v>
      </x:c>
      <x:c r="J285" s="27" t="n">
        <x:f>'Assumptions'!$D$8*EXP(-'Assumptions'!$D$9*('Fleet Engine'!E201-10))*'Assumptions'!E56*'Assumptions'!E36</x:f>
        <x:v>25104.101673395035</x:v>
      </x:c>
      <x:c r="K285" s="27" t="n">
        <x:f>'Source Data'!F218+LN('Assumptions'!D56)+LN('Assumptions'!E35)</x:f>
        <x:v>7.916663861337495</x:v>
      </x:c>
      <x:c r="L285" s="27" t="n">
        <x:f>J285*(1-I285*(1-'Carrier Engine'!E92))</x:f>
        <x:v>15731.903715327557</x:v>
      </x:c>
      <x:c r="M285" s="29" t="n">
        <x:f>NORM.S.DIST((LN(L285)-K285)/'Assumptions'!$D$10,TRUE)</x:f>
        <x:v>0.867028537246276</x:v>
      </x:c>
      <x:c r="N285" s="30" t="n">
        <x:f>MAX(0,H285-MAX(G285,M285))</x:f>
        <x:v>0</x:v>
      </x:c>
      <x:c r="O285" s="28" t="n">
        <x:f>J285*I285</x:f>
        <x:v>9762.706206320292</x:v>
      </x:c>
      <x:c r="P285" s="27" t="n">
        <x:f>(VLOOKUP(O285,'Fee Data'!$C$6:$G$50,2,TRUE)+O285*VLOOKUP(O285,'Fee Data'!$C$6:$G$50,3,TRUE)+VLOOKUP(O285,'Fee Data'!$I$6:$J$14,2,TRUE)+'Fee Data'!$J$20+'Fee Data'!$J$21)*'Assumptions'!E37</x:f>
        <x:v>1195</x:v>
      </x:c>
      <x:c r="Q285" s="27" t="n">
        <x:f>(VLOOKUP(O285,'Fee Data'!$C$6:$G$50,4,TRUE)+O285*VLOOKUP(O285,'Fee Data'!$C$6:$G$50,5,TRUE)+VLOOKUP(O285,'Fee Data'!$I$6:$J$14,2,TRUE)+'Fee Data'!$J$20+'Fee Data'!$J$21)*'Assumptions'!E37</x:f>
        <x:v>1070</x:v>
      </x:c>
      <x:c r="R285" s="27" t="n">
        <x:f>P285*(1-'Assumptions'!$D$14)+Q285*'Assumptions'!$D$14</x:f>
        <x:v>1132.5</x:v>
      </x:c>
      <x:c r="S285" s="27" t="n">
        <x:f>O285*'Carrier Engine'!E92</x:f>
        <x:v>390.50824825281177</x:v>
      </x:c>
      <x:c r="T285" s="28" t="n">
        <x:f>R285+S285</x:f>
        <x:v>1523.0082482528119</x:v>
      </x:c>
      <x:c r="U285" s="27" t="n">
        <x:f>N285*'Fleet Engine'!G201</x:f>
        <x:v>0</x:v>
      </x:c>
      <x:c r="V285" s="28" t="n">
        <x:f>U285*T285</x:f>
        <x:v>0</x:v>
      </x:c>
      <x:c r="W285" s="28" t="n">
        <x:f>U285*O285</x:f>
        <x:v>0</x:v>
      </x:c>
    </x:row>
    <x:row r="286" ht="19" customHeight="1">
      <x:c r="A286" s="2"/>
      <x:c r="B286" s="2"/>
      <x:c r="C286" s="46" t="n">
        <x:v>1</x:v>
      </x:c>
      <x:c r="D286" s="46" t="n">
        <x:v>7</x:v>
      </x:c>
      <x:c r="E286" s="46" t="n">
        <x:v>1</x:v>
      </x:c>
      <x:c r="F286" s="46" t="n">
        <x:v>1</x:v>
      </x:c>
      <x:c r="G286" s="12" t="n">
        <x:v>0.1111111111111111</x:v>
      </x:c>
      <x:c r="H286" s="12" t="n">
        <x:v>0.2222222222222222</x:v>
      </x:c>
      <x:c r="I286" s="29" t="n">
        <x:f>'Assumptions'!$D$11+'Assumptions'!$D$12*(0.5-(G286+H286)/2)</x:f>
        <x:v>0.3666666666666667</x:v>
      </x:c>
      <x:c r="J286" s="27" t="n">
        <x:f>'Assumptions'!$D$8*EXP(-'Assumptions'!$D$9*('Fleet Engine'!E201-10))*'Assumptions'!E56*'Assumptions'!E36</x:f>
        <x:v>25104.101673395035</x:v>
      </x:c>
      <x:c r="K286" s="27" t="n">
        <x:f>'Source Data'!F218+LN('Assumptions'!D56)+LN('Assumptions'!E35)</x:f>
        <x:v>7.916663861337495</x:v>
      </x:c>
      <x:c r="L286" s="27" t="n">
        <x:f>J286*(1-I286*(1-'Carrier Engine'!E92))</x:f>
        <x:v>16267.45788435998</x:v>
      </x:c>
      <x:c r="M286" s="29" t="n">
        <x:f>NORM.S.DIST((LN(L286)-K286)/'Assumptions'!$D$10,TRUE)</x:f>
        <x:v>0.8715552402854367</x:v>
      </x:c>
      <x:c r="N286" s="30" t="n">
        <x:f>MAX(0,H286-MAX(G286,M286))</x:f>
        <x:v>0</x:v>
      </x:c>
      <x:c r="O286" s="28" t="n">
        <x:f>J286*I286</x:f>
        <x:v>9204.837280244847</x:v>
      </x:c>
      <x:c r="P286" s="27" t="n">
        <x:f>(VLOOKUP(O286,'Fee Data'!$C$6:$G$50,2,TRUE)+O286*VLOOKUP(O286,'Fee Data'!$C$6:$G$50,3,TRUE)+VLOOKUP(O286,'Fee Data'!$I$6:$J$14,2,TRUE)+'Fee Data'!$J$20+'Fee Data'!$J$21)*'Assumptions'!E37</x:f>
        <x:v>1195</x:v>
      </x:c>
      <x:c r="Q286" s="27" t="n">
        <x:f>(VLOOKUP(O286,'Fee Data'!$C$6:$G$50,4,TRUE)+O286*VLOOKUP(O286,'Fee Data'!$C$6:$G$50,5,TRUE)+VLOOKUP(O286,'Fee Data'!$I$6:$J$14,2,TRUE)+'Fee Data'!$J$20+'Fee Data'!$J$21)*'Assumptions'!E37</x:f>
        <x:v>1070</x:v>
      </x:c>
      <x:c r="R286" s="27" t="n">
        <x:f>P286*(1-'Assumptions'!$D$14)+Q286*'Assumptions'!$D$14</x:f>
        <x:v>1132.5</x:v>
      </x:c>
      <x:c r="S286" s="27" t="n">
        <x:f>O286*'Carrier Engine'!E92</x:f>
        <x:v>368.19349120979393</x:v>
      </x:c>
      <x:c r="T286" s="28" t="n">
        <x:f>R286+S286</x:f>
        <x:v>1500.693491209794</x:v>
      </x:c>
      <x:c r="U286" s="27" t="n">
        <x:f>N286*'Fleet Engine'!G201</x:f>
        <x:v>0</x:v>
      </x:c>
      <x:c r="V286" s="28" t="n">
        <x:f>U286*T286</x:f>
        <x:v>0</x:v>
      </x:c>
      <x:c r="W286" s="28" t="n">
        <x:f>U286*O286</x:f>
        <x:v>0</x:v>
      </x:c>
    </x:row>
    <x:row r="287" ht="19" customHeight="1">
      <x:c r="A287" s="2"/>
      <x:c r="B287" s="2"/>
      <x:c r="C287" s="46" t="n">
        <x:v>1</x:v>
      </x:c>
      <x:c r="D287" s="46" t="n">
        <x:v>7</x:v>
      </x:c>
      <x:c r="E287" s="46" t="n">
        <x:v>1</x:v>
      </x:c>
      <x:c r="F287" s="46" t="n">
        <x:v>1</x:v>
      </x:c>
      <x:c r="G287" s="12" t="n">
        <x:v>0.2222222222222222</x:v>
      </x:c>
      <x:c r="H287" s="12" t="n">
        <x:v>0.3333333333333333</x:v>
      </x:c>
      <x:c r="I287" s="29" t="n">
        <x:f>'Assumptions'!$D$11+'Assumptions'!$D$12*(0.5-(G287+H287)/2)</x:f>
        <x:v>0.34444444444444444</x:v>
      </x:c>
      <x:c r="J287" s="27" t="n">
        <x:f>'Assumptions'!$D$8*EXP(-'Assumptions'!$D$9*('Fleet Engine'!E201-10))*'Assumptions'!E56*'Assumptions'!E36</x:f>
        <x:v>25104.101673395035</x:v>
      </x:c>
      <x:c r="K287" s="27" t="n">
        <x:f>'Source Data'!F218+LN('Assumptions'!D56)+LN('Assumptions'!E35)</x:f>
        <x:v>7.916663861337495</x:v>
      </x:c>
      <x:c r="L287" s="27" t="n">
        <x:f>J287*(1-I287*(1-'Carrier Engine'!E92))</x:f>
        <x:v>16803.01205339241</x:v>
      </x:c>
      <x:c r="M287" s="29" t="n">
        <x:f>NORM.S.DIST((LN(L287)-K287)/'Assumptions'!$D$10,TRUE)</x:f>
        <x:v>0.8758323922514895</x:v>
      </x:c>
      <x:c r="N287" s="30" t="n">
        <x:f>MAX(0,H287-MAX(G287,M287))</x:f>
        <x:v>0</x:v>
      </x:c>
      <x:c r="O287" s="28" t="n">
        <x:f>J287*I287</x:f>
        <x:v>8646.968354169401</x:v>
      </x:c>
      <x:c r="P287" s="27" t="n">
        <x:f>(VLOOKUP(O287,'Fee Data'!$C$6:$G$50,2,TRUE)+O287*VLOOKUP(O287,'Fee Data'!$C$6:$G$50,3,TRUE)+VLOOKUP(O287,'Fee Data'!$I$6:$J$14,2,TRUE)+'Fee Data'!$J$20+'Fee Data'!$J$21)*'Assumptions'!E37</x:f>
        <x:v>1195</x:v>
      </x:c>
      <x:c r="Q287" s="27" t="n">
        <x:f>(VLOOKUP(O287,'Fee Data'!$C$6:$G$50,4,TRUE)+O287*VLOOKUP(O287,'Fee Data'!$C$6:$G$50,5,TRUE)+VLOOKUP(O287,'Fee Data'!$I$6:$J$14,2,TRUE)+'Fee Data'!$J$20+'Fee Data'!$J$21)*'Assumptions'!E37</x:f>
        <x:v>1070</x:v>
      </x:c>
      <x:c r="R287" s="27" t="n">
        <x:f>P287*(1-'Assumptions'!$D$14)+Q287*'Assumptions'!$D$14</x:f>
        <x:v>1132.5</x:v>
      </x:c>
      <x:c r="S287" s="27" t="n">
        <x:f>O287*'Carrier Engine'!E92</x:f>
        <x:v>345.8787341667761</x:v>
      </x:c>
      <x:c r="T287" s="28" t="n">
        <x:f>R287+S287</x:f>
        <x:v>1478.3787341667762</x:v>
      </x:c>
      <x:c r="U287" s="27" t="n">
        <x:f>N287*'Fleet Engine'!G201</x:f>
        <x:v>0</x:v>
      </x:c>
      <x:c r="V287" s="28" t="n">
        <x:f>U287*T287</x:f>
        <x:v>0</x:v>
      </x:c>
      <x:c r="W287" s="28" t="n">
        <x:f>U287*O287</x:f>
        <x:v>0</x:v>
      </x:c>
    </x:row>
    <x:row r="288" ht="19" customHeight="1">
      <x:c r="A288" s="2"/>
      <x:c r="B288" s="2"/>
      <x:c r="C288" s="46" t="n">
        <x:v>1</x:v>
      </x:c>
      <x:c r="D288" s="46" t="n">
        <x:v>7</x:v>
      </x:c>
      <x:c r="E288" s="46" t="n">
        <x:v>1</x:v>
      </x:c>
      <x:c r="F288" s="46" t="n">
        <x:v>1</x:v>
      </x:c>
      <x:c r="G288" s="12" t="n">
        <x:v>0.3333333333333333</x:v>
      </x:c>
      <x:c r="H288" s="12" t="n">
        <x:v>0.4444444444444444</x:v>
      </x:c>
      <x:c r="I288" s="29" t="n">
        <x:f>'Assumptions'!$D$11+'Assumptions'!$D$12*(0.5-(G288+H288)/2)</x:f>
        <x:v>0.32222222222222224</x:v>
      </x:c>
      <x:c r="J288" s="27" t="n">
        <x:f>'Assumptions'!$D$8*EXP(-'Assumptions'!$D$9*('Fleet Engine'!E201-10))*'Assumptions'!E56*'Assumptions'!E36</x:f>
        <x:v>25104.101673395035</x:v>
      </x:c>
      <x:c r="K288" s="27" t="n">
        <x:f>'Source Data'!F218+LN('Assumptions'!D56)+LN('Assumptions'!E35)</x:f>
        <x:v>7.916663861337495</x:v>
      </x:c>
      <x:c r="L288" s="27" t="n">
        <x:f>J288*(1-I288*(1-'Carrier Engine'!E92))</x:f>
        <x:v>17338.566222424837</x:v>
      </x:c>
      <x:c r="M288" s="29" t="n">
        <x:f>NORM.S.DIST((LN(L288)-K288)/'Assumptions'!$D$10,TRUE)</x:f>
        <x:v>0.8798793690489362</x:v>
      </x:c>
      <x:c r="N288" s="30" t="n">
        <x:f>MAX(0,H288-MAX(G288,M288))</x:f>
        <x:v>0</x:v>
      </x:c>
      <x:c r="O288" s="28" t="n">
        <x:f>J288*I288</x:f>
        <x:v>8089.099428093956</x:v>
      </x:c>
      <x:c r="P288" s="27" t="n">
        <x:f>(VLOOKUP(O288,'Fee Data'!$C$6:$G$50,2,TRUE)+O288*VLOOKUP(O288,'Fee Data'!$C$6:$G$50,3,TRUE)+VLOOKUP(O288,'Fee Data'!$I$6:$J$14,2,TRUE)+'Fee Data'!$J$20+'Fee Data'!$J$21)*'Assumptions'!E37</x:f>
        <x:v>1175</x:v>
      </x:c>
      <x:c r="Q288" s="27" t="n">
        <x:f>(VLOOKUP(O288,'Fee Data'!$C$6:$G$50,4,TRUE)+O288*VLOOKUP(O288,'Fee Data'!$C$6:$G$50,5,TRUE)+VLOOKUP(O288,'Fee Data'!$I$6:$J$14,2,TRUE)+'Fee Data'!$J$20+'Fee Data'!$J$21)*'Assumptions'!E37</x:f>
        <x:v>1050</x:v>
      </x:c>
      <x:c r="R288" s="27" t="n">
        <x:f>P288*(1-'Assumptions'!$D$14)+Q288*'Assumptions'!$D$14</x:f>
        <x:v>1112.5</x:v>
      </x:c>
      <x:c r="S288" s="27" t="n">
        <x:f>O288*'Carrier Engine'!E92</x:f>
        <x:v>323.5639771237583</x:v>
      </x:c>
      <x:c r="T288" s="28" t="n">
        <x:f>R288+S288</x:f>
        <x:v>1436.0639771237584</x:v>
      </x:c>
      <x:c r="U288" s="27" t="n">
        <x:f>N288*'Fleet Engine'!G201</x:f>
        <x:v>0</x:v>
      </x:c>
      <x:c r="V288" s="28" t="n">
        <x:f>U288*T288</x:f>
        <x:v>0</x:v>
      </x:c>
      <x:c r="W288" s="28" t="n">
        <x:f>U288*O288</x:f>
        <x:v>0</x:v>
      </x:c>
    </x:row>
    <x:row r="289" ht="19" customHeight="1">
      <x:c r="A289" s="2"/>
      <x:c r="B289" s="2"/>
      <x:c r="C289" s="46" t="n">
        <x:v>1</x:v>
      </x:c>
      <x:c r="D289" s="46" t="n">
        <x:v>7</x:v>
      </x:c>
      <x:c r="E289" s="46" t="n">
        <x:v>1</x:v>
      </x:c>
      <x:c r="F289" s="46" t="n">
        <x:v>1</x:v>
      </x:c>
      <x:c r="G289" s="12" t="n">
        <x:v>0.4444444444444444</x:v>
      </x:c>
      <x:c r="H289" s="12" t="n">
        <x:v>0.5555555555555556</x:v>
      </x:c>
      <x:c r="I289" s="29" t="n">
        <x:f>'Assumptions'!$D$11+'Assumptions'!$D$12*(0.5-(G289+H289)/2)</x:f>
        <x:v>0.3</x:v>
      </x:c>
      <x:c r="J289" s="27" t="n">
        <x:f>'Assumptions'!$D$8*EXP(-'Assumptions'!$D$9*('Fleet Engine'!E201-10))*'Assumptions'!E56*'Assumptions'!E36</x:f>
        <x:v>25104.101673395035</x:v>
      </x:c>
      <x:c r="K289" s="27" t="n">
        <x:f>'Source Data'!F218+LN('Assumptions'!D56)+LN('Assumptions'!E35)</x:f>
        <x:v>7.916663861337495</x:v>
      </x:c>
      <x:c r="L289" s="27" t="n">
        <x:f>J289*(1-I289*(1-'Carrier Engine'!E92))</x:f>
        <x:v>17874.120391457265</x:v>
      </x:c>
      <x:c r="M289" s="29" t="n">
        <x:f>NORM.S.DIST((LN(L289)-K289)/'Assumptions'!$D$10,TRUE)</x:f>
        <x:v>0.883713600649329</x:v>
      </x:c>
      <x:c r="N289" s="30" t="n">
        <x:f>MAX(0,H289-MAX(G289,M289))</x:f>
        <x:v>0</x:v>
      </x:c>
      <x:c r="O289" s="28" t="n">
        <x:f>J289*I289</x:f>
        <x:v>7531.23050201851</x:v>
      </x:c>
      <x:c r="P289" s="27" t="n">
        <x:f>(VLOOKUP(O289,'Fee Data'!$C$6:$G$50,2,TRUE)+O289*VLOOKUP(O289,'Fee Data'!$C$6:$G$50,3,TRUE)+VLOOKUP(O289,'Fee Data'!$I$6:$J$14,2,TRUE)+'Fee Data'!$J$20+'Fee Data'!$J$21)*'Assumptions'!E37</x:f>
        <x:v>1135</x:v>
      </x:c>
      <x:c r="Q289" s="27" t="n">
        <x:f>(VLOOKUP(O289,'Fee Data'!$C$6:$G$50,4,TRUE)+O289*VLOOKUP(O289,'Fee Data'!$C$6:$G$50,5,TRUE)+VLOOKUP(O289,'Fee Data'!$I$6:$J$14,2,TRUE)+'Fee Data'!$J$20+'Fee Data'!$J$21)*'Assumptions'!E37</x:f>
        <x:v>1010</x:v>
      </x:c>
      <x:c r="R289" s="27" t="n">
        <x:f>P289*(1-'Assumptions'!$D$14)+Q289*'Assumptions'!$D$14</x:f>
        <x:v>1072.5</x:v>
      </x:c>
      <x:c r="S289" s="27" t="n">
        <x:f>O289*'Carrier Engine'!E92</x:f>
        <x:v>301.2492200807405</x:v>
      </x:c>
      <x:c r="T289" s="28" t="n">
        <x:f>R289+S289</x:f>
        <x:v>1373.7492200807405</x:v>
      </x:c>
      <x:c r="U289" s="27" t="n">
        <x:f>N289*'Fleet Engine'!G201</x:f>
        <x:v>0</x:v>
      </x:c>
      <x:c r="V289" s="28" t="n">
        <x:f>U289*T289</x:f>
        <x:v>0</x:v>
      </x:c>
      <x:c r="W289" s="28" t="n">
        <x:f>U289*O289</x:f>
        <x:v>0</x:v>
      </x:c>
    </x:row>
    <x:row r="290" ht="19" customHeight="1">
      <x:c r="A290" s="2"/>
      <x:c r="B290" s="2"/>
      <x:c r="C290" s="46" t="n">
        <x:v>1</x:v>
      </x:c>
      <x:c r="D290" s="46" t="n">
        <x:v>7</x:v>
      </x:c>
      <x:c r="E290" s="46" t="n">
        <x:v>1</x:v>
      </x:c>
      <x:c r="F290" s="46" t="n">
        <x:v>1</x:v>
      </x:c>
      <x:c r="G290" s="12" t="n">
        <x:v>0.5555555555555556</x:v>
      </x:c>
      <x:c r="H290" s="12" t="n">
        <x:v>0.6666666666666666</x:v>
      </x:c>
      <x:c r="I290" s="29" t="n">
        <x:f>'Assumptions'!$D$11+'Assumptions'!$D$12*(0.5-(G290+H290)/2)</x:f>
        <x:v>0.27777777777777773</x:v>
      </x:c>
      <x:c r="J290" s="27" t="n">
        <x:f>'Assumptions'!$D$8*EXP(-'Assumptions'!$D$9*('Fleet Engine'!E201-10))*'Assumptions'!E56*'Assumptions'!E36</x:f>
        <x:v>25104.101673395035</x:v>
      </x:c>
      <x:c r="K290" s="27" t="n">
        <x:f>'Source Data'!F218+LN('Assumptions'!D56)+LN('Assumptions'!E35)</x:f>
        <x:v>7.916663861337495</x:v>
      </x:c>
      <x:c r="L290" s="27" t="n">
        <x:f>J290*(1-I290*(1-'Carrier Engine'!E92))</x:f>
        <x:v>18409.674560489693</x:v>
      </x:c>
      <x:c r="M290" s="29" t="n">
        <x:f>NORM.S.DIST((LN(L290)-K290)/'Assumptions'!$D$10,TRUE)</x:f>
        <x:v>0.8873508102719798</x:v>
      </x:c>
      <x:c r="N290" s="30" t="n">
        <x:f>MAX(0,H290-MAX(G290,M290))</x:f>
        <x:v>0</x:v>
      </x:c>
      <x:c r="O290" s="28" t="n">
        <x:f>J290*I290</x:f>
        <x:v>6973.361575943064</x:v>
      </x:c>
      <x:c r="P290" s="27" t="n">
        <x:f>(VLOOKUP(O290,'Fee Data'!$C$6:$G$50,2,TRUE)+O290*VLOOKUP(O290,'Fee Data'!$C$6:$G$50,3,TRUE)+VLOOKUP(O290,'Fee Data'!$I$6:$J$14,2,TRUE)+'Fee Data'!$J$20+'Fee Data'!$J$21)*'Assumptions'!E37</x:f>
        <x:v>1080</x:v>
      </x:c>
      <x:c r="Q290" s="27" t="n">
        <x:f>(VLOOKUP(O290,'Fee Data'!$C$6:$G$50,4,TRUE)+O290*VLOOKUP(O290,'Fee Data'!$C$6:$G$50,5,TRUE)+VLOOKUP(O290,'Fee Data'!$I$6:$J$14,2,TRUE)+'Fee Data'!$J$20+'Fee Data'!$J$21)*'Assumptions'!E37</x:f>
        <x:v>955</x:v>
      </x:c>
      <x:c r="R290" s="27" t="n">
        <x:f>P290*(1-'Assumptions'!$D$14)+Q290*'Assumptions'!$D$14</x:f>
        <x:v>1017.5</x:v>
      </x:c>
      <x:c r="S290" s="27" t="n">
        <x:f>O290*'Carrier Engine'!E92</x:f>
        <x:v>278.9344630377226</x:v>
      </x:c>
      <x:c r="T290" s="28" t="n">
        <x:f>R290+S290</x:f>
        <x:v>1296.4344630377227</x:v>
      </x:c>
      <x:c r="U290" s="27" t="n">
        <x:f>N290*'Fleet Engine'!G201</x:f>
        <x:v>0</x:v>
      </x:c>
      <x:c r="V290" s="28" t="n">
        <x:f>U290*T290</x:f>
        <x:v>0</x:v>
      </x:c>
      <x:c r="W290" s="28" t="n">
        <x:f>U290*O290</x:f>
        <x:v>0</x:v>
      </x:c>
    </x:row>
    <x:row r="291" ht="19" customHeight="1">
      <x:c r="A291" s="2"/>
      <x:c r="B291" s="2"/>
      <x:c r="C291" s="46" t="n">
        <x:v>1</x:v>
      </x:c>
      <x:c r="D291" s="46" t="n">
        <x:v>7</x:v>
      </x:c>
      <x:c r="E291" s="46" t="n">
        <x:v>1</x:v>
      </x:c>
      <x:c r="F291" s="46" t="n">
        <x:v>1</x:v>
      </x:c>
      <x:c r="G291" s="12" t="n">
        <x:v>0.6666666666666666</x:v>
      </x:c>
      <x:c r="H291" s="12" t="n">
        <x:v>0.7777777777777778</x:v>
      </x:c>
      <x:c r="I291" s="29" t="n">
        <x:f>'Assumptions'!$D$11+'Assumptions'!$D$12*(0.5-(G291+H291)/2)</x:f>
        <x:v>0.25555555555555554</x:v>
      </x:c>
      <x:c r="J291" s="27" t="n">
        <x:f>'Assumptions'!$D$8*EXP(-'Assumptions'!$D$9*('Fleet Engine'!E201-10))*'Assumptions'!E56*'Assumptions'!E36</x:f>
        <x:v>25104.101673395035</x:v>
      </x:c>
      <x:c r="K291" s="27" t="n">
        <x:f>'Source Data'!F218+LN('Assumptions'!D56)+LN('Assumptions'!E35)</x:f>
        <x:v>7.916663861337495</x:v>
      </x:c>
      <x:c r="L291" s="27" t="n">
        <x:f>J291*(1-I291*(1-'Carrier Engine'!E92))</x:f>
        <x:v>18945.22872952212</x:v>
      </x:c>
      <x:c r="M291" s="29" t="n">
        <x:f>NORM.S.DIST((LN(L291)-K291)/'Assumptions'!$D$10,TRUE)</x:f>
        <x:v>0.8908052189301703</x:v>
      </x:c>
      <x:c r="N291" s="30" t="n">
        <x:f>MAX(0,H291-MAX(G291,M291))</x:f>
        <x:v>0</x:v>
      </x:c>
      <x:c r="O291" s="28" t="n">
        <x:f>J291*I291</x:f>
        <x:v>6415.49264986762</x:v>
      </x:c>
      <x:c r="P291" s="27" t="n">
        <x:f>(VLOOKUP(O291,'Fee Data'!$C$6:$G$50,2,TRUE)+O291*VLOOKUP(O291,'Fee Data'!$C$6:$G$50,3,TRUE)+VLOOKUP(O291,'Fee Data'!$I$6:$J$14,2,TRUE)+'Fee Data'!$J$20+'Fee Data'!$J$21)*'Assumptions'!E37</x:f>
        <x:v>1060</x:v>
      </x:c>
      <x:c r="Q291" s="27" t="n">
        <x:f>(VLOOKUP(O291,'Fee Data'!$C$6:$G$50,4,TRUE)+O291*VLOOKUP(O291,'Fee Data'!$C$6:$G$50,5,TRUE)+VLOOKUP(O291,'Fee Data'!$I$6:$J$14,2,TRUE)+'Fee Data'!$J$20+'Fee Data'!$J$21)*'Assumptions'!E37</x:f>
        <x:v>935</x:v>
      </x:c>
      <x:c r="R291" s="27" t="n">
        <x:f>P291*(1-'Assumptions'!$D$14)+Q291*'Assumptions'!$D$14</x:f>
        <x:v>997.5</x:v>
      </x:c>
      <x:c r="S291" s="27" t="n">
        <x:f>O291*'Carrier Engine'!E92</x:f>
        <x:v>256.6197059947048</x:v>
      </x:c>
      <x:c r="T291" s="28" t="n">
        <x:f>R291+S291</x:f>
        <x:v>1254.1197059947049</x:v>
      </x:c>
      <x:c r="U291" s="27" t="n">
        <x:f>N291*'Fleet Engine'!G201</x:f>
        <x:v>0</x:v>
      </x:c>
      <x:c r="V291" s="28" t="n">
        <x:f>U291*T291</x:f>
        <x:v>0</x:v>
      </x:c>
      <x:c r="W291" s="28" t="n">
        <x:f>U291*O291</x:f>
        <x:v>0</x:v>
      </x:c>
    </x:row>
    <x:row r="292" ht="19" customHeight="1">
      <x:c r="A292" s="2"/>
      <x:c r="B292" s="2"/>
      <x:c r="C292" s="46" t="n">
        <x:v>1</x:v>
      </x:c>
      <x:c r="D292" s="46" t="n">
        <x:v>7</x:v>
      </x:c>
      <x:c r="E292" s="46" t="n">
        <x:v>1</x:v>
      </x:c>
      <x:c r="F292" s="46" t="n">
        <x:v>1</x:v>
      </x:c>
      <x:c r="G292" s="12" t="n">
        <x:v>0.7777777777777778</x:v>
      </x:c>
      <x:c r="H292" s="12" t="n">
        <x:v>0.8888888888888888</x:v>
      </x:c>
      <x:c r="I292" s="29" t="n">
        <x:f>'Assumptions'!$D$11+'Assumptions'!$D$12*(0.5-(G292+H292)/2)</x:f>
        <x:v>0.23333333333333334</x:v>
      </x:c>
      <x:c r="J292" s="27" t="n">
        <x:f>'Assumptions'!$D$8*EXP(-'Assumptions'!$D$9*('Fleet Engine'!E201-10))*'Assumptions'!E56*'Assumptions'!E36</x:f>
        <x:v>25104.101673395035</x:v>
      </x:c>
      <x:c r="K292" s="27" t="n">
        <x:f>'Source Data'!F218+LN('Assumptions'!D56)+LN('Assumptions'!E35)</x:f>
        <x:v>7.916663861337495</x:v>
      </x:c>
      <x:c r="L292" s="27" t="n">
        <x:f>J292*(1-I292*(1-'Carrier Engine'!E92))</x:f>
        <x:v>19480.782898554546</x:v>
      </x:c>
      <x:c r="M292" s="29" t="n">
        <x:f>NORM.S.DIST((LN(L292)-K292)/'Assumptions'!$D$10,TRUE)</x:f>
        <x:v>0.8940897210910779</x:v>
      </x:c>
      <x:c r="N292" s="30" t="n">
        <x:f>MAX(0,H292-MAX(G292,M292))</x:f>
        <x:v>0</x:v>
      </x:c>
      <x:c r="O292" s="28" t="n">
        <x:f>J292*I292</x:f>
        <x:v>5857.623723792175</x:v>
      </x:c>
      <x:c r="P292" s="27" t="n">
        <x:f>(VLOOKUP(O292,'Fee Data'!$C$6:$G$50,2,TRUE)+O292*VLOOKUP(O292,'Fee Data'!$C$6:$G$50,3,TRUE)+VLOOKUP(O292,'Fee Data'!$I$6:$J$14,2,TRUE)+'Fee Data'!$J$20+'Fee Data'!$J$21)*'Assumptions'!E37</x:f>
        <x:v>1020</x:v>
      </x:c>
      <x:c r="Q292" s="27" t="n">
        <x:f>(VLOOKUP(O292,'Fee Data'!$C$6:$G$50,4,TRUE)+O292*VLOOKUP(O292,'Fee Data'!$C$6:$G$50,5,TRUE)+VLOOKUP(O292,'Fee Data'!$I$6:$J$14,2,TRUE)+'Fee Data'!$J$20+'Fee Data'!$J$21)*'Assumptions'!E37</x:f>
        <x:v>895</x:v>
      </x:c>
      <x:c r="R292" s="27" t="n">
        <x:f>P292*(1-'Assumptions'!$D$14)+Q292*'Assumptions'!$D$14</x:f>
        <x:v>957.5</x:v>
      </x:c>
      <x:c r="S292" s="27" t="n">
        <x:f>O292*'Carrier Engine'!E92</x:f>
        <x:v>234.30494895168704</x:v>
      </x:c>
      <x:c r="T292" s="28" t="n">
        <x:f>R292+S292</x:f>
        <x:v>1191.804948951687</x:v>
      </x:c>
      <x:c r="U292" s="27" t="n">
        <x:f>N292*'Fleet Engine'!G201</x:f>
        <x:v>0</x:v>
      </x:c>
      <x:c r="V292" s="28" t="n">
        <x:f>U292*T292</x:f>
        <x:v>0</x:v>
      </x:c>
      <x:c r="W292" s="28" t="n">
        <x:f>U292*O292</x:f>
        <x:v>0</x:v>
      </x:c>
    </x:row>
    <x:row r="293" ht="19" customHeight="1">
      <x:c r="A293" s="2"/>
      <x:c r="B293" s="2"/>
      <x:c r="C293" s="46" t="n">
        <x:v>1</x:v>
      </x:c>
      <x:c r="D293" s="46" t="n">
        <x:v>7</x:v>
      </x:c>
      <x:c r="E293" s="46" t="n">
        <x:v>1</x:v>
      </x:c>
      <x:c r="F293" s="46" t="n">
        <x:v>1</x:v>
      </x:c>
      <x:c r="G293" s="12" t="n">
        <x:v>0.8888888888888888</x:v>
      </x:c>
      <x:c r="H293" s="12" t="n">
        <x:v>1</x:v>
      </x:c>
      <x:c r="I293" s="29" t="n">
        <x:f>'Assumptions'!$D$11+'Assumptions'!$D$12*(0.5-(G293+H293)/2)</x:f>
        <x:v>0.21111111111111108</x:v>
      </x:c>
      <x:c r="J293" s="27" t="n">
        <x:f>'Assumptions'!$D$8*EXP(-'Assumptions'!$D$9*('Fleet Engine'!E201-10))*'Assumptions'!E56*'Assumptions'!E36</x:f>
        <x:v>25104.101673395035</x:v>
      </x:c>
      <x:c r="K293" s="27" t="n">
        <x:f>'Source Data'!F218+LN('Assumptions'!D56)+LN('Assumptions'!E35)</x:f>
        <x:v>7.916663861337495</x:v>
      </x:c>
      <x:c r="L293" s="27" t="n">
        <x:f>J293*(1-I293*(1-'Carrier Engine'!E92))</x:f>
        <x:v>20016.337067586974</x:v>
      </x:c>
      <x:c r="M293" s="29" t="n">
        <x:f>NORM.S.DIST((LN(L293)-K293)/'Assumptions'!$D$10,TRUE)</x:f>
        <x:v>0.897216036126494</x:v>
      </x:c>
      <x:c r="N293" s="30" t="n">
        <x:f>MAX(0,H293-MAX(G293,M293))</x:f>
        <x:v>0.10278396387350597</x:v>
      </x:c>
      <x:c r="O293" s="28" t="n">
        <x:f>J293*I293</x:f>
        <x:v>5299.754797716729</x:v>
      </x:c>
      <x:c r="P293" s="27" t="n">
        <x:f>(VLOOKUP(O293,'Fee Data'!$C$6:$G$50,2,TRUE)+O293*VLOOKUP(O293,'Fee Data'!$C$6:$G$50,3,TRUE)+VLOOKUP(O293,'Fee Data'!$I$6:$J$14,2,TRUE)+'Fee Data'!$J$20+'Fee Data'!$J$21)*'Assumptions'!E37</x:f>
        <x:v>995</x:v>
      </x:c>
      <x:c r="Q293" s="27" t="n">
        <x:f>(VLOOKUP(O293,'Fee Data'!$C$6:$G$50,4,TRUE)+O293*VLOOKUP(O293,'Fee Data'!$C$6:$G$50,5,TRUE)+VLOOKUP(O293,'Fee Data'!$I$6:$J$14,2,TRUE)+'Fee Data'!$J$20+'Fee Data'!$J$21)*'Assumptions'!E37</x:f>
        <x:v>870</x:v>
      </x:c>
      <x:c r="R293" s="27" t="n">
        <x:f>P293*(1-'Assumptions'!$D$14)+Q293*'Assumptions'!$D$14</x:f>
        <x:v>932.5</x:v>
      </x:c>
      <x:c r="S293" s="27" t="n">
        <x:f>O293*'Carrier Engine'!E92</x:f>
        <x:v>211.9901919086692</x:v>
      </x:c>
      <x:c r="T293" s="28" t="n">
        <x:f>R293+S293</x:f>
        <x:v>1144.4901919086692</x:v>
      </x:c>
      <x:c r="U293" s="27" t="n">
        <x:f>N293*'Fleet Engine'!G201</x:f>
        <x:v>2558.793509734433</x:v>
      </x:c>
      <x:c r="V293" s="28" t="n">
        <x:f>U293*T293</x:f>
        <x:v>2928514.075010618</x:v>
      </x:c>
      <x:c r="W293" s="28" t="n">
        <x:f>U293*O293</x:f>
        <x:v>13560978.179581488</x:v>
      </x:c>
    </x:row>
    <x:row r="294" ht="19" customHeight="1">
      <x:c r="A294" s="2"/>
      <x:c r="B294" s="2"/>
      <x:c r="C294" s="46" t="n">
        <x:v>1</x:v>
      </x:c>
      <x:c r="D294" s="46" t="n">
        <x:v>8</x:v>
      </x:c>
      <x:c r="E294" s="46" t="n">
        <x:v>1</x:v>
      </x:c>
      <x:c r="F294" s="46" t="n">
        <x:v>2</x:v>
      </x:c>
      <x:c r="G294" s="12" t="n">
        <x:v>0</x:v>
      </x:c>
      <x:c r="H294" s="12" t="n">
        <x:v>0.1111111111111111</x:v>
      </x:c>
      <x:c r="I294" s="29" t="n">
        <x:f>'Assumptions'!$D$11+'Assumptions'!$D$12*(0.5-(G294+H294)/2)</x:f>
        <x:v>0.3888888888888889</x:v>
      </x:c>
      <x:c r="J294" s="27" t="n">
        <x:f>'Assumptions'!$D$8*EXP(-'Assumptions'!$D$9*('Fleet Engine'!E202-10))*'Assumptions'!E56*'Assumptions'!E36</x:f>
        <x:v>18597.575933497446</x:v>
      </x:c>
      <x:c r="K294" s="27" t="n">
        <x:f>'Source Data'!F219+LN('Assumptions'!D56)+LN('Assumptions'!E35)</x:f>
        <x:v>7.962345702623303</x:v>
      </x:c>
      <x:c r="L294" s="27" t="n">
        <x:f>J294*(1-I294*(1-'Carrier Engine'!E92))</x:f>
        <x:v>11654.480918325067</x:v>
      </x:c>
      <x:c r="M294" s="29" t="n">
        <x:f>NORM.S.DIST((LN(L294)-K294)/'Assumptions'!$D$10,TRUE)</x:f>
        <x:v>0.8138848687134156</x:v>
      </x:c>
      <x:c r="N294" s="30" t="n">
        <x:f>MAX(0,H294-MAX(G294,M294))</x:f>
        <x:v>0</x:v>
      </x:c>
      <x:c r="O294" s="28" t="n">
        <x:f>J294*I294</x:f>
        <x:v>7232.390640804562</x:v>
      </x:c>
      <x:c r="P294" s="27" t="n">
        <x:f>(VLOOKUP(O294,'Fee Data'!$C$6:$G$50,2,TRUE)+O294*VLOOKUP(O294,'Fee Data'!$C$6:$G$50,3,TRUE)+VLOOKUP(O294,'Fee Data'!$I$6:$J$14,2,TRUE)+'Fee Data'!$J$20+'Fee Data'!$J$21)*'Assumptions'!E37</x:f>
        <x:v>1115</x:v>
      </x:c>
      <x:c r="Q294" s="27" t="n">
        <x:f>(VLOOKUP(O294,'Fee Data'!$C$6:$G$50,4,TRUE)+O294*VLOOKUP(O294,'Fee Data'!$C$6:$G$50,5,TRUE)+VLOOKUP(O294,'Fee Data'!$I$6:$J$14,2,TRUE)+'Fee Data'!$J$20+'Fee Data'!$J$21)*'Assumptions'!E37</x:f>
        <x:v>990</x:v>
      </x:c>
      <x:c r="R294" s="27" t="n">
        <x:f>P294*(1-'Assumptions'!$D$14)+Q294*'Assumptions'!$D$14</x:f>
        <x:v>1052.5</x:v>
      </x:c>
      <x:c r="S294" s="27" t="n">
        <x:f>O294*'Carrier Engine'!E92</x:f>
        <x:v>289.2956256321825</x:v>
      </x:c>
      <x:c r="T294" s="28" t="n">
        <x:f>R294+S294</x:f>
        <x:v>1341.7956256321825</x:v>
      </x:c>
      <x:c r="U294" s="27" t="n">
        <x:f>N294*'Fleet Engine'!G202</x:f>
        <x:v>0</x:v>
      </x:c>
      <x:c r="V294" s="28" t="n">
        <x:f>U294*T294</x:f>
        <x:v>0</x:v>
      </x:c>
      <x:c r="W294" s="28" t="n">
        <x:f>U294*O294</x:f>
        <x:v>0</x:v>
      </x:c>
    </x:row>
    <x:row r="295" ht="19" customHeight="1">
      <x:c r="A295" s="2"/>
      <x:c r="B295" s="2"/>
      <x:c r="C295" s="46" t="n">
        <x:v>1</x:v>
      </x:c>
      <x:c r="D295" s="46" t="n">
        <x:v>8</x:v>
      </x:c>
      <x:c r="E295" s="46" t="n">
        <x:v>1</x:v>
      </x:c>
      <x:c r="F295" s="46" t="n">
        <x:v>2</x:v>
      </x:c>
      <x:c r="G295" s="12" t="n">
        <x:v>0.1111111111111111</x:v>
      </x:c>
      <x:c r="H295" s="12" t="n">
        <x:v>0.2222222222222222</x:v>
      </x:c>
      <x:c r="I295" s="29" t="n">
        <x:f>'Assumptions'!$D$11+'Assumptions'!$D$12*(0.5-(G295+H295)/2)</x:f>
        <x:v>0.3666666666666667</x:v>
      </x:c>
      <x:c r="J295" s="27" t="n">
        <x:f>'Assumptions'!$D$8*EXP(-'Assumptions'!$D$9*('Fleet Engine'!E202-10))*'Assumptions'!E56*'Assumptions'!E36</x:f>
        <x:v>18597.575933497446</x:v>
      </x:c>
      <x:c r="K295" s="27" t="n">
        <x:f>'Source Data'!F219+LN('Assumptions'!D56)+LN('Assumptions'!E35)</x:f>
        <x:v>7.962345702623303</x:v>
      </x:c>
      <x:c r="L295" s="27" t="n">
        <x:f>J295*(1-I295*(1-'Carrier Engine'!E92))</x:f>
        <x:v>12051.229204906344</x:v>
      </x:c>
      <x:c r="M295" s="29" t="n">
        <x:f>NORM.S.DIST((LN(L295)-K295)/'Assumptions'!$D$10,TRUE)</x:f>
        <x:v>0.8195425068236845</x:v>
      </x:c>
      <x:c r="N295" s="30" t="n">
        <x:f>MAX(0,H295-MAX(G295,M295))</x:f>
        <x:v>0</x:v>
      </x:c>
      <x:c r="O295" s="28" t="n">
        <x:f>J295*I295</x:f>
        <x:v>6819.111175615731</x:v>
      </x:c>
      <x:c r="P295" s="27" t="n">
        <x:f>(VLOOKUP(O295,'Fee Data'!$C$6:$G$50,2,TRUE)+O295*VLOOKUP(O295,'Fee Data'!$C$6:$G$50,3,TRUE)+VLOOKUP(O295,'Fee Data'!$I$6:$J$14,2,TRUE)+'Fee Data'!$J$20+'Fee Data'!$J$21)*'Assumptions'!E37</x:f>
        <x:v>1080</x:v>
      </x:c>
      <x:c r="Q295" s="27" t="n">
        <x:f>(VLOOKUP(O295,'Fee Data'!$C$6:$G$50,4,TRUE)+O295*VLOOKUP(O295,'Fee Data'!$C$6:$G$50,5,TRUE)+VLOOKUP(O295,'Fee Data'!$I$6:$J$14,2,TRUE)+'Fee Data'!$J$20+'Fee Data'!$J$21)*'Assumptions'!E37</x:f>
        <x:v>955</x:v>
      </x:c>
      <x:c r="R295" s="27" t="n">
        <x:f>P295*(1-'Assumptions'!$D$14)+Q295*'Assumptions'!$D$14</x:f>
        <x:v>1017.5</x:v>
      </x:c>
      <x:c r="S295" s="27" t="n">
        <x:f>O295*'Carrier Engine'!E92</x:f>
        <x:v>272.7644470246293</x:v>
      </x:c>
      <x:c r="T295" s="28" t="n">
        <x:f>R295+S295</x:f>
        <x:v>1290.2644470246294</x:v>
      </x:c>
      <x:c r="U295" s="27" t="n">
        <x:f>N295*'Fleet Engine'!G202</x:f>
        <x:v>0</x:v>
      </x:c>
      <x:c r="V295" s="28" t="n">
        <x:f>U295*T295</x:f>
        <x:v>0</x:v>
      </x:c>
      <x:c r="W295" s="28" t="n">
        <x:f>U295*O295</x:f>
        <x:v>0</x:v>
      </x:c>
    </x:row>
    <x:row r="296" ht="19" customHeight="1">
      <x:c r="A296" s="2"/>
      <x:c r="B296" s="2"/>
      <x:c r="C296" s="46" t="n">
        <x:v>1</x:v>
      </x:c>
      <x:c r="D296" s="46" t="n">
        <x:v>8</x:v>
      </x:c>
      <x:c r="E296" s="46" t="n">
        <x:v>1</x:v>
      </x:c>
      <x:c r="F296" s="46" t="n">
        <x:v>2</x:v>
      </x:c>
      <x:c r="G296" s="12" t="n">
        <x:v>0.2222222222222222</x:v>
      </x:c>
      <x:c r="H296" s="12" t="n">
        <x:v>0.3333333333333333</x:v>
      </x:c>
      <x:c r="I296" s="29" t="n">
        <x:f>'Assumptions'!$D$11+'Assumptions'!$D$12*(0.5-(G296+H296)/2)</x:f>
        <x:v>0.34444444444444444</x:v>
      </x:c>
      <x:c r="J296" s="27" t="n">
        <x:f>'Assumptions'!$D$8*EXP(-'Assumptions'!$D$9*('Fleet Engine'!E202-10))*'Assumptions'!E56*'Assumptions'!E36</x:f>
        <x:v>18597.575933497446</x:v>
      </x:c>
      <x:c r="K296" s="27" t="n">
        <x:f>'Source Data'!F219+LN('Assumptions'!D56)+LN('Assumptions'!E35)</x:f>
        <x:v>7.962345702623303</x:v>
      </x:c>
      <x:c r="L296" s="27" t="n">
        <x:f>J296*(1-I296*(1-'Carrier Engine'!E92))</x:f>
        <x:v>12447.977491487623</x:v>
      </x:c>
      <x:c r="M296" s="29" t="n">
        <x:f>NORM.S.DIST((LN(L296)-K296)/'Assumptions'!$D$10,TRUE)</x:f>
        <x:v>0.8249129898049964</x:v>
      </x:c>
      <x:c r="N296" s="30" t="n">
        <x:f>MAX(0,H296-MAX(G296,M296))</x:f>
        <x:v>0</x:v>
      </x:c>
      <x:c r="O296" s="28" t="n">
        <x:f>J296*I296</x:f>
        <x:v>6405.831710426898</x:v>
      </x:c>
      <x:c r="P296" s="27" t="n">
        <x:f>(VLOOKUP(O296,'Fee Data'!$C$6:$G$50,2,TRUE)+O296*VLOOKUP(O296,'Fee Data'!$C$6:$G$50,3,TRUE)+VLOOKUP(O296,'Fee Data'!$I$6:$J$14,2,TRUE)+'Fee Data'!$J$20+'Fee Data'!$J$21)*'Assumptions'!E37</x:f>
        <x:v>1060</x:v>
      </x:c>
      <x:c r="Q296" s="27" t="n">
        <x:f>(VLOOKUP(O296,'Fee Data'!$C$6:$G$50,4,TRUE)+O296*VLOOKUP(O296,'Fee Data'!$C$6:$G$50,5,TRUE)+VLOOKUP(O296,'Fee Data'!$I$6:$J$14,2,TRUE)+'Fee Data'!$J$20+'Fee Data'!$J$21)*'Assumptions'!E37</x:f>
        <x:v>935</x:v>
      </x:c>
      <x:c r="R296" s="27" t="n">
        <x:f>P296*(1-'Assumptions'!$D$14)+Q296*'Assumptions'!$D$14</x:f>
        <x:v>997.5</x:v>
      </x:c>
      <x:c r="S296" s="27" t="n">
        <x:f>O296*'Carrier Engine'!E92</x:f>
        <x:v>256.233268417076</x:v>
      </x:c>
      <x:c r="T296" s="28" t="n">
        <x:f>R296+S296</x:f>
        <x:v>1253.733268417076</x:v>
      </x:c>
      <x:c r="U296" s="27" t="n">
        <x:f>N296*'Fleet Engine'!G202</x:f>
        <x:v>0</x:v>
      </x:c>
      <x:c r="V296" s="28" t="n">
        <x:f>U296*T296</x:f>
        <x:v>0</x:v>
      </x:c>
      <x:c r="W296" s="28" t="n">
        <x:f>U296*O296</x:f>
        <x:v>0</x:v>
      </x:c>
    </x:row>
    <x:row r="297" ht="19" customHeight="1">
      <x:c r="A297" s="2"/>
      <x:c r="B297" s="2"/>
      <x:c r="C297" s="46" t="n">
        <x:v>1</x:v>
      </x:c>
      <x:c r="D297" s="46" t="n">
        <x:v>8</x:v>
      </x:c>
      <x:c r="E297" s="46" t="n">
        <x:v>1</x:v>
      </x:c>
      <x:c r="F297" s="46" t="n">
        <x:v>2</x:v>
      </x:c>
      <x:c r="G297" s="12" t="n">
        <x:v>0.3333333333333333</x:v>
      </x:c>
      <x:c r="H297" s="12" t="n">
        <x:v>0.4444444444444444</x:v>
      </x:c>
      <x:c r="I297" s="29" t="n">
        <x:f>'Assumptions'!$D$11+'Assumptions'!$D$12*(0.5-(G297+H297)/2)</x:f>
        <x:v>0.32222222222222224</x:v>
      </x:c>
      <x:c r="J297" s="27" t="n">
        <x:f>'Assumptions'!$D$8*EXP(-'Assumptions'!$D$9*('Fleet Engine'!E202-10))*'Assumptions'!E56*'Assumptions'!E36</x:f>
        <x:v>18597.575933497446</x:v>
      </x:c>
      <x:c r="K297" s="27" t="n">
        <x:f>'Source Data'!F219+LN('Assumptions'!D56)+LN('Assumptions'!E35)</x:f>
        <x:v>7.962345702623303</x:v>
      </x:c>
      <x:c r="L297" s="27" t="n">
        <x:f>J297*(1-I297*(1-'Carrier Engine'!E92))</x:f>
        <x:v>12844.725778068903</x:v>
      </x:c>
      <x:c r="M297" s="29" t="n">
        <x:f>NORM.S.DIST((LN(L297)-K297)/'Assumptions'!$D$10,TRUE)</x:f>
        <x:v>0.8300172277569353</x:v>
      </x:c>
      <x:c r="N297" s="30" t="n">
        <x:f>MAX(0,H297-MAX(G297,M297))</x:f>
        <x:v>0</x:v>
      </x:c>
      <x:c r="O297" s="28" t="n">
        <x:f>J297*I297</x:f>
        <x:v>5992.5522452380665</x:v>
      </x:c>
      <x:c r="P297" s="27" t="n">
        <x:f>(VLOOKUP(O297,'Fee Data'!$C$6:$G$50,2,TRUE)+O297*VLOOKUP(O297,'Fee Data'!$C$6:$G$50,3,TRUE)+VLOOKUP(O297,'Fee Data'!$I$6:$J$14,2,TRUE)+'Fee Data'!$J$20+'Fee Data'!$J$21)*'Assumptions'!E37</x:f>
        <x:v>1020</x:v>
      </x:c>
      <x:c r="Q297" s="27" t="n">
        <x:f>(VLOOKUP(O297,'Fee Data'!$C$6:$G$50,4,TRUE)+O297*VLOOKUP(O297,'Fee Data'!$C$6:$G$50,5,TRUE)+VLOOKUP(O297,'Fee Data'!$I$6:$J$14,2,TRUE)+'Fee Data'!$J$20+'Fee Data'!$J$21)*'Assumptions'!E37</x:f>
        <x:v>895</x:v>
      </x:c>
      <x:c r="R297" s="27" t="n">
        <x:f>P297*(1-'Assumptions'!$D$14)+Q297*'Assumptions'!$D$14</x:f>
        <x:v>957.5</x:v>
      </x:c>
      <x:c r="S297" s="27" t="n">
        <x:f>O297*'Carrier Engine'!E92</x:f>
        <x:v>239.7020898095227</x:v>
      </x:c>
      <x:c r="T297" s="28" t="n">
        <x:f>R297+S297</x:f>
        <x:v>1197.2020898095227</x:v>
      </x:c>
      <x:c r="U297" s="27" t="n">
        <x:f>N297*'Fleet Engine'!G202</x:f>
        <x:v>0</x:v>
      </x:c>
      <x:c r="V297" s="28" t="n">
        <x:f>U297*T297</x:f>
        <x:v>0</x:v>
      </x:c>
      <x:c r="W297" s="28" t="n">
        <x:f>U297*O297</x:f>
        <x:v>0</x:v>
      </x:c>
    </x:row>
    <x:row r="298" ht="19" customHeight="1">
      <x:c r="A298" s="2"/>
      <x:c r="B298" s="2"/>
      <x:c r="C298" s="46" t="n">
        <x:v>1</x:v>
      </x:c>
      <x:c r="D298" s="46" t="n">
        <x:v>8</x:v>
      </x:c>
      <x:c r="E298" s="46" t="n">
        <x:v>1</x:v>
      </x:c>
      <x:c r="F298" s="46" t="n">
        <x:v>2</x:v>
      </x:c>
      <x:c r="G298" s="12" t="n">
        <x:v>0.4444444444444444</x:v>
      </x:c>
      <x:c r="H298" s="12" t="n">
        <x:v>0.5555555555555556</x:v>
      </x:c>
      <x:c r="I298" s="29" t="n">
        <x:f>'Assumptions'!$D$11+'Assumptions'!$D$12*(0.5-(G298+H298)/2)</x:f>
        <x:v>0.3</x:v>
      </x:c>
      <x:c r="J298" s="27" t="n">
        <x:f>'Assumptions'!$D$8*EXP(-'Assumptions'!$D$9*('Fleet Engine'!E202-10))*'Assumptions'!E56*'Assumptions'!E36</x:f>
        <x:v>18597.575933497446</x:v>
      </x:c>
      <x:c r="K298" s="27" t="n">
        <x:f>'Source Data'!F219+LN('Assumptions'!D56)+LN('Assumptions'!E35)</x:f>
        <x:v>7.962345702623303</x:v>
      </x:c>
      <x:c r="L298" s="27" t="n">
        <x:f>J298*(1-I298*(1-'Carrier Engine'!E92))</x:f>
        <x:v>13241.474064650181</x:v>
      </x:c>
      <x:c r="M298" s="29" t="n">
        <x:f>NORM.S.DIST((LN(L298)-K298)/'Assumptions'!$D$10,TRUE)</x:f>
        <x:v>0.8348741378031481</x:v>
      </x:c>
      <x:c r="N298" s="30" t="n">
        <x:f>MAX(0,H298-MAX(G298,M298))</x:f>
        <x:v>0</x:v>
      </x:c>
      <x:c r="O298" s="28" t="n">
        <x:f>J298*I298</x:f>
        <x:v>5579.272780049234</x:v>
      </x:c>
      <x:c r="P298" s="27" t="n">
        <x:f>(VLOOKUP(O298,'Fee Data'!$C$6:$G$50,2,TRUE)+O298*VLOOKUP(O298,'Fee Data'!$C$6:$G$50,3,TRUE)+VLOOKUP(O298,'Fee Data'!$I$6:$J$14,2,TRUE)+'Fee Data'!$J$20+'Fee Data'!$J$21)*'Assumptions'!E37</x:f>
        <x:v>1020</x:v>
      </x:c>
      <x:c r="Q298" s="27" t="n">
        <x:f>(VLOOKUP(O298,'Fee Data'!$C$6:$G$50,4,TRUE)+O298*VLOOKUP(O298,'Fee Data'!$C$6:$G$50,5,TRUE)+VLOOKUP(O298,'Fee Data'!$I$6:$J$14,2,TRUE)+'Fee Data'!$J$20+'Fee Data'!$J$21)*'Assumptions'!E37</x:f>
        <x:v>895</x:v>
      </x:c>
      <x:c r="R298" s="27" t="n">
        <x:f>P298*(1-'Assumptions'!$D$14)+Q298*'Assumptions'!$D$14</x:f>
        <x:v>957.5</x:v>
      </x:c>
      <x:c r="S298" s="27" t="n">
        <x:f>O298*'Carrier Engine'!E92</x:f>
        <x:v>223.1709112019694</x:v>
      </x:c>
      <x:c r="T298" s="28" t="n">
        <x:f>R298+S298</x:f>
        <x:v>1180.6709112019694</x:v>
      </x:c>
      <x:c r="U298" s="27" t="n">
        <x:f>N298*'Fleet Engine'!G202</x:f>
        <x:v>0</x:v>
      </x:c>
      <x:c r="V298" s="28" t="n">
        <x:f>U298*T298</x:f>
        <x:v>0</x:v>
      </x:c>
      <x:c r="W298" s="28" t="n">
        <x:f>U298*O298</x:f>
        <x:v>0</x:v>
      </x:c>
    </x:row>
    <x:row r="299" ht="19" customHeight="1">
      <x:c r="A299" s="2"/>
      <x:c r="B299" s="2"/>
      <x:c r="C299" s="46" t="n">
        <x:v>1</x:v>
      </x:c>
      <x:c r="D299" s="46" t="n">
        <x:v>8</x:v>
      </x:c>
      <x:c r="E299" s="46" t="n">
        <x:v>1</x:v>
      </x:c>
      <x:c r="F299" s="46" t="n">
        <x:v>2</x:v>
      </x:c>
      <x:c r="G299" s="12" t="n">
        <x:v>0.5555555555555556</x:v>
      </x:c>
      <x:c r="H299" s="12" t="n">
        <x:v>0.6666666666666666</x:v>
      </x:c>
      <x:c r="I299" s="29" t="n">
        <x:f>'Assumptions'!$D$11+'Assumptions'!$D$12*(0.5-(G299+H299)/2)</x:f>
        <x:v>0.27777777777777773</x:v>
      </x:c>
      <x:c r="J299" s="27" t="n">
        <x:f>'Assumptions'!$D$8*EXP(-'Assumptions'!$D$9*('Fleet Engine'!E202-10))*'Assumptions'!E56*'Assumptions'!E36</x:f>
        <x:v>18597.575933497446</x:v>
      </x:c>
      <x:c r="K299" s="27" t="n">
        <x:f>'Source Data'!F219+LN('Assumptions'!D56)+LN('Assumptions'!E35)</x:f>
        <x:v>7.962345702623303</x:v>
      </x:c>
      <x:c r="L299" s="27" t="n">
        <x:f>J299*(1-I299*(1-'Carrier Engine'!E92))</x:f>
        <x:v>13638.222351231461</x:v>
      </x:c>
      <x:c r="M299" s="29" t="n">
        <x:f>NORM.S.DIST((LN(L299)-K299)/'Assumptions'!$D$10,TRUE)</x:f>
        <x:v>0.839500878443892</x:v>
      </x:c>
      <x:c r="N299" s="30" t="n">
        <x:f>MAX(0,H299-MAX(G299,M299))</x:f>
        <x:v>0</x:v>
      </x:c>
      <x:c r="O299" s="28" t="n">
        <x:f>J299*I299</x:f>
        <x:v>5165.993314860401</x:v>
      </x:c>
      <x:c r="P299" s="27" t="n">
        <x:f>(VLOOKUP(O299,'Fee Data'!$C$6:$G$50,2,TRUE)+O299*VLOOKUP(O299,'Fee Data'!$C$6:$G$50,3,TRUE)+VLOOKUP(O299,'Fee Data'!$I$6:$J$14,2,TRUE)+'Fee Data'!$J$20+'Fee Data'!$J$21)*'Assumptions'!E37</x:f>
        <x:v>995</x:v>
      </x:c>
      <x:c r="Q299" s="27" t="n">
        <x:f>(VLOOKUP(O299,'Fee Data'!$C$6:$G$50,4,TRUE)+O299*VLOOKUP(O299,'Fee Data'!$C$6:$G$50,5,TRUE)+VLOOKUP(O299,'Fee Data'!$I$6:$J$14,2,TRUE)+'Fee Data'!$J$20+'Fee Data'!$J$21)*'Assumptions'!E37</x:f>
        <x:v>870</x:v>
      </x:c>
      <x:c r="R299" s="27" t="n">
        <x:f>P299*(1-'Assumptions'!$D$14)+Q299*'Assumptions'!$D$14</x:f>
        <x:v>932.5</x:v>
      </x:c>
      <x:c r="S299" s="27" t="n">
        <x:f>O299*'Carrier Engine'!E92</x:f>
        <x:v>206.6397325944161</x:v>
      </x:c>
      <x:c r="T299" s="28" t="n">
        <x:f>R299+S299</x:f>
        <x:v>1139.139732594416</x:v>
      </x:c>
      <x:c r="U299" s="27" t="n">
        <x:f>N299*'Fleet Engine'!G202</x:f>
        <x:v>0</x:v>
      </x:c>
      <x:c r="V299" s="28" t="n">
        <x:f>U299*T299</x:f>
        <x:v>0</x:v>
      </x:c>
      <x:c r="W299" s="28" t="n">
        <x:f>U299*O299</x:f>
        <x:v>0</x:v>
      </x:c>
    </x:row>
    <x:row r="300" ht="19" customHeight="1">
      <x:c r="A300" s="2"/>
      <x:c r="B300" s="2"/>
      <x:c r="C300" s="46" t="n">
        <x:v>1</x:v>
      </x:c>
      <x:c r="D300" s="46" t="n">
        <x:v>8</x:v>
      </x:c>
      <x:c r="E300" s="46" t="n">
        <x:v>1</x:v>
      </x:c>
      <x:c r="F300" s="46" t="n">
        <x:v>2</x:v>
      </x:c>
      <x:c r="G300" s="12" t="n">
        <x:v>0.6666666666666666</x:v>
      </x:c>
      <x:c r="H300" s="12" t="n">
        <x:v>0.7777777777777778</x:v>
      </x:c>
      <x:c r="I300" s="29" t="n">
        <x:f>'Assumptions'!$D$11+'Assumptions'!$D$12*(0.5-(G300+H300)/2)</x:f>
        <x:v>0.25555555555555554</x:v>
      </x:c>
      <x:c r="J300" s="27" t="n">
        <x:f>'Assumptions'!$D$8*EXP(-'Assumptions'!$D$9*('Fleet Engine'!E202-10))*'Assumptions'!E56*'Assumptions'!E36</x:f>
        <x:v>18597.575933497446</x:v>
      </x:c>
      <x:c r="K300" s="27" t="n">
        <x:f>'Source Data'!F219+LN('Assumptions'!D56)+LN('Assumptions'!E35)</x:f>
        <x:v>7.962345702623303</x:v>
      </x:c>
      <x:c r="L300" s="27" t="n">
        <x:f>J300*(1-I300*(1-'Carrier Engine'!E92))</x:f>
        <x:v>14034.970637812741</x:v>
      </x:c>
      <x:c r="M300" s="29" t="n">
        <x:f>NORM.S.DIST((LN(L300)-K300)/'Assumptions'!$D$10,TRUE)</x:f>
        <x:v>0.8439130512567272</x:v>
      </x:c>
      <x:c r="N300" s="30" t="n">
        <x:f>MAX(0,H300-MAX(G300,M300))</x:f>
        <x:v>0</x:v>
      </x:c>
      <x:c r="O300" s="28" t="n">
        <x:f>J300*I300</x:f>
        <x:v>4752.713849671569</x:v>
      </x:c>
      <x:c r="P300" s="27" t="n">
        <x:f>(VLOOKUP(O300,'Fee Data'!$C$6:$G$50,2,TRUE)+O300*VLOOKUP(O300,'Fee Data'!$C$6:$G$50,3,TRUE)+VLOOKUP(O300,'Fee Data'!$I$6:$J$14,2,TRUE)+'Fee Data'!$J$20+'Fee Data'!$J$21)*'Assumptions'!E37</x:f>
        <x:v>970</x:v>
      </x:c>
      <x:c r="Q300" s="27" t="n">
        <x:f>(VLOOKUP(O300,'Fee Data'!$C$6:$G$50,4,TRUE)+O300*VLOOKUP(O300,'Fee Data'!$C$6:$G$50,5,TRUE)+VLOOKUP(O300,'Fee Data'!$I$6:$J$14,2,TRUE)+'Fee Data'!$J$20+'Fee Data'!$J$21)*'Assumptions'!E37</x:f>
        <x:v>845</x:v>
      </x:c>
      <x:c r="R300" s="27" t="n">
        <x:f>P300*(1-'Assumptions'!$D$14)+Q300*'Assumptions'!$D$14</x:f>
        <x:v>907.5</x:v>
      </x:c>
      <x:c r="S300" s="27" t="n">
        <x:f>O300*'Carrier Engine'!E92</x:f>
        <x:v>190.1085539868628</x:v>
      </x:c>
      <x:c r="T300" s="28" t="n">
        <x:f>R300+S300</x:f>
        <x:v>1097.6085539868627</x:v>
      </x:c>
      <x:c r="U300" s="27" t="n">
        <x:f>N300*'Fleet Engine'!G202</x:f>
        <x:v>0</x:v>
      </x:c>
      <x:c r="V300" s="28" t="n">
        <x:f>U300*T300</x:f>
        <x:v>0</x:v>
      </x:c>
      <x:c r="W300" s="28" t="n">
        <x:f>U300*O300</x:f>
        <x:v>0</x:v>
      </x:c>
    </x:row>
    <x:row r="301" ht="19" customHeight="1">
      <x:c r="A301" s="2"/>
      <x:c r="B301" s="2"/>
      <x:c r="C301" s="46" t="n">
        <x:v>1</x:v>
      </x:c>
      <x:c r="D301" s="46" t="n">
        <x:v>8</x:v>
      </x:c>
      <x:c r="E301" s="46" t="n">
        <x:v>1</x:v>
      </x:c>
      <x:c r="F301" s="46" t="n">
        <x:v>2</x:v>
      </x:c>
      <x:c r="G301" s="12" t="n">
        <x:v>0.7777777777777778</x:v>
      </x:c>
      <x:c r="H301" s="12" t="n">
        <x:v>0.8888888888888888</x:v>
      </x:c>
      <x:c r="I301" s="29" t="n">
        <x:f>'Assumptions'!$D$11+'Assumptions'!$D$12*(0.5-(G301+H301)/2)</x:f>
        <x:v>0.23333333333333334</x:v>
      </x:c>
      <x:c r="J301" s="27" t="n">
        <x:f>'Assumptions'!$D$8*EXP(-'Assumptions'!$D$9*('Fleet Engine'!E202-10))*'Assumptions'!E56*'Assumptions'!E36</x:f>
        <x:v>18597.575933497446</x:v>
      </x:c>
      <x:c r="K301" s="27" t="n">
        <x:f>'Source Data'!F219+LN('Assumptions'!D56)+LN('Assumptions'!E35)</x:f>
        <x:v>7.962345702623303</x:v>
      </x:c>
      <x:c r="L301" s="27" t="n">
        <x:f>J301*(1-I301*(1-'Carrier Engine'!E92))</x:f>
        <x:v>14431.71892439402</x:v>
      </x:c>
      <x:c r="M301" s="29" t="n">
        <x:f>NORM.S.DIST((LN(L301)-K301)/'Assumptions'!$D$10,TRUE)</x:f>
        <x:v>0.8481248751817181</x:v>
      </x:c>
      <x:c r="N301" s="30" t="n">
        <x:f>MAX(0,H301-MAX(G301,M301))</x:f>
        <x:v>0.040764013707170754</x:v>
      </x:c>
      <x:c r="O301" s="28" t="n">
        <x:f>J301*I301</x:f>
        <x:v>4339.434384482737</x:v>
      </x:c>
      <x:c r="P301" s="27" t="n">
        <x:f>(VLOOKUP(O301,'Fee Data'!$C$6:$G$50,2,TRUE)+O301*VLOOKUP(O301,'Fee Data'!$C$6:$G$50,3,TRUE)+VLOOKUP(O301,'Fee Data'!$I$6:$J$14,2,TRUE)+'Fee Data'!$J$20+'Fee Data'!$J$21)*'Assumptions'!E37</x:f>
        <x:v>945</x:v>
      </x:c>
      <x:c r="Q301" s="27" t="n">
        <x:f>(VLOOKUP(O301,'Fee Data'!$C$6:$G$50,4,TRUE)+O301*VLOOKUP(O301,'Fee Data'!$C$6:$G$50,5,TRUE)+VLOOKUP(O301,'Fee Data'!$I$6:$J$14,2,TRUE)+'Fee Data'!$J$20+'Fee Data'!$J$21)*'Assumptions'!E37</x:f>
        <x:v>820</x:v>
      </x:c>
      <x:c r="R301" s="27" t="n">
        <x:f>P301*(1-'Assumptions'!$D$14)+Q301*'Assumptions'!$D$14</x:f>
        <x:v>882.5</x:v>
      </x:c>
      <x:c r="S301" s="27" t="n">
        <x:f>O301*'Carrier Engine'!E92</x:f>
        <x:v>173.57737537930953</x:v>
      </x:c>
      <x:c r="T301" s="28" t="n">
        <x:f>R301+S301</x:f>
        <x:v>1056.0773753793096</x:v>
      </x:c>
      <x:c r="U301" s="27" t="n">
        <x:f>N301*'Fleet Engine'!G202</x:f>
        <x:v>947.0607196097245</x:v>
      </x:c>
      <x:c r="V301" s="28" t="n">
        <x:f>U301*T301</x:f>
        <x:v>1000169.3990902781</x:v>
      </x:c>
      <x:c r="W301" s="28" t="n">
        <x:f>U301*O301</x:f>
        <x:v>4109707.850867403</x:v>
      </x:c>
    </x:row>
    <x:row r="302" ht="19" customHeight="1">
      <x:c r="A302" s="2"/>
      <x:c r="B302" s="2"/>
      <x:c r="C302" s="46" t="n">
        <x:v>1</x:v>
      </x:c>
      <x:c r="D302" s="46" t="n">
        <x:v>8</x:v>
      </x:c>
      <x:c r="E302" s="46" t="n">
        <x:v>1</x:v>
      </x:c>
      <x:c r="F302" s="46" t="n">
        <x:v>2</x:v>
      </x:c>
      <x:c r="G302" s="12" t="n">
        <x:v>0.8888888888888888</x:v>
      </x:c>
      <x:c r="H302" s="12" t="n">
        <x:v>1</x:v>
      </x:c>
      <x:c r="I302" s="29" t="n">
        <x:f>'Assumptions'!$D$11+'Assumptions'!$D$12*(0.5-(G302+H302)/2)</x:f>
        <x:v>0.21111111111111108</x:v>
      </x:c>
      <x:c r="J302" s="27" t="n">
        <x:f>'Assumptions'!$D$8*EXP(-'Assumptions'!$D$9*('Fleet Engine'!E202-10))*'Assumptions'!E56*'Assumptions'!E36</x:f>
        <x:v>18597.575933497446</x:v>
      </x:c>
      <x:c r="K302" s="27" t="n">
        <x:f>'Source Data'!F219+LN('Assumptions'!D56)+LN('Assumptions'!E35)</x:f>
        <x:v>7.962345702623303</x:v>
      </x:c>
      <x:c r="L302" s="27" t="n">
        <x:f>J302*(1-I302*(1-'Carrier Engine'!E92))</x:f>
        <x:v>14828.467210975297</x:v>
      </x:c>
      <x:c r="M302" s="29" t="n">
        <x:f>NORM.S.DIST((LN(L302)-K302)/'Assumptions'!$D$10,TRUE)</x:f>
        <x:v>0.8521493376815981</x:v>
      </x:c>
      <x:c r="N302" s="30" t="n">
        <x:f>MAX(0,H302-MAX(G302,M302))</x:f>
        <x:v>0.11111111111111116</x:v>
      </x:c>
      <x:c r="O302" s="28" t="n">
        <x:f>J302*I302</x:f>
        <x:v>3926.1549192939046</x:v>
      </x:c>
      <x:c r="P302" s="27" t="n">
        <x:f>(VLOOKUP(O302,'Fee Data'!$C$6:$G$50,2,TRUE)+O302*VLOOKUP(O302,'Fee Data'!$C$6:$G$50,3,TRUE)+VLOOKUP(O302,'Fee Data'!$I$6:$J$14,2,TRUE)+'Fee Data'!$J$20+'Fee Data'!$J$21)*'Assumptions'!E37</x:f>
        <x:v>915</x:v>
      </x:c>
      <x:c r="Q302" s="27" t="n">
        <x:f>(VLOOKUP(O302,'Fee Data'!$C$6:$G$50,4,TRUE)+O302*VLOOKUP(O302,'Fee Data'!$C$6:$G$50,5,TRUE)+VLOOKUP(O302,'Fee Data'!$I$6:$J$14,2,TRUE)+'Fee Data'!$J$20+'Fee Data'!$J$21)*'Assumptions'!E37</x:f>
        <x:v>765</x:v>
      </x:c>
      <x:c r="R302" s="27" t="n">
        <x:f>P302*(1-'Assumptions'!$D$14)+Q302*'Assumptions'!$D$14</x:f>
        <x:v>840</x:v>
      </x:c>
      <x:c r="S302" s="27" t="n">
        <x:f>O302*'Carrier Engine'!E92</x:f>
        <x:v>157.04619677175623</x:v>
      </x:c>
      <x:c r="T302" s="28" t="n">
        <x:f>R302+S302</x:f>
        <x:v>997.0461967717563</x:v>
      </x:c>
      <x:c r="U302" s="27" t="n">
        <x:f>N302*'Fleet Engine'!G202</x:f>
        <x:v>2581.4182480027544</x:v>
      </x:c>
      <x:c r="V302" s="28" t="n">
        <x:f>U302*T302</x:f>
        <x:v>2573793.2464483567</x:v>
      </x:c>
      <x:c r="W302" s="28" t="n">
        <x:f>U302*O302</x:f>
        <x:v>10135047.953151066</x:v>
      </x:c>
    </x:row>
    <x:row r="303" ht="19" customHeight="1">
      <x:c r="A303" s="2"/>
      <x:c r="B303" s="2"/>
      <x:c r="C303" s="46" t="n">
        <x:v>1</x:v>
      </x:c>
      <x:c r="D303" s="46" t="n">
        <x:v>9</x:v>
      </x:c>
      <x:c r="E303" s="46" t="n">
        <x:v>1</x:v>
      </x:c>
      <x:c r="F303" s="46" t="n">
        <x:v>3</x:v>
      </x:c>
      <x:c r="G303" s="12" t="n">
        <x:v>0</x:v>
      </x:c>
      <x:c r="H303" s="12" t="n">
        <x:v>0.1111111111111111</x:v>
      </x:c>
      <x:c r="I303" s="29" t="n">
        <x:f>'Assumptions'!$D$11+'Assumptions'!$D$12*(0.5-(G303+H303)/2)</x:f>
        <x:v>0.3888888888888889</x:v>
      </x:c>
      <x:c r="J303" s="27" t="n">
        <x:f>'Assumptions'!$D$8*EXP(-'Assumptions'!$D$9*('Fleet Engine'!E203-10))*'Assumptions'!E56*'Assumptions'!E36</x:f>
        <x:v>13777.423112046714</x:v>
      </x:c>
      <x:c r="K303" s="27" t="n">
        <x:f>'Source Data'!F220+LN('Assumptions'!D56)+LN('Assumptions'!E35)</x:f>
        <x:v>8.069478273890956</x:v>
      </x:c>
      <x:c r="L303" s="27" t="n">
        <x:f>J303*(1-I303*(1-'Carrier Engine'!E92))</x:f>
        <x:v>8633.851816882609</x:v>
      </x:c>
      <x:c r="M303" s="29" t="n">
        <x:f>NORM.S.DIST((LN(L303)-K303)/'Assumptions'!$D$10,TRUE)</x:f>
        <x:v>0.7366388707689671</x:v>
      </x:c>
      <x:c r="N303" s="30" t="n">
        <x:f>MAX(0,H303-MAX(G303,M303))</x:f>
        <x:v>0</x:v>
      </x:c>
      <x:c r="O303" s="28" t="n">
        <x:f>J303*I303</x:f>
        <x:v>5357.8867657959445</x:v>
      </x:c>
      <x:c r="P303" s="27" t="n">
        <x:f>(VLOOKUP(O303,'Fee Data'!$C$6:$G$50,2,TRUE)+O303*VLOOKUP(O303,'Fee Data'!$C$6:$G$50,3,TRUE)+VLOOKUP(O303,'Fee Data'!$I$6:$J$14,2,TRUE)+'Fee Data'!$J$20+'Fee Data'!$J$21)*'Assumptions'!E37</x:f>
        <x:v>995</x:v>
      </x:c>
      <x:c r="Q303" s="27" t="n">
        <x:f>(VLOOKUP(O303,'Fee Data'!$C$6:$G$50,4,TRUE)+O303*VLOOKUP(O303,'Fee Data'!$C$6:$G$50,5,TRUE)+VLOOKUP(O303,'Fee Data'!$I$6:$J$14,2,TRUE)+'Fee Data'!$J$20+'Fee Data'!$J$21)*'Assumptions'!E37</x:f>
        <x:v>870</x:v>
      </x:c>
      <x:c r="R303" s="27" t="n">
        <x:f>P303*(1-'Assumptions'!$D$14)+Q303*'Assumptions'!$D$14</x:f>
        <x:v>932.5</x:v>
      </x:c>
      <x:c r="S303" s="27" t="n">
        <x:f>O303*'Carrier Engine'!E92</x:f>
        <x:v>214.31547063183783</x:v>
      </x:c>
      <x:c r="T303" s="28" t="n">
        <x:f>R303+S303</x:f>
        <x:v>1146.8154706318378</x:v>
      </x:c>
      <x:c r="U303" s="27" t="n">
        <x:f>N303*'Fleet Engine'!G203</x:f>
        <x:v>0</x:v>
      </x:c>
      <x:c r="V303" s="28" t="n">
        <x:f>U303*T303</x:f>
        <x:v>0</x:v>
      </x:c>
      <x:c r="W303" s="28" t="n">
        <x:f>U303*O303</x:f>
        <x:v>0</x:v>
      </x:c>
    </x:row>
    <x:row r="304" ht="19" customHeight="1">
      <x:c r="A304" s="2"/>
      <x:c r="B304" s="2"/>
      <x:c r="C304" s="46" t="n">
        <x:v>1</x:v>
      </x:c>
      <x:c r="D304" s="46" t="n">
        <x:v>9</x:v>
      </x:c>
      <x:c r="E304" s="46" t="n">
        <x:v>1</x:v>
      </x:c>
      <x:c r="F304" s="46" t="n">
        <x:v>3</x:v>
      </x:c>
      <x:c r="G304" s="12" t="n">
        <x:v>0.1111111111111111</x:v>
      </x:c>
      <x:c r="H304" s="12" t="n">
        <x:v>0.2222222222222222</x:v>
      </x:c>
      <x:c r="I304" s="29" t="n">
        <x:f>'Assumptions'!$D$11+'Assumptions'!$D$12*(0.5-(G304+H304)/2)</x:f>
        <x:v>0.3666666666666667</x:v>
      </x:c>
      <x:c r="J304" s="27" t="n">
        <x:f>'Assumptions'!$D$8*EXP(-'Assumptions'!$D$9*('Fleet Engine'!E203-10))*'Assumptions'!E56*'Assumptions'!E36</x:f>
        <x:v>13777.423112046714</x:v>
      </x:c>
      <x:c r="K304" s="27" t="n">
        <x:f>'Source Data'!F220+LN('Assumptions'!D56)+LN('Assumptions'!E35)</x:f>
        <x:v>8.069478273890956</x:v>
      </x:c>
      <x:c r="L304" s="27" t="n">
        <x:f>J304*(1-I304*(1-'Carrier Engine'!E92))</x:f>
        <x:v>8927.77017660627</x:v>
      </x:c>
      <x:c r="M304" s="29" t="n">
        <x:f>NORM.S.DIST((LN(L304)-K304)/'Assumptions'!$D$10,TRUE)</x:f>
        <x:v>0.7435526063287266</x:v>
      </x:c>
      <x:c r="N304" s="30" t="n">
        <x:f>MAX(0,H304-MAX(G304,M304))</x:f>
        <x:v>0</x:v>
      </x:c>
      <x:c r="O304" s="28" t="n">
        <x:f>J304*I304</x:f>
        <x:v>5051.721807750462</x:v>
      </x:c>
      <x:c r="P304" s="27" t="n">
        <x:f>(VLOOKUP(O304,'Fee Data'!$C$6:$G$50,2,TRUE)+O304*VLOOKUP(O304,'Fee Data'!$C$6:$G$50,3,TRUE)+VLOOKUP(O304,'Fee Data'!$I$6:$J$14,2,TRUE)+'Fee Data'!$J$20+'Fee Data'!$J$21)*'Assumptions'!E37</x:f>
        <x:v>995</x:v>
      </x:c>
      <x:c r="Q304" s="27" t="n">
        <x:f>(VLOOKUP(O304,'Fee Data'!$C$6:$G$50,4,TRUE)+O304*VLOOKUP(O304,'Fee Data'!$C$6:$G$50,5,TRUE)+VLOOKUP(O304,'Fee Data'!$I$6:$J$14,2,TRUE)+'Fee Data'!$J$20+'Fee Data'!$J$21)*'Assumptions'!E37</x:f>
        <x:v>870</x:v>
      </x:c>
      <x:c r="R304" s="27" t="n">
        <x:f>P304*(1-'Assumptions'!$D$14)+Q304*'Assumptions'!$D$14</x:f>
        <x:v>932.5</x:v>
      </x:c>
      <x:c r="S304" s="27" t="n">
        <x:f>O304*'Carrier Engine'!E92</x:f>
        <x:v>202.06887231001852</x:v>
      </x:c>
      <x:c r="T304" s="28" t="n">
        <x:f>R304+S304</x:f>
        <x:v>1134.5688723100186</x:v>
      </x:c>
      <x:c r="U304" s="27" t="n">
        <x:f>N304*'Fleet Engine'!G203</x:f>
        <x:v>0</x:v>
      </x:c>
      <x:c r="V304" s="28" t="n">
        <x:f>U304*T304</x:f>
        <x:v>0</x:v>
      </x:c>
      <x:c r="W304" s="28" t="n">
        <x:f>U304*O304</x:f>
        <x:v>0</x:v>
      </x:c>
    </x:row>
    <x:row r="305" ht="19" customHeight="1">
      <x:c r="A305" s="2"/>
      <x:c r="B305" s="2"/>
      <x:c r="C305" s="46" t="n">
        <x:v>1</x:v>
      </x:c>
      <x:c r="D305" s="46" t="n">
        <x:v>9</x:v>
      </x:c>
      <x:c r="E305" s="46" t="n">
        <x:v>1</x:v>
      </x:c>
      <x:c r="F305" s="46" t="n">
        <x:v>3</x:v>
      </x:c>
      <x:c r="G305" s="12" t="n">
        <x:v>0.2222222222222222</x:v>
      </x:c>
      <x:c r="H305" s="12" t="n">
        <x:v>0.3333333333333333</x:v>
      </x:c>
      <x:c r="I305" s="29" t="n">
        <x:f>'Assumptions'!$D$11+'Assumptions'!$D$12*(0.5-(G305+H305)/2)</x:f>
        <x:v>0.34444444444444444</x:v>
      </x:c>
      <x:c r="J305" s="27" t="n">
        <x:f>'Assumptions'!$D$8*EXP(-'Assumptions'!$D$9*('Fleet Engine'!E203-10))*'Assumptions'!E56*'Assumptions'!E36</x:f>
        <x:v>13777.423112046714</x:v>
      </x:c>
      <x:c r="K305" s="27" t="n">
        <x:f>'Source Data'!F220+LN('Assumptions'!D56)+LN('Assumptions'!E35)</x:f>
        <x:v>8.069478273890956</x:v>
      </x:c>
      <x:c r="L305" s="27" t="n">
        <x:f>J305*(1-I305*(1-'Carrier Engine'!E92))</x:f>
        <x:v>9221.688536329933</x:v>
      </x:c>
      <x:c r="M305" s="29" t="n">
        <x:f>NORM.S.DIST((LN(L305)-K305)/'Assumptions'!$D$10,TRUE)</x:f>
        <x:v>0.7501512229331906</x:v>
      </x:c>
      <x:c r="N305" s="30" t="n">
        <x:f>MAX(0,H305-MAX(G305,M305))</x:f>
        <x:v>0</x:v>
      </x:c>
      <x:c r="O305" s="28" t="n">
        <x:f>J305*I305</x:f>
        <x:v>4745.556849704979</x:v>
      </x:c>
      <x:c r="P305" s="27" t="n">
        <x:f>(VLOOKUP(O305,'Fee Data'!$C$6:$G$50,2,TRUE)+O305*VLOOKUP(O305,'Fee Data'!$C$6:$G$50,3,TRUE)+VLOOKUP(O305,'Fee Data'!$I$6:$J$14,2,TRUE)+'Fee Data'!$J$20+'Fee Data'!$J$21)*'Assumptions'!E37</x:f>
        <x:v>970</x:v>
      </x:c>
      <x:c r="Q305" s="27" t="n">
        <x:f>(VLOOKUP(O305,'Fee Data'!$C$6:$G$50,4,TRUE)+O305*VLOOKUP(O305,'Fee Data'!$C$6:$G$50,5,TRUE)+VLOOKUP(O305,'Fee Data'!$I$6:$J$14,2,TRUE)+'Fee Data'!$J$20+'Fee Data'!$J$21)*'Assumptions'!E37</x:f>
        <x:v>845</x:v>
      </x:c>
      <x:c r="R305" s="27" t="n">
        <x:f>P305*(1-'Assumptions'!$D$14)+Q305*'Assumptions'!$D$14</x:f>
        <x:v>907.5</x:v>
      </x:c>
      <x:c r="S305" s="27" t="n">
        <x:f>O305*'Carrier Engine'!E92</x:f>
        <x:v>189.82227398819919</x:v>
      </x:c>
      <x:c r="T305" s="28" t="n">
        <x:f>R305+S305</x:f>
        <x:v>1097.3222739881992</x:v>
      </x:c>
      <x:c r="U305" s="27" t="n">
        <x:f>N305*'Fleet Engine'!G203</x:f>
        <x:v>0</x:v>
      </x:c>
      <x:c r="V305" s="28" t="n">
        <x:f>U305*T305</x:f>
        <x:v>0</x:v>
      </x:c>
      <x:c r="W305" s="28" t="n">
        <x:f>U305*O305</x:f>
        <x:v>0</x:v>
      </x:c>
    </x:row>
    <x:row r="306" ht="19" customHeight="1">
      <x:c r="A306" s="2"/>
      <x:c r="B306" s="2"/>
      <x:c r="C306" s="46" t="n">
        <x:v>1</x:v>
      </x:c>
      <x:c r="D306" s="46" t="n">
        <x:v>9</x:v>
      </x:c>
      <x:c r="E306" s="46" t="n">
        <x:v>1</x:v>
      </x:c>
      <x:c r="F306" s="46" t="n">
        <x:v>3</x:v>
      </x:c>
      <x:c r="G306" s="12" t="n">
        <x:v>0.3333333333333333</x:v>
      </x:c>
      <x:c r="H306" s="12" t="n">
        <x:v>0.4444444444444444</x:v>
      </x:c>
      <x:c r="I306" s="29" t="n">
        <x:f>'Assumptions'!$D$11+'Assumptions'!$D$12*(0.5-(G306+H306)/2)</x:f>
        <x:v>0.32222222222222224</x:v>
      </x:c>
      <x:c r="J306" s="27" t="n">
        <x:f>'Assumptions'!$D$8*EXP(-'Assumptions'!$D$9*('Fleet Engine'!E203-10))*'Assumptions'!E56*'Assumptions'!E36</x:f>
        <x:v>13777.423112046714</x:v>
      </x:c>
      <x:c r="K306" s="27" t="n">
        <x:f>'Source Data'!F220+LN('Assumptions'!D56)+LN('Assumptions'!E35)</x:f>
        <x:v>8.069478273890956</x:v>
      </x:c>
      <x:c r="L306" s="27" t="n">
        <x:f>J306*(1-I306*(1-'Carrier Engine'!E92))</x:f>
        <x:v>9515.606896053598</x:v>
      </x:c>
      <x:c r="M306" s="29" t="n">
        <x:f>NORM.S.DIST((LN(L306)-K306)/'Assumptions'!$D$10,TRUE)</x:f>
        <x:v>0.7564558162657599</x:v>
      </x:c>
      <x:c r="N306" s="30" t="n">
        <x:f>MAX(0,H306-MAX(G306,M306))</x:f>
        <x:v>0</x:v>
      </x:c>
      <x:c r="O306" s="28" t="n">
        <x:f>J306*I306</x:f>
        <x:v>4439.391891659497</x:v>
      </x:c>
      <x:c r="P306" s="27" t="n">
        <x:f>(VLOOKUP(O306,'Fee Data'!$C$6:$G$50,2,TRUE)+O306*VLOOKUP(O306,'Fee Data'!$C$6:$G$50,3,TRUE)+VLOOKUP(O306,'Fee Data'!$I$6:$J$14,2,TRUE)+'Fee Data'!$J$20+'Fee Data'!$J$21)*'Assumptions'!E37</x:f>
        <x:v>945</x:v>
      </x:c>
      <x:c r="Q306" s="27" t="n">
        <x:f>(VLOOKUP(O306,'Fee Data'!$C$6:$G$50,4,TRUE)+O306*VLOOKUP(O306,'Fee Data'!$C$6:$G$50,5,TRUE)+VLOOKUP(O306,'Fee Data'!$I$6:$J$14,2,TRUE)+'Fee Data'!$J$20+'Fee Data'!$J$21)*'Assumptions'!E37</x:f>
        <x:v>820</x:v>
      </x:c>
      <x:c r="R306" s="27" t="n">
        <x:f>P306*(1-'Assumptions'!$D$14)+Q306*'Assumptions'!$D$14</x:f>
        <x:v>882.5</x:v>
      </x:c>
      <x:c r="S306" s="27" t="n">
        <x:f>O306*'Carrier Engine'!E92</x:f>
        <x:v>177.5756756663799</x:v>
      </x:c>
      <x:c r="T306" s="28" t="n">
        <x:f>R306+S306</x:f>
        <x:v>1060.07567566638</x:v>
      </x:c>
      <x:c r="U306" s="27" t="n">
        <x:f>N306*'Fleet Engine'!G203</x:f>
        <x:v>0</x:v>
      </x:c>
      <x:c r="V306" s="28" t="n">
        <x:f>U306*T306</x:f>
        <x:v>0</x:v>
      </x:c>
      <x:c r="W306" s="28" t="n">
        <x:f>U306*O306</x:f>
        <x:v>0</x:v>
      </x:c>
    </x:row>
    <x:row r="307" ht="19" customHeight="1">
      <x:c r="A307" s="2"/>
      <x:c r="B307" s="2"/>
      <x:c r="C307" s="46" t="n">
        <x:v>1</x:v>
      </x:c>
      <x:c r="D307" s="46" t="n">
        <x:v>9</x:v>
      </x:c>
      <x:c r="E307" s="46" t="n">
        <x:v>1</x:v>
      </x:c>
      <x:c r="F307" s="46" t="n">
        <x:v>3</x:v>
      </x:c>
      <x:c r="G307" s="12" t="n">
        <x:v>0.4444444444444444</x:v>
      </x:c>
      <x:c r="H307" s="12" t="n">
        <x:v>0.5555555555555556</x:v>
      </x:c>
      <x:c r="I307" s="29" t="n">
        <x:f>'Assumptions'!$D$11+'Assumptions'!$D$12*(0.5-(G307+H307)/2)</x:f>
        <x:v>0.3</x:v>
      </x:c>
      <x:c r="J307" s="27" t="n">
        <x:f>'Assumptions'!$D$8*EXP(-'Assumptions'!$D$9*('Fleet Engine'!E203-10))*'Assumptions'!E56*'Assumptions'!E36</x:f>
        <x:v>13777.423112046714</x:v>
      </x:c>
      <x:c r="K307" s="27" t="n">
        <x:f>'Source Data'!F220+LN('Assumptions'!D56)+LN('Assumptions'!E35)</x:f>
        <x:v>8.069478273890956</x:v>
      </x:c>
      <x:c r="L307" s="27" t="n">
        <x:f>J307*(1-I307*(1-'Carrier Engine'!E92))</x:f>
        <x:v>9809.52525577726</x:v>
      </x:c>
      <x:c r="M307" s="29" t="n">
        <x:f>NORM.S.DIST((LN(L307)-K307)/'Assumptions'!$D$10,TRUE)</x:f>
        <x:v>0.7624856059429846</x:v>
      </x:c>
      <x:c r="N307" s="30" t="n">
        <x:f>MAX(0,H307-MAX(G307,M307))</x:f>
        <x:v>0</x:v>
      </x:c>
      <x:c r="O307" s="28" t="n">
        <x:f>J307*I307</x:f>
        <x:v>4133.226933614014</x:v>
      </x:c>
      <x:c r="P307" s="27" t="n">
        <x:f>(VLOOKUP(O307,'Fee Data'!$C$6:$G$50,2,TRUE)+O307*VLOOKUP(O307,'Fee Data'!$C$6:$G$50,3,TRUE)+VLOOKUP(O307,'Fee Data'!$I$6:$J$14,2,TRUE)+'Fee Data'!$J$20+'Fee Data'!$J$21)*'Assumptions'!E37</x:f>
        <x:v>945</x:v>
      </x:c>
      <x:c r="Q307" s="27" t="n">
        <x:f>(VLOOKUP(O307,'Fee Data'!$C$6:$G$50,4,TRUE)+O307*VLOOKUP(O307,'Fee Data'!$C$6:$G$50,5,TRUE)+VLOOKUP(O307,'Fee Data'!$I$6:$J$14,2,TRUE)+'Fee Data'!$J$20+'Fee Data'!$J$21)*'Assumptions'!E37</x:f>
        <x:v>820</x:v>
      </x:c>
      <x:c r="R307" s="27" t="n">
        <x:f>P307*(1-'Assumptions'!$D$14)+Q307*'Assumptions'!$D$14</x:f>
        <x:v>882.5</x:v>
      </x:c>
      <x:c r="S307" s="27" t="n">
        <x:f>O307*'Carrier Engine'!E92</x:f>
        <x:v>165.3290773445606</x:v>
      </x:c>
      <x:c r="T307" s="28" t="n">
        <x:f>R307+S307</x:f>
        <x:v>1047.8290773445606</x:v>
      </x:c>
      <x:c r="U307" s="27" t="n">
        <x:f>N307*'Fleet Engine'!G203</x:f>
        <x:v>0</x:v>
      </x:c>
      <x:c r="V307" s="28" t="n">
        <x:f>U307*T307</x:f>
        <x:v>0</x:v>
      </x:c>
      <x:c r="W307" s="28" t="n">
        <x:f>U307*O307</x:f>
        <x:v>0</x:v>
      </x:c>
    </x:row>
    <x:row r="308" ht="19" customHeight="1">
      <x:c r="A308" s="2"/>
      <x:c r="B308" s="2"/>
      <x:c r="C308" s="46" t="n">
        <x:v>1</x:v>
      </x:c>
      <x:c r="D308" s="46" t="n">
        <x:v>9</x:v>
      </x:c>
      <x:c r="E308" s="46" t="n">
        <x:v>1</x:v>
      </x:c>
      <x:c r="F308" s="46" t="n">
        <x:v>3</x:v>
      </x:c>
      <x:c r="G308" s="12" t="n">
        <x:v>0.5555555555555556</x:v>
      </x:c>
      <x:c r="H308" s="12" t="n">
        <x:v>0.6666666666666666</x:v>
      </x:c>
      <x:c r="I308" s="29" t="n">
        <x:f>'Assumptions'!$D$11+'Assumptions'!$D$12*(0.5-(G308+H308)/2)</x:f>
        <x:v>0.27777777777777773</x:v>
      </x:c>
      <x:c r="J308" s="27" t="n">
        <x:f>'Assumptions'!$D$8*EXP(-'Assumptions'!$D$9*('Fleet Engine'!E203-10))*'Assumptions'!E56*'Assumptions'!E36</x:f>
        <x:v>13777.423112046714</x:v>
      </x:c>
      <x:c r="K308" s="27" t="n">
        <x:f>'Source Data'!F220+LN('Assumptions'!D56)+LN('Assumptions'!E35)</x:f>
        <x:v>8.069478273890956</x:v>
      </x:c>
      <x:c r="L308" s="27" t="n">
        <x:f>J308*(1-I308*(1-'Carrier Engine'!E92))</x:f>
        <x:v>10103.443615500924</x:v>
      </x:c>
      <x:c r="M308" s="29" t="n">
        <x:f>NORM.S.DIST((LN(L308)-K308)/'Assumptions'!$D$10,TRUE)</x:f>
        <x:v>0.7682581433884235</x:v>
      </x:c>
      <x:c r="N308" s="30" t="n">
        <x:f>MAX(0,H308-MAX(G308,M308))</x:f>
        <x:v>0</x:v>
      </x:c>
      <x:c r="O308" s="28" t="n">
        <x:f>J308*I308</x:f>
        <x:v>3827.061975568531</x:v>
      </x:c>
      <x:c r="P308" s="27" t="n">
        <x:f>(VLOOKUP(O308,'Fee Data'!$C$6:$G$50,2,TRUE)+O308*VLOOKUP(O308,'Fee Data'!$C$6:$G$50,3,TRUE)+VLOOKUP(O308,'Fee Data'!$I$6:$J$14,2,TRUE)+'Fee Data'!$J$20+'Fee Data'!$J$21)*'Assumptions'!E37</x:f>
        <x:v>915</x:v>
      </x:c>
      <x:c r="Q308" s="27" t="n">
        <x:f>(VLOOKUP(O308,'Fee Data'!$C$6:$G$50,4,TRUE)+O308*VLOOKUP(O308,'Fee Data'!$C$6:$G$50,5,TRUE)+VLOOKUP(O308,'Fee Data'!$I$6:$J$14,2,TRUE)+'Fee Data'!$J$20+'Fee Data'!$J$21)*'Assumptions'!E37</x:f>
        <x:v>765</x:v>
      </x:c>
      <x:c r="R308" s="27" t="n">
        <x:f>P308*(1-'Assumptions'!$D$14)+Q308*'Assumptions'!$D$14</x:f>
        <x:v>840</x:v>
      </x:c>
      <x:c r="S308" s="27" t="n">
        <x:f>O308*'Carrier Engine'!E92</x:f>
        <x:v>153.08247902274127</x:v>
      </x:c>
      <x:c r="T308" s="28" t="n">
        <x:f>R308+S308</x:f>
        <x:v>993.0824790227413</x:v>
      </x:c>
      <x:c r="U308" s="27" t="n">
        <x:f>N308*'Fleet Engine'!G203</x:f>
        <x:v>0</x:v>
      </x:c>
      <x:c r="V308" s="28" t="n">
        <x:f>U308*T308</x:f>
        <x:v>0</x:v>
      </x:c>
      <x:c r="W308" s="28" t="n">
        <x:f>U308*O308</x:f>
        <x:v>0</x:v>
      </x:c>
    </x:row>
    <x:row r="309" ht="19" customHeight="1">
      <x:c r="A309" s="2"/>
      <x:c r="B309" s="2"/>
      <x:c r="C309" s="46" t="n">
        <x:v>1</x:v>
      </x:c>
      <x:c r="D309" s="46" t="n">
        <x:v>9</x:v>
      </x:c>
      <x:c r="E309" s="46" t="n">
        <x:v>1</x:v>
      </x:c>
      <x:c r="F309" s="46" t="n">
        <x:v>3</x:v>
      </x:c>
      <x:c r="G309" s="12" t="n">
        <x:v>0.6666666666666666</x:v>
      </x:c>
      <x:c r="H309" s="12" t="n">
        <x:v>0.7777777777777778</x:v>
      </x:c>
      <x:c r="I309" s="29" t="n">
        <x:f>'Assumptions'!$D$11+'Assumptions'!$D$12*(0.5-(G309+H309)/2)</x:f>
        <x:v>0.25555555555555554</x:v>
      </x:c>
      <x:c r="J309" s="27" t="n">
        <x:f>'Assumptions'!$D$8*EXP(-'Assumptions'!$D$9*('Fleet Engine'!E203-10))*'Assumptions'!E56*'Assumptions'!E36</x:f>
        <x:v>13777.423112046714</x:v>
      </x:c>
      <x:c r="K309" s="27" t="n">
        <x:f>'Source Data'!F220+LN('Assumptions'!D56)+LN('Assumptions'!E35)</x:f>
        <x:v>8.069478273890956</x:v>
      </x:c>
      <x:c r="L309" s="27" t="n">
        <x:f>J309*(1-I309*(1-'Carrier Engine'!E92))</x:f>
        <x:v>10397.361975224587</x:v>
      </x:c>
      <x:c r="M309" s="29" t="n">
        <x:f>NORM.S.DIST((LN(L309)-K309)/'Assumptions'!$D$10,TRUE)</x:f>
        <x:v>0.7737894922279166</x:v>
      </x:c>
      <x:c r="N309" s="30" t="n">
        <x:f>MAX(0,H309-MAX(G309,M309))</x:f>
        <x:v>0.0039882855498611924</x:v>
      </x:c>
      <x:c r="O309" s="28" t="n">
        <x:f>J309*I309</x:f>
        <x:v>3520.897017523049</x:v>
      </x:c>
      <x:c r="P309" s="27" t="n">
        <x:f>(VLOOKUP(O309,'Fee Data'!$C$6:$G$50,2,TRUE)+O309*VLOOKUP(O309,'Fee Data'!$C$6:$G$50,3,TRUE)+VLOOKUP(O309,'Fee Data'!$I$6:$J$14,2,TRUE)+'Fee Data'!$J$20+'Fee Data'!$J$21)*'Assumptions'!E37</x:f>
        <x:v>915</x:v>
      </x:c>
      <x:c r="Q309" s="27" t="n">
        <x:f>(VLOOKUP(O309,'Fee Data'!$C$6:$G$50,4,TRUE)+O309*VLOOKUP(O309,'Fee Data'!$C$6:$G$50,5,TRUE)+VLOOKUP(O309,'Fee Data'!$I$6:$J$14,2,TRUE)+'Fee Data'!$J$20+'Fee Data'!$J$21)*'Assumptions'!E37</x:f>
        <x:v>765</x:v>
      </x:c>
      <x:c r="R309" s="27" t="n">
        <x:f>P309*(1-'Assumptions'!$D$14)+Q309*'Assumptions'!$D$14</x:f>
        <x:v>840</x:v>
      </x:c>
      <x:c r="S309" s="27" t="n">
        <x:f>O309*'Carrier Engine'!E92</x:f>
        <x:v>140.835880700922</x:v>
      </x:c>
      <x:c r="T309" s="28" t="n">
        <x:f>R309+S309</x:f>
        <x:v>980.835880700922</x:v>
      </x:c>
      <x:c r="U309" s="27" t="n">
        <x:f>N309*'Fleet Engine'!G203</x:f>
        <x:v>69.78122772992411</x:v>
      </x:c>
      <x:c r="V309" s="28" t="n">
        <x:f>U309*T309</x:f>
        <x:v>68443.93195687172</x:v>
      </x:c>
      <x:c r="W309" s="28" t="n">
        <x:f>U309*O309</x:f>
        <x:v>245692.51659338648</x:v>
      </x:c>
    </x:row>
    <x:row r="310" ht="19" customHeight="1">
      <x:c r="A310" s="2"/>
      <x:c r="B310" s="2"/>
      <x:c r="C310" s="46" t="n">
        <x:v>1</x:v>
      </x:c>
      <x:c r="D310" s="46" t="n">
        <x:v>9</x:v>
      </x:c>
      <x:c r="E310" s="46" t="n">
        <x:v>1</x:v>
      </x:c>
      <x:c r="F310" s="46" t="n">
        <x:v>3</x:v>
      </x:c>
      <x:c r="G310" s="12" t="n">
        <x:v>0.7777777777777778</x:v>
      </x:c>
      <x:c r="H310" s="12" t="n">
        <x:v>0.8888888888888888</x:v>
      </x:c>
      <x:c r="I310" s="29" t="n">
        <x:f>'Assumptions'!$D$11+'Assumptions'!$D$12*(0.5-(G310+H310)/2)</x:f>
        <x:v>0.23333333333333334</x:v>
      </x:c>
      <x:c r="J310" s="27" t="n">
        <x:f>'Assumptions'!$D$8*EXP(-'Assumptions'!$D$9*('Fleet Engine'!E203-10))*'Assumptions'!E56*'Assumptions'!E36</x:f>
        <x:v>13777.423112046714</x:v>
      </x:c>
      <x:c r="K310" s="27" t="n">
        <x:f>'Source Data'!F220+LN('Assumptions'!D56)+LN('Assumptions'!E35)</x:f>
        <x:v>8.069478273890956</x:v>
      </x:c>
      <x:c r="L310" s="27" t="n">
        <x:f>J310*(1-I310*(1-'Carrier Engine'!E92))</x:f>
        <x:v>10691.280334948251</x:v>
      </x:c>
      <x:c r="M310" s="29" t="n">
        <x:f>NORM.S.DIST((LN(L310)-K310)/'Assumptions'!$D$10,TRUE)</x:f>
        <x:v>0.7790943854078269</x:v>
      </x:c>
      <x:c r="N310" s="30" t="n">
        <x:f>MAX(0,H310-MAX(G310,M310))</x:f>
        <x:v>0.1097945034810619</x:v>
      </x:c>
      <x:c r="O310" s="28" t="n">
        <x:f>J310*I310</x:f>
        <x:v>3214.7320594775665</x:v>
      </x:c>
      <x:c r="P310" s="27" t="n">
        <x:f>(VLOOKUP(O310,'Fee Data'!$C$6:$G$50,2,TRUE)+O310*VLOOKUP(O310,'Fee Data'!$C$6:$G$50,3,TRUE)+VLOOKUP(O310,'Fee Data'!$I$6:$J$14,2,TRUE)+'Fee Data'!$J$20+'Fee Data'!$J$21)*'Assumptions'!E37</x:f>
        <x:v>865</x:v>
      </x:c>
      <x:c r="Q310" s="27" t="n">
        <x:f>(VLOOKUP(O310,'Fee Data'!$C$6:$G$50,4,TRUE)+O310*VLOOKUP(O310,'Fee Data'!$C$6:$G$50,5,TRUE)+VLOOKUP(O310,'Fee Data'!$I$6:$J$14,2,TRUE)+'Fee Data'!$J$20+'Fee Data'!$J$21)*'Assumptions'!E37</x:f>
        <x:v>715</x:v>
      </x:c>
      <x:c r="R310" s="27" t="n">
        <x:f>P310*(1-'Assumptions'!$D$14)+Q310*'Assumptions'!$D$14</x:f>
        <x:v>790</x:v>
      </x:c>
      <x:c r="S310" s="27" t="n">
        <x:f>O310*'Carrier Engine'!E92</x:f>
        <x:v>128.58928237910268</x:v>
      </x:c>
      <x:c r="T310" s="28" t="n">
        <x:f>R310+S310</x:f>
        <x:v>918.5892823791027</x:v>
      </x:c>
      <x:c r="U310" s="27" t="n">
        <x:f>N310*'Fleet Engine'!G203</x:f>
        <x:v>1921.0247498884776</x:v>
      </x:c>
      <x:c r="V310" s="28" t="n">
        <x:f>U310*T310</x:f>
        <x:v>1764632.7464325519</x:v>
      </x:c>
      <x:c r="W310" s="28" t="n">
        <x:f>U310*O310</x:f>
        <x:v>6175579.850516363</x:v>
      </x:c>
    </x:row>
    <x:row r="311" ht="19" customHeight="1">
      <x:c r="A311" s="2"/>
      <x:c r="B311" s="2"/>
      <x:c r="C311" s="46" t="n">
        <x:v>1</x:v>
      </x:c>
      <x:c r="D311" s="46" t="n">
        <x:v>9</x:v>
      </x:c>
      <x:c r="E311" s="46" t="n">
        <x:v>1</x:v>
      </x:c>
      <x:c r="F311" s="46" t="n">
        <x:v>3</x:v>
      </x:c>
      <x:c r="G311" s="12" t="n">
        <x:v>0.8888888888888888</x:v>
      </x:c>
      <x:c r="H311" s="12" t="n">
        <x:v>1</x:v>
      </x:c>
      <x:c r="I311" s="29" t="n">
        <x:f>'Assumptions'!$D$11+'Assumptions'!$D$12*(0.5-(G311+H311)/2)</x:f>
        <x:v>0.21111111111111108</x:v>
      </x:c>
      <x:c r="J311" s="27" t="n">
        <x:f>'Assumptions'!$D$8*EXP(-'Assumptions'!$D$9*('Fleet Engine'!E203-10))*'Assumptions'!E56*'Assumptions'!E36</x:f>
        <x:v>13777.423112046714</x:v>
      </x:c>
      <x:c r="K311" s="27" t="n">
        <x:f>'Source Data'!F220+LN('Assumptions'!D56)+LN('Assumptions'!E35)</x:f>
        <x:v>8.069478273890956</x:v>
      </x:c>
      <x:c r="L311" s="27" t="n">
        <x:f>J311*(1-I311*(1-'Carrier Engine'!E92))</x:f>
        <x:v>10985.198694671913</x:v>
      </x:c>
      <x:c r="M311" s="29" t="n">
        <x:f>NORM.S.DIST((LN(L311)-K311)/'Assumptions'!$D$10,TRUE)</x:f>
        <x:v>0.7841863625115301</x:v>
      </x:c>
      <x:c r="N311" s="30" t="n">
        <x:f>MAX(0,H311-MAX(G311,M311))</x:f>
        <x:v>0.11111111111111116</x:v>
      </x:c>
      <x:c r="O311" s="28" t="n">
        <x:f>J311*I311</x:f>
        <x:v>2908.5671014320837</x:v>
      </x:c>
      <x:c r="P311" s="27" t="n">
        <x:f>(VLOOKUP(O311,'Fee Data'!$C$6:$G$50,2,TRUE)+O311*VLOOKUP(O311,'Fee Data'!$C$6:$G$50,3,TRUE)+VLOOKUP(O311,'Fee Data'!$I$6:$J$14,2,TRUE)+'Fee Data'!$J$20+'Fee Data'!$J$21)*'Assumptions'!E37</x:f>
        <x:v>820</x:v>
      </x:c>
      <x:c r="Q311" s="27" t="n">
        <x:f>(VLOOKUP(O311,'Fee Data'!$C$6:$G$50,4,TRUE)+O311*VLOOKUP(O311,'Fee Data'!$C$6:$G$50,5,TRUE)+VLOOKUP(O311,'Fee Data'!$I$6:$J$14,2,TRUE)+'Fee Data'!$J$20+'Fee Data'!$J$21)*'Assumptions'!E37</x:f>
        <x:v>670</x:v>
      </x:c>
      <x:c r="R311" s="27" t="n">
        <x:f>P311*(1-'Assumptions'!$D$14)+Q311*'Assumptions'!$D$14</x:f>
        <x:v>745</x:v>
      </x:c>
      <x:c r="S311" s="27" t="n">
        <x:f>O311*'Carrier Engine'!E92</x:f>
        <x:v>116.34268405728338</x:v>
      </x:c>
      <x:c r="T311" s="28" t="n">
        <x:f>R311+S311</x:f>
        <x:v>861.3426840572833</x:v>
      </x:c>
      <x:c r="U311" s="27" t="n">
        <x:f>N311*'Fleet Engine'!G203</x:f>
        <x:v>1944.0608378803768</x:v>
      </x:c>
      <x:c r="V311" s="28" t="n">
        <x:f>U311*T311</x:f>
        <x:v>1674502.580070535</x:v>
      </x:c>
      <x:c r="W311" s="28" t="n">
        <x:f>U311*O311</x:f>
        <x:v>5654431.396241356</x:v>
      </x:c>
    </x:row>
    <x:row r="312" ht="19" customHeight="1">
      <x:c r="A312" s="2"/>
      <x:c r="B312" s="2"/>
      <x:c r="C312" s="46" t="n">
        <x:v>1</x:v>
      </x:c>
      <x:c r="D312" s="46" t="n">
        <x:v>10</x:v>
      </x:c>
      <x:c r="E312" s="46" t="n">
        <x:v>1</x:v>
      </x:c>
      <x:c r="F312" s="46" t="n">
        <x:v>4</x:v>
      </x:c>
      <x:c r="G312" s="12" t="n">
        <x:v>0</x:v>
      </x:c>
      <x:c r="H312" s="12" t="n">
        <x:v>0.1111111111111111</x:v>
      </x:c>
      <x:c r="I312" s="29" t="n">
        <x:f>'Assumptions'!$D$11+'Assumptions'!$D$12*(0.5-(G312+H312)/2)</x:f>
        <x:v>0.3888888888888889</x:v>
      </x:c>
      <x:c r="J312" s="27" t="n">
        <x:f>'Assumptions'!$D$8*EXP(-'Assumptions'!$D$9*('Fleet Engine'!E204-10))*'Assumptions'!E56*'Assumptions'!E36</x:f>
        <x:v>10206.566075445622</x:v>
      </x:c>
      <x:c r="K312" s="27" t="n">
        <x:f>'Source Data'!F221+LN('Assumptions'!D56)+LN('Assumptions'!E35)</x:f>
        <x:v>8.155326402806208</x:v>
      </x:c>
      <x:c r="L312" s="27" t="n">
        <x:f>J312*(1-I312*(1-'Carrier Engine'!E92))</x:f>
        <x:v>6396.11474061259</x:v>
      </x:c>
      <x:c r="M312" s="29" t="n">
        <x:f>NORM.S.DIST((LN(L312)-K312)/'Assumptions'!$D$10,TRUE)</x:f>
        <x:v>0.6507279511537387</x:v>
      </x:c>
      <x:c r="N312" s="30" t="n">
        <x:f>MAX(0,H312-MAX(G312,M312))</x:f>
        <x:v>0</x:v>
      </x:c>
      <x:c r="O312" s="28" t="n">
        <x:f>J312*I312</x:f>
        <x:v>3969.220140451075</x:v>
      </x:c>
      <x:c r="P312" s="27" t="n">
        <x:f>(VLOOKUP(O312,'Fee Data'!$C$6:$G$50,2,TRUE)+O312*VLOOKUP(O312,'Fee Data'!$C$6:$G$50,3,TRUE)+VLOOKUP(O312,'Fee Data'!$I$6:$J$14,2,TRUE)+'Fee Data'!$J$20+'Fee Data'!$J$21)*'Assumptions'!E37</x:f>
        <x:v>915</x:v>
      </x:c>
      <x:c r="Q312" s="27" t="n">
        <x:f>(VLOOKUP(O312,'Fee Data'!$C$6:$G$50,4,TRUE)+O312*VLOOKUP(O312,'Fee Data'!$C$6:$G$50,5,TRUE)+VLOOKUP(O312,'Fee Data'!$I$6:$J$14,2,TRUE)+'Fee Data'!$J$20+'Fee Data'!$J$21)*'Assumptions'!E37</x:f>
        <x:v>765</x:v>
      </x:c>
      <x:c r="R312" s="27" t="n">
        <x:f>P312*(1-'Assumptions'!$D$14)+Q312*'Assumptions'!$D$14</x:f>
        <x:v>840</x:v>
      </x:c>
      <x:c r="S312" s="27" t="n">
        <x:f>O312*'Carrier Engine'!E92</x:f>
        <x:v>158.76880561804305</x:v>
      </x:c>
      <x:c r="T312" s="28" t="n">
        <x:f>R312+S312</x:f>
        <x:v>998.7688056180431</x:v>
      </x:c>
      <x:c r="U312" s="27" t="n">
        <x:f>N312*'Fleet Engine'!G204</x:f>
        <x:v>0</x:v>
      </x:c>
      <x:c r="V312" s="28" t="n">
        <x:f>U312*T312</x:f>
        <x:v>0</x:v>
      </x:c>
      <x:c r="W312" s="28" t="n">
        <x:f>U312*O312</x:f>
        <x:v>0</x:v>
      </x:c>
    </x:row>
    <x:row r="313" ht="19" customHeight="1">
      <x:c r="A313" s="2"/>
      <x:c r="B313" s="2"/>
      <x:c r="C313" s="46" t="n">
        <x:v>1</x:v>
      </x:c>
      <x:c r="D313" s="46" t="n">
        <x:v>10</x:v>
      </x:c>
      <x:c r="E313" s="46" t="n">
        <x:v>1</x:v>
      </x:c>
      <x:c r="F313" s="46" t="n">
        <x:v>4</x:v>
      </x:c>
      <x:c r="G313" s="12" t="n">
        <x:v>0.1111111111111111</x:v>
      </x:c>
      <x:c r="H313" s="12" t="n">
        <x:v>0.2222222222222222</x:v>
      </x:c>
      <x:c r="I313" s="29" t="n">
        <x:f>'Assumptions'!$D$11+'Assumptions'!$D$12*(0.5-(G313+H313)/2)</x:f>
        <x:v>0.3666666666666667</x:v>
      </x:c>
      <x:c r="J313" s="27" t="n">
        <x:f>'Assumptions'!$D$8*EXP(-'Assumptions'!$D$9*('Fleet Engine'!E204-10))*'Assumptions'!E56*'Assumptions'!E36</x:f>
        <x:v>10206.566075445622</x:v>
      </x:c>
      <x:c r="K313" s="27" t="n">
        <x:f>'Source Data'!F221+LN('Assumptions'!D56)+LN('Assumptions'!E35)</x:f>
        <x:v>8.155326402806208</x:v>
      </x:c>
      <x:c r="L313" s="27" t="n">
        <x:f>J313*(1-I313*(1-'Carrier Engine'!E92))</x:f>
        <x:v>6613.854816888762</x:v>
      </x:c>
      <x:c r="M313" s="29" t="n">
        <x:f>NORM.S.DIST((LN(L313)-K313)/'Assumptions'!$D$10,TRUE)</x:f>
        <x:v>0.658585579143658</x:v>
      </x:c>
      <x:c r="N313" s="30" t="n">
        <x:f>MAX(0,H313-MAX(G313,M313))</x:f>
        <x:v>0</x:v>
      </x:c>
      <x:c r="O313" s="28" t="n">
        <x:f>J313*I313</x:f>
        <x:v>3742.4075609967285</x:v>
      </x:c>
      <x:c r="P313" s="27" t="n">
        <x:f>(VLOOKUP(O313,'Fee Data'!$C$6:$G$50,2,TRUE)+O313*VLOOKUP(O313,'Fee Data'!$C$6:$G$50,3,TRUE)+VLOOKUP(O313,'Fee Data'!$I$6:$J$14,2,TRUE)+'Fee Data'!$J$20+'Fee Data'!$J$21)*'Assumptions'!E37</x:f>
        <x:v>915</x:v>
      </x:c>
      <x:c r="Q313" s="27" t="n">
        <x:f>(VLOOKUP(O313,'Fee Data'!$C$6:$G$50,4,TRUE)+O313*VLOOKUP(O313,'Fee Data'!$C$6:$G$50,5,TRUE)+VLOOKUP(O313,'Fee Data'!$I$6:$J$14,2,TRUE)+'Fee Data'!$J$20+'Fee Data'!$J$21)*'Assumptions'!E37</x:f>
        <x:v>765</x:v>
      </x:c>
      <x:c r="R313" s="27" t="n">
        <x:f>P313*(1-'Assumptions'!$D$14)+Q313*'Assumptions'!$D$14</x:f>
        <x:v>840</x:v>
      </x:c>
      <x:c r="S313" s="27" t="n">
        <x:f>O313*'Carrier Engine'!E92</x:f>
        <x:v>149.69630243986916</x:v>
      </x:c>
      <x:c r="T313" s="28" t="n">
        <x:f>R313+S313</x:f>
        <x:v>989.6963024398692</x:v>
      </x:c>
      <x:c r="U313" s="27" t="n">
        <x:f>N313*'Fleet Engine'!G204</x:f>
        <x:v>0</x:v>
      </x:c>
      <x:c r="V313" s="28" t="n">
        <x:f>U313*T313</x:f>
        <x:v>0</x:v>
      </x:c>
      <x:c r="W313" s="28" t="n">
        <x:f>U313*O313</x:f>
        <x:v>0</x:v>
      </x:c>
    </x:row>
    <x:row r="314" ht="19" customHeight="1">
      <x:c r="A314" s="2"/>
      <x:c r="B314" s="2"/>
      <x:c r="C314" s="46" t="n">
        <x:v>1</x:v>
      </x:c>
      <x:c r="D314" s="46" t="n">
        <x:v>10</x:v>
      </x:c>
      <x:c r="E314" s="46" t="n">
        <x:v>1</x:v>
      </x:c>
      <x:c r="F314" s="46" t="n">
        <x:v>4</x:v>
      </x:c>
      <x:c r="G314" s="12" t="n">
        <x:v>0.2222222222222222</x:v>
      </x:c>
      <x:c r="H314" s="12" t="n">
        <x:v>0.3333333333333333</x:v>
      </x:c>
      <x:c r="I314" s="29" t="n">
        <x:f>'Assumptions'!$D$11+'Assumptions'!$D$12*(0.5-(G314+H314)/2)</x:f>
        <x:v>0.34444444444444444</x:v>
      </x:c>
      <x:c r="J314" s="27" t="n">
        <x:f>'Assumptions'!$D$8*EXP(-'Assumptions'!$D$9*('Fleet Engine'!E204-10))*'Assumptions'!E56*'Assumptions'!E36</x:f>
        <x:v>10206.566075445622</x:v>
      </x:c>
      <x:c r="K314" s="27" t="n">
        <x:f>'Source Data'!F221+LN('Assumptions'!D56)+LN('Assumptions'!E35)</x:f>
        <x:v>8.155326402806208</x:v>
      </x:c>
      <x:c r="L314" s="27" t="n">
        <x:f>J314*(1-I314*(1-'Carrier Engine'!E92))</x:f>
        <x:v>6831.594893164936</x:v>
      </x:c>
      <x:c r="M314" s="29" t="n">
        <x:f>NORM.S.DIST((LN(L314)-K314)/'Assumptions'!$D$10,TRUE)</x:f>
        <x:v>0.6661238198441306</x:v>
      </x:c>
      <x:c r="N314" s="30" t="n">
        <x:f>MAX(0,H314-MAX(G314,M314))</x:f>
        <x:v>0</x:v>
      </x:c>
      <x:c r="O314" s="28" t="n">
        <x:f>J314*I314</x:f>
        <x:v>3515.594981542381</x:v>
      </x:c>
      <x:c r="P314" s="27" t="n">
        <x:f>(VLOOKUP(O314,'Fee Data'!$C$6:$G$50,2,TRUE)+O314*VLOOKUP(O314,'Fee Data'!$C$6:$G$50,3,TRUE)+VLOOKUP(O314,'Fee Data'!$I$6:$J$14,2,TRUE)+'Fee Data'!$J$20+'Fee Data'!$J$21)*'Assumptions'!E37</x:f>
        <x:v>915</x:v>
      </x:c>
      <x:c r="Q314" s="27" t="n">
        <x:f>(VLOOKUP(O314,'Fee Data'!$C$6:$G$50,4,TRUE)+O314*VLOOKUP(O314,'Fee Data'!$C$6:$G$50,5,TRUE)+VLOOKUP(O314,'Fee Data'!$I$6:$J$14,2,TRUE)+'Fee Data'!$J$20+'Fee Data'!$J$21)*'Assumptions'!E37</x:f>
        <x:v>765</x:v>
      </x:c>
      <x:c r="R314" s="27" t="n">
        <x:f>P314*(1-'Assumptions'!$D$14)+Q314*'Assumptions'!$D$14</x:f>
        <x:v>840</x:v>
      </x:c>
      <x:c r="S314" s="27" t="n">
        <x:f>O314*'Carrier Engine'!E92</x:f>
        <x:v>140.62379926169527</x:v>
      </x:c>
      <x:c r="T314" s="28" t="n">
        <x:f>R314+S314</x:f>
        <x:v>980.6237992616952</x:v>
      </x:c>
      <x:c r="U314" s="27" t="n">
        <x:f>N314*'Fleet Engine'!G204</x:f>
        <x:v>0</x:v>
      </x:c>
      <x:c r="V314" s="28" t="n">
        <x:f>U314*T314</x:f>
        <x:v>0</x:v>
      </x:c>
      <x:c r="W314" s="28" t="n">
        <x:f>U314*O314</x:f>
        <x:v>0</x:v>
      </x:c>
    </x:row>
    <x:row r="315" ht="19" customHeight="1">
      <x:c r="A315" s="2"/>
      <x:c r="B315" s="2"/>
      <x:c r="C315" s="46" t="n">
        <x:v>1</x:v>
      </x:c>
      <x:c r="D315" s="46" t="n">
        <x:v>10</x:v>
      </x:c>
      <x:c r="E315" s="46" t="n">
        <x:v>1</x:v>
      </x:c>
      <x:c r="F315" s="46" t="n">
        <x:v>4</x:v>
      </x:c>
      <x:c r="G315" s="12" t="n">
        <x:v>0.3333333333333333</x:v>
      </x:c>
      <x:c r="H315" s="12" t="n">
        <x:v>0.4444444444444444</x:v>
      </x:c>
      <x:c r="I315" s="29" t="n">
        <x:f>'Assumptions'!$D$11+'Assumptions'!$D$12*(0.5-(G315+H315)/2)</x:f>
        <x:v>0.32222222222222224</x:v>
      </x:c>
      <x:c r="J315" s="27" t="n">
        <x:f>'Assumptions'!$D$8*EXP(-'Assumptions'!$D$9*('Fleet Engine'!E204-10))*'Assumptions'!E56*'Assumptions'!E36</x:f>
        <x:v>10206.566075445622</x:v>
      </x:c>
      <x:c r="K315" s="27" t="n">
        <x:f>'Source Data'!F221+LN('Assumptions'!D56)+LN('Assumptions'!E35)</x:f>
        <x:v>8.155326402806208</x:v>
      </x:c>
      <x:c r="L315" s="27" t="n">
        <x:f>J315*(1-I315*(1-'Carrier Engine'!E92))</x:f>
        <x:v>7049.33496944111</x:v>
      </x:c>
      <x:c r="M315" s="29" t="n">
        <x:f>NORM.S.DIST((LN(L315)-K315)/'Assumptions'!$D$10,TRUE)</x:f>
        <x:v>0.6733621968258094</x:v>
      </x:c>
      <x:c r="N315" s="30" t="n">
        <x:f>MAX(0,H315-MAX(G315,M315))</x:f>
        <x:v>0</x:v>
      </x:c>
      <x:c r="O315" s="28" t="n">
        <x:f>J315*I315</x:f>
        <x:v>3288.782402088034</x:v>
      </x:c>
      <x:c r="P315" s="27" t="n">
        <x:f>(VLOOKUP(O315,'Fee Data'!$C$6:$G$50,2,TRUE)+O315*VLOOKUP(O315,'Fee Data'!$C$6:$G$50,3,TRUE)+VLOOKUP(O315,'Fee Data'!$I$6:$J$14,2,TRUE)+'Fee Data'!$J$20+'Fee Data'!$J$21)*'Assumptions'!E37</x:f>
        <x:v>865</x:v>
      </x:c>
      <x:c r="Q315" s="27" t="n">
        <x:f>(VLOOKUP(O315,'Fee Data'!$C$6:$G$50,4,TRUE)+O315*VLOOKUP(O315,'Fee Data'!$C$6:$G$50,5,TRUE)+VLOOKUP(O315,'Fee Data'!$I$6:$J$14,2,TRUE)+'Fee Data'!$J$20+'Fee Data'!$J$21)*'Assumptions'!E37</x:f>
        <x:v>715</x:v>
      </x:c>
      <x:c r="R315" s="27" t="n">
        <x:f>P315*(1-'Assumptions'!$D$14)+Q315*'Assumptions'!$D$14</x:f>
        <x:v>790</x:v>
      </x:c>
      <x:c r="S315" s="27" t="n">
        <x:f>O315*'Carrier Engine'!E92</x:f>
        <x:v>131.55129608352138</x:v>
      </x:c>
      <x:c r="T315" s="28" t="n">
        <x:f>R315+S315</x:f>
        <x:v>921.5512960835214</x:v>
      </x:c>
      <x:c r="U315" s="27" t="n">
        <x:f>N315*'Fleet Engine'!G204</x:f>
        <x:v>0</x:v>
      </x:c>
      <x:c r="V315" s="28" t="n">
        <x:f>U315*T315</x:f>
        <x:v>0</x:v>
      </x:c>
      <x:c r="W315" s="28" t="n">
        <x:f>U315*O315</x:f>
        <x:v>0</x:v>
      </x:c>
    </x:row>
    <x:row r="316" ht="19" customHeight="1">
      <x:c r="A316" s="2"/>
      <x:c r="B316" s="2"/>
      <x:c r="C316" s="46" t="n">
        <x:v>1</x:v>
      </x:c>
      <x:c r="D316" s="46" t="n">
        <x:v>10</x:v>
      </x:c>
      <x:c r="E316" s="46" t="n">
        <x:v>1</x:v>
      </x:c>
      <x:c r="F316" s="46" t="n">
        <x:v>4</x:v>
      </x:c>
      <x:c r="G316" s="12" t="n">
        <x:v>0.4444444444444444</x:v>
      </x:c>
      <x:c r="H316" s="12" t="n">
        <x:v>0.5555555555555556</x:v>
      </x:c>
      <x:c r="I316" s="29" t="n">
        <x:f>'Assumptions'!$D$11+'Assumptions'!$D$12*(0.5-(G316+H316)/2)</x:f>
        <x:v>0.3</x:v>
      </x:c>
      <x:c r="J316" s="27" t="n">
        <x:f>'Assumptions'!$D$8*EXP(-'Assumptions'!$D$9*('Fleet Engine'!E204-10))*'Assumptions'!E56*'Assumptions'!E36</x:f>
        <x:v>10206.566075445622</x:v>
      </x:c>
      <x:c r="K316" s="27" t="n">
        <x:f>'Source Data'!F221+LN('Assumptions'!D56)+LN('Assumptions'!E35)</x:f>
        <x:v>8.155326402806208</x:v>
      </x:c>
      <x:c r="L316" s="27" t="n">
        <x:f>J316*(1-I316*(1-'Carrier Engine'!E92))</x:f>
        <x:v>7267.075045717283</x:v>
      </x:c>
      <x:c r="M316" s="29" t="n">
        <x:f>NORM.S.DIST((LN(L316)-K316)/'Assumptions'!$D$10,TRUE)</x:f>
        <x:v>0.680318625246847</x:v>
      </x:c>
      <x:c r="N316" s="30" t="n">
        <x:f>MAX(0,H316-MAX(G316,M316))</x:f>
        <x:v>0</x:v>
      </x:c>
      <x:c r="O316" s="28" t="n">
        <x:f>J316*I316</x:f>
        <x:v>3061.9698226336864</x:v>
      </x:c>
      <x:c r="P316" s="27" t="n">
        <x:f>(VLOOKUP(O316,'Fee Data'!$C$6:$G$50,2,TRUE)+O316*VLOOKUP(O316,'Fee Data'!$C$6:$G$50,3,TRUE)+VLOOKUP(O316,'Fee Data'!$I$6:$J$14,2,TRUE)+'Fee Data'!$J$20+'Fee Data'!$J$21)*'Assumptions'!E37</x:f>
        <x:v>865</x:v>
      </x:c>
      <x:c r="Q316" s="27" t="n">
        <x:f>(VLOOKUP(O316,'Fee Data'!$C$6:$G$50,4,TRUE)+O316*VLOOKUP(O316,'Fee Data'!$C$6:$G$50,5,TRUE)+VLOOKUP(O316,'Fee Data'!$I$6:$J$14,2,TRUE)+'Fee Data'!$J$20+'Fee Data'!$J$21)*'Assumptions'!E37</x:f>
        <x:v>715</x:v>
      </x:c>
      <x:c r="R316" s="27" t="n">
        <x:f>P316*(1-'Assumptions'!$D$14)+Q316*'Assumptions'!$D$14</x:f>
        <x:v>790</x:v>
      </x:c>
      <x:c r="S316" s="27" t="n">
        <x:f>O316*'Carrier Engine'!E92</x:f>
        <x:v>122.47879290534748</x:v>
      </x:c>
      <x:c r="T316" s="28" t="n">
        <x:f>R316+S316</x:f>
        <x:v>912.4787929053475</x:v>
      </x:c>
      <x:c r="U316" s="27" t="n">
        <x:f>N316*'Fleet Engine'!G204</x:f>
        <x:v>0</x:v>
      </x:c>
      <x:c r="V316" s="28" t="n">
        <x:f>U316*T316</x:f>
        <x:v>0</x:v>
      </x:c>
      <x:c r="W316" s="28" t="n">
        <x:f>U316*O316</x:f>
        <x:v>0</x:v>
      </x:c>
    </x:row>
    <x:row r="317" ht="19" customHeight="1">
      <x:c r="A317" s="2"/>
      <x:c r="B317" s="2"/>
      <x:c r="C317" s="46" t="n">
        <x:v>1</x:v>
      </x:c>
      <x:c r="D317" s="46" t="n">
        <x:v>10</x:v>
      </x:c>
      <x:c r="E317" s="46" t="n">
        <x:v>1</x:v>
      </x:c>
      <x:c r="F317" s="46" t="n">
        <x:v>4</x:v>
      </x:c>
      <x:c r="G317" s="12" t="n">
        <x:v>0.5555555555555556</x:v>
      </x:c>
      <x:c r="H317" s="12" t="n">
        <x:v>0.6666666666666666</x:v>
      </x:c>
      <x:c r="I317" s="29" t="n">
        <x:f>'Assumptions'!$D$11+'Assumptions'!$D$12*(0.5-(G317+H317)/2)</x:f>
        <x:v>0.27777777777777773</x:v>
      </x:c>
      <x:c r="J317" s="27" t="n">
        <x:f>'Assumptions'!$D$8*EXP(-'Assumptions'!$D$9*('Fleet Engine'!E204-10))*'Assumptions'!E56*'Assumptions'!E36</x:f>
        <x:v>10206.566075445622</x:v>
      </x:c>
      <x:c r="K317" s="27" t="n">
        <x:f>'Source Data'!F221+LN('Assumptions'!D56)+LN('Assumptions'!E35)</x:f>
        <x:v>8.155326402806208</x:v>
      </x:c>
      <x:c r="L317" s="27" t="n">
        <x:f>J317*(1-I317*(1-'Carrier Engine'!E92))</x:f>
        <x:v>7484.815121993457</x:v>
      </x:c>
      <x:c r="M317" s="29" t="n">
        <x:f>NORM.S.DIST((LN(L317)-K317)/'Assumptions'!$D$10,TRUE)</x:f>
        <x:v>0.687009578457402</x:v>
      </x:c>
      <x:c r="N317" s="30" t="n">
        <x:f>MAX(0,H317-MAX(G317,M317))</x:f>
        <x:v>0</x:v>
      </x:c>
      <x:c r="O317" s="28" t="n">
        <x:f>J317*I317</x:f>
        <x:v>2835.157243179339</x:v>
      </x:c>
      <x:c r="P317" s="27" t="n">
        <x:f>(VLOOKUP(O317,'Fee Data'!$C$6:$G$50,2,TRUE)+O317*VLOOKUP(O317,'Fee Data'!$C$6:$G$50,3,TRUE)+VLOOKUP(O317,'Fee Data'!$I$6:$J$14,2,TRUE)+'Fee Data'!$J$20+'Fee Data'!$J$21)*'Assumptions'!E37</x:f>
        <x:v>820</x:v>
      </x:c>
      <x:c r="Q317" s="27" t="n">
        <x:f>(VLOOKUP(O317,'Fee Data'!$C$6:$G$50,4,TRUE)+O317*VLOOKUP(O317,'Fee Data'!$C$6:$G$50,5,TRUE)+VLOOKUP(O317,'Fee Data'!$I$6:$J$14,2,TRUE)+'Fee Data'!$J$20+'Fee Data'!$J$21)*'Assumptions'!E37</x:f>
        <x:v>670</x:v>
      </x:c>
      <x:c r="R317" s="27" t="n">
        <x:f>P317*(1-'Assumptions'!$D$14)+Q317*'Assumptions'!$D$14</x:f>
        <x:v>745</x:v>
      </x:c>
      <x:c r="S317" s="27" t="n">
        <x:f>O317*'Carrier Engine'!E92</x:f>
        <x:v>113.40628972717357</x:v>
      </x:c>
      <x:c r="T317" s="28" t="n">
        <x:f>R317+S317</x:f>
        <x:v>858.4062897271735</x:v>
      </x:c>
      <x:c r="U317" s="27" t="n">
        <x:f>N317*'Fleet Engine'!G204</x:f>
        <x:v>0</x:v>
      </x:c>
      <x:c r="V317" s="28" t="n">
        <x:f>U317*T317</x:f>
        <x:v>0</x:v>
      </x:c>
      <x:c r="W317" s="28" t="n">
        <x:f>U317*O317</x:f>
        <x:v>0</x:v>
      </x:c>
    </x:row>
    <x:row r="318" ht="19" customHeight="1">
      <x:c r="A318" s="2"/>
      <x:c r="B318" s="2"/>
      <x:c r="C318" s="46" t="n">
        <x:v>1</x:v>
      </x:c>
      <x:c r="D318" s="46" t="n">
        <x:v>10</x:v>
      </x:c>
      <x:c r="E318" s="46" t="n">
        <x:v>1</x:v>
      </x:c>
      <x:c r="F318" s="46" t="n">
        <x:v>4</x:v>
      </x:c>
      <x:c r="G318" s="12" t="n">
        <x:v>0.6666666666666666</x:v>
      </x:c>
      <x:c r="H318" s="12" t="n">
        <x:v>0.7777777777777778</x:v>
      </x:c>
      <x:c r="I318" s="29" t="n">
        <x:f>'Assumptions'!$D$11+'Assumptions'!$D$12*(0.5-(G318+H318)/2)</x:f>
        <x:v>0.25555555555555554</x:v>
      </x:c>
      <x:c r="J318" s="27" t="n">
        <x:f>'Assumptions'!$D$8*EXP(-'Assumptions'!$D$9*('Fleet Engine'!E204-10))*'Assumptions'!E56*'Assumptions'!E36</x:f>
        <x:v>10206.566075445622</x:v>
      </x:c>
      <x:c r="K318" s="27" t="n">
        <x:f>'Source Data'!F221+LN('Assumptions'!D56)+LN('Assumptions'!E35)</x:f>
        <x:v>8.155326402806208</x:v>
      </x:c>
      <x:c r="L318" s="27" t="n">
        <x:f>J318*(1-I318*(1-'Carrier Engine'!E92))</x:f>
        <x:v>7702.55519826963</x:v>
      </x:c>
      <x:c r="M318" s="29" t="n">
        <x:f>NORM.S.DIST((LN(L318)-K318)/'Assumptions'!$D$10,TRUE)</x:f>
        <x:v>0.6934502338952844</x:v>
      </x:c>
      <x:c r="N318" s="30" t="n">
        <x:f>MAX(0,H318-MAX(G318,M318))</x:f>
        <x:v>0.08432754388249342</x:v>
      </x:c>
      <x:c r="O318" s="28" t="n">
        <x:f>J318*I318</x:f>
        <x:v>2608.344663724992</x:v>
      </x:c>
      <x:c r="P318" s="27" t="n">
        <x:f>(VLOOKUP(O318,'Fee Data'!$C$6:$G$50,2,TRUE)+O318*VLOOKUP(O318,'Fee Data'!$C$6:$G$50,3,TRUE)+VLOOKUP(O318,'Fee Data'!$I$6:$J$14,2,TRUE)+'Fee Data'!$J$20+'Fee Data'!$J$21)*'Assumptions'!E37</x:f>
        <x:v>820</x:v>
      </x:c>
      <x:c r="Q318" s="27" t="n">
        <x:f>(VLOOKUP(O318,'Fee Data'!$C$6:$G$50,4,TRUE)+O318*VLOOKUP(O318,'Fee Data'!$C$6:$G$50,5,TRUE)+VLOOKUP(O318,'Fee Data'!$I$6:$J$14,2,TRUE)+'Fee Data'!$J$20+'Fee Data'!$J$21)*'Assumptions'!E37</x:f>
        <x:v>670</x:v>
      </x:c>
      <x:c r="R318" s="27" t="n">
        <x:f>P318*(1-'Assumptions'!$D$14)+Q318*'Assumptions'!$D$14</x:f>
        <x:v>745</x:v>
      </x:c>
      <x:c r="S318" s="27" t="n">
        <x:f>O318*'Carrier Engine'!E92</x:f>
        <x:v>104.33378654899971</x:v>
      </x:c>
      <x:c r="T318" s="28" t="n">
        <x:f>R318+S318</x:f>
        <x:v>849.3337865489997</x:v>
      </x:c>
      <x:c r="U318" s="27" t="n">
        <x:f>N318*'Fleet Engine'!G204</x:f>
        <x:v>792.193322725694</x:v>
      </x:c>
      <x:c r="V318" s="28" t="n">
        <x:f>U318*T318</x:f>
        <x:v>672836.5544694474</x:v>
      </x:c>
      <x:c r="W318" s="28" t="n">
        <x:f>U318*O318</x:f>
        <x:v>2066313.2259701344</x:v>
      </x:c>
    </x:row>
    <x:row r="319" ht="19" customHeight="1">
      <x:c r="A319" s="2"/>
      <x:c r="B319" s="2"/>
      <x:c r="C319" s="46" t="n">
        <x:v>1</x:v>
      </x:c>
      <x:c r="D319" s="46" t="n">
        <x:v>10</x:v>
      </x:c>
      <x:c r="E319" s="46" t="n">
        <x:v>1</x:v>
      </x:c>
      <x:c r="F319" s="46" t="n">
        <x:v>4</x:v>
      </x:c>
      <x:c r="G319" s="12" t="n">
        <x:v>0.7777777777777778</x:v>
      </x:c>
      <x:c r="H319" s="12" t="n">
        <x:v>0.8888888888888888</x:v>
      </x:c>
      <x:c r="I319" s="29" t="n">
        <x:f>'Assumptions'!$D$11+'Assumptions'!$D$12*(0.5-(G319+H319)/2)</x:f>
        <x:v>0.23333333333333334</x:v>
      </x:c>
      <x:c r="J319" s="27" t="n">
        <x:f>'Assumptions'!$D$8*EXP(-'Assumptions'!$D$9*('Fleet Engine'!E204-10))*'Assumptions'!E56*'Assumptions'!E36</x:f>
        <x:v>10206.566075445622</x:v>
      </x:c>
      <x:c r="K319" s="27" t="n">
        <x:f>'Source Data'!F221+LN('Assumptions'!D56)+LN('Assumptions'!E35)</x:f>
        <x:v>8.155326402806208</x:v>
      </x:c>
      <x:c r="L319" s="27" t="n">
        <x:f>J319*(1-I319*(1-'Carrier Engine'!E92))</x:f>
        <x:v>7920.295274545803</x:v>
      </x:c>
      <x:c r="M319" s="29" t="n">
        <x:f>NORM.S.DIST((LN(L319)-K319)/'Assumptions'!$D$10,TRUE)</x:f>
        <x:v>0.699654601261197</x:v>
      </x:c>
      <x:c r="N319" s="30" t="n">
        <x:f>MAX(0,H319-MAX(G319,M319))</x:f>
        <x:v>0.11111111111111105</x:v>
      </x:c>
      <x:c r="O319" s="28" t="n">
        <x:f>J319*I319</x:f>
        <x:v>2381.532084270645</x:v>
      </x:c>
      <x:c r="P319" s="27" t="n">
        <x:f>(VLOOKUP(O319,'Fee Data'!$C$6:$G$50,2,TRUE)+O319*VLOOKUP(O319,'Fee Data'!$C$6:$G$50,3,TRUE)+VLOOKUP(O319,'Fee Data'!$I$6:$J$14,2,TRUE)+'Fee Data'!$J$20+'Fee Data'!$J$21)*'Assumptions'!E37</x:f>
        <x:v>745</x:v>
      </x:c>
      <x:c r="Q319" s="27" t="n">
        <x:f>(VLOOKUP(O319,'Fee Data'!$C$6:$G$50,4,TRUE)+O319*VLOOKUP(O319,'Fee Data'!$C$6:$G$50,5,TRUE)+VLOOKUP(O319,'Fee Data'!$I$6:$J$14,2,TRUE)+'Fee Data'!$J$20+'Fee Data'!$J$21)*'Assumptions'!E37</x:f>
        <x:v>600</x:v>
      </x:c>
      <x:c r="R319" s="27" t="n">
        <x:f>P319*(1-'Assumptions'!$D$14)+Q319*'Assumptions'!$D$14</x:f>
        <x:v>672.5</x:v>
      </x:c>
      <x:c r="S319" s="27" t="n">
        <x:f>O319*'Carrier Engine'!E92</x:f>
        <x:v>95.26128337082582</x:v>
      </x:c>
      <x:c r="T319" s="28" t="n">
        <x:f>R319+S319</x:f>
        <x:v>767.7612833708258</x:v>
      </x:c>
      <x:c r="U319" s="27" t="n">
        <x:f>N319*'Fleet Engine'!G204</x:f>
        <x:v>1043.804624803359</x:v>
      </x:c>
      <x:c r="V319" s="28" t="n">
        <x:f>U319*T319</x:f>
        <x:v>801392.7783274302</x:v>
      </x:c>
      <x:c r="W319" s="28" t="n">
        <x:f>U319*O319</x:f>
        <x:v>2485854.203679282</x:v>
      </x:c>
    </x:row>
    <x:row r="320" ht="19" customHeight="1">
      <x:c r="A320" s="2"/>
      <x:c r="B320" s="2"/>
      <x:c r="C320" s="46" t="n">
        <x:v>1</x:v>
      </x:c>
      <x:c r="D320" s="46" t="n">
        <x:v>10</x:v>
      </x:c>
      <x:c r="E320" s="46" t="n">
        <x:v>1</x:v>
      </x:c>
      <x:c r="F320" s="46" t="n">
        <x:v>4</x:v>
      </x:c>
      <x:c r="G320" s="12" t="n">
        <x:v>0.8888888888888888</x:v>
      </x:c>
      <x:c r="H320" s="12" t="n">
        <x:v>1</x:v>
      </x:c>
      <x:c r="I320" s="29" t="n">
        <x:f>'Assumptions'!$D$11+'Assumptions'!$D$12*(0.5-(G320+H320)/2)</x:f>
        <x:v>0.21111111111111108</x:v>
      </x:c>
      <x:c r="J320" s="27" t="n">
        <x:f>'Assumptions'!$D$8*EXP(-'Assumptions'!$D$9*('Fleet Engine'!E204-10))*'Assumptions'!E56*'Assumptions'!E36</x:f>
        <x:v>10206.566075445622</x:v>
      </x:c>
      <x:c r="K320" s="27" t="n">
        <x:f>'Source Data'!F221+LN('Assumptions'!D56)+LN('Assumptions'!E35)</x:f>
        <x:v>8.155326402806208</x:v>
      </x:c>
      <x:c r="L320" s="27" t="n">
        <x:f>J320*(1-I320*(1-'Carrier Engine'!E92))</x:f>
        <x:v>8138.035350821976</x:v>
      </x:c>
      <x:c r="M320" s="29" t="n">
        <x:f>NORM.S.DIST((LN(L320)-K320)/'Assumptions'!$D$10,TRUE)</x:f>
        <x:v>0.7056356354734394</x:v>
      </x:c>
      <x:c r="N320" s="30" t="n">
        <x:f>MAX(0,H320-MAX(G320,M320))</x:f>
        <x:v>0.11111111111111116</x:v>
      </x:c>
      <x:c r="O320" s="28" t="n">
        <x:f>J320*I320</x:f>
        <x:v>2154.7195048162976</x:v>
      </x:c>
      <x:c r="P320" s="27" t="n">
        <x:f>(VLOOKUP(O320,'Fee Data'!$C$6:$G$50,2,TRUE)+O320*VLOOKUP(O320,'Fee Data'!$C$6:$G$50,3,TRUE)+VLOOKUP(O320,'Fee Data'!$I$6:$J$14,2,TRUE)+'Fee Data'!$J$20+'Fee Data'!$J$21)*'Assumptions'!E37</x:f>
        <x:v>745</x:v>
      </x:c>
      <x:c r="Q320" s="27" t="n">
        <x:f>(VLOOKUP(O320,'Fee Data'!$C$6:$G$50,4,TRUE)+O320*VLOOKUP(O320,'Fee Data'!$C$6:$G$50,5,TRUE)+VLOOKUP(O320,'Fee Data'!$I$6:$J$14,2,TRUE)+'Fee Data'!$J$20+'Fee Data'!$J$21)*'Assumptions'!E37</x:f>
        <x:v>600</x:v>
      </x:c>
      <x:c r="R320" s="27" t="n">
        <x:f>P320*(1-'Assumptions'!$D$14)+Q320*'Assumptions'!$D$14</x:f>
        <x:v>672.5</x:v>
      </x:c>
      <x:c r="S320" s="27" t="n">
        <x:f>O320*'Carrier Engine'!E92</x:f>
        <x:v>86.18878019265192</x:v>
      </x:c>
      <x:c r="T320" s="28" t="n">
        <x:f>R320+S320</x:f>
        <x:v>758.688780192652</x:v>
      </x:c>
      <x:c r="U320" s="27" t="n">
        <x:f>N320*'Fleet Engine'!G204</x:f>
        <x:v>1043.8046248033602</x:v>
      </x:c>
      <x:c r="V320" s="28" t="n">
        <x:f>U320*T320</x:f>
        <x:v>791922.8575515101</x:v>
      </x:c>
      <x:c r="W320" s="28" t="n">
        <x:f>U320*O320</x:f>
        <x:v>2249106.1842812574</x:v>
      </x:c>
    </x:row>
    <x:row r="321" ht="19" customHeight="1">
      <x:c r="A321" s="2"/>
      <x:c r="B321" s="2"/>
      <x:c r="C321" s="46" t="n">
        <x:v>1</x:v>
      </x:c>
      <x:c r="D321" s="46" t="n">
        <x:v>11</x:v>
      </x:c>
      <x:c r="E321" s="46" t="n">
        <x:v>1</x:v>
      </x:c>
      <x:c r="F321" s="46" t="n">
        <x:v>5</x:v>
      </x:c>
      <x:c r="G321" s="12" t="n">
        <x:v>0</x:v>
      </x:c>
      <x:c r="H321" s="12" t="n">
        <x:v>0.1111111111111111</x:v>
      </x:c>
      <x:c r="I321" s="29" t="n">
        <x:f>'Assumptions'!$D$11+'Assumptions'!$D$12*(0.5-(G321+H321)/2)</x:f>
        <x:v>0.3888888888888889</x:v>
      </x:c>
      <x:c r="J321" s="27" t="n">
        <x:f>'Assumptions'!$D$8*EXP(-'Assumptions'!$D$9*('Fleet Engine'!E205-10))*'Assumptions'!E56*'Assumptions'!E36</x:f>
        <x:v>5601.482226767098</x:v>
      </x:c>
      <x:c r="K321" s="27" t="n">
        <x:f>'Source Data'!F222+LN('Assumptions'!D56)+LN('Assumptions'!E35)</x:f>
        <x:v>8.056397553082528</x:v>
      </x:c>
      <x:c r="L321" s="27" t="n">
        <x:f>J321*(1-I321*(1-'Carrier Engine'!E92))</x:f>
        <x:v>3510.262195440715</x:v>
      </x:c>
      <x:c r="M321" s="29" t="n">
        <x:f>NORM.S.DIST((LN(L321)-K321)/'Assumptions'!$D$10,TRUE)</x:f>
        <x:v>0.5271767523756574</x:v>
      </x:c>
      <x:c r="N321" s="30" t="n">
        <x:f>MAX(0,H321-MAX(G321,M321))</x:f>
        <x:v>0</x:v>
      </x:c>
      <x:c r="O321" s="28" t="n">
        <x:f>J321*I321</x:f>
        <x:v>2178.354199298316</x:v>
      </x:c>
      <x:c r="P321" s="27" t="n">
        <x:f>(VLOOKUP(O321,'Fee Data'!$C$6:$G$50,2,TRUE)+O321*VLOOKUP(O321,'Fee Data'!$C$6:$G$50,3,TRUE)+VLOOKUP(O321,'Fee Data'!$I$6:$J$14,2,TRUE)+'Fee Data'!$J$20+'Fee Data'!$J$21)*'Assumptions'!E37</x:f>
        <x:v>745</x:v>
      </x:c>
      <x:c r="Q321" s="27" t="n">
        <x:f>(VLOOKUP(O321,'Fee Data'!$C$6:$G$50,4,TRUE)+O321*VLOOKUP(O321,'Fee Data'!$C$6:$G$50,5,TRUE)+VLOOKUP(O321,'Fee Data'!$I$6:$J$14,2,TRUE)+'Fee Data'!$J$20+'Fee Data'!$J$21)*'Assumptions'!E37</x:f>
        <x:v>600</x:v>
      </x:c>
      <x:c r="R321" s="27" t="n">
        <x:f>P321*(1-'Assumptions'!$D$14)+Q321*'Assumptions'!$D$14</x:f>
        <x:v>672.5</x:v>
      </x:c>
      <x:c r="S321" s="27" t="n">
        <x:f>O321*'Carrier Engine'!E92</x:f>
        <x:v>87.13416797193265</x:v>
      </x:c>
      <x:c r="T321" s="28" t="n">
        <x:f>R321+S321</x:f>
        <x:v>759.6341679719327</x:v>
      </x:c>
      <x:c r="U321" s="27" t="n">
        <x:f>N321*'Fleet Engine'!G205</x:f>
        <x:v>0</x:v>
      </x:c>
      <x:c r="V321" s="28" t="n">
        <x:f>U321*T321</x:f>
        <x:v>0</x:v>
      </x:c>
      <x:c r="W321" s="28" t="n">
        <x:f>U321*O321</x:f>
        <x:v>0</x:v>
      </x:c>
    </x:row>
    <x:row r="322" ht="19" customHeight="1">
      <x:c r="A322" s="2"/>
      <x:c r="B322" s="2"/>
      <x:c r="C322" s="46" t="n">
        <x:v>1</x:v>
      </x:c>
      <x:c r="D322" s="46" t="n">
        <x:v>11</x:v>
      </x:c>
      <x:c r="E322" s="46" t="n">
        <x:v>1</x:v>
      </x:c>
      <x:c r="F322" s="46" t="n">
        <x:v>5</x:v>
      </x:c>
      <x:c r="G322" s="12" t="n">
        <x:v>0.1111111111111111</x:v>
      </x:c>
      <x:c r="H322" s="12" t="n">
        <x:v>0.2222222222222222</x:v>
      </x:c>
      <x:c r="I322" s="29" t="n">
        <x:f>'Assumptions'!$D$11+'Assumptions'!$D$12*(0.5-(G322+H322)/2)</x:f>
        <x:v>0.3666666666666667</x:v>
      </x:c>
      <x:c r="J322" s="27" t="n">
        <x:f>'Assumptions'!$D$8*EXP(-'Assumptions'!$D$9*('Fleet Engine'!E205-10))*'Assumptions'!E56*'Assumptions'!E36</x:f>
        <x:v>5601.482226767098</x:v>
      </x:c>
      <x:c r="K322" s="27" t="n">
        <x:f>'Source Data'!F222+LN('Assumptions'!D56)+LN('Assumptions'!E35)</x:f>
        <x:v>8.056397553082528</x:v>
      </x:c>
      <x:c r="L322" s="27" t="n">
        <x:f>J322*(1-I322*(1-'Carrier Engine'!E92))</x:f>
        <x:v>3629.760482945079</x:v>
      </x:c>
      <x:c r="M322" s="29" t="n">
        <x:f>NORM.S.DIST((LN(L322)-K322)/'Assumptions'!$D$10,TRUE)</x:f>
        <x:v>0.5356554348338565</x:v>
      </x:c>
      <x:c r="N322" s="30" t="n">
        <x:f>MAX(0,H322-MAX(G322,M322))</x:f>
        <x:v>0</x:v>
      </x:c>
      <x:c r="O322" s="28" t="n">
        <x:f>J322*I322</x:f>
        <x:v>2053.8768164812695</x:v>
      </x:c>
      <x:c r="P322" s="27" t="n">
        <x:f>(VLOOKUP(O322,'Fee Data'!$C$6:$G$50,2,TRUE)+O322*VLOOKUP(O322,'Fee Data'!$C$6:$G$50,3,TRUE)+VLOOKUP(O322,'Fee Data'!$I$6:$J$14,2,TRUE)+'Fee Data'!$J$20+'Fee Data'!$J$21)*'Assumptions'!E37</x:f>
        <x:v>745</x:v>
      </x:c>
      <x:c r="Q322" s="27" t="n">
        <x:f>(VLOOKUP(O322,'Fee Data'!$C$6:$G$50,4,TRUE)+O322*VLOOKUP(O322,'Fee Data'!$C$6:$G$50,5,TRUE)+VLOOKUP(O322,'Fee Data'!$I$6:$J$14,2,TRUE)+'Fee Data'!$J$20+'Fee Data'!$J$21)*'Assumptions'!E37</x:f>
        <x:v>600</x:v>
      </x:c>
      <x:c r="R322" s="27" t="n">
        <x:f>P322*(1-'Assumptions'!$D$14)+Q322*'Assumptions'!$D$14</x:f>
        <x:v>672.5</x:v>
      </x:c>
      <x:c r="S322" s="27" t="n">
        <x:f>O322*'Carrier Engine'!E92</x:f>
        <x:v>82.15507265925079</x:v>
      </x:c>
      <x:c r="T322" s="28" t="n">
        <x:f>R322+S322</x:f>
        <x:v>754.6550726592508</x:v>
      </x:c>
      <x:c r="U322" s="27" t="n">
        <x:f>N322*'Fleet Engine'!G205</x:f>
        <x:v>0</x:v>
      </x:c>
      <x:c r="V322" s="28" t="n">
        <x:f>U322*T322</x:f>
        <x:v>0</x:v>
      </x:c>
      <x:c r="W322" s="28" t="n">
        <x:f>U322*O322</x:f>
        <x:v>0</x:v>
      </x:c>
    </x:row>
    <x:row r="323" ht="19" customHeight="1">
      <x:c r="A323" s="2"/>
      <x:c r="B323" s="2"/>
      <x:c r="C323" s="46" t="n">
        <x:v>1</x:v>
      </x:c>
      <x:c r="D323" s="46" t="n">
        <x:v>11</x:v>
      </x:c>
      <x:c r="E323" s="46" t="n">
        <x:v>1</x:v>
      </x:c>
      <x:c r="F323" s="46" t="n">
        <x:v>5</x:v>
      </x:c>
      <x:c r="G323" s="12" t="n">
        <x:v>0.2222222222222222</x:v>
      </x:c>
      <x:c r="H323" s="12" t="n">
        <x:v>0.3333333333333333</x:v>
      </x:c>
      <x:c r="I323" s="29" t="n">
        <x:f>'Assumptions'!$D$11+'Assumptions'!$D$12*(0.5-(G323+H323)/2)</x:f>
        <x:v>0.34444444444444444</x:v>
      </x:c>
      <x:c r="J323" s="27" t="n">
        <x:f>'Assumptions'!$D$8*EXP(-'Assumptions'!$D$9*('Fleet Engine'!E205-10))*'Assumptions'!E56*'Assumptions'!E36</x:f>
        <x:v>5601.482226767098</x:v>
      </x:c>
      <x:c r="K323" s="27" t="n">
        <x:f>'Source Data'!F222+LN('Assumptions'!D56)+LN('Assumptions'!E35)</x:f>
        <x:v>8.056397553082528</x:v>
      </x:c>
      <x:c r="L323" s="27" t="n">
        <x:f>J323*(1-I323*(1-'Carrier Engine'!E92))</x:f>
        <x:v>3749.258770449444</x:v>
      </x:c>
      <x:c r="M323" s="29" t="n">
        <x:f>NORM.S.DIST((LN(L323)-K323)/'Assumptions'!$D$10,TRUE)</x:f>
        <x:v>0.5438441102581311</x:v>
      </x:c>
      <x:c r="N323" s="30" t="n">
        <x:f>MAX(0,H323-MAX(G323,M323))</x:f>
        <x:v>0</x:v>
      </x:c>
      <x:c r="O323" s="28" t="n">
        <x:f>J323*I323</x:f>
        <x:v>1929.3994336642227</x:v>
      </x:c>
      <x:c r="P323" s="27" t="n">
        <x:f>(VLOOKUP(O323,'Fee Data'!$C$6:$G$50,2,TRUE)+O323*VLOOKUP(O323,'Fee Data'!$C$6:$G$50,3,TRUE)+VLOOKUP(O323,'Fee Data'!$I$6:$J$14,2,TRUE)+'Fee Data'!$J$20+'Fee Data'!$J$21)*'Assumptions'!E37</x:f>
        <x:v>705</x:v>
      </x:c>
      <x:c r="Q323" s="27" t="n">
        <x:f>(VLOOKUP(O323,'Fee Data'!$C$6:$G$50,4,TRUE)+O323*VLOOKUP(O323,'Fee Data'!$C$6:$G$50,5,TRUE)+VLOOKUP(O323,'Fee Data'!$I$6:$J$14,2,TRUE)+'Fee Data'!$J$20+'Fee Data'!$J$21)*'Assumptions'!E37</x:f>
        <x:v>565</x:v>
      </x:c>
      <x:c r="R323" s="27" t="n">
        <x:f>P323*(1-'Assumptions'!$D$14)+Q323*'Assumptions'!$D$14</x:f>
        <x:v>635</x:v>
      </x:c>
      <x:c r="S323" s="27" t="n">
        <x:f>O323*'Carrier Engine'!E92</x:f>
        <x:v>77.17597734656893</x:v>
      </x:c>
      <x:c r="T323" s="28" t="n">
        <x:f>R323+S323</x:f>
        <x:v>712.175977346569</x:v>
      </x:c>
      <x:c r="U323" s="27" t="n">
        <x:f>N323*'Fleet Engine'!G205</x:f>
        <x:v>0</x:v>
      </x:c>
      <x:c r="V323" s="28" t="n">
        <x:f>U323*T323</x:f>
        <x:v>0</x:v>
      </x:c>
      <x:c r="W323" s="28" t="n">
        <x:f>U323*O323</x:f>
        <x:v>0</x:v>
      </x:c>
    </x:row>
    <x:row r="324" ht="19" customHeight="1">
      <x:c r="A324" s="2"/>
      <x:c r="B324" s="2"/>
      <x:c r="C324" s="46" t="n">
        <x:v>1</x:v>
      </x:c>
      <x:c r="D324" s="46" t="n">
        <x:v>11</x:v>
      </x:c>
      <x:c r="E324" s="46" t="n">
        <x:v>1</x:v>
      </x:c>
      <x:c r="F324" s="46" t="n">
        <x:v>5</x:v>
      </x:c>
      <x:c r="G324" s="12" t="n">
        <x:v>0.3333333333333333</x:v>
      </x:c>
      <x:c r="H324" s="12" t="n">
        <x:v>0.4444444444444444</x:v>
      </x:c>
      <x:c r="I324" s="29" t="n">
        <x:f>'Assumptions'!$D$11+'Assumptions'!$D$12*(0.5-(G324+H324)/2)</x:f>
        <x:v>0.32222222222222224</x:v>
      </x:c>
      <x:c r="J324" s="27" t="n">
        <x:f>'Assumptions'!$D$8*EXP(-'Assumptions'!$D$9*('Fleet Engine'!E205-10))*'Assumptions'!E56*'Assumptions'!E36</x:f>
        <x:v>5601.482226767098</x:v>
      </x:c>
      <x:c r="K324" s="27" t="n">
        <x:f>'Source Data'!F222+LN('Assumptions'!D56)+LN('Assumptions'!E35)</x:f>
        <x:v>8.056397553082528</x:v>
      </x:c>
      <x:c r="L324" s="27" t="n">
        <x:f>J324*(1-I324*(1-'Carrier Engine'!E92))</x:f>
        <x:v>3868.7570579538087</x:v>
      </x:c>
      <x:c r="M324" s="29" t="n">
        <x:f>NORM.S.DIST((LN(L324)-K324)/'Assumptions'!$D$10,TRUE)</x:f>
        <x:v>0.5517581623199981</x:v>
      </x:c>
      <x:c r="N324" s="30" t="n">
        <x:f>MAX(0,H324-MAX(G324,M324))</x:f>
        <x:v>0</x:v>
      </x:c>
      <x:c r="O324" s="28" t="n">
        <x:f>J324*I324</x:f>
        <x:v>1804.922050847176</x:v>
      </x:c>
      <x:c r="P324" s="27" t="n">
        <x:f>(VLOOKUP(O324,'Fee Data'!$C$6:$G$50,2,TRUE)+O324*VLOOKUP(O324,'Fee Data'!$C$6:$G$50,3,TRUE)+VLOOKUP(O324,'Fee Data'!$I$6:$J$14,2,TRUE)+'Fee Data'!$J$20+'Fee Data'!$J$21)*'Assumptions'!E37</x:f>
        <x:v>705</x:v>
      </x:c>
      <x:c r="Q324" s="27" t="n">
        <x:f>(VLOOKUP(O324,'Fee Data'!$C$6:$G$50,4,TRUE)+O324*VLOOKUP(O324,'Fee Data'!$C$6:$G$50,5,TRUE)+VLOOKUP(O324,'Fee Data'!$I$6:$J$14,2,TRUE)+'Fee Data'!$J$20+'Fee Data'!$J$21)*'Assumptions'!E37</x:f>
        <x:v>565</x:v>
      </x:c>
      <x:c r="R324" s="27" t="n">
        <x:f>P324*(1-'Assumptions'!$D$14)+Q324*'Assumptions'!$D$14</x:f>
        <x:v>635</x:v>
      </x:c>
      <x:c r="S324" s="27" t="n">
        <x:f>O324*'Carrier Engine'!E92</x:f>
        <x:v>72.19688203388705</x:v>
      </x:c>
      <x:c r="T324" s="28" t="n">
        <x:f>R324+S324</x:f>
        <x:v>707.196882033887</x:v>
      </x:c>
      <x:c r="U324" s="27" t="n">
        <x:f>N324*'Fleet Engine'!G205</x:f>
        <x:v>0</x:v>
      </x:c>
      <x:c r="V324" s="28" t="n">
        <x:f>U324*T324</x:f>
        <x:v>0</x:v>
      </x:c>
      <x:c r="W324" s="28" t="n">
        <x:f>U324*O324</x:f>
        <x:v>0</x:v>
      </x:c>
    </x:row>
    <x:row r="325" ht="19" customHeight="1">
      <x:c r="A325" s="2"/>
      <x:c r="B325" s="2"/>
      <x:c r="C325" s="46" t="n">
        <x:v>1</x:v>
      </x:c>
      <x:c r="D325" s="46" t="n">
        <x:v>11</x:v>
      </x:c>
      <x:c r="E325" s="46" t="n">
        <x:v>1</x:v>
      </x:c>
      <x:c r="F325" s="46" t="n">
        <x:v>5</x:v>
      </x:c>
      <x:c r="G325" s="12" t="n">
        <x:v>0.4444444444444444</x:v>
      </x:c>
      <x:c r="H325" s="12" t="n">
        <x:v>0.5555555555555556</x:v>
      </x:c>
      <x:c r="I325" s="29" t="n">
        <x:f>'Assumptions'!$D$11+'Assumptions'!$D$12*(0.5-(G325+H325)/2)</x:f>
        <x:v>0.3</x:v>
      </x:c>
      <x:c r="J325" s="27" t="n">
        <x:f>'Assumptions'!$D$8*EXP(-'Assumptions'!$D$9*('Fleet Engine'!E205-10))*'Assumptions'!E56*'Assumptions'!E36</x:f>
        <x:v>5601.482226767098</x:v>
      </x:c>
      <x:c r="K325" s="27" t="n">
        <x:f>'Source Data'!F222+LN('Assumptions'!D56)+LN('Assumptions'!E35)</x:f>
        <x:v>8.056397553082528</x:v>
      </x:c>
      <x:c r="L325" s="27" t="n">
        <x:f>J325*(1-I325*(1-'Carrier Engine'!E92))</x:f>
        <x:v>3988.2553454581735</x:v>
      </x:c>
      <x:c r="M325" s="29" t="n">
        <x:f>NORM.S.DIST((LN(L325)-K325)/'Assumptions'!$D$10,TRUE)</x:f>
        <x:v>0.559411856481953</x:v>
      </x:c>
      <x:c r="N325" s="30" t="n">
        <x:f>MAX(0,H325-MAX(G325,M325))</x:f>
        <x:v>0</x:v>
      </x:c>
      <x:c r="O325" s="28" t="n">
        <x:f>J325*I325</x:f>
        <x:v>1680.4446680301294</x:v>
      </x:c>
      <x:c r="P325" s="27" t="n">
        <x:f>(VLOOKUP(O325,'Fee Data'!$C$6:$G$50,2,TRUE)+O325*VLOOKUP(O325,'Fee Data'!$C$6:$G$50,3,TRUE)+VLOOKUP(O325,'Fee Data'!$I$6:$J$14,2,TRUE)+'Fee Data'!$J$20+'Fee Data'!$J$21)*'Assumptions'!E37</x:f>
        <x:v>660</x:v>
      </x:c>
      <x:c r="Q325" s="27" t="n">
        <x:f>(VLOOKUP(O325,'Fee Data'!$C$6:$G$50,4,TRUE)+O325*VLOOKUP(O325,'Fee Data'!$C$6:$G$50,5,TRUE)+VLOOKUP(O325,'Fee Data'!$I$6:$J$14,2,TRUE)+'Fee Data'!$J$20+'Fee Data'!$J$21)*'Assumptions'!E37</x:f>
        <x:v>525</x:v>
      </x:c>
      <x:c r="R325" s="27" t="n">
        <x:f>P325*(1-'Assumptions'!$D$14)+Q325*'Assumptions'!$D$14</x:f>
        <x:v>592.5</x:v>
      </x:c>
      <x:c r="S325" s="27" t="n">
        <x:f>O325*'Carrier Engine'!E92</x:f>
        <x:v>67.21778672120519</x:v>
      </x:c>
      <x:c r="T325" s="28" t="n">
        <x:f>R325+S325</x:f>
        <x:v>659.7177867212051</x:v>
      </x:c>
      <x:c r="U325" s="27" t="n">
        <x:f>N325*'Fleet Engine'!G205</x:f>
        <x:v>0</x:v>
      </x:c>
      <x:c r="V325" s="28" t="n">
        <x:f>U325*T325</x:f>
        <x:v>0</x:v>
      </x:c>
      <x:c r="W325" s="28" t="n">
        <x:f>U325*O325</x:f>
        <x:v>0</x:v>
      </x:c>
    </x:row>
    <x:row r="326" ht="19" customHeight="1">
      <x:c r="A326" s="2"/>
      <x:c r="B326" s="2"/>
      <x:c r="C326" s="46" t="n">
        <x:v>1</x:v>
      </x:c>
      <x:c r="D326" s="46" t="n">
        <x:v>11</x:v>
      </x:c>
      <x:c r="E326" s="46" t="n">
        <x:v>1</x:v>
      </x:c>
      <x:c r="F326" s="46" t="n">
        <x:v>5</x:v>
      </x:c>
      <x:c r="G326" s="12" t="n">
        <x:v>0.5555555555555556</x:v>
      </x:c>
      <x:c r="H326" s="12" t="n">
        <x:v>0.6666666666666666</x:v>
      </x:c>
      <x:c r="I326" s="29" t="n">
        <x:f>'Assumptions'!$D$11+'Assumptions'!$D$12*(0.5-(G326+H326)/2)</x:f>
        <x:v>0.27777777777777773</x:v>
      </x:c>
      <x:c r="J326" s="27" t="n">
        <x:f>'Assumptions'!$D$8*EXP(-'Assumptions'!$D$9*('Fleet Engine'!E205-10))*'Assumptions'!E56*'Assumptions'!E36</x:f>
        <x:v>5601.482226767098</x:v>
      </x:c>
      <x:c r="K326" s="27" t="n">
        <x:f>'Source Data'!F222+LN('Assumptions'!D56)+LN('Assumptions'!E35)</x:f>
        <x:v>8.056397553082528</x:v>
      </x:c>
      <x:c r="L326" s="27" t="n">
        <x:f>J326*(1-I326*(1-'Carrier Engine'!E92))</x:f>
        <x:v>4107.753632962539</x:v>
      </x:c>
      <x:c r="M326" s="29" t="n">
        <x:f>NORM.S.DIST((LN(L326)-K326)/'Assumptions'!$D$10,TRUE)</x:f>
        <x:v>0.5668184429915024</x:v>
      </x:c>
      <x:c r="N326" s="30" t="n">
        <x:f>MAX(0,H326-MAX(G326,M326))</x:f>
        <x:v>0.09984822367516422</x:v>
      </x:c>
      <x:c r="O326" s="28" t="n">
        <x:f>J326*I326</x:f>
        <x:v>1555.9672852130825</x:v>
      </x:c>
      <x:c r="P326" s="27" t="n">
        <x:f>(VLOOKUP(O326,'Fee Data'!$C$6:$G$50,2,TRUE)+O326*VLOOKUP(O326,'Fee Data'!$C$6:$G$50,3,TRUE)+VLOOKUP(O326,'Fee Data'!$I$6:$J$14,2,TRUE)+'Fee Data'!$J$20+'Fee Data'!$J$21)*'Assumptions'!E37</x:f>
        <x:v>640</x:v>
      </x:c>
      <x:c r="Q326" s="27" t="n">
        <x:f>(VLOOKUP(O326,'Fee Data'!$C$6:$G$50,4,TRUE)+O326*VLOOKUP(O326,'Fee Data'!$C$6:$G$50,5,TRUE)+VLOOKUP(O326,'Fee Data'!$I$6:$J$14,2,TRUE)+'Fee Data'!$J$20+'Fee Data'!$J$21)*'Assumptions'!E37</x:f>
        <x:v>510</x:v>
      </x:c>
      <x:c r="R326" s="27" t="n">
        <x:f>P326*(1-'Assumptions'!$D$14)+Q326*'Assumptions'!$D$14</x:f>
        <x:v>575</x:v>
      </x:c>
      <x:c r="S326" s="27" t="n">
        <x:f>O326*'Carrier Engine'!E92</x:f>
        <x:v>62.238691408523316</x:v>
      </x:c>
      <x:c r="T326" s="28" t="n">
        <x:f>R326+S326</x:f>
        <x:v>637.2386914085233</x:v>
      </x:c>
      <x:c r="U326" s="27" t="n">
        <x:f>N326*'Fleet Engine'!G205</x:f>
        <x:v>1161.2967829430984</x:v>
      </x:c>
      <x:c r="V326" s="28" t="n">
        <x:f>U326*T326</x:f>
        <x:v>740023.2422995879</x:v>
      </x:c>
      <x:c r="W326" s="28" t="n">
        <x:f>U326*O326</x:f>
        <x:v>1806939.8026826591</x:v>
      </x:c>
    </x:row>
    <x:row r="327" ht="19" customHeight="1">
      <x:c r="A327" s="2"/>
      <x:c r="B327" s="2"/>
      <x:c r="C327" s="46" t="n">
        <x:v>1</x:v>
      </x:c>
      <x:c r="D327" s="46" t="n">
        <x:v>11</x:v>
      </x:c>
      <x:c r="E327" s="46" t="n">
        <x:v>1</x:v>
      </x:c>
      <x:c r="F327" s="46" t="n">
        <x:v>5</x:v>
      </x:c>
      <x:c r="G327" s="12" t="n">
        <x:v>0.6666666666666666</x:v>
      </x:c>
      <x:c r="H327" s="12" t="n">
        <x:v>0.7777777777777778</x:v>
      </x:c>
      <x:c r="I327" s="29" t="n">
        <x:f>'Assumptions'!$D$11+'Assumptions'!$D$12*(0.5-(G327+H327)/2)</x:f>
        <x:v>0.25555555555555554</x:v>
      </x:c>
      <x:c r="J327" s="27" t="n">
        <x:f>'Assumptions'!$D$8*EXP(-'Assumptions'!$D$9*('Fleet Engine'!E205-10))*'Assumptions'!E56*'Assumptions'!E36</x:f>
        <x:v>5601.482226767098</x:v>
      </x:c>
      <x:c r="K327" s="27" t="n">
        <x:f>'Source Data'!F222+LN('Assumptions'!D56)+LN('Assumptions'!E35)</x:f>
        <x:v>8.056397553082528</x:v>
      </x:c>
      <x:c r="L327" s="27" t="n">
        <x:f>J327*(1-I327*(1-'Carrier Engine'!E92))</x:f>
        <x:v>4227.251920466903</x:v>
      </x:c>
      <x:c r="M327" s="29" t="n">
        <x:f>NORM.S.DIST((LN(L327)-K327)/'Assumptions'!$D$10,TRUE)</x:f>
        <x:v>0.5739902484750252</x:v>
      </x:c>
      <x:c r="N327" s="30" t="n">
        <x:f>MAX(0,H327-MAX(G327,M327))</x:f>
        <x:v>0.11111111111111116</x:v>
      </x:c>
      <x:c r="O327" s="28" t="n">
        <x:f>J327*I327</x:f>
        <x:v>1431.489902396036</x:v>
      </x:c>
      <x:c r="P327" s="27" t="n">
        <x:f>(VLOOKUP(O327,'Fee Data'!$C$6:$G$50,2,TRUE)+O327*VLOOKUP(O327,'Fee Data'!$C$6:$G$50,3,TRUE)+VLOOKUP(O327,'Fee Data'!$I$6:$J$14,2,TRUE)+'Fee Data'!$J$20+'Fee Data'!$J$21)*'Assumptions'!E37</x:f>
        <x:v>615</x:v>
      </x:c>
      <x:c r="Q327" s="27" t="n">
        <x:f>(VLOOKUP(O327,'Fee Data'!$C$6:$G$50,4,TRUE)+O327*VLOOKUP(O327,'Fee Data'!$C$6:$G$50,5,TRUE)+VLOOKUP(O327,'Fee Data'!$I$6:$J$14,2,TRUE)+'Fee Data'!$J$20+'Fee Data'!$J$21)*'Assumptions'!E37</x:f>
        <x:v>485</x:v>
      </x:c>
      <x:c r="R327" s="27" t="n">
        <x:f>P327*(1-'Assumptions'!$D$14)+Q327*'Assumptions'!$D$14</x:f>
        <x:v>550</x:v>
      </x:c>
      <x:c r="S327" s="27" t="n">
        <x:f>O327*'Carrier Engine'!E92</x:f>
        <x:v>57.25959609584145</x:v>
      </x:c>
      <x:c r="T327" s="28" t="n">
        <x:f>R327+S327</x:f>
        <x:v>607.2595960958414</x:v>
      </x:c>
      <x:c r="U327" s="27" t="n">
        <x:f>N327*'Fleet Engine'!G205</x:f>
        <x:v>1292.2911508405894</x:v>
      </x:c>
      <x:c r="V327" s="28" t="n">
        <x:f>U327*T327</x:f>
        <x:v>784756.2022976864</x:v>
      </x:c>
      <x:c r="W327" s="28" t="n">
        <x:f>U327*O327</x:f>
        <x:v>1849901.7333840565</x:v>
      </x:c>
    </x:row>
    <x:row r="328" ht="19" customHeight="1">
      <x:c r="A328" s="2"/>
      <x:c r="B328" s="2"/>
      <x:c r="C328" s="46" t="n">
        <x:v>1</x:v>
      </x:c>
      <x:c r="D328" s="46" t="n">
        <x:v>11</x:v>
      </x:c>
      <x:c r="E328" s="46" t="n">
        <x:v>1</x:v>
      </x:c>
      <x:c r="F328" s="46" t="n">
        <x:v>5</x:v>
      </x:c>
      <x:c r="G328" s="12" t="n">
        <x:v>0.7777777777777778</x:v>
      </x:c>
      <x:c r="H328" s="12" t="n">
        <x:v>0.8888888888888888</x:v>
      </x:c>
      <x:c r="I328" s="29" t="n">
        <x:f>'Assumptions'!$D$11+'Assumptions'!$D$12*(0.5-(G328+H328)/2)</x:f>
        <x:v>0.23333333333333334</x:v>
      </x:c>
      <x:c r="J328" s="27" t="n">
        <x:f>'Assumptions'!$D$8*EXP(-'Assumptions'!$D$9*('Fleet Engine'!E205-10))*'Assumptions'!E56*'Assumptions'!E36</x:f>
        <x:v>5601.482226767098</x:v>
      </x:c>
      <x:c r="K328" s="27" t="n">
        <x:f>'Source Data'!F222+LN('Assumptions'!D56)+LN('Assumptions'!E35)</x:f>
        <x:v>8.056397553082528</x:v>
      </x:c>
      <x:c r="L328" s="27" t="n">
        <x:f>J328*(1-I328*(1-'Carrier Engine'!E92))</x:f>
        <x:v>4346.7502079712685</x:v>
      </x:c>
      <x:c r="M328" s="29" t="n">
        <x:f>NORM.S.DIST((LN(L328)-K328)/'Assumptions'!$D$10,TRUE)</x:f>
        <x:v>0.5809387575906335</x:v>
      </x:c>
      <x:c r="N328" s="30" t="n">
        <x:f>MAX(0,H328-MAX(G328,M328))</x:f>
        <x:v>0.11111111111111105</x:v>
      </x:c>
      <x:c r="O328" s="28" t="n">
        <x:f>J328*I328</x:f>
        <x:v>1307.0125195789894</x:v>
      </x:c>
      <x:c r="P328" s="27" t="n">
        <x:f>(VLOOKUP(O328,'Fee Data'!$C$6:$G$50,2,TRUE)+O328*VLOOKUP(O328,'Fee Data'!$C$6:$G$50,3,TRUE)+VLOOKUP(O328,'Fee Data'!$I$6:$J$14,2,TRUE)+'Fee Data'!$J$20+'Fee Data'!$J$21)*'Assumptions'!E37</x:f>
        <x:v>595</x:v>
      </x:c>
      <x:c r="Q328" s="27" t="n">
        <x:f>(VLOOKUP(O328,'Fee Data'!$C$6:$G$50,4,TRUE)+O328*VLOOKUP(O328,'Fee Data'!$C$6:$G$50,5,TRUE)+VLOOKUP(O328,'Fee Data'!$I$6:$J$14,2,TRUE)+'Fee Data'!$J$20+'Fee Data'!$J$21)*'Assumptions'!E37</x:f>
        <x:v>470</x:v>
      </x:c>
      <x:c r="R328" s="27" t="n">
        <x:f>P328*(1-'Assumptions'!$D$14)+Q328*'Assumptions'!$D$14</x:f>
        <x:v>532.5</x:v>
      </x:c>
      <x:c r="S328" s="27" t="n">
        <x:f>O328*'Carrier Engine'!E92</x:f>
        <x:v>52.28050078315959</x:v>
      </x:c>
      <x:c r="T328" s="28" t="n">
        <x:f>R328+S328</x:f>
        <x:v>584.7805007831596</x:v>
      </x:c>
      <x:c r="U328" s="27" t="n">
        <x:f>N328*'Fleet Engine'!G205</x:f>
        <x:v>1292.291150840588</x:v>
      </x:c>
      <x:c r="V328" s="28" t="n">
        <x:f>U328*T328</x:f>
        <x:v>755706.6663462047</x:v>
      </x:c>
      <x:c r="W328" s="28" t="n">
        <x:f>U328*O328</x:f>
        <x:v>1689040.7130897888</x:v>
      </x:c>
    </x:row>
    <x:row r="329" ht="19" customHeight="1">
      <x:c r="A329" s="2"/>
      <x:c r="B329" s="2"/>
      <x:c r="C329" s="46" t="n">
        <x:v>1</x:v>
      </x:c>
      <x:c r="D329" s="46" t="n">
        <x:v>11</x:v>
      </x:c>
      <x:c r="E329" s="46" t="n">
        <x:v>1</x:v>
      </x:c>
      <x:c r="F329" s="46" t="n">
        <x:v>5</x:v>
      </x:c>
      <x:c r="G329" s="12" t="n">
        <x:v>0.8888888888888888</x:v>
      </x:c>
      <x:c r="H329" s="12" t="n">
        <x:v>1</x:v>
      </x:c>
      <x:c r="I329" s="29" t="n">
        <x:f>'Assumptions'!$D$11+'Assumptions'!$D$12*(0.5-(G329+H329)/2)</x:f>
        <x:v>0.21111111111111108</x:v>
      </x:c>
      <x:c r="J329" s="27" t="n">
        <x:f>'Assumptions'!$D$8*EXP(-'Assumptions'!$D$9*('Fleet Engine'!E205-10))*'Assumptions'!E56*'Assumptions'!E36</x:f>
        <x:v>5601.482226767098</x:v>
      </x:c>
      <x:c r="K329" s="27" t="n">
        <x:f>'Source Data'!F222+LN('Assumptions'!D56)+LN('Assumptions'!E35)</x:f>
        <x:v>8.056397553082528</x:v>
      </x:c>
      <x:c r="L329" s="27" t="n">
        <x:f>J329*(1-I329*(1-'Carrier Engine'!E92))</x:f>
        <x:v>4466.248495475633</x:v>
      </x:c>
      <x:c r="M329" s="29" t="n">
        <x:f>NORM.S.DIST((LN(L329)-K329)/'Assumptions'!$D$10,TRUE)</x:f>
        <x:v>0.5876746859896276</x:v>
      </x:c>
      <x:c r="N329" s="30" t="n">
        <x:f>MAX(0,H329-MAX(G329,M329))</x:f>
        <x:v>0.11111111111111116</x:v>
      </x:c>
      <x:c r="O329" s="28" t="n">
        <x:f>J329*I329</x:f>
        <x:v>1182.5351367619428</x:v>
      </x:c>
      <x:c r="P329" s="27" t="n">
        <x:f>(VLOOKUP(O329,'Fee Data'!$C$6:$G$50,2,TRUE)+O329*VLOOKUP(O329,'Fee Data'!$C$6:$G$50,3,TRUE)+VLOOKUP(O329,'Fee Data'!$I$6:$J$14,2,TRUE)+'Fee Data'!$J$20+'Fee Data'!$J$21)*'Assumptions'!E37</x:f>
        <x:v>560</x:v>
      </x:c>
      <x:c r="Q329" s="27" t="n">
        <x:f>(VLOOKUP(O329,'Fee Data'!$C$6:$G$50,4,TRUE)+O329*VLOOKUP(O329,'Fee Data'!$C$6:$G$50,5,TRUE)+VLOOKUP(O329,'Fee Data'!$I$6:$J$14,2,TRUE)+'Fee Data'!$J$20+'Fee Data'!$J$21)*'Assumptions'!E37</x:f>
        <x:v>435</x:v>
      </x:c>
      <x:c r="R329" s="27" t="n">
        <x:f>P329*(1-'Assumptions'!$D$14)+Q329*'Assumptions'!$D$14</x:f>
        <x:v>497.5</x:v>
      </x:c>
      <x:c r="S329" s="27" t="n">
        <x:f>O329*'Carrier Engine'!E92</x:f>
        <x:v>47.30140547047772</x:v>
      </x:c>
      <x:c r="T329" s="28" t="n">
        <x:f>R329+S329</x:f>
        <x:v>544.8014054704777</x:v>
      </x:c>
      <x:c r="U329" s="27" t="n">
        <x:f>N329*'Fleet Engine'!G205</x:f>
        <x:v>1292.2911508405894</x:v>
      </x:c>
      <x:c r="V329" s="28" t="n">
        <x:f>U329*T329</x:f>
        <x:v>704042.0352550142</x:v>
      </x:c>
      <x:c r="W329" s="28" t="n">
        <x:f>U329*O329</x:f>
        <x:v>1528179.6927955248</x:v>
      </x:c>
    </x:row>
    <x:row r="330" ht="19" customHeight="1">
      <x:c r="A330" s="2"/>
      <x:c r="B330" s="2"/>
      <x:c r="C330" s="46" t="n">
        <x:v>1</x:v>
      </x:c>
      <x:c r="D330" s="46" t="n">
        <x:v>12</x:v>
      </x:c>
      <x:c r="E330" s="46" t="n">
        <x:v>2</x:v>
      </x:c>
      <x:c r="F330" s="46" t="n">
        <x:v>0</x:v>
      </x:c>
      <x:c r="G330" s="12" t="n">
        <x:v>0</x:v>
      </x:c>
      <x:c r="H330" s="12" t="n">
        <x:v>0.1111111111111111</x:v>
      </x:c>
      <x:c r="I330" s="29" t="n">
        <x:f>'Assumptions'!$D$11+'Assumptions'!$D$12*(0.5-(G330+H330)/2)</x:f>
        <x:v>0.3888888888888889</x:v>
      </x:c>
      <x:c r="J330" s="27" t="n">
        <x:f>'Assumptions'!$D$8*EXP(-'Assumptions'!$D$9*('Fleet Engine'!E206-10))*'Assumptions'!E57*'Assumptions'!E36</x:f>
        <x:v>40583.94769889355</x:v>
      </x:c>
      <x:c r="K330" s="27" t="n">
        <x:f>'Source Data'!F217+LN('Assumptions'!D57)+LN('Assumptions'!E35)</x:f>
        <x:v>8.2942644758604</x:v>
      </x:c>
      <x:c r="L330" s="27" t="n">
        <x:f>J330*(1-I330*(1-'Carrier Engine'!E92))</x:f>
        <x:v>25432.60722463996</x:v>
      </x:c>
      <x:c r="M330" s="29" t="n">
        <x:f>NORM.S.DIST((LN(L330)-K330)/'Assumptions'!$D$10,TRUE)</x:f>
        <x:v>0.8805788825170106</x:v>
      </x:c>
      <x:c r="N330" s="30" t="n">
        <x:f>MAX(0,H330-MAX(G330,M330))</x:f>
        <x:v>0</x:v>
      </x:c>
      <x:c r="O330" s="28" t="n">
        <x:f>J330*I330</x:f>
        <x:v>15782.646327347491</x:v>
      </x:c>
      <x:c r="P330" s="27" t="n">
        <x:f>(VLOOKUP(O330,'Fee Data'!$C$6:$G$50,2,TRUE)+O330*VLOOKUP(O330,'Fee Data'!$C$6:$G$50,3,TRUE)+VLOOKUP(O330,'Fee Data'!$I$6:$J$14,2,TRUE)+'Fee Data'!$J$20+'Fee Data'!$J$21)*'Assumptions'!E37</x:f>
        <x:v>1433.6984745510617</x:v>
      </x:c>
      <x:c r="Q330" s="27" t="n">
        <x:f>(VLOOKUP(O330,'Fee Data'!$C$6:$G$50,4,TRUE)+O330*VLOOKUP(O330,'Fee Data'!$C$6:$G$50,5,TRUE)+VLOOKUP(O330,'Fee Data'!$I$6:$J$14,2,TRUE)+'Fee Data'!$J$20+'Fee Data'!$J$21)*'Assumptions'!E37</x:f>
        <x:v>1196.9587796408496</x:v>
      </x:c>
      <x:c r="R330" s="27" t="n">
        <x:f>P330*(1-'Assumptions'!$D$14)+Q330*'Assumptions'!$D$14</x:f>
        <x:v>1315.3286270959557</x:v>
      </x:c>
      <x:c r="S330" s="27" t="n">
        <x:f>O330*'Carrier Engine'!E92</x:f>
        <x:v>631.3058530938997</x:v>
      </x:c>
      <x:c r="T330" s="28" t="n">
        <x:f>R330+S330</x:f>
        <x:v>1946.6344801898554</x:v>
      </x:c>
      <x:c r="U330" s="27" t="n">
        <x:f>N330*'Fleet Engine'!G206</x:f>
        <x:v>0</x:v>
      </x:c>
      <x:c r="V330" s="28" t="n">
        <x:f>U330*T330</x:f>
        <x:v>0</x:v>
      </x:c>
      <x:c r="W330" s="28" t="n">
        <x:f>U330*O330</x:f>
        <x:v>0</x:v>
      </x:c>
    </x:row>
    <x:row r="331" ht="19" customHeight="1">
      <x:c r="A331" s="2"/>
      <x:c r="B331" s="2"/>
      <x:c r="C331" s="46" t="n">
        <x:v>1</x:v>
      </x:c>
      <x:c r="D331" s="46" t="n">
        <x:v>12</x:v>
      </x:c>
      <x:c r="E331" s="46" t="n">
        <x:v>2</x:v>
      </x:c>
      <x:c r="F331" s="46" t="n">
        <x:v>0</x:v>
      </x:c>
      <x:c r="G331" s="12" t="n">
        <x:v>0.1111111111111111</x:v>
      </x:c>
      <x:c r="H331" s="12" t="n">
        <x:v>0.2222222222222222</x:v>
      </x:c>
      <x:c r="I331" s="29" t="n">
        <x:f>'Assumptions'!$D$11+'Assumptions'!$D$12*(0.5-(G331+H331)/2)</x:f>
        <x:v>0.3666666666666667</x:v>
      </x:c>
      <x:c r="J331" s="27" t="n">
        <x:f>'Assumptions'!$D$8*EXP(-'Assumptions'!$D$9*('Fleet Engine'!E206-10))*'Assumptions'!E57*'Assumptions'!E36</x:f>
        <x:v>40583.94769889355</x:v>
      </x:c>
      <x:c r="K331" s="27" t="n">
        <x:f>'Source Data'!F217+LN('Assumptions'!D57)+LN('Assumptions'!E35)</x:f>
        <x:v>8.2942644758604</x:v>
      </x:c>
      <x:c r="L331" s="27" t="n">
        <x:f>J331*(1-I331*(1-'Carrier Engine'!E92))</x:f>
        <x:v>26298.398108883015</x:v>
      </x:c>
      <x:c r="M331" s="29" t="n">
        <x:f>NORM.S.DIST((LN(L331)-K331)/'Assumptions'!$D$10,TRUE)</x:f>
        <x:v>0.8847758792317063</x:v>
      </x:c>
      <x:c r="N331" s="30" t="n">
        <x:f>MAX(0,H331-MAX(G331,M331))</x:f>
        <x:v>0</x:v>
      </x:c>
      <x:c r="O331" s="28" t="n">
        <x:f>J331*I331</x:f>
        <x:v>14880.780822927636</x:v>
      </x:c>
      <x:c r="P331" s="27" t="n">
        <x:f>(VLOOKUP(O331,'Fee Data'!$C$6:$G$50,2,TRUE)+O331*VLOOKUP(O331,'Fee Data'!$C$6:$G$50,3,TRUE)+VLOOKUP(O331,'Fee Data'!$I$6:$J$14,2,TRUE)+'Fee Data'!$J$20+'Fee Data'!$J$21)*'Assumptions'!E37</x:f>
        <x:v>1250</x:v>
      </x:c>
      <x:c r="Q331" s="27" t="n">
        <x:f>(VLOOKUP(O331,'Fee Data'!$C$6:$G$50,4,TRUE)+O331*VLOOKUP(O331,'Fee Data'!$C$6:$G$50,5,TRUE)+VLOOKUP(O331,'Fee Data'!$I$6:$J$14,2,TRUE)+'Fee Data'!$J$20+'Fee Data'!$J$21)*'Assumptions'!E37</x:f>
        <x:v>1140</x:v>
      </x:c>
      <x:c r="R331" s="27" t="n">
        <x:f>P331*(1-'Assumptions'!$D$14)+Q331*'Assumptions'!$D$14</x:f>
        <x:v>1195</x:v>
      </x:c>
      <x:c r="S331" s="27" t="n">
        <x:f>O331*'Carrier Engine'!E92</x:f>
        <x:v>595.2312329171056</x:v>
      </x:c>
      <x:c r="T331" s="28" t="n">
        <x:f>R331+S331</x:f>
        <x:v>1790.2312329171054</x:v>
      </x:c>
      <x:c r="U331" s="27" t="n">
        <x:f>N331*'Fleet Engine'!G206</x:f>
        <x:v>0</x:v>
      </x:c>
      <x:c r="V331" s="28" t="n">
        <x:f>U331*T331</x:f>
        <x:v>0</x:v>
      </x:c>
      <x:c r="W331" s="28" t="n">
        <x:f>U331*O331</x:f>
        <x:v>0</x:v>
      </x:c>
    </x:row>
    <x:row r="332" ht="19" customHeight="1">
      <x:c r="A332" s="2"/>
      <x:c r="B332" s="2"/>
      <x:c r="C332" s="46" t="n">
        <x:v>1</x:v>
      </x:c>
      <x:c r="D332" s="46" t="n">
        <x:v>12</x:v>
      </x:c>
      <x:c r="E332" s="46" t="n">
        <x:v>2</x:v>
      </x:c>
      <x:c r="F332" s="46" t="n">
        <x:v>0</x:v>
      </x:c>
      <x:c r="G332" s="12" t="n">
        <x:v>0.2222222222222222</x:v>
      </x:c>
      <x:c r="H332" s="12" t="n">
        <x:v>0.3333333333333333</x:v>
      </x:c>
      <x:c r="I332" s="29" t="n">
        <x:f>'Assumptions'!$D$11+'Assumptions'!$D$12*(0.5-(G332+H332)/2)</x:f>
        <x:v>0.34444444444444444</x:v>
      </x:c>
      <x:c r="J332" s="27" t="n">
        <x:f>'Assumptions'!$D$8*EXP(-'Assumptions'!$D$9*('Fleet Engine'!E206-10))*'Assumptions'!E57*'Assumptions'!E36</x:f>
        <x:v>40583.94769889355</x:v>
      </x:c>
      <x:c r="K332" s="27" t="n">
        <x:f>'Source Data'!F217+LN('Assumptions'!D57)+LN('Assumptions'!E35)</x:f>
        <x:v>8.2942644758604</x:v>
      </x:c>
      <x:c r="L332" s="27" t="n">
        <x:f>J332*(1-I332*(1-'Carrier Engine'!E92))</x:f>
        <x:v>27164.18899312608</x:v>
      </x:c>
      <x:c r="M332" s="29" t="n">
        <x:f>NORM.S.DIST((LN(L332)-K332)/'Assumptions'!$D$10,TRUE)</x:f>
        <x:v>0.888736062055902</x:v>
      </x:c>
      <x:c r="N332" s="30" t="n">
        <x:f>MAX(0,H332-MAX(G332,M332))</x:f>
        <x:v>0</x:v>
      </x:c>
      <x:c r="O332" s="28" t="n">
        <x:f>J332*I332</x:f>
        <x:v>13978.915318507778</x:v>
      </x:c>
      <x:c r="P332" s="27" t="n">
        <x:f>(VLOOKUP(O332,'Fee Data'!$C$6:$G$50,2,TRUE)+O332*VLOOKUP(O332,'Fee Data'!$C$6:$G$50,3,TRUE)+VLOOKUP(O332,'Fee Data'!$I$6:$J$14,2,TRUE)+'Fee Data'!$J$20+'Fee Data'!$J$21)*'Assumptions'!E37</x:f>
        <x:v>1250</x:v>
      </x:c>
      <x:c r="Q332" s="27" t="n">
        <x:f>(VLOOKUP(O332,'Fee Data'!$C$6:$G$50,4,TRUE)+O332*VLOOKUP(O332,'Fee Data'!$C$6:$G$50,5,TRUE)+VLOOKUP(O332,'Fee Data'!$I$6:$J$14,2,TRUE)+'Fee Data'!$J$20+'Fee Data'!$J$21)*'Assumptions'!E37</x:f>
        <x:v>1140</x:v>
      </x:c>
      <x:c r="R332" s="27" t="n">
        <x:f>P332*(1-'Assumptions'!$D$14)+Q332*'Assumptions'!$D$14</x:f>
        <x:v>1195</x:v>
      </x:c>
      <x:c r="S332" s="27" t="n">
        <x:f>O332*'Carrier Engine'!E92</x:f>
        <x:v>559.1566127403112</x:v>
      </x:c>
      <x:c r="T332" s="28" t="n">
        <x:f>R332+S332</x:f>
        <x:v>1754.1566127403112</x:v>
      </x:c>
      <x:c r="U332" s="27" t="n">
        <x:f>N332*'Fleet Engine'!G206</x:f>
        <x:v>0</x:v>
      </x:c>
      <x:c r="V332" s="28" t="n">
        <x:f>U332*T332</x:f>
        <x:v>0</x:v>
      </x:c>
      <x:c r="W332" s="28" t="n">
        <x:f>U332*O332</x:f>
        <x:v>0</x:v>
      </x:c>
    </x:row>
    <x:row r="333" ht="19" customHeight="1">
      <x:c r="A333" s="2"/>
      <x:c r="B333" s="2"/>
      <x:c r="C333" s="46" t="n">
        <x:v>1</x:v>
      </x:c>
      <x:c r="D333" s="46" t="n">
        <x:v>12</x:v>
      </x:c>
      <x:c r="E333" s="46" t="n">
        <x:v>2</x:v>
      </x:c>
      <x:c r="F333" s="46" t="n">
        <x:v>0</x:v>
      </x:c>
      <x:c r="G333" s="12" t="n">
        <x:v>0.3333333333333333</x:v>
      </x:c>
      <x:c r="H333" s="12" t="n">
        <x:v>0.4444444444444444</x:v>
      </x:c>
      <x:c r="I333" s="29" t="n">
        <x:f>'Assumptions'!$D$11+'Assumptions'!$D$12*(0.5-(G333+H333)/2)</x:f>
        <x:v>0.32222222222222224</x:v>
      </x:c>
      <x:c r="J333" s="27" t="n">
        <x:f>'Assumptions'!$D$8*EXP(-'Assumptions'!$D$9*('Fleet Engine'!E206-10))*'Assumptions'!E57*'Assumptions'!E36</x:f>
        <x:v>40583.94769889355</x:v>
      </x:c>
      <x:c r="K333" s="27" t="n">
        <x:f>'Source Data'!F217+LN('Assumptions'!D57)+LN('Assumptions'!E35)</x:f>
        <x:v>8.2942644758604</x:v>
      </x:c>
      <x:c r="L333" s="27" t="n">
        <x:f>J333*(1-I333*(1-'Carrier Engine'!E92))</x:f>
        <x:v>28029.979877369144</x:v>
      </x:c>
      <x:c r="M333" s="29" t="n">
        <x:f>NORM.S.DIST((LN(L333)-K333)/'Assumptions'!$D$10,TRUE)</x:f>
        <x:v>0.8924781519277265</x:v>
      </x:c>
      <x:c r="N333" s="30" t="n">
        <x:f>MAX(0,H333-MAX(G333,M333))</x:f>
        <x:v>0</x:v>
      </x:c>
      <x:c r="O333" s="28" t="n">
        <x:f>J333*I333</x:f>
        <x:v>13077.049814087923</x:v>
      </x:c>
      <x:c r="P333" s="27" t="n">
        <x:f>(VLOOKUP(O333,'Fee Data'!$C$6:$G$50,2,TRUE)+O333*VLOOKUP(O333,'Fee Data'!$C$6:$G$50,3,TRUE)+VLOOKUP(O333,'Fee Data'!$I$6:$J$14,2,TRUE)+'Fee Data'!$J$20+'Fee Data'!$J$21)*'Assumptions'!E37</x:f>
        <x:v>1250</x:v>
      </x:c>
      <x:c r="Q333" s="27" t="n">
        <x:f>(VLOOKUP(O333,'Fee Data'!$C$6:$G$50,4,TRUE)+O333*VLOOKUP(O333,'Fee Data'!$C$6:$G$50,5,TRUE)+VLOOKUP(O333,'Fee Data'!$I$6:$J$14,2,TRUE)+'Fee Data'!$J$20+'Fee Data'!$J$21)*'Assumptions'!E37</x:f>
        <x:v>1140</x:v>
      </x:c>
      <x:c r="R333" s="27" t="n">
        <x:f>P333*(1-'Assumptions'!$D$14)+Q333*'Assumptions'!$D$14</x:f>
        <x:v>1195</x:v>
      </x:c>
      <x:c r="S333" s="27" t="n">
        <x:f>O333*'Carrier Engine'!E92</x:f>
        <x:v>523.081992563517</x:v>
      </x:c>
      <x:c r="T333" s="28" t="n">
        <x:f>R333+S333</x:f>
        <x:v>1718.081992563517</x:v>
      </x:c>
      <x:c r="U333" s="27" t="n">
        <x:f>N333*'Fleet Engine'!G206</x:f>
        <x:v>0</x:v>
      </x:c>
      <x:c r="V333" s="28" t="n">
        <x:f>U333*T333</x:f>
        <x:v>0</x:v>
      </x:c>
      <x:c r="W333" s="28" t="n">
        <x:f>U333*O333</x:f>
        <x:v>0</x:v>
      </x:c>
    </x:row>
    <x:row r="334" ht="19" customHeight="1">
      <x:c r="A334" s="2"/>
      <x:c r="B334" s="2"/>
      <x:c r="C334" s="46" t="n">
        <x:v>1</x:v>
      </x:c>
      <x:c r="D334" s="46" t="n">
        <x:v>12</x:v>
      </x:c>
      <x:c r="E334" s="46" t="n">
        <x:v>2</x:v>
      </x:c>
      <x:c r="F334" s="46" t="n">
        <x:v>0</x:v>
      </x:c>
      <x:c r="G334" s="12" t="n">
        <x:v>0.4444444444444444</x:v>
      </x:c>
      <x:c r="H334" s="12" t="n">
        <x:v>0.5555555555555556</x:v>
      </x:c>
      <x:c r="I334" s="29" t="n">
        <x:f>'Assumptions'!$D$11+'Assumptions'!$D$12*(0.5-(G334+H334)/2)</x:f>
        <x:v>0.3</x:v>
      </x:c>
      <x:c r="J334" s="27" t="n">
        <x:f>'Assumptions'!$D$8*EXP(-'Assumptions'!$D$9*('Fleet Engine'!E206-10))*'Assumptions'!E57*'Assumptions'!E36</x:f>
        <x:v>40583.94769889355</x:v>
      </x:c>
      <x:c r="K334" s="27" t="n">
        <x:f>'Source Data'!F217+LN('Assumptions'!D57)+LN('Assumptions'!E35)</x:f>
        <x:v>8.2942644758604</x:v>
      </x:c>
      <x:c r="L334" s="27" t="n">
        <x:f>J334*(1-I334*(1-'Carrier Engine'!E92))</x:f>
        <x:v>28895.770761612206</x:v>
      </x:c>
      <x:c r="M334" s="29" t="n">
        <x:f>NORM.S.DIST((LN(L334)-K334)/'Assumptions'!$D$10,TRUE)</x:f>
        <x:v>0.8960189619269877</x:v>
      </x:c>
      <x:c r="N334" s="30" t="n">
        <x:f>MAX(0,H334-MAX(G334,M334))</x:f>
        <x:v>0</x:v>
      </x:c>
      <x:c r="O334" s="28" t="n">
        <x:f>J334*I334</x:f>
        <x:v>12175.184309668064</x:v>
      </x:c>
      <x:c r="P334" s="27" t="n">
        <x:f>(VLOOKUP(O334,'Fee Data'!$C$6:$G$50,2,TRUE)+O334*VLOOKUP(O334,'Fee Data'!$C$6:$G$50,3,TRUE)+VLOOKUP(O334,'Fee Data'!$I$6:$J$14,2,TRUE)+'Fee Data'!$J$20+'Fee Data'!$J$21)*'Assumptions'!E37</x:f>
        <x:v>1250</x:v>
      </x:c>
      <x:c r="Q334" s="27" t="n">
        <x:f>(VLOOKUP(O334,'Fee Data'!$C$6:$G$50,4,TRUE)+O334*VLOOKUP(O334,'Fee Data'!$C$6:$G$50,5,TRUE)+VLOOKUP(O334,'Fee Data'!$I$6:$J$14,2,TRUE)+'Fee Data'!$J$20+'Fee Data'!$J$21)*'Assumptions'!E37</x:f>
        <x:v>1125</x:v>
      </x:c>
      <x:c r="R334" s="27" t="n">
        <x:f>P334*(1-'Assumptions'!$D$14)+Q334*'Assumptions'!$D$14</x:f>
        <x:v>1187.5</x:v>
      </x:c>
      <x:c r="S334" s="27" t="n">
        <x:f>O334*'Carrier Engine'!E92</x:f>
        <x:v>487.00737238672264</x:v>
      </x:c>
      <x:c r="T334" s="28" t="n">
        <x:f>R334+S334</x:f>
        <x:v>1674.5073723867226</x:v>
      </x:c>
      <x:c r="U334" s="27" t="n">
        <x:f>N334*'Fleet Engine'!G206</x:f>
        <x:v>0</x:v>
      </x:c>
      <x:c r="V334" s="28" t="n">
        <x:f>U334*T334</x:f>
        <x:v>0</x:v>
      </x:c>
      <x:c r="W334" s="28" t="n">
        <x:f>U334*O334</x:f>
        <x:v>0</x:v>
      </x:c>
    </x:row>
    <x:row r="335" ht="19" customHeight="1">
      <x:c r="A335" s="2"/>
      <x:c r="B335" s="2"/>
      <x:c r="C335" s="46" t="n">
        <x:v>1</x:v>
      </x:c>
      <x:c r="D335" s="46" t="n">
        <x:v>12</x:v>
      </x:c>
      <x:c r="E335" s="46" t="n">
        <x:v>2</x:v>
      </x:c>
      <x:c r="F335" s="46" t="n">
        <x:v>0</x:v>
      </x:c>
      <x:c r="G335" s="12" t="n">
        <x:v>0.5555555555555556</x:v>
      </x:c>
      <x:c r="H335" s="12" t="n">
        <x:v>0.6666666666666666</x:v>
      </x:c>
      <x:c r="I335" s="29" t="n">
        <x:f>'Assumptions'!$D$11+'Assumptions'!$D$12*(0.5-(G335+H335)/2)</x:f>
        <x:v>0.27777777777777773</x:v>
      </x:c>
      <x:c r="J335" s="27" t="n">
        <x:f>'Assumptions'!$D$8*EXP(-'Assumptions'!$D$9*('Fleet Engine'!E206-10))*'Assumptions'!E57*'Assumptions'!E36</x:f>
        <x:v>40583.94769889355</x:v>
      </x:c>
      <x:c r="K335" s="27" t="n">
        <x:f>'Source Data'!F217+LN('Assumptions'!D57)+LN('Assumptions'!E35)</x:f>
        <x:v>8.2942644758604</x:v>
      </x:c>
      <x:c r="L335" s="27" t="n">
        <x:f>J335*(1-I335*(1-'Carrier Engine'!E92))</x:f>
        <x:v>29761.561645855272</x:v>
      </x:c>
      <x:c r="M335" s="29" t="n">
        <x:f>NORM.S.DIST((LN(L335)-K335)/'Assumptions'!$D$10,TRUE)</x:f>
        <x:v>0.899373634683205</x:v>
      </x:c>
      <x:c r="N335" s="30" t="n">
        <x:f>MAX(0,H335-MAX(G335,M335))</x:f>
        <x:v>0</x:v>
      </x:c>
      <x:c r="O335" s="28" t="n">
        <x:f>J335*I335</x:f>
        <x:v>11273.318805248206</x:v>
      </x:c>
      <x:c r="P335" s="27" t="n">
        <x:f>(VLOOKUP(O335,'Fee Data'!$C$6:$G$50,2,TRUE)+O335*VLOOKUP(O335,'Fee Data'!$C$6:$G$50,3,TRUE)+VLOOKUP(O335,'Fee Data'!$I$6:$J$14,2,TRUE)+'Fee Data'!$J$20+'Fee Data'!$J$21)*'Assumptions'!E37</x:f>
        <x:v>1250</x:v>
      </x:c>
      <x:c r="Q335" s="27" t="n">
        <x:f>(VLOOKUP(O335,'Fee Data'!$C$6:$G$50,4,TRUE)+O335*VLOOKUP(O335,'Fee Data'!$C$6:$G$50,5,TRUE)+VLOOKUP(O335,'Fee Data'!$I$6:$J$14,2,TRUE)+'Fee Data'!$J$20+'Fee Data'!$J$21)*'Assumptions'!E37</x:f>
        <x:v>1100</x:v>
      </x:c>
      <x:c r="R335" s="27" t="n">
        <x:f>P335*(1-'Assumptions'!$D$14)+Q335*'Assumptions'!$D$14</x:f>
        <x:v>1175</x:v>
      </x:c>
      <x:c r="S335" s="27" t="n">
        <x:f>O335*'Carrier Engine'!E92</x:f>
        <x:v>450.9327522099283</x:v>
      </x:c>
      <x:c r="T335" s="28" t="n">
        <x:f>R335+S335</x:f>
        <x:v>1625.9327522099284</x:v>
      </x:c>
      <x:c r="U335" s="27" t="n">
        <x:f>N335*'Fleet Engine'!G206</x:f>
        <x:v>0</x:v>
      </x:c>
      <x:c r="V335" s="28" t="n">
        <x:f>U335*T335</x:f>
        <x:v>0</x:v>
      </x:c>
      <x:c r="W335" s="28" t="n">
        <x:f>U335*O335</x:f>
        <x:v>0</x:v>
      </x:c>
    </x:row>
    <x:row r="336" ht="19" customHeight="1">
      <x:c r="A336" s="2"/>
      <x:c r="B336" s="2"/>
      <x:c r="C336" s="46" t="n">
        <x:v>1</x:v>
      </x:c>
      <x:c r="D336" s="46" t="n">
        <x:v>12</x:v>
      </x:c>
      <x:c r="E336" s="46" t="n">
        <x:v>2</x:v>
      </x:c>
      <x:c r="F336" s="46" t="n">
        <x:v>0</x:v>
      </x:c>
      <x:c r="G336" s="12" t="n">
        <x:v>0.6666666666666666</x:v>
      </x:c>
      <x:c r="H336" s="12" t="n">
        <x:v>0.7777777777777778</x:v>
      </x:c>
      <x:c r="I336" s="29" t="n">
        <x:f>'Assumptions'!$D$11+'Assumptions'!$D$12*(0.5-(G336+H336)/2)</x:f>
        <x:v>0.25555555555555554</x:v>
      </x:c>
      <x:c r="J336" s="27" t="n">
        <x:f>'Assumptions'!$D$8*EXP(-'Assumptions'!$D$9*('Fleet Engine'!E206-10))*'Assumptions'!E57*'Assumptions'!E36</x:f>
        <x:v>40583.94769889355</x:v>
      </x:c>
      <x:c r="K336" s="27" t="n">
        <x:f>'Source Data'!F217+LN('Assumptions'!D57)+LN('Assumptions'!E35)</x:f>
        <x:v>8.2942644758604</x:v>
      </x:c>
      <x:c r="L336" s="27" t="n">
        <x:f>J336*(1-I336*(1-'Carrier Engine'!E92))</x:f>
        <x:v>30627.352530098335</x:v>
      </x:c>
      <x:c r="M336" s="29" t="n">
        <x:f>NORM.S.DIST((LN(L336)-K336)/'Assumptions'!$D$10,TRUE)</x:f>
        <x:v>0.9025558450372322</x:v>
      </x:c>
      <x:c r="N336" s="30" t="n">
        <x:f>MAX(0,H336-MAX(G336,M336))</x:f>
        <x:v>0</x:v>
      </x:c>
      <x:c r="O336" s="28" t="n">
        <x:f>J336*I336</x:f>
        <x:v>10371.45330082835</x:v>
      </x:c>
      <x:c r="P336" s="27" t="n">
        <x:f>(VLOOKUP(O336,'Fee Data'!$C$6:$G$50,2,TRUE)+O336*VLOOKUP(O336,'Fee Data'!$C$6:$G$50,3,TRUE)+VLOOKUP(O336,'Fee Data'!$I$6:$J$14,2,TRUE)+'Fee Data'!$J$20+'Fee Data'!$J$21)*'Assumptions'!E37</x:f>
        <x:v>1250</x:v>
      </x:c>
      <x:c r="Q336" s="27" t="n">
        <x:f>(VLOOKUP(O336,'Fee Data'!$C$6:$G$50,4,TRUE)+O336*VLOOKUP(O336,'Fee Data'!$C$6:$G$50,5,TRUE)+VLOOKUP(O336,'Fee Data'!$I$6:$J$14,2,TRUE)+'Fee Data'!$J$20+'Fee Data'!$J$21)*'Assumptions'!E37</x:f>
        <x:v>1100</x:v>
      </x:c>
      <x:c r="R336" s="27" t="n">
        <x:f>P336*(1-'Assumptions'!$D$14)+Q336*'Assumptions'!$D$14</x:f>
        <x:v>1175</x:v>
      </x:c>
      <x:c r="S336" s="27" t="n">
        <x:f>O336*'Carrier Engine'!E92</x:f>
        <x:v>414.8581320331341</x:v>
      </x:c>
      <x:c r="T336" s="28" t="n">
        <x:f>R336+S336</x:f>
        <x:v>1589.858132033134</x:v>
      </x:c>
      <x:c r="U336" s="27" t="n">
        <x:f>N336*'Fleet Engine'!G206</x:f>
        <x:v>0</x:v>
      </x:c>
      <x:c r="V336" s="28" t="n">
        <x:f>U336*T336</x:f>
        <x:v>0</x:v>
      </x:c>
      <x:c r="W336" s="28" t="n">
        <x:f>U336*O336</x:f>
        <x:v>0</x:v>
      </x:c>
    </x:row>
    <x:row r="337" ht="19" customHeight="1">
      <x:c r="A337" s="2"/>
      <x:c r="B337" s="2"/>
      <x:c r="C337" s="46" t="n">
        <x:v>1</x:v>
      </x:c>
      <x:c r="D337" s="46" t="n">
        <x:v>12</x:v>
      </x:c>
      <x:c r="E337" s="46" t="n">
        <x:v>2</x:v>
      </x:c>
      <x:c r="F337" s="46" t="n">
        <x:v>0</x:v>
      </x:c>
      <x:c r="G337" s="12" t="n">
        <x:v>0.7777777777777778</x:v>
      </x:c>
      <x:c r="H337" s="12" t="n">
        <x:v>0.8888888888888888</x:v>
      </x:c>
      <x:c r="I337" s="29" t="n">
        <x:f>'Assumptions'!$D$11+'Assumptions'!$D$12*(0.5-(G337+H337)/2)</x:f>
        <x:v>0.23333333333333334</x:v>
      </x:c>
      <x:c r="J337" s="27" t="n">
        <x:f>'Assumptions'!$D$8*EXP(-'Assumptions'!$D$9*('Fleet Engine'!E206-10))*'Assumptions'!E57*'Assumptions'!E36</x:f>
        <x:v>40583.94769889355</x:v>
      </x:c>
      <x:c r="K337" s="27" t="n">
        <x:f>'Source Data'!F217+LN('Assumptions'!D57)+LN('Assumptions'!E35)</x:f>
        <x:v>8.2942644758604</x:v>
      </x:c>
      <x:c r="L337" s="27" t="n">
        <x:f>J337*(1-I337*(1-'Carrier Engine'!E92))</x:f>
        <x:v>31493.143414341394</x:v>
      </x:c>
      <x:c r="M337" s="29" t="n">
        <x:f>NORM.S.DIST((LN(L337)-K337)/'Assumptions'!$D$10,TRUE)</x:f>
        <x:v>0.9055779737778874</x:v>
      </x:c>
      <x:c r="N337" s="30" t="n">
        <x:f>MAX(0,H337-MAX(G337,M337))</x:f>
        <x:v>0</x:v>
      </x:c>
      <x:c r="O337" s="28" t="n">
        <x:f>J337*I337</x:f>
        <x:v>9469.587796408496</x:v>
      </x:c>
      <x:c r="P337" s="27" t="n">
        <x:f>(VLOOKUP(O337,'Fee Data'!$C$6:$G$50,2,TRUE)+O337*VLOOKUP(O337,'Fee Data'!$C$6:$G$50,3,TRUE)+VLOOKUP(O337,'Fee Data'!$I$6:$J$14,2,TRUE)+'Fee Data'!$J$20+'Fee Data'!$J$21)*'Assumptions'!E37</x:f>
        <x:v>1195</x:v>
      </x:c>
      <x:c r="Q337" s="27" t="n">
        <x:f>(VLOOKUP(O337,'Fee Data'!$C$6:$G$50,4,TRUE)+O337*VLOOKUP(O337,'Fee Data'!$C$6:$G$50,5,TRUE)+VLOOKUP(O337,'Fee Data'!$I$6:$J$14,2,TRUE)+'Fee Data'!$J$20+'Fee Data'!$J$21)*'Assumptions'!E37</x:f>
        <x:v>1070</x:v>
      </x:c>
      <x:c r="R337" s="27" t="n">
        <x:f>P337*(1-'Assumptions'!$D$14)+Q337*'Assumptions'!$D$14</x:f>
        <x:v>1132.5</x:v>
      </x:c>
      <x:c r="S337" s="27" t="n">
        <x:f>O337*'Carrier Engine'!E92</x:f>
        <x:v>378.7835118563399</x:v>
      </x:c>
      <x:c r="T337" s="28" t="n">
        <x:f>R337+S337</x:f>
        <x:v>1511.2835118563398</x:v>
      </x:c>
      <x:c r="U337" s="27" t="n">
        <x:f>N337*'Fleet Engine'!G206</x:f>
        <x:v>0</x:v>
      </x:c>
      <x:c r="V337" s="28" t="n">
        <x:f>U337*T337</x:f>
        <x:v>0</x:v>
      </x:c>
      <x:c r="W337" s="28" t="n">
        <x:f>U337*O337</x:f>
        <x:v>0</x:v>
      </x:c>
    </x:row>
    <x:row r="338" ht="19" customHeight="1">
      <x:c r="A338" s="2"/>
      <x:c r="B338" s="2"/>
      <x:c r="C338" s="46" t="n">
        <x:v>1</x:v>
      </x:c>
      <x:c r="D338" s="46" t="n">
        <x:v>12</x:v>
      </x:c>
      <x:c r="E338" s="46" t="n">
        <x:v>2</x:v>
      </x:c>
      <x:c r="F338" s="46" t="n">
        <x:v>0</x:v>
      </x:c>
      <x:c r="G338" s="12" t="n">
        <x:v>0.8888888888888888</x:v>
      </x:c>
      <x:c r="H338" s="12" t="n">
        <x:v>1</x:v>
      </x:c>
      <x:c r="I338" s="29" t="n">
        <x:f>'Assumptions'!$D$11+'Assumptions'!$D$12*(0.5-(G338+H338)/2)</x:f>
        <x:v>0.21111111111111108</x:v>
      </x:c>
      <x:c r="J338" s="27" t="n">
        <x:f>'Assumptions'!$D$8*EXP(-'Assumptions'!$D$9*('Fleet Engine'!E206-10))*'Assumptions'!E57*'Assumptions'!E36</x:f>
        <x:v>40583.94769889355</x:v>
      </x:c>
      <x:c r="K338" s="27" t="n">
        <x:f>'Source Data'!F217+LN('Assumptions'!D57)+LN('Assumptions'!E35)</x:f>
        <x:v>8.2942644758604</x:v>
      </x:c>
      <x:c r="L338" s="27" t="n">
        <x:f>J338*(1-I338*(1-'Carrier Engine'!E92))</x:f>
        <x:v>32358.934298584456</x:v>
      </x:c>
      <x:c r="M338" s="29" t="n">
        <x:f>NORM.S.DIST((LN(L338)-K338)/'Assumptions'!$D$10,TRUE)</x:f>
        <x:v>0.9084512571809873</x:v>
      </x:c>
      <x:c r="N338" s="30" t="n">
        <x:f>MAX(0,H338-MAX(G338,M338))</x:f>
        <x:v>0.09154874281901271</x:v>
      </x:c>
      <x:c r="O338" s="28" t="n">
        <x:f>J338*I338</x:f>
        <x:v>8567.722291988637</x:v>
      </x:c>
      <x:c r="P338" s="27" t="n">
        <x:f>(VLOOKUP(O338,'Fee Data'!$C$6:$G$50,2,TRUE)+O338*VLOOKUP(O338,'Fee Data'!$C$6:$G$50,3,TRUE)+VLOOKUP(O338,'Fee Data'!$I$6:$J$14,2,TRUE)+'Fee Data'!$J$20+'Fee Data'!$J$21)*'Assumptions'!E37</x:f>
        <x:v>1195</x:v>
      </x:c>
      <x:c r="Q338" s="27" t="n">
        <x:f>(VLOOKUP(O338,'Fee Data'!$C$6:$G$50,4,TRUE)+O338*VLOOKUP(O338,'Fee Data'!$C$6:$G$50,5,TRUE)+VLOOKUP(O338,'Fee Data'!$I$6:$J$14,2,TRUE)+'Fee Data'!$J$20+'Fee Data'!$J$21)*'Assumptions'!E37</x:f>
        <x:v>1070</x:v>
      </x:c>
      <x:c r="R338" s="27" t="n">
        <x:f>P338*(1-'Assumptions'!$D$14)+Q338*'Assumptions'!$D$14</x:f>
        <x:v>1132.5</x:v>
      </x:c>
      <x:c r="S338" s="27" t="n">
        <x:f>O338*'Carrier Engine'!E92</x:f>
        <x:v>342.70889167954556</x:v>
      </x:c>
      <x:c r="T338" s="28" t="n">
        <x:f>R338+S338</x:f>
        <x:v>1475.2088916795456</x:v>
      </x:c>
      <x:c r="U338" s="27" t="n">
        <x:f>N338*'Fleet Engine'!G206</x:f>
        <x:v>115.28825812162245</x:v>
      </x:c>
      <x:c r="V338" s="28" t="n">
        <x:f>U338*T338</x:f>
        <x:v>170074.26348726402</x:v>
      </x:c>
      <x:c r="W338" s="28" t="n">
        <x:f>U338*O338</x:f>
        <x:v>987757.7791131646</x:v>
      </x:c>
    </x:row>
    <x:row r="339" ht="19" customHeight="1">
      <x:c r="A339" s="2"/>
      <x:c r="B339" s="2"/>
      <x:c r="C339" s="46" t="n">
        <x:v>1</x:v>
      </x:c>
      <x:c r="D339" s="46" t="n">
        <x:v>13</x:v>
      </x:c>
      <x:c r="E339" s="46" t="n">
        <x:v>2</x:v>
      </x:c>
      <x:c r="F339" s="46" t="n">
        <x:v>1</x:v>
      </x:c>
      <x:c r="G339" s="12" t="n">
        <x:v>0</x:v>
      </x:c>
      <x:c r="H339" s="12" t="n">
        <x:v>0.1111111111111111</x:v>
      </x:c>
      <x:c r="I339" s="29" t="n">
        <x:f>'Assumptions'!$D$11+'Assumptions'!$D$12*(0.5-(G339+H339)/2)</x:f>
        <x:v>0.3888888888888889</x:v>
      </x:c>
      <x:c r="J339" s="27" t="n">
        <x:f>'Assumptions'!$D$8*EXP(-'Assumptions'!$D$9*('Fleet Engine'!E207-10))*'Assumptions'!E57*'Assumptions'!E36</x:f>
        <x:v>33227.326062392545</x:v>
      </x:c>
      <x:c r="K339" s="27" t="n">
        <x:f>'Source Data'!F218+LN('Assumptions'!D57)+LN('Assumptions'!E35)</x:f>
        <x:v>8.179823674316163</x:v>
      </x:c>
      <x:c r="L339" s="27" t="n">
        <x:f>J339*(1-I339*(1-'Carrier Engine'!E92))</x:f>
        <x:v>20822.457665765996</x:v>
      </x:c>
      <x:c r="M339" s="29" t="n">
        <x:f>NORM.S.DIST((LN(L339)-K339)/'Assumptions'!$D$10,TRUE)</x:f>
        <x:v>0.8693654103038547</x:v>
      </x:c>
      <x:c r="N339" s="30" t="n">
        <x:f>MAX(0,H339-MAX(G339,M339))</x:f>
        <x:v>0</x:v>
      </x:c>
      <x:c r="O339" s="28" t="n">
        <x:f>J339*I339</x:f>
        <x:v>12921.737913152656</x:v>
      </x:c>
      <x:c r="P339" s="27" t="n">
        <x:f>(VLOOKUP(O339,'Fee Data'!$C$6:$G$50,2,TRUE)+O339*VLOOKUP(O339,'Fee Data'!$C$6:$G$50,3,TRUE)+VLOOKUP(O339,'Fee Data'!$I$6:$J$14,2,TRUE)+'Fee Data'!$J$20+'Fee Data'!$J$21)*'Assumptions'!E37</x:f>
        <x:v>1250</x:v>
      </x:c>
      <x:c r="Q339" s="27" t="n">
        <x:f>(VLOOKUP(O339,'Fee Data'!$C$6:$G$50,4,TRUE)+O339*VLOOKUP(O339,'Fee Data'!$C$6:$G$50,5,TRUE)+VLOOKUP(O339,'Fee Data'!$I$6:$J$14,2,TRUE)+'Fee Data'!$J$20+'Fee Data'!$J$21)*'Assumptions'!E37</x:f>
        <x:v>1140</x:v>
      </x:c>
      <x:c r="R339" s="27" t="n">
        <x:f>P339*(1-'Assumptions'!$D$14)+Q339*'Assumptions'!$D$14</x:f>
        <x:v>1195</x:v>
      </x:c>
      <x:c r="S339" s="27" t="n">
        <x:f>O339*'Carrier Engine'!E92</x:f>
        <x:v>516.8695165261063</x:v>
      </x:c>
      <x:c r="T339" s="28" t="n">
        <x:f>R339+S339</x:f>
        <x:v>1711.8695165261063</x:v>
      </x:c>
      <x:c r="U339" s="27" t="n">
        <x:f>N339*'Fleet Engine'!G207</x:f>
        <x:v>0</x:v>
      </x:c>
      <x:c r="V339" s="28" t="n">
        <x:f>U339*T339</x:f>
        <x:v>0</x:v>
      </x:c>
      <x:c r="W339" s="28" t="n">
        <x:f>U339*O339</x:f>
        <x:v>0</x:v>
      </x:c>
    </x:row>
    <x:row r="340" ht="19" customHeight="1">
      <x:c r="A340" s="2"/>
      <x:c r="B340" s="2"/>
      <x:c r="C340" s="46" t="n">
        <x:v>1</x:v>
      </x:c>
      <x:c r="D340" s="46" t="n">
        <x:v>13</x:v>
      </x:c>
      <x:c r="E340" s="46" t="n">
        <x:v>2</x:v>
      </x:c>
      <x:c r="F340" s="46" t="n">
        <x:v>1</x:v>
      </x:c>
      <x:c r="G340" s="12" t="n">
        <x:v>0.1111111111111111</x:v>
      </x:c>
      <x:c r="H340" s="12" t="n">
        <x:v>0.2222222222222222</x:v>
      </x:c>
      <x:c r="I340" s="29" t="n">
        <x:f>'Assumptions'!$D$11+'Assumptions'!$D$12*(0.5-(G340+H340)/2)</x:f>
        <x:v>0.3666666666666667</x:v>
      </x:c>
      <x:c r="J340" s="27" t="n">
        <x:f>'Assumptions'!$D$8*EXP(-'Assumptions'!$D$9*('Fleet Engine'!E207-10))*'Assumptions'!E57*'Assumptions'!E36</x:f>
        <x:v>33227.326062392545</x:v>
      </x:c>
      <x:c r="K340" s="27" t="n">
        <x:f>'Source Data'!F218+LN('Assumptions'!D57)+LN('Assumptions'!E35)</x:f>
        <x:v>8.179823674316163</x:v>
      </x:c>
      <x:c r="L340" s="27" t="n">
        <x:f>J340*(1-I340*(1-'Carrier Engine'!E92))</x:f>
        <x:v>21531.307288430366</x:v>
      </x:c>
      <x:c r="M340" s="29" t="n">
        <x:f>NORM.S.DIST((LN(L340)-K340)/'Assumptions'!$D$10,TRUE)</x:f>
        <x:v>0.8738365578665881</x:v>
      </x:c>
      <x:c r="N340" s="30" t="n">
        <x:f>MAX(0,H340-MAX(G340,M340))</x:f>
        <x:v>0</x:v>
      </x:c>
      <x:c r="O340" s="28" t="n">
        <x:f>J340*I340</x:f>
        <x:v>12183.352889543934</x:v>
      </x:c>
      <x:c r="P340" s="27" t="n">
        <x:f>(VLOOKUP(O340,'Fee Data'!$C$6:$G$50,2,TRUE)+O340*VLOOKUP(O340,'Fee Data'!$C$6:$G$50,3,TRUE)+VLOOKUP(O340,'Fee Data'!$I$6:$J$14,2,TRUE)+'Fee Data'!$J$20+'Fee Data'!$J$21)*'Assumptions'!E37</x:f>
        <x:v>1250</x:v>
      </x:c>
      <x:c r="Q340" s="27" t="n">
        <x:f>(VLOOKUP(O340,'Fee Data'!$C$6:$G$50,4,TRUE)+O340*VLOOKUP(O340,'Fee Data'!$C$6:$G$50,5,TRUE)+VLOOKUP(O340,'Fee Data'!$I$6:$J$14,2,TRUE)+'Fee Data'!$J$20+'Fee Data'!$J$21)*'Assumptions'!E37</x:f>
        <x:v>1125</x:v>
      </x:c>
      <x:c r="R340" s="27" t="n">
        <x:f>P340*(1-'Assumptions'!$D$14)+Q340*'Assumptions'!$D$14</x:f>
        <x:v>1187.5</x:v>
      </x:c>
      <x:c r="S340" s="27" t="n">
        <x:f>O340*'Carrier Engine'!E92</x:f>
        <x:v>487.33411558175743</x:v>
      </x:c>
      <x:c r="T340" s="28" t="n">
        <x:f>R340+S340</x:f>
        <x:v>1674.8341155817575</x:v>
      </x:c>
      <x:c r="U340" s="27" t="n">
        <x:f>N340*'Fleet Engine'!G207</x:f>
        <x:v>0</x:v>
      </x:c>
      <x:c r="V340" s="28" t="n">
        <x:f>U340*T340</x:f>
        <x:v>0</x:v>
      </x:c>
      <x:c r="W340" s="28" t="n">
        <x:f>U340*O340</x:f>
        <x:v>0</x:v>
      </x:c>
    </x:row>
    <x:row r="341" ht="19" customHeight="1">
      <x:c r="A341" s="2"/>
      <x:c r="B341" s="2"/>
      <x:c r="C341" s="46" t="n">
        <x:v>1</x:v>
      </x:c>
      <x:c r="D341" s="46" t="n">
        <x:v>13</x:v>
      </x:c>
      <x:c r="E341" s="46" t="n">
        <x:v>2</x:v>
      </x:c>
      <x:c r="F341" s="46" t="n">
        <x:v>1</x:v>
      </x:c>
      <x:c r="G341" s="12" t="n">
        <x:v>0.2222222222222222</x:v>
      </x:c>
      <x:c r="H341" s="12" t="n">
        <x:v>0.3333333333333333</x:v>
      </x:c>
      <x:c r="I341" s="29" t="n">
        <x:f>'Assumptions'!$D$11+'Assumptions'!$D$12*(0.5-(G341+H341)/2)</x:f>
        <x:v>0.34444444444444444</x:v>
      </x:c>
      <x:c r="J341" s="27" t="n">
        <x:f>'Assumptions'!$D$8*EXP(-'Assumptions'!$D$9*('Fleet Engine'!E207-10))*'Assumptions'!E57*'Assumptions'!E36</x:f>
        <x:v>33227.326062392545</x:v>
      </x:c>
      <x:c r="K341" s="27" t="n">
        <x:f>'Source Data'!F218+LN('Assumptions'!D57)+LN('Assumptions'!E35)</x:f>
        <x:v>8.179823674316163</x:v>
      </x:c>
      <x:c r="L341" s="27" t="n">
        <x:f>J341*(1-I341*(1-'Carrier Engine'!E92))</x:f>
        <x:v>22240.156911094742</x:v>
      </x:c>
      <x:c r="M341" s="29" t="n">
        <x:f>NORM.S.DIST((LN(L341)-K341)/'Assumptions'!$D$10,TRUE)</x:f>
        <x:v>0.8780602474996113</x:v>
      </x:c>
      <x:c r="N341" s="30" t="n">
        <x:f>MAX(0,H341-MAX(G341,M341))</x:f>
        <x:v>0</x:v>
      </x:c>
      <x:c r="O341" s="28" t="n">
        <x:f>J341*I341</x:f>
        <x:v>11444.96786593521</x:v>
      </x:c>
      <x:c r="P341" s="27" t="n">
        <x:f>(VLOOKUP(O341,'Fee Data'!$C$6:$G$50,2,TRUE)+O341*VLOOKUP(O341,'Fee Data'!$C$6:$G$50,3,TRUE)+VLOOKUP(O341,'Fee Data'!$I$6:$J$14,2,TRUE)+'Fee Data'!$J$20+'Fee Data'!$J$21)*'Assumptions'!E37</x:f>
        <x:v>1250</x:v>
      </x:c>
      <x:c r="Q341" s="27" t="n">
        <x:f>(VLOOKUP(O341,'Fee Data'!$C$6:$G$50,4,TRUE)+O341*VLOOKUP(O341,'Fee Data'!$C$6:$G$50,5,TRUE)+VLOOKUP(O341,'Fee Data'!$I$6:$J$14,2,TRUE)+'Fee Data'!$J$20+'Fee Data'!$J$21)*'Assumptions'!E37</x:f>
        <x:v>1100</x:v>
      </x:c>
      <x:c r="R341" s="27" t="n">
        <x:f>P341*(1-'Assumptions'!$D$14)+Q341*'Assumptions'!$D$14</x:f>
        <x:v>1175</x:v>
      </x:c>
      <x:c r="S341" s="27" t="n">
        <x:f>O341*'Carrier Engine'!E92</x:f>
        <x:v>457.7987146374085</x:v>
      </x:c>
      <x:c r="T341" s="28" t="n">
        <x:f>R341+S341</x:f>
        <x:v>1632.7987146374085</x:v>
      </x:c>
      <x:c r="U341" s="27" t="n">
        <x:f>N341*'Fleet Engine'!G207</x:f>
        <x:v>0</x:v>
      </x:c>
      <x:c r="V341" s="28" t="n">
        <x:f>U341*T341</x:f>
        <x:v>0</x:v>
      </x:c>
      <x:c r="W341" s="28" t="n">
        <x:f>U341*O341</x:f>
        <x:v>0</x:v>
      </x:c>
    </x:row>
    <x:row r="342" ht="19" customHeight="1">
      <x:c r="A342" s="2"/>
      <x:c r="B342" s="2"/>
      <x:c r="C342" s="46" t="n">
        <x:v>1</x:v>
      </x:c>
      <x:c r="D342" s="46" t="n">
        <x:v>13</x:v>
      </x:c>
      <x:c r="E342" s="46" t="n">
        <x:v>2</x:v>
      </x:c>
      <x:c r="F342" s="46" t="n">
        <x:v>1</x:v>
      </x:c>
      <x:c r="G342" s="12" t="n">
        <x:v>0.3333333333333333</x:v>
      </x:c>
      <x:c r="H342" s="12" t="n">
        <x:v>0.4444444444444444</x:v>
      </x:c>
      <x:c r="I342" s="29" t="n">
        <x:f>'Assumptions'!$D$11+'Assumptions'!$D$12*(0.5-(G342+H342)/2)</x:f>
        <x:v>0.32222222222222224</x:v>
      </x:c>
      <x:c r="J342" s="27" t="n">
        <x:f>'Assumptions'!$D$8*EXP(-'Assumptions'!$D$9*('Fleet Engine'!E207-10))*'Assumptions'!E57*'Assumptions'!E36</x:f>
        <x:v>33227.326062392545</x:v>
      </x:c>
      <x:c r="K342" s="27" t="n">
        <x:f>'Source Data'!F218+LN('Assumptions'!D57)+LN('Assumptions'!E35)</x:f>
        <x:v>8.179823674316163</x:v>
      </x:c>
      <x:c r="L342" s="27" t="n">
        <x:f>J342*(1-I342*(1-'Carrier Engine'!E92))</x:f>
        <x:v>22949.00653375912</x:v>
      </x:c>
      <x:c r="M342" s="29" t="n">
        <x:f>NORM.S.DIST((LN(L342)-K342)/'Assumptions'!$D$10,TRUE)</x:f>
        <x:v>0.8820557511267051</x:v>
      </x:c>
      <x:c r="N342" s="30" t="n">
        <x:f>MAX(0,H342-MAX(G342,M342))</x:f>
        <x:v>0</x:v>
      </x:c>
      <x:c r="O342" s="28" t="n">
        <x:f>J342*I342</x:f>
        <x:v>10706.582842326488</x:v>
      </x:c>
      <x:c r="P342" s="27" t="n">
        <x:f>(VLOOKUP(O342,'Fee Data'!$C$6:$G$50,2,TRUE)+O342*VLOOKUP(O342,'Fee Data'!$C$6:$G$50,3,TRUE)+VLOOKUP(O342,'Fee Data'!$I$6:$J$14,2,TRUE)+'Fee Data'!$J$20+'Fee Data'!$J$21)*'Assumptions'!E37</x:f>
        <x:v>1250</x:v>
      </x:c>
      <x:c r="Q342" s="27" t="n">
        <x:f>(VLOOKUP(O342,'Fee Data'!$C$6:$G$50,4,TRUE)+O342*VLOOKUP(O342,'Fee Data'!$C$6:$G$50,5,TRUE)+VLOOKUP(O342,'Fee Data'!$I$6:$J$14,2,TRUE)+'Fee Data'!$J$20+'Fee Data'!$J$21)*'Assumptions'!E37</x:f>
        <x:v>1100</x:v>
      </x:c>
      <x:c r="R342" s="27" t="n">
        <x:f>P342*(1-'Assumptions'!$D$14)+Q342*'Assumptions'!$D$14</x:f>
        <x:v>1175</x:v>
      </x:c>
      <x:c r="S342" s="27" t="n">
        <x:f>O342*'Carrier Engine'!E92</x:f>
        <x:v>428.2633136930596</x:v>
      </x:c>
      <x:c r="T342" s="28" t="n">
        <x:f>R342+S342</x:f>
        <x:v>1603.2633136930597</x:v>
      </x:c>
      <x:c r="U342" s="27" t="n">
        <x:f>N342*'Fleet Engine'!G207</x:f>
        <x:v>0</x:v>
      </x:c>
      <x:c r="V342" s="28" t="n">
        <x:f>U342*T342</x:f>
        <x:v>0</x:v>
      </x:c>
      <x:c r="W342" s="28" t="n">
        <x:f>U342*O342</x:f>
        <x:v>0</x:v>
      </x:c>
    </x:row>
    <x:row r="343" ht="19" customHeight="1">
      <x:c r="A343" s="2"/>
      <x:c r="B343" s="2"/>
      <x:c r="C343" s="46" t="n">
        <x:v>1</x:v>
      </x:c>
      <x:c r="D343" s="46" t="n">
        <x:v>13</x:v>
      </x:c>
      <x:c r="E343" s="46" t="n">
        <x:v>2</x:v>
      </x:c>
      <x:c r="F343" s="46" t="n">
        <x:v>1</x:v>
      </x:c>
      <x:c r="G343" s="12" t="n">
        <x:v>0.4444444444444444</x:v>
      </x:c>
      <x:c r="H343" s="12" t="n">
        <x:v>0.5555555555555556</x:v>
      </x:c>
      <x:c r="I343" s="29" t="n">
        <x:f>'Assumptions'!$D$11+'Assumptions'!$D$12*(0.5-(G343+H343)/2)</x:f>
        <x:v>0.3</x:v>
      </x:c>
      <x:c r="J343" s="27" t="n">
        <x:f>'Assumptions'!$D$8*EXP(-'Assumptions'!$D$9*('Fleet Engine'!E207-10))*'Assumptions'!E57*'Assumptions'!E36</x:f>
        <x:v>33227.326062392545</x:v>
      </x:c>
      <x:c r="K343" s="27" t="n">
        <x:f>'Source Data'!F218+LN('Assumptions'!D57)+LN('Assumptions'!E35)</x:f>
        <x:v>8.179823674316163</x:v>
      </x:c>
      <x:c r="L343" s="27" t="n">
        <x:f>J343*(1-I343*(1-'Carrier Engine'!E92))</x:f>
        <x:v>23657.85615642349</x:v>
      </x:c>
      <x:c r="M343" s="29" t="n">
        <x:f>NORM.S.DIST((LN(L343)-K343)/'Assumptions'!$D$10,TRUE)</x:f>
        <x:v>0.8858404003889359</x:v>
      </x:c>
      <x:c r="N343" s="30" t="n">
        <x:f>MAX(0,H343-MAX(G343,M343))</x:f>
        <x:v>0</x:v>
      </x:c>
      <x:c r="O343" s="28" t="n">
        <x:f>J343*I343</x:f>
        <x:v>9968.197818717763</x:v>
      </x:c>
      <x:c r="P343" s="27" t="n">
        <x:f>(VLOOKUP(O343,'Fee Data'!$C$6:$G$50,2,TRUE)+O343*VLOOKUP(O343,'Fee Data'!$C$6:$G$50,3,TRUE)+VLOOKUP(O343,'Fee Data'!$I$6:$J$14,2,TRUE)+'Fee Data'!$J$20+'Fee Data'!$J$21)*'Assumptions'!E37</x:f>
        <x:v>1195</x:v>
      </x:c>
      <x:c r="Q343" s="27" t="n">
        <x:f>(VLOOKUP(O343,'Fee Data'!$C$6:$G$50,4,TRUE)+O343*VLOOKUP(O343,'Fee Data'!$C$6:$G$50,5,TRUE)+VLOOKUP(O343,'Fee Data'!$I$6:$J$14,2,TRUE)+'Fee Data'!$J$20+'Fee Data'!$J$21)*'Assumptions'!E37</x:f>
        <x:v>1070</x:v>
      </x:c>
      <x:c r="R343" s="27" t="n">
        <x:f>P343*(1-'Assumptions'!$D$14)+Q343*'Assumptions'!$D$14</x:f>
        <x:v>1132.5</x:v>
      </x:c>
      <x:c r="S343" s="27" t="n">
        <x:f>O343*'Carrier Engine'!E92</x:f>
        <x:v>398.7279127487106</x:v>
      </x:c>
      <x:c r="T343" s="28" t="n">
        <x:f>R343+S343</x:f>
        <x:v>1531.2279127487107</x:v>
      </x:c>
      <x:c r="U343" s="27" t="n">
        <x:f>N343*'Fleet Engine'!G207</x:f>
        <x:v>0</x:v>
      </x:c>
      <x:c r="V343" s="28" t="n">
        <x:f>U343*T343</x:f>
        <x:v>0</x:v>
      </x:c>
      <x:c r="W343" s="28" t="n">
        <x:f>U343*O343</x:f>
        <x:v>0</x:v>
      </x:c>
    </x:row>
    <x:row r="344" ht="19" customHeight="1">
      <x:c r="A344" s="2"/>
      <x:c r="B344" s="2"/>
      <x:c r="C344" s="46" t="n">
        <x:v>1</x:v>
      </x:c>
      <x:c r="D344" s="46" t="n">
        <x:v>13</x:v>
      </x:c>
      <x:c r="E344" s="46" t="n">
        <x:v>2</x:v>
      </x:c>
      <x:c r="F344" s="46" t="n">
        <x:v>1</x:v>
      </x:c>
      <x:c r="G344" s="12" t="n">
        <x:v>0.5555555555555556</x:v>
      </x:c>
      <x:c r="H344" s="12" t="n">
        <x:v>0.6666666666666666</x:v>
      </x:c>
      <x:c r="I344" s="29" t="n">
        <x:f>'Assumptions'!$D$11+'Assumptions'!$D$12*(0.5-(G344+H344)/2)</x:f>
        <x:v>0.27777777777777773</x:v>
      </x:c>
      <x:c r="J344" s="27" t="n">
        <x:f>'Assumptions'!$D$8*EXP(-'Assumptions'!$D$9*('Fleet Engine'!E207-10))*'Assumptions'!E57*'Assumptions'!E36</x:f>
        <x:v>33227.326062392545</x:v>
      </x:c>
      <x:c r="K344" s="27" t="n">
        <x:f>'Source Data'!F218+LN('Assumptions'!D57)+LN('Assumptions'!E35)</x:f>
        <x:v>8.179823674316163</x:v>
      </x:c>
      <x:c r="L344" s="27" t="n">
        <x:f>J344*(1-I344*(1-'Carrier Engine'!E92))</x:f>
        <x:v>24366.705779087868</x:v>
      </x:c>
      <x:c r="M344" s="29" t="n">
        <x:f>NORM.S.DIST((LN(L344)-K344)/'Assumptions'!$D$10,TRUE)</x:f>
        <x:v>0.8894298256285628</x:v>
      </x:c>
      <x:c r="N344" s="30" t="n">
        <x:f>MAX(0,H344-MAX(G344,M344))</x:f>
        <x:v>0</x:v>
      </x:c>
      <x:c r="O344" s="28" t="n">
        <x:f>J344*I344</x:f>
        <x:v>9229.81279510904</x:v>
      </x:c>
      <x:c r="P344" s="27" t="n">
        <x:f>(VLOOKUP(O344,'Fee Data'!$C$6:$G$50,2,TRUE)+O344*VLOOKUP(O344,'Fee Data'!$C$6:$G$50,3,TRUE)+VLOOKUP(O344,'Fee Data'!$I$6:$J$14,2,TRUE)+'Fee Data'!$J$20+'Fee Data'!$J$21)*'Assumptions'!E37</x:f>
        <x:v>1195</x:v>
      </x:c>
      <x:c r="Q344" s="27" t="n">
        <x:f>(VLOOKUP(O344,'Fee Data'!$C$6:$G$50,4,TRUE)+O344*VLOOKUP(O344,'Fee Data'!$C$6:$G$50,5,TRUE)+VLOOKUP(O344,'Fee Data'!$I$6:$J$14,2,TRUE)+'Fee Data'!$J$20+'Fee Data'!$J$21)*'Assumptions'!E37</x:f>
        <x:v>1070</x:v>
      </x:c>
      <x:c r="R344" s="27" t="n">
        <x:f>P344*(1-'Assumptions'!$D$14)+Q344*'Assumptions'!$D$14</x:f>
        <x:v>1132.5</x:v>
      </x:c>
      <x:c r="S344" s="27" t="n">
        <x:f>O344*'Carrier Engine'!E92</x:f>
        <x:v>369.19251180436163</x:v>
      </x:c>
      <x:c r="T344" s="28" t="n">
        <x:f>R344+S344</x:f>
        <x:v>1501.6925118043616</x:v>
      </x:c>
      <x:c r="U344" s="27" t="n">
        <x:f>N344*'Fleet Engine'!G207</x:f>
        <x:v>0</x:v>
      </x:c>
      <x:c r="V344" s="28" t="n">
        <x:f>U344*T344</x:f>
        <x:v>0</x:v>
      </x:c>
      <x:c r="W344" s="28" t="n">
        <x:f>U344*O344</x:f>
        <x:v>0</x:v>
      </x:c>
    </x:row>
    <x:row r="345" ht="19" customHeight="1">
      <x:c r="A345" s="2"/>
      <x:c r="B345" s="2"/>
      <x:c r="C345" s="46" t="n">
        <x:v>1</x:v>
      </x:c>
      <x:c r="D345" s="46" t="n">
        <x:v>13</x:v>
      </x:c>
      <x:c r="E345" s="46" t="n">
        <x:v>2</x:v>
      </x:c>
      <x:c r="F345" s="46" t="n">
        <x:v>1</x:v>
      </x:c>
      <x:c r="G345" s="12" t="n">
        <x:v>0.6666666666666666</x:v>
      </x:c>
      <x:c r="H345" s="12" t="n">
        <x:v>0.7777777777777778</x:v>
      </x:c>
      <x:c r="I345" s="29" t="n">
        <x:f>'Assumptions'!$D$11+'Assumptions'!$D$12*(0.5-(G345+H345)/2)</x:f>
        <x:v>0.25555555555555554</x:v>
      </x:c>
      <x:c r="J345" s="27" t="n">
        <x:f>'Assumptions'!$D$8*EXP(-'Assumptions'!$D$9*('Fleet Engine'!E207-10))*'Assumptions'!E57*'Assumptions'!E36</x:f>
        <x:v>33227.326062392545</x:v>
      </x:c>
      <x:c r="K345" s="27" t="n">
        <x:f>'Source Data'!F218+LN('Assumptions'!D57)+LN('Assumptions'!E35)</x:f>
        <x:v>8.179823674316163</x:v>
      </x:c>
      <x:c r="L345" s="27" t="n">
        <x:f>J345*(1-I345*(1-'Carrier Engine'!E92))</x:f>
        <x:v>25075.55540175224</x:v>
      </x:c>
      <x:c r="M345" s="29" t="n">
        <x:f>NORM.S.DIST((LN(L345)-K345)/'Assumptions'!$D$10,TRUE)</x:f>
        <x:v>0.8928381602043821</x:v>
      </x:c>
      <x:c r="N345" s="30" t="n">
        <x:f>MAX(0,H345-MAX(G345,M345))</x:f>
        <x:v>0</x:v>
      </x:c>
      <x:c r="O345" s="28" t="n">
        <x:f>J345*I345</x:f>
        <x:v>8491.427771500317</x:v>
      </x:c>
      <x:c r="P345" s="27" t="n">
        <x:f>(VLOOKUP(O345,'Fee Data'!$C$6:$G$50,2,TRUE)+O345*VLOOKUP(O345,'Fee Data'!$C$6:$G$50,3,TRUE)+VLOOKUP(O345,'Fee Data'!$I$6:$J$14,2,TRUE)+'Fee Data'!$J$20+'Fee Data'!$J$21)*'Assumptions'!E37</x:f>
        <x:v>1175</x:v>
      </x:c>
      <x:c r="Q345" s="27" t="n">
        <x:f>(VLOOKUP(O345,'Fee Data'!$C$6:$G$50,4,TRUE)+O345*VLOOKUP(O345,'Fee Data'!$C$6:$G$50,5,TRUE)+VLOOKUP(O345,'Fee Data'!$I$6:$J$14,2,TRUE)+'Fee Data'!$J$20+'Fee Data'!$J$21)*'Assumptions'!E37</x:f>
        <x:v>1050</x:v>
      </x:c>
      <x:c r="R345" s="27" t="n">
        <x:f>P345*(1-'Assumptions'!$D$14)+Q345*'Assumptions'!$D$14</x:f>
        <x:v>1112.5</x:v>
      </x:c>
      <x:c r="S345" s="27" t="n">
        <x:f>O345*'Carrier Engine'!E92</x:f>
        <x:v>339.6571108600128</x:v>
      </x:c>
      <x:c r="T345" s="28" t="n">
        <x:f>R345+S345</x:f>
        <x:v>1452.1571108600128</x:v>
      </x:c>
      <x:c r="U345" s="27" t="n">
        <x:f>N345*'Fleet Engine'!G207</x:f>
        <x:v>0</x:v>
      </x:c>
      <x:c r="V345" s="28" t="n">
        <x:f>U345*T345</x:f>
        <x:v>0</x:v>
      </x:c>
      <x:c r="W345" s="28" t="n">
        <x:f>U345*O345</x:f>
        <x:v>0</x:v>
      </x:c>
    </x:row>
    <x:row r="346" ht="19" customHeight="1">
      <x:c r="A346" s="2"/>
      <x:c r="B346" s="2"/>
      <x:c r="C346" s="46" t="n">
        <x:v>1</x:v>
      </x:c>
      <x:c r="D346" s="46" t="n">
        <x:v>13</x:v>
      </x:c>
      <x:c r="E346" s="46" t="n">
        <x:v>2</x:v>
      </x:c>
      <x:c r="F346" s="46" t="n">
        <x:v>1</x:v>
      </x:c>
      <x:c r="G346" s="12" t="n">
        <x:v>0.7777777777777778</x:v>
      </x:c>
      <x:c r="H346" s="12" t="n">
        <x:v>0.8888888888888888</x:v>
      </x:c>
      <x:c r="I346" s="29" t="n">
        <x:f>'Assumptions'!$D$11+'Assumptions'!$D$12*(0.5-(G346+H346)/2)</x:f>
        <x:v>0.23333333333333334</x:v>
      </x:c>
      <x:c r="J346" s="27" t="n">
        <x:f>'Assumptions'!$D$8*EXP(-'Assumptions'!$D$9*('Fleet Engine'!E207-10))*'Assumptions'!E57*'Assumptions'!E36</x:f>
        <x:v>33227.326062392545</x:v>
      </x:c>
      <x:c r="K346" s="27" t="n">
        <x:f>'Source Data'!F218+LN('Assumptions'!D57)+LN('Assumptions'!E35)</x:f>
        <x:v>8.179823674316163</x:v>
      </x:c>
      <x:c r="L346" s="27" t="n">
        <x:f>J346*(1-I346*(1-'Carrier Engine'!E92))</x:f>
        <x:v>25784.405024416617</x:v>
      </x:c>
      <x:c r="M346" s="29" t="n">
        <x:f>NORM.S.DIST((LN(L346)-K346)/'Assumptions'!$D$10,TRUE)</x:f>
        <x:v>0.8960782159015883</x:v>
      </x:c>
      <x:c r="N346" s="30" t="n">
        <x:f>MAX(0,H346-MAX(G346,M346))</x:f>
        <x:v>0</x:v>
      </x:c>
      <x:c r="O346" s="28" t="n">
        <x:f>J346*I346</x:f>
        <x:v>7753.042747891594</x:v>
      </x:c>
      <x:c r="P346" s="27" t="n">
        <x:f>(VLOOKUP(O346,'Fee Data'!$C$6:$G$50,2,TRUE)+O346*VLOOKUP(O346,'Fee Data'!$C$6:$G$50,3,TRUE)+VLOOKUP(O346,'Fee Data'!$I$6:$J$14,2,TRUE)+'Fee Data'!$J$20+'Fee Data'!$J$21)*'Assumptions'!E37</x:f>
        <x:v>1135</x:v>
      </x:c>
      <x:c r="Q346" s="27" t="n">
        <x:f>(VLOOKUP(O346,'Fee Data'!$C$6:$G$50,4,TRUE)+O346*VLOOKUP(O346,'Fee Data'!$C$6:$G$50,5,TRUE)+VLOOKUP(O346,'Fee Data'!$I$6:$J$14,2,TRUE)+'Fee Data'!$J$20+'Fee Data'!$J$21)*'Assumptions'!E37</x:f>
        <x:v>1010</x:v>
      </x:c>
      <x:c r="R346" s="27" t="n">
        <x:f>P346*(1-'Assumptions'!$D$14)+Q346*'Assumptions'!$D$14</x:f>
        <x:v>1072.5</x:v>
      </x:c>
      <x:c r="S346" s="27" t="n">
        <x:f>O346*'Carrier Engine'!E92</x:f>
        <x:v>310.1217099156638</x:v>
      </x:c>
      <x:c r="T346" s="28" t="n">
        <x:f>R346+S346</x:f>
        <x:v>1382.6217099156638</x:v>
      </x:c>
      <x:c r="U346" s="27" t="n">
        <x:f>N346*'Fleet Engine'!G207</x:f>
        <x:v>0</x:v>
      </x:c>
      <x:c r="V346" s="28" t="n">
        <x:f>U346*T346</x:f>
        <x:v>0</x:v>
      </x:c>
      <x:c r="W346" s="28" t="n">
        <x:f>U346*O346</x:f>
        <x:v>0</x:v>
      </x:c>
    </x:row>
    <x:row r="347" ht="19" customHeight="1">
      <x:c r="A347" s="2"/>
      <x:c r="B347" s="2"/>
      <x:c r="C347" s="46" t="n">
        <x:v>1</x:v>
      </x:c>
      <x:c r="D347" s="46" t="n">
        <x:v>13</x:v>
      </x:c>
      <x:c r="E347" s="46" t="n">
        <x:v>2</x:v>
      </x:c>
      <x:c r="F347" s="46" t="n">
        <x:v>1</x:v>
      </x:c>
      <x:c r="G347" s="12" t="n">
        <x:v>0.8888888888888888</x:v>
      </x:c>
      <x:c r="H347" s="12" t="n">
        <x:v>1</x:v>
      </x:c>
      <x:c r="I347" s="29" t="n">
        <x:f>'Assumptions'!$D$11+'Assumptions'!$D$12*(0.5-(G347+H347)/2)</x:f>
        <x:v>0.21111111111111108</x:v>
      </x:c>
      <x:c r="J347" s="27" t="n">
        <x:f>'Assumptions'!$D$8*EXP(-'Assumptions'!$D$9*('Fleet Engine'!E207-10))*'Assumptions'!E57*'Assumptions'!E36</x:f>
        <x:v>33227.326062392545</x:v>
      </x:c>
      <x:c r="K347" s="27" t="n">
        <x:f>'Source Data'!F218+LN('Assumptions'!D57)+LN('Assumptions'!E35)</x:f>
        <x:v>8.179823674316163</x:v>
      </x:c>
      <x:c r="L347" s="27" t="n">
        <x:f>J347*(1-I347*(1-'Carrier Engine'!E92))</x:f>
        <x:v>26493.25464708099</x:v>
      </x:c>
      <x:c r="M347" s="29" t="n">
        <x:f>NORM.S.DIST((LN(L347)-K347)/'Assumptions'!$D$10,TRUE)</x:f>
        <x:v>0.8991616341237623</x:v>
      </x:c>
      <x:c r="N347" s="30" t="n">
        <x:f>MAX(0,H347-MAX(G347,M347))</x:f>
        <x:v>0.10083836587623773</x:v>
      </x:c>
      <x:c r="O347" s="28" t="n">
        <x:f>J347*I347</x:f>
        <x:v>7014.65772428287</x:v>
      </x:c>
      <x:c r="P347" s="27" t="n">
        <x:f>(VLOOKUP(O347,'Fee Data'!$C$6:$G$50,2,TRUE)+O347*VLOOKUP(O347,'Fee Data'!$C$6:$G$50,3,TRUE)+VLOOKUP(O347,'Fee Data'!$I$6:$J$14,2,TRUE)+'Fee Data'!$J$20+'Fee Data'!$J$21)*'Assumptions'!E37</x:f>
        <x:v>1115</x:v>
      </x:c>
      <x:c r="Q347" s="27" t="n">
        <x:f>(VLOOKUP(O347,'Fee Data'!$C$6:$G$50,4,TRUE)+O347*VLOOKUP(O347,'Fee Data'!$C$6:$G$50,5,TRUE)+VLOOKUP(O347,'Fee Data'!$I$6:$J$14,2,TRUE)+'Fee Data'!$J$20+'Fee Data'!$J$21)*'Assumptions'!E37</x:f>
        <x:v>990</x:v>
      </x:c>
      <x:c r="R347" s="27" t="n">
        <x:f>P347*(1-'Assumptions'!$D$14)+Q347*'Assumptions'!$D$14</x:f>
        <x:v>1052.5</x:v>
      </x:c>
      <x:c r="S347" s="27" t="n">
        <x:f>O347*'Carrier Engine'!E92</x:f>
        <x:v>280.58630897131485</x:v>
      </x:c>
      <x:c r="T347" s="28" t="n">
        <x:f>R347+S347</x:f>
        <x:v>1333.0863089713148</x:v>
      </x:c>
      <x:c r="U347" s="27" t="n">
        <x:f>N347*'Fleet Engine'!G207</x:f>
        <x:v>669.0196400217702</x:v>
      </x:c>
      <x:c r="V347" s="28" t="n">
        <x:f>U347*T347</x:f>
        <x:v>891860.9225459393</x:v>
      </x:c>
      <x:c r="W347" s="28" t="n">
        <x:f>U347*O347</x:f>
        <x:v>4692943.785575655</x:v>
      </x:c>
    </x:row>
    <x:row r="348" ht="19" customHeight="1">
      <x:c r="A348" s="2"/>
      <x:c r="B348" s="2"/>
      <x:c r="C348" s="46" t="n">
        <x:v>1</x:v>
      </x:c>
      <x:c r="D348" s="46" t="n">
        <x:v>14</x:v>
      </x:c>
      <x:c r="E348" s="46" t="n">
        <x:v>2</x:v>
      </x:c>
      <x:c r="F348" s="46" t="n">
        <x:v>2</x:v>
      </x:c>
      <x:c r="G348" s="12" t="n">
        <x:v>0</x:v>
      </x:c>
      <x:c r="H348" s="12" t="n">
        <x:v>0.1111111111111111</x:v>
      </x:c>
      <x:c r="I348" s="29" t="n">
        <x:f>'Assumptions'!$D$11+'Assumptions'!$D$12*(0.5-(G348+H348)/2)</x:f>
        <x:v>0.3888888888888889</x:v>
      </x:c>
      <x:c r="J348" s="27" t="n">
        <x:f>'Assumptions'!$D$8*EXP(-'Assumptions'!$D$9*('Fleet Engine'!E208-10))*'Assumptions'!E57*'Assumptions'!E36</x:f>
        <x:v>24615.408571552918</x:v>
      </x:c>
      <x:c r="K348" s="27" t="n">
        <x:f>'Source Data'!F219+LN('Assumptions'!D57)+LN('Assumptions'!E35)</x:f>
        <x:v>8.22550551560197</x:v>
      </x:c>
      <x:c r="L348" s="27" t="n">
        <x:f>J348*(1-I348*(1-'Carrier Engine'!E92))</x:f>
        <x:v>15425.656038173163</x:v>
      </x:c>
      <x:c r="M348" s="29" t="n">
        <x:f>NORM.S.DIST((LN(L348)-K348)/'Assumptions'!$D$10,TRUE)</x:f>
        <x:v>0.8168022614945112</x:v>
      </x:c>
      <x:c r="N348" s="30" t="n">
        <x:f>MAX(0,H348-MAX(G348,M348))</x:f>
        <x:v>0</x:v>
      </x:c>
      <x:c r="O348" s="28" t="n">
        <x:f>J348*I348</x:f>
        <x:v>9572.658888937247</x:v>
      </x:c>
      <x:c r="P348" s="27" t="n">
        <x:f>(VLOOKUP(O348,'Fee Data'!$C$6:$G$50,2,TRUE)+O348*VLOOKUP(O348,'Fee Data'!$C$6:$G$50,3,TRUE)+VLOOKUP(O348,'Fee Data'!$I$6:$J$14,2,TRUE)+'Fee Data'!$J$20+'Fee Data'!$J$21)*'Assumptions'!E37</x:f>
        <x:v>1195</x:v>
      </x:c>
      <x:c r="Q348" s="27" t="n">
        <x:f>(VLOOKUP(O348,'Fee Data'!$C$6:$G$50,4,TRUE)+O348*VLOOKUP(O348,'Fee Data'!$C$6:$G$50,5,TRUE)+VLOOKUP(O348,'Fee Data'!$I$6:$J$14,2,TRUE)+'Fee Data'!$J$20+'Fee Data'!$J$21)*'Assumptions'!E37</x:f>
        <x:v>1070</x:v>
      </x:c>
      <x:c r="R348" s="27" t="n">
        <x:f>P348*(1-'Assumptions'!$D$14)+Q348*'Assumptions'!$D$14</x:f>
        <x:v>1132.5</x:v>
      </x:c>
      <x:c r="S348" s="27" t="n">
        <x:f>O348*'Carrier Engine'!E92</x:f>
        <x:v>382.90635555749</x:v>
      </x:c>
      <x:c r="T348" s="28" t="n">
        <x:f>R348+S348</x:f>
        <x:v>1515.4063555574899</x:v>
      </x:c>
      <x:c r="U348" s="27" t="n">
        <x:f>N348*'Fleet Engine'!G208</x:f>
        <x:v>0</x:v>
      </x:c>
      <x:c r="V348" s="28" t="n">
        <x:f>U348*T348</x:f>
        <x:v>0</x:v>
      </x:c>
      <x:c r="W348" s="28" t="n">
        <x:f>U348*O348</x:f>
        <x:v>0</x:v>
      </x:c>
    </x:row>
    <x:row r="349" ht="19" customHeight="1">
      <x:c r="A349" s="2"/>
      <x:c r="B349" s="2"/>
      <x:c r="C349" s="46" t="n">
        <x:v>1</x:v>
      </x:c>
      <x:c r="D349" s="46" t="n">
        <x:v>14</x:v>
      </x:c>
      <x:c r="E349" s="46" t="n">
        <x:v>2</x:v>
      </x:c>
      <x:c r="F349" s="46" t="n">
        <x:v>2</x:v>
      </x:c>
      <x:c r="G349" s="12" t="n">
        <x:v>0.1111111111111111</x:v>
      </x:c>
      <x:c r="H349" s="12" t="n">
        <x:v>0.2222222222222222</x:v>
      </x:c>
      <x:c r="I349" s="29" t="n">
        <x:f>'Assumptions'!$D$11+'Assumptions'!$D$12*(0.5-(G349+H349)/2)</x:f>
        <x:v>0.3666666666666667</x:v>
      </x:c>
      <x:c r="J349" s="27" t="n">
        <x:f>'Assumptions'!$D$8*EXP(-'Assumptions'!$D$9*('Fleet Engine'!E208-10))*'Assumptions'!E57*'Assumptions'!E36</x:f>
        <x:v>24615.408571552918</x:v>
      </x:c>
      <x:c r="K349" s="27" t="n">
        <x:f>'Source Data'!F219+LN('Assumptions'!D57)+LN('Assumptions'!E35)</x:f>
        <x:v>8.22550551560197</x:v>
      </x:c>
      <x:c r="L349" s="27" t="n">
        <x:f>J349*(1-I349*(1-'Carrier Engine'!E92))</x:f>
        <x:v>15950.784754366288</x:v>
      </x:c>
      <x:c r="M349" s="29" t="n">
        <x:f>NORM.S.DIST((LN(L349)-K349)/'Assumptions'!$D$10,TRUE)</x:f>
        <x:v>0.8224039417033224</x:v>
      </x:c>
      <x:c r="N349" s="30" t="n">
        <x:f>MAX(0,H349-MAX(G349,M349))</x:f>
        <x:v>0</x:v>
      </x:c>
      <x:c r="O349" s="28" t="n">
        <x:f>J349*I349</x:f>
        <x:v>9025.649809569404</x:v>
      </x:c>
      <x:c r="P349" s="27" t="n">
        <x:f>(VLOOKUP(O349,'Fee Data'!$C$6:$G$50,2,TRUE)+O349*VLOOKUP(O349,'Fee Data'!$C$6:$G$50,3,TRUE)+VLOOKUP(O349,'Fee Data'!$I$6:$J$14,2,TRUE)+'Fee Data'!$J$20+'Fee Data'!$J$21)*'Assumptions'!E37</x:f>
        <x:v>1195</x:v>
      </x:c>
      <x:c r="Q349" s="27" t="n">
        <x:f>(VLOOKUP(O349,'Fee Data'!$C$6:$G$50,4,TRUE)+O349*VLOOKUP(O349,'Fee Data'!$C$6:$G$50,5,TRUE)+VLOOKUP(O349,'Fee Data'!$I$6:$J$14,2,TRUE)+'Fee Data'!$J$20+'Fee Data'!$J$21)*'Assumptions'!E37</x:f>
        <x:v>1070</x:v>
      </x:c>
      <x:c r="R349" s="27" t="n">
        <x:f>P349*(1-'Assumptions'!$D$14)+Q349*'Assumptions'!$D$14</x:f>
        <x:v>1132.5</x:v>
      </x:c>
      <x:c r="S349" s="27" t="n">
        <x:f>O349*'Carrier Engine'!E92</x:f>
        <x:v>361.0259923827762</x:v>
      </x:c>
      <x:c r="T349" s="28" t="n">
        <x:f>R349+S349</x:f>
        <x:v>1493.5259923827762</x:v>
      </x:c>
      <x:c r="U349" s="27" t="n">
        <x:f>N349*'Fleet Engine'!G208</x:f>
        <x:v>0</x:v>
      </x:c>
      <x:c r="V349" s="28" t="n">
        <x:f>U349*T349</x:f>
        <x:v>0</x:v>
      </x:c>
      <x:c r="W349" s="28" t="n">
        <x:f>U349*O349</x:f>
        <x:v>0</x:v>
      </x:c>
    </x:row>
    <x:row r="350" ht="19" customHeight="1">
      <x:c r="A350" s="2"/>
      <x:c r="B350" s="2"/>
      <x:c r="C350" s="46" t="n">
        <x:v>1</x:v>
      </x:c>
      <x:c r="D350" s="46" t="n">
        <x:v>14</x:v>
      </x:c>
      <x:c r="E350" s="46" t="n">
        <x:v>2</x:v>
      </x:c>
      <x:c r="F350" s="46" t="n">
        <x:v>2</x:v>
      </x:c>
      <x:c r="G350" s="12" t="n">
        <x:v>0.2222222222222222</x:v>
      </x:c>
      <x:c r="H350" s="12" t="n">
        <x:v>0.3333333333333333</x:v>
      </x:c>
      <x:c r="I350" s="29" t="n">
        <x:f>'Assumptions'!$D$11+'Assumptions'!$D$12*(0.5-(G350+H350)/2)</x:f>
        <x:v>0.34444444444444444</x:v>
      </x:c>
      <x:c r="J350" s="27" t="n">
        <x:f>'Assumptions'!$D$8*EXP(-'Assumptions'!$D$9*('Fleet Engine'!E208-10))*'Assumptions'!E57*'Assumptions'!E36</x:f>
        <x:v>24615.408571552918</x:v>
      </x:c>
      <x:c r="K350" s="27" t="n">
        <x:f>'Source Data'!F219+LN('Assumptions'!D57)+LN('Assumptions'!E35)</x:f>
        <x:v>8.22550551560197</x:v>
      </x:c>
      <x:c r="L350" s="27" t="n">
        <x:f>J350*(1-I350*(1-'Carrier Engine'!E92))</x:f>
        <x:v>16475.91347055942</x:v>
      </x:c>
      <x:c r="M350" s="29" t="n">
        <x:f>NORM.S.DIST((LN(L350)-K350)/'Assumptions'!$D$10,TRUE)</x:f>
        <x:v>0.8277200866436032</x:v>
      </x:c>
      <x:c r="N350" s="30" t="n">
        <x:f>MAX(0,H350-MAX(G350,M350))</x:f>
        <x:v>0</x:v>
      </x:c>
      <x:c r="O350" s="28" t="n">
        <x:f>J350*I350</x:f>
        <x:v>8478.640730201561</x:v>
      </x:c>
      <x:c r="P350" s="27" t="n">
        <x:f>(VLOOKUP(O350,'Fee Data'!$C$6:$G$50,2,TRUE)+O350*VLOOKUP(O350,'Fee Data'!$C$6:$G$50,3,TRUE)+VLOOKUP(O350,'Fee Data'!$I$6:$J$14,2,TRUE)+'Fee Data'!$J$20+'Fee Data'!$J$21)*'Assumptions'!E37</x:f>
        <x:v>1175</x:v>
      </x:c>
      <x:c r="Q350" s="27" t="n">
        <x:f>(VLOOKUP(O350,'Fee Data'!$C$6:$G$50,4,TRUE)+O350*VLOOKUP(O350,'Fee Data'!$C$6:$G$50,5,TRUE)+VLOOKUP(O350,'Fee Data'!$I$6:$J$14,2,TRUE)+'Fee Data'!$J$20+'Fee Data'!$J$21)*'Assumptions'!E37</x:f>
        <x:v>1050</x:v>
      </x:c>
      <x:c r="R350" s="27" t="n">
        <x:f>P350*(1-'Assumptions'!$D$14)+Q350*'Assumptions'!$D$14</x:f>
        <x:v>1112.5</x:v>
      </x:c>
      <x:c r="S350" s="27" t="n">
        <x:f>O350*'Carrier Engine'!E92</x:f>
        <x:v>339.14562920806253</x:v>
      </x:c>
      <x:c r="T350" s="28" t="n">
        <x:f>R350+S350</x:f>
        <x:v>1451.6456292080625</x:v>
      </x:c>
      <x:c r="U350" s="27" t="n">
        <x:f>N350*'Fleet Engine'!G208</x:f>
        <x:v>0</x:v>
      </x:c>
      <x:c r="V350" s="28" t="n">
        <x:f>U350*T350</x:f>
        <x:v>0</x:v>
      </x:c>
      <x:c r="W350" s="28" t="n">
        <x:f>U350*O350</x:f>
        <x:v>0</x:v>
      </x:c>
    </x:row>
    <x:row r="351" ht="19" customHeight="1">
      <x:c r="A351" s="2"/>
      <x:c r="B351" s="2"/>
      <x:c r="C351" s="46" t="n">
        <x:v>1</x:v>
      </x:c>
      <x:c r="D351" s="46" t="n">
        <x:v>14</x:v>
      </x:c>
      <x:c r="E351" s="46" t="n">
        <x:v>2</x:v>
      </x:c>
      <x:c r="F351" s="46" t="n">
        <x:v>2</x:v>
      </x:c>
      <x:c r="G351" s="12" t="n">
        <x:v>0.3333333333333333</x:v>
      </x:c>
      <x:c r="H351" s="12" t="n">
        <x:v>0.4444444444444444</x:v>
      </x:c>
      <x:c r="I351" s="29" t="n">
        <x:f>'Assumptions'!$D$11+'Assumptions'!$D$12*(0.5-(G351+H351)/2)</x:f>
        <x:v>0.32222222222222224</x:v>
      </x:c>
      <x:c r="J351" s="27" t="n">
        <x:f>'Assumptions'!$D$8*EXP(-'Assumptions'!$D$9*('Fleet Engine'!E208-10))*'Assumptions'!E57*'Assumptions'!E36</x:f>
        <x:v>24615.408571552918</x:v>
      </x:c>
      <x:c r="K351" s="27" t="n">
        <x:f>'Source Data'!F219+LN('Assumptions'!D57)+LN('Assumptions'!E35)</x:f>
        <x:v>8.22550551560197</x:v>
      </x:c>
      <x:c r="L351" s="27" t="n">
        <x:f>J351*(1-I351*(1-'Carrier Engine'!E92))</x:f>
        <x:v>17001.042186752547</x:v>
      </x:c>
      <x:c r="M351" s="29" t="n">
        <x:f>NORM.S.DIST((LN(L351)-K351)/'Assumptions'!$D$10,TRUE)</x:f>
        <x:v>0.8327715578412461</x:v>
      </x:c>
      <x:c r="N351" s="30" t="n">
        <x:f>MAX(0,H351-MAX(G351,M351))</x:f>
        <x:v>0</x:v>
      </x:c>
      <x:c r="O351" s="28" t="n">
        <x:f>J351*I351</x:f>
        <x:v>7931.631650833719</x:v>
      </x:c>
      <x:c r="P351" s="27" t="n">
        <x:f>(VLOOKUP(O351,'Fee Data'!$C$6:$G$50,2,TRUE)+O351*VLOOKUP(O351,'Fee Data'!$C$6:$G$50,3,TRUE)+VLOOKUP(O351,'Fee Data'!$I$6:$J$14,2,TRUE)+'Fee Data'!$J$20+'Fee Data'!$J$21)*'Assumptions'!E37</x:f>
        <x:v>1135</x:v>
      </x:c>
      <x:c r="Q351" s="27" t="n">
        <x:f>(VLOOKUP(O351,'Fee Data'!$C$6:$G$50,4,TRUE)+O351*VLOOKUP(O351,'Fee Data'!$C$6:$G$50,5,TRUE)+VLOOKUP(O351,'Fee Data'!$I$6:$J$14,2,TRUE)+'Fee Data'!$J$20+'Fee Data'!$J$21)*'Assumptions'!E37</x:f>
        <x:v>1010</x:v>
      </x:c>
      <x:c r="R351" s="27" t="n">
        <x:f>P351*(1-'Assumptions'!$D$14)+Q351*'Assumptions'!$D$14</x:f>
        <x:v>1072.5</x:v>
      </x:c>
      <x:c r="S351" s="27" t="n">
        <x:f>O351*'Carrier Engine'!E92</x:f>
        <x:v>317.2652660333488</x:v>
      </x:c>
      <x:c r="T351" s="28" t="n">
        <x:f>R351+S351</x:f>
        <x:v>1389.7652660333488</x:v>
      </x:c>
      <x:c r="U351" s="27" t="n">
        <x:f>N351*'Fleet Engine'!G208</x:f>
        <x:v>0</x:v>
      </x:c>
      <x:c r="V351" s="28" t="n">
        <x:f>U351*T351</x:f>
        <x:v>0</x:v>
      </x:c>
      <x:c r="W351" s="28" t="n">
        <x:f>U351*O351</x:f>
        <x:v>0</x:v>
      </x:c>
    </x:row>
    <x:row r="352" ht="19" customHeight="1">
      <x:c r="A352" s="2"/>
      <x:c r="B352" s="2"/>
      <x:c r="C352" s="46" t="n">
        <x:v>1</x:v>
      </x:c>
      <x:c r="D352" s="46" t="n">
        <x:v>14</x:v>
      </x:c>
      <x:c r="E352" s="46" t="n">
        <x:v>2</x:v>
      </x:c>
      <x:c r="F352" s="46" t="n">
        <x:v>2</x:v>
      </x:c>
      <x:c r="G352" s="12" t="n">
        <x:v>0.4444444444444444</x:v>
      </x:c>
      <x:c r="H352" s="12" t="n">
        <x:v>0.5555555555555556</x:v>
      </x:c>
      <x:c r="I352" s="29" t="n">
        <x:f>'Assumptions'!$D$11+'Assumptions'!$D$12*(0.5-(G352+H352)/2)</x:f>
        <x:v>0.3</x:v>
      </x:c>
      <x:c r="J352" s="27" t="n">
        <x:f>'Assumptions'!$D$8*EXP(-'Assumptions'!$D$9*('Fleet Engine'!E208-10))*'Assumptions'!E57*'Assumptions'!E36</x:f>
        <x:v>24615.408571552918</x:v>
      </x:c>
      <x:c r="K352" s="27" t="n">
        <x:f>'Source Data'!F219+LN('Assumptions'!D57)+LN('Assumptions'!E35)</x:f>
        <x:v>8.22550551560197</x:v>
      </x:c>
      <x:c r="L352" s="27" t="n">
        <x:f>J352*(1-I352*(1-'Carrier Engine'!E92))</x:f>
        <x:v>17526.170902945676</x:v>
      </x:c>
      <x:c r="M352" s="29" t="n">
        <x:f>NORM.S.DIST((LN(L352)-K352)/'Assumptions'!$D$10,TRUE)</x:f>
        <x:v>0.8375772230492653</x:v>
      </x:c>
      <x:c r="N352" s="30" t="n">
        <x:f>MAX(0,H352-MAX(G352,M352))</x:f>
        <x:v>0</x:v>
      </x:c>
      <x:c r="O352" s="28" t="n">
        <x:f>J352*I352</x:f>
        <x:v>7384.622571465875</x:v>
      </x:c>
      <x:c r="P352" s="27" t="n">
        <x:f>(VLOOKUP(O352,'Fee Data'!$C$6:$G$50,2,TRUE)+O352*VLOOKUP(O352,'Fee Data'!$C$6:$G$50,3,TRUE)+VLOOKUP(O352,'Fee Data'!$I$6:$J$14,2,TRUE)+'Fee Data'!$J$20+'Fee Data'!$J$21)*'Assumptions'!E37</x:f>
        <x:v>1115</x:v>
      </x:c>
      <x:c r="Q352" s="27" t="n">
        <x:f>(VLOOKUP(O352,'Fee Data'!$C$6:$G$50,4,TRUE)+O352*VLOOKUP(O352,'Fee Data'!$C$6:$G$50,5,TRUE)+VLOOKUP(O352,'Fee Data'!$I$6:$J$14,2,TRUE)+'Fee Data'!$J$20+'Fee Data'!$J$21)*'Assumptions'!E37</x:f>
        <x:v>990</x:v>
      </x:c>
      <x:c r="R352" s="27" t="n">
        <x:f>P352*(1-'Assumptions'!$D$14)+Q352*'Assumptions'!$D$14</x:f>
        <x:v>1052.5</x:v>
      </x:c>
      <x:c r="S352" s="27" t="n">
        <x:f>O352*'Carrier Engine'!E92</x:f>
        <x:v>295.38490285863503</x:v>
      </x:c>
      <x:c r="T352" s="28" t="n">
        <x:f>R352+S352</x:f>
        <x:v>1347.884902858635</x:v>
      </x:c>
      <x:c r="U352" s="27" t="n">
        <x:f>N352*'Fleet Engine'!G208</x:f>
        <x:v>0</x:v>
      </x:c>
      <x:c r="V352" s="28" t="n">
        <x:f>U352*T352</x:f>
        <x:v>0</x:v>
      </x:c>
      <x:c r="W352" s="28" t="n">
        <x:f>U352*O352</x:f>
        <x:v>0</x:v>
      </x:c>
    </x:row>
    <x:row r="353" ht="19" customHeight="1">
      <x:c r="A353" s="2"/>
      <x:c r="B353" s="2"/>
      <x:c r="C353" s="46" t="n">
        <x:v>1</x:v>
      </x:c>
      <x:c r="D353" s="46" t="n">
        <x:v>14</x:v>
      </x:c>
      <x:c r="E353" s="46" t="n">
        <x:v>2</x:v>
      </x:c>
      <x:c r="F353" s="46" t="n">
        <x:v>2</x:v>
      </x:c>
      <x:c r="G353" s="12" t="n">
        <x:v>0.5555555555555556</x:v>
      </x:c>
      <x:c r="H353" s="12" t="n">
        <x:v>0.6666666666666666</x:v>
      </x:c>
      <x:c r="I353" s="29" t="n">
        <x:f>'Assumptions'!$D$11+'Assumptions'!$D$12*(0.5-(G353+H353)/2)</x:f>
        <x:v>0.27777777777777773</x:v>
      </x:c>
      <x:c r="J353" s="27" t="n">
        <x:f>'Assumptions'!$D$8*EXP(-'Assumptions'!$D$9*('Fleet Engine'!E208-10))*'Assumptions'!E57*'Assumptions'!E36</x:f>
        <x:v>24615.408571552918</x:v>
      </x:c>
      <x:c r="K353" s="27" t="n">
        <x:f>'Source Data'!F219+LN('Assumptions'!D57)+LN('Assumptions'!E35)</x:f>
        <x:v>8.22550551560197</x:v>
      </x:c>
      <x:c r="L353" s="27" t="n">
        <x:f>J353*(1-I353*(1-'Carrier Engine'!E92))</x:f>
        <x:v>18051.29961913881</x:v>
      </x:c>
      <x:c r="M353" s="29" t="n">
        <x:f>NORM.S.DIST((LN(L353)-K353)/'Assumptions'!$D$10,TRUE)</x:f>
        <x:v>0.8421541912379197</x:v>
      </x:c>
      <x:c r="N353" s="30" t="n">
        <x:f>MAX(0,H353-MAX(G353,M353))</x:f>
        <x:v>0</x:v>
      </x:c>
      <x:c r="O353" s="28" t="n">
        <x:f>J353*I353</x:f>
        <x:v>6837.613492098032</x:v>
      </x:c>
      <x:c r="P353" s="27" t="n">
        <x:f>(VLOOKUP(O353,'Fee Data'!$C$6:$G$50,2,TRUE)+O353*VLOOKUP(O353,'Fee Data'!$C$6:$G$50,3,TRUE)+VLOOKUP(O353,'Fee Data'!$I$6:$J$14,2,TRUE)+'Fee Data'!$J$20+'Fee Data'!$J$21)*'Assumptions'!E37</x:f>
        <x:v>1080</x:v>
      </x:c>
      <x:c r="Q353" s="27" t="n">
        <x:f>(VLOOKUP(O353,'Fee Data'!$C$6:$G$50,4,TRUE)+O353*VLOOKUP(O353,'Fee Data'!$C$6:$G$50,5,TRUE)+VLOOKUP(O353,'Fee Data'!$I$6:$J$14,2,TRUE)+'Fee Data'!$J$20+'Fee Data'!$J$21)*'Assumptions'!E37</x:f>
        <x:v>955</x:v>
      </x:c>
      <x:c r="R353" s="27" t="n">
        <x:f>P353*(1-'Assumptions'!$D$14)+Q353*'Assumptions'!$D$14</x:f>
        <x:v>1017.5</x:v>
      </x:c>
      <x:c r="S353" s="27" t="n">
        <x:f>O353*'Carrier Engine'!E92</x:f>
        <x:v>273.50453968392134</x:v>
      </x:c>
      <x:c r="T353" s="28" t="n">
        <x:f>R353+S353</x:f>
        <x:v>1291.0045396839214</x:v>
      </x:c>
      <x:c r="U353" s="27" t="n">
        <x:f>N353*'Fleet Engine'!G208</x:f>
        <x:v>0</x:v>
      </x:c>
      <x:c r="V353" s="28" t="n">
        <x:f>U353*T353</x:f>
        <x:v>0</x:v>
      </x:c>
      <x:c r="W353" s="28" t="n">
        <x:f>U353*O353</x:f>
        <x:v>0</x:v>
      </x:c>
    </x:row>
    <x:row r="354" ht="19" customHeight="1">
      <x:c r="A354" s="2"/>
      <x:c r="B354" s="2"/>
      <x:c r="C354" s="46" t="n">
        <x:v>1</x:v>
      </x:c>
      <x:c r="D354" s="46" t="n">
        <x:v>14</x:v>
      </x:c>
      <x:c r="E354" s="46" t="n">
        <x:v>2</x:v>
      </x:c>
      <x:c r="F354" s="46" t="n">
        <x:v>2</x:v>
      </x:c>
      <x:c r="G354" s="12" t="n">
        <x:v>0.6666666666666666</x:v>
      </x:c>
      <x:c r="H354" s="12" t="n">
        <x:v>0.7777777777777778</x:v>
      </x:c>
      <x:c r="I354" s="29" t="n">
        <x:f>'Assumptions'!$D$11+'Assumptions'!$D$12*(0.5-(G354+H354)/2)</x:f>
        <x:v>0.25555555555555554</x:v>
      </x:c>
      <x:c r="J354" s="27" t="n">
        <x:f>'Assumptions'!$D$8*EXP(-'Assumptions'!$D$9*('Fleet Engine'!E208-10))*'Assumptions'!E57*'Assumptions'!E36</x:f>
        <x:v>24615.408571552918</x:v>
      </x:c>
      <x:c r="K354" s="27" t="n">
        <x:f>'Source Data'!F219+LN('Assumptions'!D57)+LN('Assumptions'!E35)</x:f>
        <x:v>8.22550551560197</x:v>
      </x:c>
      <x:c r="L354" s="27" t="n">
        <x:f>J354*(1-I354*(1-'Carrier Engine'!E92))</x:f>
        <x:v>18576.428335331937</x:v>
      </x:c>
      <x:c r="M354" s="29" t="n">
        <x:f>NORM.S.DIST((LN(L354)-K354)/'Assumptions'!$D$10,TRUE)</x:f>
        <x:v>0.8465180147776781</x:v>
      </x:c>
      <x:c r="N354" s="30" t="n">
        <x:f>MAX(0,H354-MAX(G354,M354))</x:f>
        <x:v>0</x:v>
      </x:c>
      <x:c r="O354" s="28" t="n">
        <x:f>J354*I354</x:f>
        <x:v>6290.604412730189</x:v>
      </x:c>
      <x:c r="P354" s="27" t="n">
        <x:f>(VLOOKUP(O354,'Fee Data'!$C$6:$G$50,2,TRUE)+O354*VLOOKUP(O354,'Fee Data'!$C$6:$G$50,3,TRUE)+VLOOKUP(O354,'Fee Data'!$I$6:$J$14,2,TRUE)+'Fee Data'!$J$20+'Fee Data'!$J$21)*'Assumptions'!E37</x:f>
        <x:v>1060</x:v>
      </x:c>
      <x:c r="Q354" s="27" t="n">
        <x:f>(VLOOKUP(O354,'Fee Data'!$C$6:$G$50,4,TRUE)+O354*VLOOKUP(O354,'Fee Data'!$C$6:$G$50,5,TRUE)+VLOOKUP(O354,'Fee Data'!$I$6:$J$14,2,TRUE)+'Fee Data'!$J$20+'Fee Data'!$J$21)*'Assumptions'!E37</x:f>
        <x:v>935</x:v>
      </x:c>
      <x:c r="R354" s="27" t="n">
        <x:f>P354*(1-'Assumptions'!$D$14)+Q354*'Assumptions'!$D$14</x:f>
        <x:v>997.5</x:v>
      </x:c>
      <x:c r="S354" s="27" t="n">
        <x:f>O354*'Carrier Engine'!E92</x:f>
        <x:v>251.62417650920762</x:v>
      </x:c>
      <x:c r="T354" s="28" t="n">
        <x:f>R354+S354</x:f>
        <x:v>1249.1241765092077</x:v>
      </x:c>
      <x:c r="U354" s="27" t="n">
        <x:f>N354*'Fleet Engine'!G208</x:f>
        <x:v>0</x:v>
      </x:c>
      <x:c r="V354" s="28" t="n">
        <x:f>U354*T354</x:f>
        <x:v>0</x:v>
      </x:c>
      <x:c r="W354" s="28" t="n">
        <x:f>U354*O354</x:f>
        <x:v>0</x:v>
      </x:c>
    </x:row>
    <x:row r="355" ht="19" customHeight="1">
      <x:c r="A355" s="2"/>
      <x:c r="B355" s="2"/>
      <x:c r="C355" s="46" t="n">
        <x:v>1</x:v>
      </x:c>
      <x:c r="D355" s="46" t="n">
        <x:v>14</x:v>
      </x:c>
      <x:c r="E355" s="46" t="n">
        <x:v>2</x:v>
      </x:c>
      <x:c r="F355" s="46" t="n">
        <x:v>2</x:v>
      </x:c>
      <x:c r="G355" s="12" t="n">
        <x:v>0.7777777777777778</x:v>
      </x:c>
      <x:c r="H355" s="12" t="n">
        <x:v>0.8888888888888888</x:v>
      </x:c>
      <x:c r="I355" s="29" t="n">
        <x:f>'Assumptions'!$D$11+'Assumptions'!$D$12*(0.5-(G355+H355)/2)</x:f>
        <x:v>0.23333333333333334</x:v>
      </x:c>
      <x:c r="J355" s="27" t="n">
        <x:f>'Assumptions'!$D$8*EXP(-'Assumptions'!$D$9*('Fleet Engine'!E208-10))*'Assumptions'!E57*'Assumptions'!E36</x:f>
        <x:v>24615.408571552918</x:v>
      </x:c>
      <x:c r="K355" s="27" t="n">
        <x:f>'Source Data'!F219+LN('Assumptions'!D57)+LN('Assumptions'!E35)</x:f>
        <x:v>8.22550551560197</x:v>
      </x:c>
      <x:c r="L355" s="27" t="n">
        <x:f>J355*(1-I355*(1-'Carrier Engine'!E92))</x:f>
        <x:v>19101.557051525066</x:v>
      </x:c>
      <x:c r="M355" s="29" t="n">
        <x:f>NORM.S.DIST((LN(L355)-K355)/'Assumptions'!$D$10,TRUE)</x:f>
        <x:v>0.850682864085855</x:v>
      </x:c>
      <x:c r="N355" s="30" t="n">
        <x:f>MAX(0,H355-MAX(G355,M355))</x:f>
        <x:v>0.03820602480303381</x:v>
      </x:c>
      <x:c r="O355" s="28" t="n">
        <x:f>J355*I355</x:f>
        <x:v>5743.595333362347</x:v>
      </x:c>
      <x:c r="P355" s="27" t="n">
        <x:f>(VLOOKUP(O355,'Fee Data'!$C$6:$G$50,2,TRUE)+O355*VLOOKUP(O355,'Fee Data'!$C$6:$G$50,3,TRUE)+VLOOKUP(O355,'Fee Data'!$I$6:$J$14,2,TRUE)+'Fee Data'!$J$20+'Fee Data'!$J$21)*'Assumptions'!E37</x:f>
        <x:v>1020</x:v>
      </x:c>
      <x:c r="Q355" s="27" t="n">
        <x:f>(VLOOKUP(O355,'Fee Data'!$C$6:$G$50,4,TRUE)+O355*VLOOKUP(O355,'Fee Data'!$C$6:$G$50,5,TRUE)+VLOOKUP(O355,'Fee Data'!$I$6:$J$14,2,TRUE)+'Fee Data'!$J$20+'Fee Data'!$J$21)*'Assumptions'!E37</x:f>
        <x:v>895</x:v>
      </x:c>
      <x:c r="R355" s="27" t="n">
        <x:f>P355*(1-'Assumptions'!$D$14)+Q355*'Assumptions'!$D$14</x:f>
        <x:v>957.5</x:v>
      </x:c>
      <x:c r="S355" s="27" t="n">
        <x:f>O355*'Carrier Engine'!E92</x:f>
        <x:v>229.74381333449395</x:v>
      </x:c>
      <x:c r="T355" s="28" t="n">
        <x:f>R355+S355</x:f>
        <x:v>1187.243813334494</x:v>
      </x:c>
      <x:c r="U355" s="27" t="n">
        <x:f>N355*'Fleet Engine'!G208</x:f>
        <x:v>236.5570678425514</x:v>
      </x:c>
      <x:c r="V355" s="28" t="n">
        <x:f>U355*T355</x:f>
        <x:v>280850.9152966173</x:v>
      </x:c>
      <x:c r="W355" s="28" t="n">
        <x:f>U355*O355</x:f>
        <x:v>1358688.0709343583</x:v>
      </x:c>
    </x:row>
    <x:row r="356" ht="19" customHeight="1">
      <x:c r="A356" s="2"/>
      <x:c r="B356" s="2"/>
      <x:c r="C356" s="46" t="n">
        <x:v>1</x:v>
      </x:c>
      <x:c r="D356" s="46" t="n">
        <x:v>14</x:v>
      </x:c>
      <x:c r="E356" s="46" t="n">
        <x:v>2</x:v>
      </x:c>
      <x:c r="F356" s="46" t="n">
        <x:v>2</x:v>
      </x:c>
      <x:c r="G356" s="12" t="n">
        <x:v>0.8888888888888888</x:v>
      </x:c>
      <x:c r="H356" s="12" t="n">
        <x:v>1</x:v>
      </x:c>
      <x:c r="I356" s="29" t="n">
        <x:f>'Assumptions'!$D$11+'Assumptions'!$D$12*(0.5-(G356+H356)/2)</x:f>
        <x:v>0.21111111111111108</x:v>
      </x:c>
      <x:c r="J356" s="27" t="n">
        <x:f>'Assumptions'!$D$8*EXP(-'Assumptions'!$D$9*('Fleet Engine'!E208-10))*'Assumptions'!E57*'Assumptions'!E36</x:f>
        <x:v>24615.408571552918</x:v>
      </x:c>
      <x:c r="K356" s="27" t="n">
        <x:f>'Source Data'!F219+LN('Assumptions'!D57)+LN('Assumptions'!E35)</x:f>
        <x:v>8.22550551560197</x:v>
      </x:c>
      <x:c r="L356" s="27" t="n">
        <x:f>J356*(1-I356*(1-'Carrier Engine'!E92))</x:f>
        <x:v>19626.685767718194</x:v>
      </x:c>
      <x:c r="M356" s="29" t="n">
        <x:f>NORM.S.DIST((LN(L356)-K356)/'Assumptions'!$D$10,TRUE)</x:f>
        <x:v>0.8546616790540353</x:v>
      </x:c>
      <x:c r="N356" s="30" t="n">
        <x:f>MAX(0,H356-MAX(G356,M356))</x:f>
        <x:v>0.11111111111111116</x:v>
      </x:c>
      <x:c r="O356" s="28" t="n">
        <x:f>J356*I356</x:f>
        <x:v>5196.586253994505</x:v>
      </x:c>
      <x:c r="P356" s="27" t="n">
        <x:f>(VLOOKUP(O356,'Fee Data'!$C$6:$G$50,2,TRUE)+O356*VLOOKUP(O356,'Fee Data'!$C$6:$G$50,3,TRUE)+VLOOKUP(O356,'Fee Data'!$I$6:$J$14,2,TRUE)+'Fee Data'!$J$20+'Fee Data'!$J$21)*'Assumptions'!E37</x:f>
        <x:v>995</x:v>
      </x:c>
      <x:c r="Q356" s="27" t="n">
        <x:f>(VLOOKUP(O356,'Fee Data'!$C$6:$G$50,4,TRUE)+O356*VLOOKUP(O356,'Fee Data'!$C$6:$G$50,5,TRUE)+VLOOKUP(O356,'Fee Data'!$I$6:$J$14,2,TRUE)+'Fee Data'!$J$20+'Fee Data'!$J$21)*'Assumptions'!E37</x:f>
        <x:v>870</x:v>
      </x:c>
      <x:c r="R356" s="27" t="n">
        <x:f>P356*(1-'Assumptions'!$D$14)+Q356*'Assumptions'!$D$14</x:f>
        <x:v>932.5</x:v>
      </x:c>
      <x:c r="S356" s="27" t="n">
        <x:f>O356*'Carrier Engine'!E92</x:f>
        <x:v>207.86345015978023</x:v>
      </x:c>
      <x:c r="T356" s="28" t="n">
        <x:f>R356+S356</x:f>
        <x:v>1140.3634501597803</x:v>
      </x:c>
      <x:c r="U356" s="27" t="n">
        <x:f>N356*'Fleet Engine'!G208</x:f>
        <x:v>687.957430396822</x:v>
      </x:c>
      <x:c r="V356" s="28" t="n">
        <x:f>U356*T356</x:f>
        <x:v>784521.5088903769</x:v>
      </x:c>
      <x:c r="W356" s="28" t="n">
        <x:f>U356*O356</x:f>
        <x:v>3575030.1261335067</x:v>
      </x:c>
    </x:row>
    <x:row r="357" ht="19" customHeight="1">
      <x:c r="A357" s="2"/>
      <x:c r="B357" s="2"/>
      <x:c r="C357" s="46" t="n">
        <x:v>1</x:v>
      </x:c>
      <x:c r="D357" s="46" t="n">
        <x:v>15</x:v>
      </x:c>
      <x:c r="E357" s="46" t="n">
        <x:v>2</x:v>
      </x:c>
      <x:c r="F357" s="46" t="n">
        <x:v>3</x:v>
      </x:c>
      <x:c r="G357" s="12" t="n">
        <x:v>0</x:v>
      </x:c>
      <x:c r="H357" s="12" t="n">
        <x:v>0.1111111111111111</x:v>
      </x:c>
      <x:c r="I357" s="29" t="n">
        <x:f>'Assumptions'!$D$11+'Assumptions'!$D$12*(0.5-(G357+H357)/2)</x:f>
        <x:v>0.3888888888888889</x:v>
      </x:c>
      <x:c r="J357" s="27" t="n">
        <x:f>'Assumptions'!$D$8*EXP(-'Assumptions'!$D$9*('Fleet Engine'!E209-10))*'Assumptions'!E57*'Assumptions'!E36</x:f>
        <x:v>18235.543179331336</x:v>
      </x:c>
      <x:c r="K357" s="27" t="n">
        <x:f>'Source Data'!F220+LN('Assumptions'!D57)+LN('Assumptions'!E35)</x:f>
        <x:v>8.332638086869624</x:v>
      </x:c>
      <x:c r="L357" s="27" t="n">
        <x:f>J357*(1-I357*(1-'Carrier Engine'!E92))</x:f>
        <x:v>11427.607059047637</x:v>
      </x:c>
      <x:c r="M357" s="29" t="n">
        <x:f>NORM.S.DIST((LN(L357)-K357)/'Assumptions'!$D$10,TRUE)</x:f>
        <x:v>0.7401992041625559</x:v>
      </x:c>
      <x:c r="N357" s="30" t="n">
        <x:f>MAX(0,H357-MAX(G357,M357))</x:f>
        <x:v>0</x:v>
      </x:c>
      <x:c r="O357" s="28" t="n">
        <x:f>J357*I357</x:f>
        <x:v>7091.60012529552</x:v>
      </x:c>
      <x:c r="P357" s="27" t="n">
        <x:f>(VLOOKUP(O357,'Fee Data'!$C$6:$G$50,2,TRUE)+O357*VLOOKUP(O357,'Fee Data'!$C$6:$G$50,3,TRUE)+VLOOKUP(O357,'Fee Data'!$I$6:$J$14,2,TRUE)+'Fee Data'!$J$20+'Fee Data'!$J$21)*'Assumptions'!E37</x:f>
        <x:v>1115</x:v>
      </x:c>
      <x:c r="Q357" s="27" t="n">
        <x:f>(VLOOKUP(O357,'Fee Data'!$C$6:$G$50,4,TRUE)+O357*VLOOKUP(O357,'Fee Data'!$C$6:$G$50,5,TRUE)+VLOOKUP(O357,'Fee Data'!$I$6:$J$14,2,TRUE)+'Fee Data'!$J$20+'Fee Data'!$J$21)*'Assumptions'!E37</x:f>
        <x:v>990</x:v>
      </x:c>
      <x:c r="R357" s="27" t="n">
        <x:f>P357*(1-'Assumptions'!$D$14)+Q357*'Assumptions'!$D$14</x:f>
        <x:v>1052.5</x:v>
      </x:c>
      <x:c r="S357" s="27" t="n">
        <x:f>O357*'Carrier Engine'!E92</x:f>
        <x:v>283.66400501182085</x:v>
      </x:c>
      <x:c r="T357" s="28" t="n">
        <x:f>R357+S357</x:f>
        <x:v>1336.1640050118208</x:v>
      </x:c>
      <x:c r="U357" s="27" t="n">
        <x:f>N357*'Fleet Engine'!G209</x:f>
        <x:v>0</x:v>
      </x:c>
      <x:c r="V357" s="28" t="n">
        <x:f>U357*T357</x:f>
        <x:v>0</x:v>
      </x:c>
      <x:c r="W357" s="28" t="n">
        <x:f>U357*O357</x:f>
        <x:v>0</x:v>
      </x:c>
    </x:row>
    <x:row r="358" ht="19" customHeight="1">
      <x:c r="A358" s="2"/>
      <x:c r="B358" s="2"/>
      <x:c r="C358" s="46" t="n">
        <x:v>1</x:v>
      </x:c>
      <x:c r="D358" s="46" t="n">
        <x:v>15</x:v>
      </x:c>
      <x:c r="E358" s="46" t="n">
        <x:v>2</x:v>
      </x:c>
      <x:c r="F358" s="46" t="n">
        <x:v>3</x:v>
      </x:c>
      <x:c r="G358" s="12" t="n">
        <x:v>0.1111111111111111</x:v>
      </x:c>
      <x:c r="H358" s="12" t="n">
        <x:v>0.2222222222222222</x:v>
      </x:c>
      <x:c r="I358" s="29" t="n">
        <x:f>'Assumptions'!$D$11+'Assumptions'!$D$12*(0.5-(G358+H358)/2)</x:f>
        <x:v>0.3666666666666667</x:v>
      </x:c>
      <x:c r="J358" s="27" t="n">
        <x:f>'Assumptions'!$D$8*EXP(-'Assumptions'!$D$9*('Fleet Engine'!E209-10))*'Assumptions'!E57*'Assumptions'!E36</x:f>
        <x:v>18235.543179331336</x:v>
      </x:c>
      <x:c r="K358" s="27" t="n">
        <x:f>'Source Data'!F220+LN('Assumptions'!D57)+LN('Assumptions'!E35)</x:f>
        <x:v>8.332638086869624</x:v>
      </x:c>
      <x:c r="L358" s="27" t="n">
        <x:f>J358*(1-I358*(1-'Carrier Engine'!E92))</x:f>
        <x:v>11816.631980206705</x:v>
      </x:c>
      <x:c r="M358" s="29" t="n">
        <x:f>NORM.S.DIST((LN(L358)-K358)/'Assumptions'!$D$10,TRUE)</x:f>
        <x:v>0.7470640064168992</x:v>
      </x:c>
      <x:c r="N358" s="30" t="n">
        <x:f>MAX(0,H358-MAX(G358,M358))</x:f>
        <x:v>0</x:v>
      </x:c>
      <x:c r="O358" s="28" t="n">
        <x:f>J358*I358</x:f>
        <x:v>6686.36583242149</x:v>
      </x:c>
      <x:c r="P358" s="27" t="n">
        <x:f>(VLOOKUP(O358,'Fee Data'!$C$6:$G$50,2,TRUE)+O358*VLOOKUP(O358,'Fee Data'!$C$6:$G$50,3,TRUE)+VLOOKUP(O358,'Fee Data'!$I$6:$J$14,2,TRUE)+'Fee Data'!$J$20+'Fee Data'!$J$21)*'Assumptions'!E37</x:f>
        <x:v>1080</x:v>
      </x:c>
      <x:c r="Q358" s="27" t="n">
        <x:f>(VLOOKUP(O358,'Fee Data'!$C$6:$G$50,4,TRUE)+O358*VLOOKUP(O358,'Fee Data'!$C$6:$G$50,5,TRUE)+VLOOKUP(O358,'Fee Data'!$I$6:$J$14,2,TRUE)+'Fee Data'!$J$20+'Fee Data'!$J$21)*'Assumptions'!E37</x:f>
        <x:v>955</x:v>
      </x:c>
      <x:c r="R358" s="27" t="n">
        <x:f>P358*(1-'Assumptions'!$D$14)+Q358*'Assumptions'!$D$14</x:f>
        <x:v>1017.5</x:v>
      </x:c>
      <x:c r="S358" s="27" t="n">
        <x:f>O358*'Carrier Engine'!E92</x:f>
        <x:v>267.45463329685964</x:v>
      </x:c>
      <x:c r="T358" s="28" t="n">
        <x:f>R358+S358</x:f>
        <x:v>1284.9546332968596</x:v>
      </x:c>
      <x:c r="U358" s="27" t="n">
        <x:f>N358*'Fleet Engine'!G209</x:f>
        <x:v>0</x:v>
      </x:c>
      <x:c r="V358" s="28" t="n">
        <x:f>U358*T358</x:f>
        <x:v>0</x:v>
      </x:c>
      <x:c r="W358" s="28" t="n">
        <x:f>U358*O358</x:f>
        <x:v>0</x:v>
      </x:c>
    </x:row>
    <x:row r="359" ht="19" customHeight="1">
      <x:c r="A359" s="2"/>
      <x:c r="B359" s="2"/>
      <x:c r="C359" s="46" t="n">
        <x:v>1</x:v>
      </x:c>
      <x:c r="D359" s="46" t="n">
        <x:v>15</x:v>
      </x:c>
      <x:c r="E359" s="46" t="n">
        <x:v>2</x:v>
      </x:c>
      <x:c r="F359" s="46" t="n">
        <x:v>3</x:v>
      </x:c>
      <x:c r="G359" s="12" t="n">
        <x:v>0.2222222222222222</x:v>
      </x:c>
      <x:c r="H359" s="12" t="n">
        <x:v>0.3333333333333333</x:v>
      </x:c>
      <x:c r="I359" s="29" t="n">
        <x:f>'Assumptions'!$D$11+'Assumptions'!$D$12*(0.5-(G359+H359)/2)</x:f>
        <x:v>0.34444444444444444</x:v>
      </x:c>
      <x:c r="J359" s="27" t="n">
        <x:f>'Assumptions'!$D$8*EXP(-'Assumptions'!$D$9*('Fleet Engine'!E209-10))*'Assumptions'!E57*'Assumptions'!E36</x:f>
        <x:v>18235.543179331336</x:v>
      </x:c>
      <x:c r="K359" s="27" t="n">
        <x:f>'Source Data'!F220+LN('Assumptions'!D57)+LN('Assumptions'!E35)</x:f>
        <x:v>8.332638086869624</x:v>
      </x:c>
      <x:c r="L359" s="27" t="n">
        <x:f>J359*(1-I359*(1-'Carrier Engine'!E92))</x:f>
        <x:v>12205.656901365775</x:v>
      </x:c>
      <x:c r="M359" s="29" t="n">
        <x:f>NORM.S.DIST((LN(L359)-K359)/'Assumptions'!$D$10,TRUE)</x:f>
        <x:v>0.7536144164560518</x:v>
      </x:c>
      <x:c r="N359" s="30" t="n">
        <x:f>MAX(0,H359-MAX(G359,M359))</x:f>
        <x:v>0</x:v>
      </x:c>
      <x:c r="O359" s="28" t="n">
        <x:f>J359*I359</x:f>
        <x:v>6281.13153954746</x:v>
      </x:c>
      <x:c r="P359" s="27" t="n">
        <x:f>(VLOOKUP(O359,'Fee Data'!$C$6:$G$50,2,TRUE)+O359*VLOOKUP(O359,'Fee Data'!$C$6:$G$50,3,TRUE)+VLOOKUP(O359,'Fee Data'!$I$6:$J$14,2,TRUE)+'Fee Data'!$J$20+'Fee Data'!$J$21)*'Assumptions'!E37</x:f>
        <x:v>1060</x:v>
      </x:c>
      <x:c r="Q359" s="27" t="n">
        <x:f>(VLOOKUP(O359,'Fee Data'!$C$6:$G$50,4,TRUE)+O359*VLOOKUP(O359,'Fee Data'!$C$6:$G$50,5,TRUE)+VLOOKUP(O359,'Fee Data'!$I$6:$J$14,2,TRUE)+'Fee Data'!$J$20+'Fee Data'!$J$21)*'Assumptions'!E37</x:f>
        <x:v>935</x:v>
      </x:c>
      <x:c r="R359" s="27" t="n">
        <x:f>P359*(1-'Assumptions'!$D$14)+Q359*'Assumptions'!$D$14</x:f>
        <x:v>997.5</x:v>
      </x:c>
      <x:c r="S359" s="27" t="n">
        <x:f>O359*'Carrier Engine'!E92</x:f>
        <x:v>251.24526158189846</x:v>
      </x:c>
      <x:c r="T359" s="28" t="n">
        <x:f>R359+S359</x:f>
        <x:v>1248.7452615818984</x:v>
      </x:c>
      <x:c r="U359" s="27" t="n">
        <x:f>N359*'Fleet Engine'!G209</x:f>
        <x:v>0</x:v>
      </x:c>
      <x:c r="V359" s="28" t="n">
        <x:f>U359*T359</x:f>
        <x:v>0</x:v>
      </x:c>
      <x:c r="W359" s="28" t="n">
        <x:f>U359*O359</x:f>
        <x:v>0</x:v>
      </x:c>
    </x:row>
    <x:row r="360" ht="19" customHeight="1">
      <x:c r="A360" s="2"/>
      <x:c r="B360" s="2"/>
      <x:c r="C360" s="46" t="n">
        <x:v>1</x:v>
      </x:c>
      <x:c r="D360" s="46" t="n">
        <x:v>15</x:v>
      </x:c>
      <x:c r="E360" s="46" t="n">
        <x:v>2</x:v>
      </x:c>
      <x:c r="F360" s="46" t="n">
        <x:v>3</x:v>
      </x:c>
      <x:c r="G360" s="12" t="n">
        <x:v>0.3333333333333333</x:v>
      </x:c>
      <x:c r="H360" s="12" t="n">
        <x:v>0.4444444444444444</x:v>
      </x:c>
      <x:c r="I360" s="29" t="n">
        <x:f>'Assumptions'!$D$11+'Assumptions'!$D$12*(0.5-(G360+H360)/2)</x:f>
        <x:v>0.32222222222222224</x:v>
      </x:c>
      <x:c r="J360" s="27" t="n">
        <x:f>'Assumptions'!$D$8*EXP(-'Assumptions'!$D$9*('Fleet Engine'!E209-10))*'Assumptions'!E57*'Assumptions'!E36</x:f>
        <x:v>18235.543179331336</x:v>
      </x:c>
      <x:c r="K360" s="27" t="n">
        <x:f>'Source Data'!F220+LN('Assumptions'!D57)+LN('Assumptions'!E35)</x:f>
        <x:v>8.332638086869624</x:v>
      </x:c>
      <x:c r="L360" s="27" t="n">
        <x:f>J360*(1-I360*(1-'Carrier Engine'!E92))</x:f>
        <x:v>12594.681822524843</x:v>
      </x:c>
      <x:c r="M360" s="29" t="n">
        <x:f>NORM.S.DIST((LN(L360)-K360)/'Assumptions'!$D$10,TRUE)</x:f>
        <x:v>0.7598715607815303</x:v>
      </x:c>
      <x:c r="N360" s="30" t="n">
        <x:f>MAX(0,H360-MAX(G360,M360))</x:f>
        <x:v>0</x:v>
      </x:c>
      <x:c r="O360" s="28" t="n">
        <x:f>J360*I360</x:f>
        <x:v>5875.897246673431</x:v>
      </x:c>
      <x:c r="P360" s="27" t="n">
        <x:f>(VLOOKUP(O360,'Fee Data'!$C$6:$G$50,2,TRUE)+O360*VLOOKUP(O360,'Fee Data'!$C$6:$G$50,3,TRUE)+VLOOKUP(O360,'Fee Data'!$I$6:$J$14,2,TRUE)+'Fee Data'!$J$20+'Fee Data'!$J$21)*'Assumptions'!E37</x:f>
        <x:v>1020</x:v>
      </x:c>
      <x:c r="Q360" s="27" t="n">
        <x:f>(VLOOKUP(O360,'Fee Data'!$C$6:$G$50,4,TRUE)+O360*VLOOKUP(O360,'Fee Data'!$C$6:$G$50,5,TRUE)+VLOOKUP(O360,'Fee Data'!$I$6:$J$14,2,TRUE)+'Fee Data'!$J$20+'Fee Data'!$J$21)*'Assumptions'!E37</x:f>
        <x:v>895</x:v>
      </x:c>
      <x:c r="R360" s="27" t="n">
        <x:f>P360*(1-'Assumptions'!$D$14)+Q360*'Assumptions'!$D$14</x:f>
        <x:v>957.5</x:v>
      </x:c>
      <x:c r="S360" s="27" t="n">
        <x:f>O360*'Carrier Engine'!E92</x:f>
        <x:v>235.03588986693728</x:v>
      </x:c>
      <x:c r="T360" s="28" t="n">
        <x:f>R360+S360</x:f>
        <x:v>1192.5358898669374</x:v>
      </x:c>
      <x:c r="U360" s="27" t="n">
        <x:f>N360*'Fleet Engine'!G209</x:f>
        <x:v>0</x:v>
      </x:c>
      <x:c r="V360" s="28" t="n">
        <x:f>U360*T360</x:f>
        <x:v>0</x:v>
      </x:c>
      <x:c r="W360" s="28" t="n">
        <x:f>U360*O360</x:f>
        <x:v>0</x:v>
      </x:c>
    </x:row>
    <x:row r="361" ht="19" customHeight="1">
      <x:c r="A361" s="2"/>
      <x:c r="B361" s="2"/>
      <x:c r="C361" s="46" t="n">
        <x:v>1</x:v>
      </x:c>
      <x:c r="D361" s="46" t="n">
        <x:v>15</x:v>
      </x:c>
      <x:c r="E361" s="46" t="n">
        <x:v>2</x:v>
      </x:c>
      <x:c r="F361" s="46" t="n">
        <x:v>3</x:v>
      </x:c>
      <x:c r="G361" s="12" t="n">
        <x:v>0.4444444444444444</x:v>
      </x:c>
      <x:c r="H361" s="12" t="n">
        <x:v>0.5555555555555556</x:v>
      </x:c>
      <x:c r="I361" s="29" t="n">
        <x:f>'Assumptions'!$D$11+'Assumptions'!$D$12*(0.5-(G361+H361)/2)</x:f>
        <x:v>0.3</x:v>
      </x:c>
      <x:c r="J361" s="27" t="n">
        <x:f>'Assumptions'!$D$8*EXP(-'Assumptions'!$D$9*('Fleet Engine'!E209-10))*'Assumptions'!E57*'Assumptions'!E36</x:f>
        <x:v>18235.543179331336</x:v>
      </x:c>
      <x:c r="K361" s="27" t="n">
        <x:f>'Source Data'!F220+LN('Assumptions'!D57)+LN('Assumptions'!E35)</x:f>
        <x:v>8.332638086869624</x:v>
      </x:c>
      <x:c r="L361" s="27" t="n">
        <x:f>J361*(1-I361*(1-'Carrier Engine'!E92))</x:f>
        <x:v>12983.706743683912</x:v>
      </x:c>
      <x:c r="M361" s="29" t="n">
        <x:f>NORM.S.DIST((LN(L361)-K361)/'Assumptions'!$D$10,TRUE)</x:f>
        <x:v>0.7658546811979431</x:v>
      </x:c>
      <x:c r="N361" s="30" t="n">
        <x:f>MAX(0,H361-MAX(G361,M361))</x:f>
        <x:v>0</x:v>
      </x:c>
      <x:c r="O361" s="28" t="n">
        <x:f>J361*I361</x:f>
        <x:v>5470.6629537994</x:v>
      </x:c>
      <x:c r="P361" s="27" t="n">
        <x:f>(VLOOKUP(O361,'Fee Data'!$C$6:$G$50,2,TRUE)+O361*VLOOKUP(O361,'Fee Data'!$C$6:$G$50,3,TRUE)+VLOOKUP(O361,'Fee Data'!$I$6:$J$14,2,TRUE)+'Fee Data'!$J$20+'Fee Data'!$J$21)*'Assumptions'!E37</x:f>
        <x:v>995</x:v>
      </x:c>
      <x:c r="Q361" s="27" t="n">
        <x:f>(VLOOKUP(O361,'Fee Data'!$C$6:$G$50,4,TRUE)+O361*VLOOKUP(O361,'Fee Data'!$C$6:$G$50,5,TRUE)+VLOOKUP(O361,'Fee Data'!$I$6:$J$14,2,TRUE)+'Fee Data'!$J$20+'Fee Data'!$J$21)*'Assumptions'!E37</x:f>
        <x:v>870</x:v>
      </x:c>
      <x:c r="R361" s="27" t="n">
        <x:f>P361*(1-'Assumptions'!$D$14)+Q361*'Assumptions'!$D$14</x:f>
        <x:v>932.5</x:v>
      </x:c>
      <x:c r="S361" s="27" t="n">
        <x:f>O361*'Carrier Engine'!E92</x:f>
        <x:v>218.82651815197605</x:v>
      </x:c>
      <x:c r="T361" s="28" t="n">
        <x:f>R361+S361</x:f>
        <x:v>1151.326518151976</x:v>
      </x:c>
      <x:c r="U361" s="27" t="n">
        <x:f>N361*'Fleet Engine'!G209</x:f>
        <x:v>0</x:v>
      </x:c>
      <x:c r="V361" s="28" t="n">
        <x:f>U361*T361</x:f>
        <x:v>0</x:v>
      </x:c>
      <x:c r="W361" s="28" t="n">
        <x:f>U361*O361</x:f>
        <x:v>0</x:v>
      </x:c>
    </x:row>
    <x:row r="362" ht="19" customHeight="1">
      <x:c r="A362" s="2"/>
      <x:c r="B362" s="2"/>
      <x:c r="C362" s="46" t="n">
        <x:v>1</x:v>
      </x:c>
      <x:c r="D362" s="46" t="n">
        <x:v>15</x:v>
      </x:c>
      <x:c r="E362" s="46" t="n">
        <x:v>2</x:v>
      </x:c>
      <x:c r="F362" s="46" t="n">
        <x:v>3</x:v>
      </x:c>
      <x:c r="G362" s="12" t="n">
        <x:v>0.5555555555555556</x:v>
      </x:c>
      <x:c r="H362" s="12" t="n">
        <x:v>0.6666666666666666</x:v>
      </x:c>
      <x:c r="I362" s="29" t="n">
        <x:f>'Assumptions'!$D$11+'Assumptions'!$D$12*(0.5-(G362+H362)/2)</x:f>
        <x:v>0.27777777777777773</x:v>
      </x:c>
      <x:c r="J362" s="27" t="n">
        <x:f>'Assumptions'!$D$8*EXP(-'Assumptions'!$D$9*('Fleet Engine'!E209-10))*'Assumptions'!E57*'Assumptions'!E36</x:f>
        <x:v>18235.543179331336</x:v>
      </x:c>
      <x:c r="K362" s="27" t="n">
        <x:f>'Source Data'!F220+LN('Assumptions'!D57)+LN('Assumptions'!E35)</x:f>
        <x:v>8.332638086869624</x:v>
      </x:c>
      <x:c r="L362" s="27" t="n">
        <x:f>J362*(1-I362*(1-'Carrier Engine'!E92))</x:f>
        <x:v>13372.73166484298</x:v>
      </x:c>
      <x:c r="M362" s="29" t="n">
        <x:f>NORM.S.DIST((LN(L362)-K362)/'Assumptions'!$D$10,TRUE)</x:f>
        <x:v>0.7715813442101519</x:v>
      </x:c>
      <x:c r="N362" s="30" t="n">
        <x:f>MAX(0,H362-MAX(G362,M362))</x:f>
        <x:v>0</x:v>
      </x:c>
      <x:c r="O362" s="28" t="n">
        <x:f>J362*I362</x:f>
        <x:v>5065.42866092537</x:v>
      </x:c>
      <x:c r="P362" s="27" t="n">
        <x:f>(VLOOKUP(O362,'Fee Data'!$C$6:$G$50,2,TRUE)+O362*VLOOKUP(O362,'Fee Data'!$C$6:$G$50,3,TRUE)+VLOOKUP(O362,'Fee Data'!$I$6:$J$14,2,TRUE)+'Fee Data'!$J$20+'Fee Data'!$J$21)*'Assumptions'!E37</x:f>
        <x:v>995</x:v>
      </x:c>
      <x:c r="Q362" s="27" t="n">
        <x:f>(VLOOKUP(O362,'Fee Data'!$C$6:$G$50,4,TRUE)+O362*VLOOKUP(O362,'Fee Data'!$C$6:$G$50,5,TRUE)+VLOOKUP(O362,'Fee Data'!$I$6:$J$14,2,TRUE)+'Fee Data'!$J$20+'Fee Data'!$J$21)*'Assumptions'!E37</x:f>
        <x:v>870</x:v>
      </x:c>
      <x:c r="R362" s="27" t="n">
        <x:f>P362*(1-'Assumptions'!$D$14)+Q362*'Assumptions'!$D$14</x:f>
        <x:v>932.5</x:v>
      </x:c>
      <x:c r="S362" s="27" t="n">
        <x:f>O362*'Carrier Engine'!E92</x:f>
        <x:v>202.61714643701487</x:v>
      </x:c>
      <x:c r="T362" s="28" t="n">
        <x:f>R362+S362</x:f>
        <x:v>1135.117146437015</x:v>
      </x:c>
      <x:c r="U362" s="27" t="n">
        <x:f>N362*'Fleet Engine'!G209</x:f>
        <x:v>0</x:v>
      </x:c>
      <x:c r="V362" s="28" t="n">
        <x:f>U362*T362</x:f>
        <x:v>0</x:v>
      </x:c>
      <x:c r="W362" s="28" t="n">
        <x:f>U362*O362</x:f>
        <x:v>0</x:v>
      </x:c>
    </x:row>
    <x:row r="363" ht="19" customHeight="1">
      <x:c r="A363" s="2"/>
      <x:c r="B363" s="2"/>
      <x:c r="C363" s="46" t="n">
        <x:v>1</x:v>
      </x:c>
      <x:c r="D363" s="46" t="n">
        <x:v>15</x:v>
      </x:c>
      <x:c r="E363" s="46" t="n">
        <x:v>2</x:v>
      </x:c>
      <x:c r="F363" s="46" t="n">
        <x:v>3</x:v>
      </x:c>
      <x:c r="G363" s="12" t="n">
        <x:v>0.6666666666666666</x:v>
      </x:c>
      <x:c r="H363" s="12" t="n">
        <x:v>0.7777777777777778</x:v>
      </x:c>
      <x:c r="I363" s="29" t="n">
        <x:f>'Assumptions'!$D$11+'Assumptions'!$D$12*(0.5-(G363+H363)/2)</x:f>
        <x:v>0.25555555555555554</x:v>
      </x:c>
      <x:c r="J363" s="27" t="n">
        <x:f>'Assumptions'!$D$8*EXP(-'Assumptions'!$D$9*('Fleet Engine'!E209-10))*'Assumptions'!E57*'Assumptions'!E36</x:f>
        <x:v>18235.543179331336</x:v>
      </x:c>
      <x:c r="K363" s="27" t="n">
        <x:f>'Source Data'!F220+LN('Assumptions'!D57)+LN('Assumptions'!E35)</x:f>
        <x:v>8.332638086869624</x:v>
      </x:c>
      <x:c r="L363" s="27" t="n">
        <x:f>J363*(1-I363*(1-'Carrier Engine'!E92))</x:f>
        <x:v>13761.75658600205</x:v>
      </x:c>
      <x:c r="M363" s="29" t="n">
        <x:f>NORM.S.DIST((LN(L363)-K363)/'Assumptions'!$D$10,TRUE)</x:f>
        <x:v>0.7770676226732032</x:v>
      </x:c>
      <x:c r="N363" s="30" t="n">
        <x:f>MAX(0,H363-MAX(G363,M363))</x:f>
        <x:v>0.0007101551045746168</x:v>
      </x:c>
      <x:c r="O363" s="28" t="n">
        <x:f>J363*I363</x:f>
        <x:v>4660.194368051341</x:v>
      </x:c>
      <x:c r="P363" s="27" t="n">
        <x:f>(VLOOKUP(O363,'Fee Data'!$C$6:$G$50,2,TRUE)+O363*VLOOKUP(O363,'Fee Data'!$C$6:$G$50,3,TRUE)+VLOOKUP(O363,'Fee Data'!$I$6:$J$14,2,TRUE)+'Fee Data'!$J$20+'Fee Data'!$J$21)*'Assumptions'!E37</x:f>
        <x:v>970</x:v>
      </x:c>
      <x:c r="Q363" s="27" t="n">
        <x:f>(VLOOKUP(O363,'Fee Data'!$C$6:$G$50,4,TRUE)+O363*VLOOKUP(O363,'Fee Data'!$C$6:$G$50,5,TRUE)+VLOOKUP(O363,'Fee Data'!$I$6:$J$14,2,TRUE)+'Fee Data'!$J$20+'Fee Data'!$J$21)*'Assumptions'!E37</x:f>
        <x:v>845</x:v>
      </x:c>
      <x:c r="R363" s="27" t="n">
        <x:f>P363*(1-'Assumptions'!$D$14)+Q363*'Assumptions'!$D$14</x:f>
        <x:v>907.5</x:v>
      </x:c>
      <x:c r="S363" s="27" t="n">
        <x:f>O363*'Carrier Engine'!E92</x:f>
        <x:v>186.4077747220537</x:v>
      </x:c>
      <x:c r="T363" s="28" t="n">
        <x:f>R363+S363</x:f>
        <x:v>1093.9077747220538</x:v>
      </x:c>
      <x:c r="U363" s="27" t="n">
        <x:f>N363*'Fleet Engine'!G209</x:f>
        <x:v>3.311378038629567</x:v>
      </x:c>
      <x:c r="V363" s="28" t="n">
        <x:f>U363*T363</x:f>
        <x:v>3622.3421815007487</x:v>
      </x:c>
      <x:c r="W363" s="28" t="n">
        <x:f>U363*O363</x:f>
        <x:v>15431.665286110405</x:v>
      </x:c>
    </x:row>
    <x:row r="364" ht="19" customHeight="1">
      <x:c r="A364" s="2"/>
      <x:c r="B364" s="2"/>
      <x:c r="C364" s="46" t="n">
        <x:v>1</x:v>
      </x:c>
      <x:c r="D364" s="46" t="n">
        <x:v>15</x:v>
      </x:c>
      <x:c r="E364" s="46" t="n">
        <x:v>2</x:v>
      </x:c>
      <x:c r="F364" s="46" t="n">
        <x:v>3</x:v>
      </x:c>
      <x:c r="G364" s="12" t="n">
        <x:v>0.7777777777777778</x:v>
      </x:c>
      <x:c r="H364" s="12" t="n">
        <x:v>0.8888888888888888</x:v>
      </x:c>
      <x:c r="I364" s="29" t="n">
        <x:f>'Assumptions'!$D$11+'Assumptions'!$D$12*(0.5-(G364+H364)/2)</x:f>
        <x:v>0.23333333333333334</x:v>
      </x:c>
      <x:c r="J364" s="27" t="n">
        <x:f>'Assumptions'!$D$8*EXP(-'Assumptions'!$D$9*('Fleet Engine'!E209-10))*'Assumptions'!E57*'Assumptions'!E36</x:f>
        <x:v>18235.543179331336</x:v>
      </x:c>
      <x:c r="K364" s="27" t="n">
        <x:f>'Source Data'!F220+LN('Assumptions'!D57)+LN('Assumptions'!E35)</x:f>
        <x:v>8.332638086869624</x:v>
      </x:c>
      <x:c r="L364" s="27" t="n">
        <x:f>J364*(1-I364*(1-'Carrier Engine'!E92))</x:f>
        <x:v>14150.781507161117</x:v>
      </x:c>
      <x:c r="M364" s="29" t="n">
        <x:f>NORM.S.DIST((LN(L364)-K364)/'Assumptions'!$D$10,TRUE)</x:f>
        <x:v>0.7823282539471316</x:v>
      </x:c>
      <x:c r="N364" s="30" t="n">
        <x:f>MAX(0,H364-MAX(G364,M364))</x:f>
        <x:v>0.10656063494175727</x:v>
      </x:c>
      <x:c r="O364" s="28" t="n">
        <x:f>J364*I364</x:f>
        <x:v>4254.960075177312</x:v>
      </x:c>
      <x:c r="P364" s="27" t="n">
        <x:f>(VLOOKUP(O364,'Fee Data'!$C$6:$G$50,2,TRUE)+O364*VLOOKUP(O364,'Fee Data'!$C$6:$G$50,3,TRUE)+VLOOKUP(O364,'Fee Data'!$I$6:$J$14,2,TRUE)+'Fee Data'!$J$20+'Fee Data'!$J$21)*'Assumptions'!E37</x:f>
        <x:v>945</x:v>
      </x:c>
      <x:c r="Q364" s="27" t="n">
        <x:f>(VLOOKUP(O364,'Fee Data'!$C$6:$G$50,4,TRUE)+O364*VLOOKUP(O364,'Fee Data'!$C$6:$G$50,5,TRUE)+VLOOKUP(O364,'Fee Data'!$I$6:$J$14,2,TRUE)+'Fee Data'!$J$20+'Fee Data'!$J$21)*'Assumptions'!E37</x:f>
        <x:v>820</x:v>
      </x:c>
      <x:c r="R364" s="27" t="n">
        <x:f>P364*(1-'Assumptions'!$D$14)+Q364*'Assumptions'!$D$14</x:f>
        <x:v>882.5</x:v>
      </x:c>
      <x:c r="S364" s="27" t="n">
        <x:f>O364*'Carrier Engine'!E92</x:f>
        <x:v>170.19840300709254</x:v>
      </x:c>
      <x:c r="T364" s="28" t="n">
        <x:f>R364+S364</x:f>
        <x:v>1052.6984030070926</x:v>
      </x:c>
      <x:c r="U364" s="27" t="n">
        <x:f>N364*'Fleet Engine'!G209</x:f>
        <x:v>496.880954675278</x:v>
      </x:c>
      <x:c r="V364" s="28" t="n">
        <x:f>U364*T364</x:f>
        <x:v>523065.7874713047</x:v>
      </x:c>
      <x:c r="W364" s="28" t="n">
        <x:f>U364*O364</x:f>
        <x:v>2114208.624259296</x:v>
      </x:c>
    </x:row>
    <x:row r="365" ht="19" customHeight="1">
      <x:c r="A365" s="2"/>
      <x:c r="B365" s="2"/>
      <x:c r="C365" s="46" t="n">
        <x:v>1</x:v>
      </x:c>
      <x:c r="D365" s="46" t="n">
        <x:v>15</x:v>
      </x:c>
      <x:c r="E365" s="46" t="n">
        <x:v>2</x:v>
      </x:c>
      <x:c r="F365" s="46" t="n">
        <x:v>3</x:v>
      </x:c>
      <x:c r="G365" s="12" t="n">
        <x:v>0.8888888888888888</x:v>
      </x:c>
      <x:c r="H365" s="12" t="n">
        <x:v>1</x:v>
      </x:c>
      <x:c r="I365" s="29" t="n">
        <x:f>'Assumptions'!$D$11+'Assumptions'!$D$12*(0.5-(G365+H365)/2)</x:f>
        <x:v>0.21111111111111108</x:v>
      </x:c>
      <x:c r="J365" s="27" t="n">
        <x:f>'Assumptions'!$D$8*EXP(-'Assumptions'!$D$9*('Fleet Engine'!E209-10))*'Assumptions'!E57*'Assumptions'!E36</x:f>
        <x:v>18235.543179331336</x:v>
      </x:c>
      <x:c r="K365" s="27" t="n">
        <x:f>'Source Data'!F220+LN('Assumptions'!D57)+LN('Assumptions'!E35)</x:f>
        <x:v>8.332638086869624</x:v>
      </x:c>
      <x:c r="L365" s="27" t="n">
        <x:f>J365*(1-I365*(1-'Carrier Engine'!E92))</x:f>
        <x:v>14539.806428320186</x:v>
      </x:c>
      <x:c r="M365" s="29" t="n">
        <x:f>NORM.S.DIST((LN(L365)-K365)/'Assumptions'!$D$10,TRUE)</x:f>
        <x:v>0.7873767780721864</x:v>
      </x:c>
      <x:c r="N365" s="30" t="n">
        <x:f>MAX(0,H365-MAX(G365,M365))</x:f>
        <x:v>0.11111111111111116</x:v>
      </x:c>
      <x:c r="O365" s="28" t="n">
        <x:f>J365*I365</x:f>
        <x:v>3849.7257823032814</x:v>
      </x:c>
      <x:c r="P365" s="27" t="n">
        <x:f>(VLOOKUP(O365,'Fee Data'!$C$6:$G$50,2,TRUE)+O365*VLOOKUP(O365,'Fee Data'!$C$6:$G$50,3,TRUE)+VLOOKUP(O365,'Fee Data'!$I$6:$J$14,2,TRUE)+'Fee Data'!$J$20+'Fee Data'!$J$21)*'Assumptions'!E37</x:f>
        <x:v>915</x:v>
      </x:c>
      <x:c r="Q365" s="27" t="n">
        <x:f>(VLOOKUP(O365,'Fee Data'!$C$6:$G$50,4,TRUE)+O365*VLOOKUP(O365,'Fee Data'!$C$6:$G$50,5,TRUE)+VLOOKUP(O365,'Fee Data'!$I$6:$J$14,2,TRUE)+'Fee Data'!$J$20+'Fee Data'!$J$21)*'Assumptions'!E37</x:f>
        <x:v>765</x:v>
      </x:c>
      <x:c r="R365" s="27" t="n">
        <x:f>P365*(1-'Assumptions'!$D$14)+Q365*'Assumptions'!$D$14</x:f>
        <x:v>840</x:v>
      </x:c>
      <x:c r="S365" s="27" t="n">
        <x:f>O365*'Carrier Engine'!E92</x:f>
        <x:v>153.9890312921313</x:v>
      </x:c>
      <x:c r="T365" s="28" t="n">
        <x:f>R365+S365</x:f>
        <x:v>993.9890312921314</x:v>
      </x:c>
      <x:c r="U365" s="27" t="n">
        <x:f>N365*'Fleet Engine'!G209</x:f>
        <x:v>518.0993431025943</x:v>
      </x:c>
      <x:c r="V365" s="28" t="n">
        <x:f>U365*T365</x:f>
        <x:v>514985.0641636373</x:v>
      </x:c>
      <x:c r="W365" s="28" t="n">
        <x:f>U365*O365</x:f>
        <x:v>1994540.398936451</x:v>
      </x:c>
    </x:row>
    <x:row r="366" ht="19" customHeight="1">
      <x:c r="A366" s="2"/>
      <x:c r="B366" s="2"/>
      <x:c r="C366" s="46" t="n">
        <x:v>1</x:v>
      </x:c>
      <x:c r="D366" s="46" t="n">
        <x:v>16</x:v>
      </x:c>
      <x:c r="E366" s="46" t="n">
        <x:v>2</x:v>
      </x:c>
      <x:c r="F366" s="46" t="n">
        <x:v>4</x:v>
      </x:c>
      <x:c r="G366" s="12" t="n">
        <x:v>0</x:v>
      </x:c>
      <x:c r="H366" s="12" t="n">
        <x:v>0.1111111111111111</x:v>
      </x:c>
      <x:c r="I366" s="29" t="n">
        <x:f>'Assumptions'!$D$11+'Assumptions'!$D$12*(0.5-(G366+H366)/2)</x:f>
        <x:v>0.3888888888888889</x:v>
      </x:c>
      <x:c r="J366" s="27" t="n">
        <x:f>'Assumptions'!$D$8*EXP(-'Assumptions'!$D$9*('Fleet Engine'!E210-10))*'Assumptions'!E57*'Assumptions'!E36</x:f>
        <x:v>13509.222651276876</x:v>
      </x:c>
      <x:c r="K366" s="27" t="n">
        <x:f>'Source Data'!F221+LN('Assumptions'!D57)+LN('Assumptions'!E35)</x:f>
        <x:v>8.418486215784876</x:v>
      </x:c>
      <x:c r="L366" s="27" t="n">
        <x:f>J366*(1-I366*(1-'Carrier Engine'!E92))</x:f>
        <x:v>8465.77952813351</x:v>
      </x:c>
      <x:c r="M366" s="29" t="n">
        <x:f>NORM.S.DIST((LN(L366)-K366)/'Assumptions'!$D$10,TRUE)</x:f>
        <x:v>0.6547692149183624</x:v>
      </x:c>
      <x:c r="N366" s="30" t="n">
        <x:f>MAX(0,H366-MAX(G366,M366))</x:f>
        <x:v>0</x:v>
      </x:c>
      <x:c r="O366" s="28" t="n">
        <x:f>J366*I366</x:f>
        <x:v>5253.586586607674</x:v>
      </x:c>
      <x:c r="P366" s="27" t="n">
        <x:f>(VLOOKUP(O366,'Fee Data'!$C$6:$G$50,2,TRUE)+O366*VLOOKUP(O366,'Fee Data'!$C$6:$G$50,3,TRUE)+VLOOKUP(O366,'Fee Data'!$I$6:$J$14,2,TRUE)+'Fee Data'!$J$20+'Fee Data'!$J$21)*'Assumptions'!E37</x:f>
        <x:v>995</x:v>
      </x:c>
      <x:c r="Q366" s="27" t="n">
        <x:f>(VLOOKUP(O366,'Fee Data'!$C$6:$G$50,4,TRUE)+O366*VLOOKUP(O366,'Fee Data'!$C$6:$G$50,5,TRUE)+VLOOKUP(O366,'Fee Data'!$I$6:$J$14,2,TRUE)+'Fee Data'!$J$20+'Fee Data'!$J$21)*'Assumptions'!E37</x:f>
        <x:v>870</x:v>
      </x:c>
      <x:c r="R366" s="27" t="n">
        <x:f>P366*(1-'Assumptions'!$D$14)+Q366*'Assumptions'!$D$14</x:f>
        <x:v>932.5</x:v>
      </x:c>
      <x:c r="S366" s="27" t="n">
        <x:f>O366*'Carrier Engine'!E92</x:f>
        <x:v>210.143463464307</x:v>
      </x:c>
      <x:c r="T366" s="28" t="n">
        <x:f>R366+S366</x:f>
        <x:v>1142.643463464307</x:v>
      </x:c>
      <x:c r="U366" s="27" t="n">
        <x:f>N366*'Fleet Engine'!G210</x:f>
        <x:v>0</x:v>
      </x:c>
      <x:c r="V366" s="28" t="n">
        <x:f>U366*T366</x:f>
        <x:v>0</x:v>
      </x:c>
      <x:c r="W366" s="28" t="n">
        <x:f>U366*O366</x:f>
        <x:v>0</x:v>
      </x:c>
    </x:row>
    <x:row r="367" ht="19" customHeight="1">
      <x:c r="A367" s="2"/>
      <x:c r="B367" s="2"/>
      <x:c r="C367" s="46" t="n">
        <x:v>1</x:v>
      </x:c>
      <x:c r="D367" s="46" t="n">
        <x:v>16</x:v>
      </x:c>
      <x:c r="E367" s="46" t="n">
        <x:v>2</x:v>
      </x:c>
      <x:c r="F367" s="46" t="n">
        <x:v>4</x:v>
      </x:c>
      <x:c r="G367" s="12" t="n">
        <x:v>0.1111111111111111</x:v>
      </x:c>
      <x:c r="H367" s="12" t="n">
        <x:v>0.2222222222222222</x:v>
      </x:c>
      <x:c r="I367" s="29" t="n">
        <x:f>'Assumptions'!$D$11+'Assumptions'!$D$12*(0.5-(G367+H367)/2)</x:f>
        <x:v>0.3666666666666667</x:v>
      </x:c>
      <x:c r="J367" s="27" t="n">
        <x:f>'Assumptions'!$D$8*EXP(-'Assumptions'!$D$9*('Fleet Engine'!E210-10))*'Assumptions'!E57*'Assumptions'!E36</x:f>
        <x:v>13509.222651276876</x:v>
      </x:c>
      <x:c r="K367" s="27" t="n">
        <x:f>'Source Data'!F221+LN('Assumptions'!D57)+LN('Assumptions'!E35)</x:f>
        <x:v>8.418486215784876</x:v>
      </x:c>
      <x:c r="L367" s="27" t="n">
        <x:f>J367*(1-I367*(1-'Carrier Engine'!E92))</x:f>
        <x:v>8753.976278027414</x:v>
      </x:c>
      <x:c r="M367" s="29" t="n">
        <x:f>NORM.S.DIST((LN(L367)-K367)/'Assumptions'!$D$10,TRUE)</x:f>
        <x:v>0.6625922348502294</x:v>
      </x:c>
      <x:c r="N367" s="30" t="n">
        <x:f>MAX(0,H367-MAX(G367,M367))</x:f>
        <x:v>0</x:v>
      </x:c>
      <x:c r="O367" s="28" t="n">
        <x:f>J367*I367</x:f>
        <x:v>4953.381638801521</x:v>
      </x:c>
      <x:c r="P367" s="27" t="n">
        <x:f>(VLOOKUP(O367,'Fee Data'!$C$6:$G$50,2,TRUE)+O367*VLOOKUP(O367,'Fee Data'!$C$6:$G$50,3,TRUE)+VLOOKUP(O367,'Fee Data'!$I$6:$J$14,2,TRUE)+'Fee Data'!$J$20+'Fee Data'!$J$21)*'Assumptions'!E37</x:f>
        <x:v>970</x:v>
      </x:c>
      <x:c r="Q367" s="27" t="n">
        <x:f>(VLOOKUP(O367,'Fee Data'!$C$6:$G$50,4,TRUE)+O367*VLOOKUP(O367,'Fee Data'!$C$6:$G$50,5,TRUE)+VLOOKUP(O367,'Fee Data'!$I$6:$J$14,2,TRUE)+'Fee Data'!$J$20+'Fee Data'!$J$21)*'Assumptions'!E37</x:f>
        <x:v>845</x:v>
      </x:c>
      <x:c r="R367" s="27" t="n">
        <x:f>P367*(1-'Assumptions'!$D$14)+Q367*'Assumptions'!$D$14</x:f>
        <x:v>907.5</x:v>
      </x:c>
      <x:c r="S367" s="27" t="n">
        <x:f>O367*'Carrier Engine'!E92</x:f>
        <x:v>198.13526555206087</x:v>
      </x:c>
      <x:c r="T367" s="28" t="n">
        <x:f>R367+S367</x:f>
        <x:v>1105.635265552061</x:v>
      </x:c>
      <x:c r="U367" s="27" t="n">
        <x:f>N367*'Fleet Engine'!G210</x:f>
        <x:v>0</x:v>
      </x:c>
      <x:c r="V367" s="28" t="n">
        <x:f>U367*T367</x:f>
        <x:v>0</x:v>
      </x:c>
      <x:c r="W367" s="28" t="n">
        <x:f>U367*O367</x:f>
        <x:v>0</x:v>
      </x:c>
    </x:row>
    <x:row r="368" ht="19" customHeight="1">
      <x:c r="A368" s="2"/>
      <x:c r="B368" s="2"/>
      <x:c r="C368" s="46" t="n">
        <x:v>1</x:v>
      </x:c>
      <x:c r="D368" s="46" t="n">
        <x:v>16</x:v>
      </x:c>
      <x:c r="E368" s="46" t="n">
        <x:v>2</x:v>
      </x:c>
      <x:c r="F368" s="46" t="n">
        <x:v>4</x:v>
      </x:c>
      <x:c r="G368" s="12" t="n">
        <x:v>0.2222222222222222</x:v>
      </x:c>
      <x:c r="H368" s="12" t="n">
        <x:v>0.3333333333333333</x:v>
      </x:c>
      <x:c r="I368" s="29" t="n">
        <x:f>'Assumptions'!$D$11+'Assumptions'!$D$12*(0.5-(G368+H368)/2)</x:f>
        <x:v>0.34444444444444444</x:v>
      </x:c>
      <x:c r="J368" s="27" t="n">
        <x:f>'Assumptions'!$D$8*EXP(-'Assumptions'!$D$9*('Fleet Engine'!E210-10))*'Assumptions'!E57*'Assumptions'!E36</x:f>
        <x:v>13509.222651276876</x:v>
      </x:c>
      <x:c r="K368" s="27" t="n">
        <x:f>'Source Data'!F221+LN('Assumptions'!D57)+LN('Assumptions'!E35)</x:f>
        <x:v>8.418486215784876</x:v>
      </x:c>
      <x:c r="L368" s="27" t="n">
        <x:f>J368*(1-I368*(1-'Carrier Engine'!E92))</x:f>
        <x:v>9042.173027921323</x:v>
      </x:c>
      <x:c r="M368" s="29" t="n">
        <x:f>NORM.S.DIST((LN(L368)-K368)/'Assumptions'!$D$10,TRUE)</x:f>
        <x:v>0.6700955519426168</x:v>
      </x:c>
      <x:c r="N368" s="30" t="n">
        <x:f>MAX(0,H368-MAX(G368,M368))</x:f>
        <x:v>0</x:v>
      </x:c>
      <x:c r="O368" s="28" t="n">
        <x:f>J368*I368</x:f>
        <x:v>4653.1766909953685</x:v>
      </x:c>
      <x:c r="P368" s="27" t="n">
        <x:f>(VLOOKUP(O368,'Fee Data'!$C$6:$G$50,2,TRUE)+O368*VLOOKUP(O368,'Fee Data'!$C$6:$G$50,3,TRUE)+VLOOKUP(O368,'Fee Data'!$I$6:$J$14,2,TRUE)+'Fee Data'!$J$20+'Fee Data'!$J$21)*'Assumptions'!E37</x:f>
        <x:v>970</x:v>
      </x:c>
      <x:c r="Q368" s="27" t="n">
        <x:f>(VLOOKUP(O368,'Fee Data'!$C$6:$G$50,4,TRUE)+O368*VLOOKUP(O368,'Fee Data'!$C$6:$G$50,5,TRUE)+VLOOKUP(O368,'Fee Data'!$I$6:$J$14,2,TRUE)+'Fee Data'!$J$20+'Fee Data'!$J$21)*'Assumptions'!E37</x:f>
        <x:v>845</x:v>
      </x:c>
      <x:c r="R368" s="27" t="n">
        <x:f>P368*(1-'Assumptions'!$D$14)+Q368*'Assumptions'!$D$14</x:f>
        <x:v>907.5</x:v>
      </x:c>
      <x:c r="S368" s="27" t="n">
        <x:f>O368*'Carrier Engine'!E92</x:f>
        <x:v>186.12706763981478</x:v>
      </x:c>
      <x:c r="T368" s="28" t="n">
        <x:f>R368+S368</x:f>
        <x:v>1093.6270676398149</x:v>
      </x:c>
      <x:c r="U368" s="27" t="n">
        <x:f>N368*'Fleet Engine'!G210</x:f>
        <x:v>0</x:v>
      </x:c>
      <x:c r="V368" s="28" t="n">
        <x:f>U368*T368</x:f>
        <x:v>0</x:v>
      </x:c>
      <x:c r="W368" s="28" t="n">
        <x:f>U368*O368</x:f>
        <x:v>0</x:v>
      </x:c>
    </x:row>
    <x:row r="369" ht="19" customHeight="1">
      <x:c r="A369" s="2"/>
      <x:c r="B369" s="2"/>
      <x:c r="C369" s="46" t="n">
        <x:v>1</x:v>
      </x:c>
      <x:c r="D369" s="46" t="n">
        <x:v>16</x:v>
      </x:c>
      <x:c r="E369" s="46" t="n">
        <x:v>2</x:v>
      </x:c>
      <x:c r="F369" s="46" t="n">
        <x:v>4</x:v>
      </x:c>
      <x:c r="G369" s="12" t="n">
        <x:v>0.3333333333333333</x:v>
      </x:c>
      <x:c r="H369" s="12" t="n">
        <x:v>0.4444444444444444</x:v>
      </x:c>
      <x:c r="I369" s="29" t="n">
        <x:f>'Assumptions'!$D$11+'Assumptions'!$D$12*(0.5-(G369+H369)/2)</x:f>
        <x:v>0.32222222222222224</x:v>
      </x:c>
      <x:c r="J369" s="27" t="n">
        <x:f>'Assumptions'!$D$8*EXP(-'Assumptions'!$D$9*('Fleet Engine'!E210-10))*'Assumptions'!E57*'Assumptions'!E36</x:f>
        <x:v>13509.222651276876</x:v>
      </x:c>
      <x:c r="K369" s="27" t="n">
        <x:f>'Source Data'!F221+LN('Assumptions'!D57)+LN('Assumptions'!E35)</x:f>
        <x:v>8.418486215784876</x:v>
      </x:c>
      <x:c r="L369" s="27" t="n">
        <x:f>J369*(1-I369*(1-'Carrier Engine'!E92))</x:f>
        <x:v>9330.36977781523</x:v>
      </x:c>
      <x:c r="M369" s="29" t="n">
        <x:f>NORM.S.DIST((LN(L369)-K369)/'Assumptions'!$D$10,TRUE)</x:f>
        <x:v>0.6772987939004849</x:v>
      </x:c>
      <x:c r="N369" s="30" t="n">
        <x:f>MAX(0,H369-MAX(G369,M369))</x:f>
        <x:v>0</x:v>
      </x:c>
      <x:c r="O369" s="28" t="n">
        <x:f>J369*I369</x:f>
        <x:v>4352.971743189216</x:v>
      </x:c>
      <x:c r="P369" s="27" t="n">
        <x:f>(VLOOKUP(O369,'Fee Data'!$C$6:$G$50,2,TRUE)+O369*VLOOKUP(O369,'Fee Data'!$C$6:$G$50,3,TRUE)+VLOOKUP(O369,'Fee Data'!$I$6:$J$14,2,TRUE)+'Fee Data'!$J$20+'Fee Data'!$J$21)*'Assumptions'!E37</x:f>
        <x:v>945</x:v>
      </x:c>
      <x:c r="Q369" s="27" t="n">
        <x:f>(VLOOKUP(O369,'Fee Data'!$C$6:$G$50,4,TRUE)+O369*VLOOKUP(O369,'Fee Data'!$C$6:$G$50,5,TRUE)+VLOOKUP(O369,'Fee Data'!$I$6:$J$14,2,TRUE)+'Fee Data'!$J$20+'Fee Data'!$J$21)*'Assumptions'!E37</x:f>
        <x:v>820</x:v>
      </x:c>
      <x:c r="R369" s="27" t="n">
        <x:f>P369*(1-'Assumptions'!$D$14)+Q369*'Assumptions'!$D$14</x:f>
        <x:v>882.5</x:v>
      </x:c>
      <x:c r="S369" s="27" t="n">
        <x:f>O369*'Carrier Engine'!E92</x:f>
        <x:v>174.11886972756866</x:v>
      </x:c>
      <x:c r="T369" s="28" t="n">
        <x:f>R369+S369</x:f>
        <x:v>1056.6188697275686</x:v>
      </x:c>
      <x:c r="U369" s="27" t="n">
        <x:f>N369*'Fleet Engine'!G210</x:f>
        <x:v>0</x:v>
      </x:c>
      <x:c r="V369" s="28" t="n">
        <x:f>U369*T369</x:f>
        <x:v>0</x:v>
      </x:c>
      <x:c r="W369" s="28" t="n">
        <x:f>U369*O369</x:f>
        <x:v>0</x:v>
      </x:c>
    </x:row>
    <x:row r="370" ht="19" customHeight="1">
      <x:c r="A370" s="2"/>
      <x:c r="B370" s="2"/>
      <x:c r="C370" s="46" t="n">
        <x:v>1</x:v>
      </x:c>
      <x:c r="D370" s="46" t="n">
        <x:v>16</x:v>
      </x:c>
      <x:c r="E370" s="46" t="n">
        <x:v>2</x:v>
      </x:c>
      <x:c r="F370" s="46" t="n">
        <x:v>4</x:v>
      </x:c>
      <x:c r="G370" s="12" t="n">
        <x:v>0.4444444444444444</x:v>
      </x:c>
      <x:c r="H370" s="12" t="n">
        <x:v>0.5555555555555556</x:v>
      </x:c>
      <x:c r="I370" s="29" t="n">
        <x:f>'Assumptions'!$D$11+'Assumptions'!$D$12*(0.5-(G370+H370)/2)</x:f>
        <x:v>0.3</x:v>
      </x:c>
      <x:c r="J370" s="27" t="n">
        <x:f>'Assumptions'!$D$8*EXP(-'Assumptions'!$D$9*('Fleet Engine'!E210-10))*'Assumptions'!E57*'Assumptions'!E36</x:f>
        <x:v>13509.222651276876</x:v>
      </x:c>
      <x:c r="K370" s="27" t="n">
        <x:f>'Source Data'!F221+LN('Assumptions'!D57)+LN('Assumptions'!E35)</x:f>
        <x:v>8.418486215784876</x:v>
      </x:c>
      <x:c r="L370" s="27" t="n">
        <x:f>J370*(1-I370*(1-'Carrier Engine'!E92))</x:f>
        <x:v>9618.566527709136</x:v>
      </x:c>
      <x:c r="M370" s="29" t="n">
        <x:f>NORM.S.DIST((LN(L370)-K370)/'Assumptions'!$D$10,TRUE)</x:f>
        <x:v>0.6842199654494845</x:v>
      </x:c>
      <x:c r="N370" s="30" t="n">
        <x:f>MAX(0,H370-MAX(G370,M370))</x:f>
        <x:v>0</x:v>
      </x:c>
      <x:c r="O370" s="28" t="n">
        <x:f>J370*I370</x:f>
        <x:v>4052.7667953830623</x:v>
      </x:c>
      <x:c r="P370" s="27" t="n">
        <x:f>(VLOOKUP(O370,'Fee Data'!$C$6:$G$50,2,TRUE)+O370*VLOOKUP(O370,'Fee Data'!$C$6:$G$50,3,TRUE)+VLOOKUP(O370,'Fee Data'!$I$6:$J$14,2,TRUE)+'Fee Data'!$J$20+'Fee Data'!$J$21)*'Assumptions'!E37</x:f>
        <x:v>945</x:v>
      </x:c>
      <x:c r="Q370" s="27" t="n">
        <x:f>(VLOOKUP(O370,'Fee Data'!$C$6:$G$50,4,TRUE)+O370*VLOOKUP(O370,'Fee Data'!$C$6:$G$50,5,TRUE)+VLOOKUP(O370,'Fee Data'!$I$6:$J$14,2,TRUE)+'Fee Data'!$J$20+'Fee Data'!$J$21)*'Assumptions'!E37</x:f>
        <x:v>820</x:v>
      </x:c>
      <x:c r="R370" s="27" t="n">
        <x:f>P370*(1-'Assumptions'!$D$14)+Q370*'Assumptions'!$D$14</x:f>
        <x:v>882.5</x:v>
      </x:c>
      <x:c r="S370" s="27" t="n">
        <x:f>O370*'Carrier Engine'!E92</x:f>
        <x:v>162.11067181532252</x:v>
      </x:c>
      <x:c r="T370" s="28" t="n">
        <x:f>R370+S370</x:f>
        <x:v>1044.6106718153226</x:v>
      </x:c>
      <x:c r="U370" s="27" t="n">
        <x:f>N370*'Fleet Engine'!G210</x:f>
        <x:v>0</x:v>
      </x:c>
      <x:c r="V370" s="28" t="n">
        <x:f>U370*T370</x:f>
        <x:v>0</x:v>
      </x:c>
      <x:c r="W370" s="28" t="n">
        <x:f>U370*O370</x:f>
        <x:v>0</x:v>
      </x:c>
    </x:row>
    <x:row r="371" ht="19" customHeight="1">
      <x:c r="A371" s="2"/>
      <x:c r="B371" s="2"/>
      <x:c r="C371" s="46" t="n">
        <x:v>1</x:v>
      </x:c>
      <x:c r="D371" s="46" t="n">
        <x:v>16</x:v>
      </x:c>
      <x:c r="E371" s="46" t="n">
        <x:v>2</x:v>
      </x:c>
      <x:c r="F371" s="46" t="n">
        <x:v>4</x:v>
      </x:c>
      <x:c r="G371" s="12" t="n">
        <x:v>0.5555555555555556</x:v>
      </x:c>
      <x:c r="H371" s="12" t="n">
        <x:v>0.6666666666666666</x:v>
      </x:c>
      <x:c r="I371" s="29" t="n">
        <x:f>'Assumptions'!$D$11+'Assumptions'!$D$12*(0.5-(G371+H371)/2)</x:f>
        <x:v>0.27777777777777773</x:v>
      </x:c>
      <x:c r="J371" s="27" t="n">
        <x:f>'Assumptions'!$D$8*EXP(-'Assumptions'!$D$9*('Fleet Engine'!E210-10))*'Assumptions'!E57*'Assumptions'!E36</x:f>
        <x:v>13509.222651276876</x:v>
      </x:c>
      <x:c r="K371" s="27" t="n">
        <x:f>'Source Data'!F221+LN('Assumptions'!D57)+LN('Assumptions'!E35)</x:f>
        <x:v>8.418486215784876</x:v>
      </x:c>
      <x:c r="L371" s="27" t="n">
        <x:f>J371*(1-I371*(1-'Carrier Engine'!E92))</x:f>
        <x:v>9906.763277603042</x:v>
      </x:c>
      <x:c r="M371" s="29" t="n">
        <x:f>NORM.S.DIST((LN(L371)-K371)/'Assumptions'!$D$10,TRUE)</x:f>
        <x:v>0.6908756170073835</x:v>
      </x:c>
      <x:c r="N371" s="30" t="n">
        <x:f>MAX(0,H371-MAX(G371,M371))</x:f>
        <x:v>0</x:v>
      </x:c>
      <x:c r="O371" s="28" t="n">
        <x:f>J371*I371</x:f>
        <x:v>3752.5618475769093</x:v>
      </x:c>
      <x:c r="P371" s="27" t="n">
        <x:f>(VLOOKUP(O371,'Fee Data'!$C$6:$G$50,2,TRUE)+O371*VLOOKUP(O371,'Fee Data'!$C$6:$G$50,3,TRUE)+VLOOKUP(O371,'Fee Data'!$I$6:$J$14,2,TRUE)+'Fee Data'!$J$20+'Fee Data'!$J$21)*'Assumptions'!E37</x:f>
        <x:v>915</x:v>
      </x:c>
      <x:c r="Q371" s="27" t="n">
        <x:f>(VLOOKUP(O371,'Fee Data'!$C$6:$G$50,4,TRUE)+O371*VLOOKUP(O371,'Fee Data'!$C$6:$G$50,5,TRUE)+VLOOKUP(O371,'Fee Data'!$I$6:$J$14,2,TRUE)+'Fee Data'!$J$20+'Fee Data'!$J$21)*'Assumptions'!E37</x:f>
        <x:v>765</x:v>
      </x:c>
      <x:c r="R371" s="27" t="n">
        <x:f>P371*(1-'Assumptions'!$D$14)+Q371*'Assumptions'!$D$14</x:f>
        <x:v>840</x:v>
      </x:c>
      <x:c r="S371" s="27" t="n">
        <x:f>O371*'Carrier Engine'!E92</x:f>
        <x:v>150.1024739030764</x:v>
      </x:c>
      <x:c r="T371" s="28" t="n">
        <x:f>R371+S371</x:f>
        <x:v>990.1024739030764</x:v>
      </x:c>
      <x:c r="U371" s="27" t="n">
        <x:f>N371*'Fleet Engine'!G210</x:f>
        <x:v>0</x:v>
      </x:c>
      <x:c r="V371" s="28" t="n">
        <x:f>U371*T371</x:f>
        <x:v>0</x:v>
      </x:c>
      <x:c r="W371" s="28" t="n">
        <x:f>U371*O371</x:f>
        <x:v>0</x:v>
      </x:c>
    </x:row>
    <x:row r="372" ht="19" customHeight="1">
      <x:c r="A372" s="2"/>
      <x:c r="B372" s="2"/>
      <x:c r="C372" s="46" t="n">
        <x:v>1</x:v>
      </x:c>
      <x:c r="D372" s="46" t="n">
        <x:v>16</x:v>
      </x:c>
      <x:c r="E372" s="46" t="n">
        <x:v>2</x:v>
      </x:c>
      <x:c r="F372" s="46" t="n">
        <x:v>4</x:v>
      </x:c>
      <x:c r="G372" s="12" t="n">
        <x:v>0.6666666666666666</x:v>
      </x:c>
      <x:c r="H372" s="12" t="n">
        <x:v>0.7777777777777778</x:v>
      </x:c>
      <x:c r="I372" s="29" t="n">
        <x:f>'Assumptions'!$D$11+'Assumptions'!$D$12*(0.5-(G372+H372)/2)</x:f>
        <x:v>0.25555555555555554</x:v>
      </x:c>
      <x:c r="J372" s="27" t="n">
        <x:f>'Assumptions'!$D$8*EXP(-'Assumptions'!$D$9*('Fleet Engine'!E210-10))*'Assumptions'!E57*'Assumptions'!E36</x:f>
        <x:v>13509.222651276876</x:v>
      </x:c>
      <x:c r="K372" s="27" t="n">
        <x:f>'Source Data'!F221+LN('Assumptions'!D57)+LN('Assumptions'!E35)</x:f>
        <x:v>8.418486215784876</x:v>
      </x:c>
      <x:c r="L372" s="27" t="n">
        <x:f>J372*(1-I372*(1-'Carrier Engine'!E92))</x:f>
        <x:v>10194.960027496949</x:v>
      </x:c>
      <x:c r="M372" s="29" t="n">
        <x:f>NORM.S.DIST((LN(L372)-K372)/'Assumptions'!$D$10,TRUE)</x:f>
        <x:v>0.697280992324818</x:v>
      </x:c>
      <x:c r="N372" s="30" t="n">
        <x:f>MAX(0,H372-MAX(G372,M372))</x:f>
        <x:v>0.0804967854529598</x:v>
      </x:c>
      <x:c r="O372" s="28" t="n">
        <x:f>J372*I372</x:f>
        <x:v>3452.356899770757</x:v>
      </x:c>
      <x:c r="P372" s="27" t="n">
        <x:f>(VLOOKUP(O372,'Fee Data'!$C$6:$G$50,2,TRUE)+O372*VLOOKUP(O372,'Fee Data'!$C$6:$G$50,3,TRUE)+VLOOKUP(O372,'Fee Data'!$I$6:$J$14,2,TRUE)+'Fee Data'!$J$20+'Fee Data'!$J$21)*'Assumptions'!E37</x:f>
        <x:v>865</x:v>
      </x:c>
      <x:c r="Q372" s="27" t="n">
        <x:f>(VLOOKUP(O372,'Fee Data'!$C$6:$G$50,4,TRUE)+O372*VLOOKUP(O372,'Fee Data'!$C$6:$G$50,5,TRUE)+VLOOKUP(O372,'Fee Data'!$I$6:$J$14,2,TRUE)+'Fee Data'!$J$20+'Fee Data'!$J$21)*'Assumptions'!E37</x:f>
        <x:v>715</x:v>
      </x:c>
      <x:c r="R372" s="27" t="n">
        <x:f>P372*(1-'Assumptions'!$D$14)+Q372*'Assumptions'!$D$14</x:f>
        <x:v>790</x:v>
      </x:c>
      <x:c r="S372" s="27" t="n">
        <x:f>O372*'Carrier Engine'!E92</x:f>
        <x:v>138.0942759908303</x:v>
      </x:c>
      <x:c r="T372" s="28" t="n">
        <x:f>R372+S372</x:f>
        <x:v>928.0942759908303</x:v>
      </x:c>
      <x:c r="U372" s="27" t="n">
        <x:f>N372*'Fleet Engine'!G210</x:f>
        <x:v>201.53173964740532</x:v>
      </x:c>
      <x:c r="V372" s="28" t="n">
        <x:f>U372*T372</x:f>
        <x:v>187040.45399723115</x:v>
      </x:c>
      <x:c r="W372" s="28" t="n">
        <x:f>U372*O372</x:f>
        <x:v>695759.4918945236</x:v>
      </x:c>
    </x:row>
    <x:row r="373" ht="19" customHeight="1">
      <x:c r="A373" s="2"/>
      <x:c r="B373" s="2"/>
      <x:c r="C373" s="46" t="n">
        <x:v>1</x:v>
      </x:c>
      <x:c r="D373" s="46" t="n">
        <x:v>16</x:v>
      </x:c>
      <x:c r="E373" s="46" t="n">
        <x:v>2</x:v>
      </x:c>
      <x:c r="F373" s="46" t="n">
        <x:v>4</x:v>
      </x:c>
      <x:c r="G373" s="12" t="n">
        <x:v>0.7777777777777778</x:v>
      </x:c>
      <x:c r="H373" s="12" t="n">
        <x:v>0.8888888888888888</x:v>
      </x:c>
      <x:c r="I373" s="29" t="n">
        <x:f>'Assumptions'!$D$11+'Assumptions'!$D$12*(0.5-(G373+H373)/2)</x:f>
        <x:v>0.23333333333333334</x:v>
      </x:c>
      <x:c r="J373" s="27" t="n">
        <x:f>'Assumptions'!$D$8*EXP(-'Assumptions'!$D$9*('Fleet Engine'!E210-10))*'Assumptions'!E57*'Assumptions'!E36</x:f>
        <x:v>13509.222651276876</x:v>
      </x:c>
      <x:c r="K373" s="27" t="n">
        <x:f>'Source Data'!F221+LN('Assumptions'!D57)+LN('Assumptions'!E35)</x:f>
        <x:v>8.418486215784876</x:v>
      </x:c>
      <x:c r="L373" s="27" t="n">
        <x:f>J373*(1-I373*(1-'Carrier Engine'!E92))</x:f>
        <x:v>10483.156777390855</x:v>
      </x:c>
      <x:c r="M373" s="29" t="n">
        <x:f>NORM.S.DIST((LN(L373)-K373)/'Assumptions'!$D$10,TRUE)</x:f>
        <x:v>0.7034501581393012</x:v>
      </x:c>
      <x:c r="N373" s="30" t="n">
        <x:f>MAX(0,H373-MAX(G373,M373))</x:f>
        <x:v>0.11111111111111105</x:v>
      </x:c>
      <x:c r="O373" s="28" t="n">
        <x:f>J373*I373</x:f>
        <x:v>3152.1519519646045</x:v>
      </x:c>
      <x:c r="P373" s="27" t="n">
        <x:f>(VLOOKUP(O373,'Fee Data'!$C$6:$G$50,2,TRUE)+O373*VLOOKUP(O373,'Fee Data'!$C$6:$G$50,3,TRUE)+VLOOKUP(O373,'Fee Data'!$I$6:$J$14,2,TRUE)+'Fee Data'!$J$20+'Fee Data'!$J$21)*'Assumptions'!E37</x:f>
        <x:v>865</x:v>
      </x:c>
      <x:c r="Q373" s="27" t="n">
        <x:f>(VLOOKUP(O373,'Fee Data'!$C$6:$G$50,4,TRUE)+O373*VLOOKUP(O373,'Fee Data'!$C$6:$G$50,5,TRUE)+VLOOKUP(O373,'Fee Data'!$I$6:$J$14,2,TRUE)+'Fee Data'!$J$20+'Fee Data'!$J$21)*'Assumptions'!E37</x:f>
        <x:v>715</x:v>
      </x:c>
      <x:c r="R373" s="27" t="n">
        <x:f>P373*(1-'Assumptions'!$D$14)+Q373*'Assumptions'!$D$14</x:f>
        <x:v>790</x:v>
      </x:c>
      <x:c r="S373" s="27" t="n">
        <x:f>O373*'Carrier Engine'!E92</x:f>
        <x:v>126.08607807858421</x:v>
      </x:c>
      <x:c r="T373" s="28" t="n">
        <x:f>R373+S373</x:f>
        <x:v>916.0860780785843</x:v>
      </x:c>
      <x:c r="U373" s="27" t="n">
        <x:f>N373*'Fleet Engine'!G210</x:f>
        <x:v>278.17776064441597</x:v>
      </x:c>
      <x:c r="V373" s="28" t="n">
        <x:f>U373*T373</x:f>
        <x:v>254834.77375742616</x:v>
      </x:c>
      <x:c r="W373" s="28" t="n">
        <x:f>U373*O373</x:f>
        <x:v>876858.5712084384</x:v>
      </x:c>
    </x:row>
    <x:row r="374" ht="19" customHeight="1">
      <x:c r="A374" s="2"/>
      <x:c r="B374" s="2"/>
      <x:c r="C374" s="46" t="n">
        <x:v>1</x:v>
      </x:c>
      <x:c r="D374" s="46" t="n">
        <x:v>16</x:v>
      </x:c>
      <x:c r="E374" s="46" t="n">
        <x:v>2</x:v>
      </x:c>
      <x:c r="F374" s="46" t="n">
        <x:v>4</x:v>
      </x:c>
      <x:c r="G374" s="12" t="n">
        <x:v>0.8888888888888888</x:v>
      </x:c>
      <x:c r="H374" s="12" t="n">
        <x:v>1</x:v>
      </x:c>
      <x:c r="I374" s="29" t="n">
        <x:f>'Assumptions'!$D$11+'Assumptions'!$D$12*(0.5-(G374+H374)/2)</x:f>
        <x:v>0.21111111111111108</x:v>
      </x:c>
      <x:c r="J374" s="27" t="n">
        <x:f>'Assumptions'!$D$8*EXP(-'Assumptions'!$D$9*('Fleet Engine'!E210-10))*'Assumptions'!E57*'Assumptions'!E36</x:f>
        <x:v>13509.222651276876</x:v>
      </x:c>
      <x:c r="K374" s="27" t="n">
        <x:f>'Source Data'!F221+LN('Assumptions'!D57)+LN('Assumptions'!E35)</x:f>
        <x:v>8.418486215784876</x:v>
      </x:c>
      <x:c r="L374" s="27" t="n">
        <x:f>J374*(1-I374*(1-'Carrier Engine'!E92))</x:f>
        <x:v>10771.353527284762</x:v>
      </x:c>
      <x:c r="M374" s="29" t="n">
        <x:f>NORM.S.DIST((LN(L374)-K374)/'Assumptions'!$D$10,TRUE)</x:f>
        <x:v>0.7093961183873236</x:v>
      </x:c>
      <x:c r="N374" s="30" t="n">
        <x:f>MAX(0,H374-MAX(G374,M374))</x:f>
        <x:v>0.11111111111111116</x:v>
      </x:c>
      <x:c r="O374" s="28" t="n">
        <x:f>J374*I374</x:f>
        <x:v>2851.9470041584514</x:v>
      </x:c>
      <x:c r="P374" s="27" t="n">
        <x:f>(VLOOKUP(O374,'Fee Data'!$C$6:$G$50,2,TRUE)+O374*VLOOKUP(O374,'Fee Data'!$C$6:$G$50,3,TRUE)+VLOOKUP(O374,'Fee Data'!$I$6:$J$14,2,TRUE)+'Fee Data'!$J$20+'Fee Data'!$J$21)*'Assumptions'!E37</x:f>
        <x:v>820</x:v>
      </x:c>
      <x:c r="Q374" s="27" t="n">
        <x:f>(VLOOKUP(O374,'Fee Data'!$C$6:$G$50,4,TRUE)+O374*VLOOKUP(O374,'Fee Data'!$C$6:$G$50,5,TRUE)+VLOOKUP(O374,'Fee Data'!$I$6:$J$14,2,TRUE)+'Fee Data'!$J$20+'Fee Data'!$J$21)*'Assumptions'!E37</x:f>
        <x:v>670</x:v>
      </x:c>
      <x:c r="R374" s="27" t="n">
        <x:f>P374*(1-'Assumptions'!$D$14)+Q374*'Assumptions'!$D$14</x:f>
        <x:v>745</x:v>
      </x:c>
      <x:c r="S374" s="27" t="n">
        <x:f>O374*'Carrier Engine'!E92</x:f>
        <x:v>114.07788016633808</x:v>
      </x:c>
      <x:c r="T374" s="28" t="n">
        <x:f>R374+S374</x:f>
        <x:v>859.0778801663381</x:v>
      </x:c>
      <x:c r="U374" s="27" t="n">
        <x:f>N374*'Fleet Engine'!G210</x:f>
        <x:v>278.17776064441625</x:v>
      </x:c>
      <x:c r="V374" s="28" t="n">
        <x:f>U374*T374</x:f>
        <x:v>238976.3609238241</x:v>
      </x:c>
      <x:c r="W374" s="28" t="n">
        <x:f>U374*O374</x:f>
        <x:v>793348.2310933496</x:v>
      </x:c>
    </x:row>
    <x:row r="375" ht="19" customHeight="1">
      <x:c r="A375" s="2"/>
      <x:c r="B375" s="2"/>
      <x:c r="C375" s="46" t="n">
        <x:v>1</x:v>
      </x:c>
      <x:c r="D375" s="46" t="n">
        <x:v>17</x:v>
      </x:c>
      <x:c r="E375" s="46" t="n">
        <x:v>2</x:v>
      </x:c>
      <x:c r="F375" s="46" t="n">
        <x:v>5</x:v>
      </x:c>
      <x:c r="G375" s="12" t="n">
        <x:v>0</x:v>
      </x:c>
      <x:c r="H375" s="12" t="n">
        <x:v>0.1111111111111111</x:v>
      </x:c>
      <x:c r="I375" s="29" t="n">
        <x:f>'Assumptions'!$D$11+'Assumptions'!$D$12*(0.5-(G375+H375)/2)</x:f>
        <x:v>0.3888888888888889</x:v>
      </x:c>
      <x:c r="J375" s="27" t="n">
        <x:f>'Assumptions'!$D$8*EXP(-'Assumptions'!$D$9*('Fleet Engine'!E211-10))*'Assumptions'!E57*'Assumptions'!E36</x:f>
        <x:v>7414.018585605744</x:v>
      </x:c>
      <x:c r="K375" s="27" t="n">
        <x:f>'Source Data'!F222+LN('Assumptions'!D57)+LN('Assumptions'!E35)</x:f>
        <x:v>8.319557366061195</x:v>
      </x:c>
      <x:c r="L375" s="27" t="n">
        <x:f>J375*(1-I375*(1-'Carrier Engine'!E92))</x:f>
        <x:v>4646.118313646267</x:v>
      </x:c>
      <x:c r="M375" s="29" t="n">
        <x:f>NORM.S.DIST((LN(L375)-K375)/'Assumptions'!$D$10,TRUE)</x:f>
        <x:v>0.5315302263315647</x:v>
      </x:c>
      <x:c r="N375" s="30" t="n">
        <x:f>MAX(0,H375-MAX(G375,M375))</x:f>
        <x:v>0</x:v>
      </x:c>
      <x:c r="O375" s="28" t="n">
        <x:f>J375*I375</x:f>
        <x:v>2883.2294499577893</x:v>
      </x:c>
      <x:c r="P375" s="27" t="n">
        <x:f>(VLOOKUP(O375,'Fee Data'!$C$6:$G$50,2,TRUE)+O375*VLOOKUP(O375,'Fee Data'!$C$6:$G$50,3,TRUE)+VLOOKUP(O375,'Fee Data'!$I$6:$J$14,2,TRUE)+'Fee Data'!$J$20+'Fee Data'!$J$21)*'Assumptions'!E37</x:f>
        <x:v>820</x:v>
      </x:c>
      <x:c r="Q375" s="27" t="n">
        <x:f>(VLOOKUP(O375,'Fee Data'!$C$6:$G$50,4,TRUE)+O375*VLOOKUP(O375,'Fee Data'!$C$6:$G$50,5,TRUE)+VLOOKUP(O375,'Fee Data'!$I$6:$J$14,2,TRUE)+'Fee Data'!$J$20+'Fee Data'!$J$21)*'Assumptions'!E37</x:f>
        <x:v>670</x:v>
      </x:c>
      <x:c r="R375" s="27" t="n">
        <x:f>P375*(1-'Assumptions'!$D$14)+Q375*'Assumptions'!$D$14</x:f>
        <x:v>745</x:v>
      </x:c>
      <x:c r="S375" s="27" t="n">
        <x:f>O375*'Carrier Engine'!E92</x:f>
        <x:v>115.3291779983116</x:v>
      </x:c>
      <x:c r="T375" s="28" t="n">
        <x:f>R375+S375</x:f>
        <x:v>860.3291779983116</x:v>
      </x:c>
      <x:c r="U375" s="27" t="n">
        <x:f>N375*'Fleet Engine'!G211</x:f>
        <x:v>0</x:v>
      </x:c>
      <x:c r="V375" s="28" t="n">
        <x:f>U375*T375</x:f>
        <x:v>0</x:v>
      </x:c>
      <x:c r="W375" s="28" t="n">
        <x:f>U375*O375</x:f>
        <x:v>0</x:v>
      </x:c>
    </x:row>
    <x:row r="376" ht="19" customHeight="1">
      <x:c r="A376" s="2"/>
      <x:c r="B376" s="2"/>
      <x:c r="C376" s="46" t="n">
        <x:v>1</x:v>
      </x:c>
      <x:c r="D376" s="46" t="n">
        <x:v>17</x:v>
      </x:c>
      <x:c r="E376" s="46" t="n">
        <x:v>2</x:v>
      </x:c>
      <x:c r="F376" s="46" t="n">
        <x:v>5</x:v>
      </x:c>
      <x:c r="G376" s="12" t="n">
        <x:v>0.1111111111111111</x:v>
      </x:c>
      <x:c r="H376" s="12" t="n">
        <x:v>0.2222222222222222</x:v>
      </x:c>
      <x:c r="I376" s="29" t="n">
        <x:f>'Assumptions'!$D$11+'Assumptions'!$D$12*(0.5-(G376+H376)/2)</x:f>
        <x:v>0.3666666666666667</x:v>
      </x:c>
      <x:c r="J376" s="27" t="n">
        <x:f>'Assumptions'!$D$8*EXP(-'Assumptions'!$D$9*('Fleet Engine'!E211-10))*'Assumptions'!E57*'Assumptions'!E36</x:f>
        <x:v>7414.018585605744</x:v>
      </x:c>
      <x:c r="K376" s="27" t="n">
        <x:f>'Source Data'!F222+LN('Assumptions'!D57)+LN('Assumptions'!E35)</x:f>
        <x:v>8.319557366061195</x:v>
      </x:c>
      <x:c r="L376" s="27" t="n">
        <x:f>J376*(1-I376*(1-'Carrier Engine'!E92))</x:f>
        <x:v>4804.284043472521</x:v>
      </x:c>
      <x:c r="M376" s="29" t="n">
        <x:f>NORM.S.DIST((LN(L376)-K376)/'Assumptions'!$D$10,TRUE)</x:f>
        <x:v>0.5400010911799831</x:v>
      </x:c>
      <x:c r="N376" s="30" t="n">
        <x:f>MAX(0,H376-MAX(G376,M376))</x:f>
        <x:v>0</x:v>
      </x:c>
      <x:c r="O376" s="28" t="n">
        <x:f>J376*I376</x:f>
        <x:v>2718.473481388773</x:v>
      </x:c>
      <x:c r="P376" s="27" t="n">
        <x:f>(VLOOKUP(O376,'Fee Data'!$C$6:$G$50,2,TRUE)+O376*VLOOKUP(O376,'Fee Data'!$C$6:$G$50,3,TRUE)+VLOOKUP(O376,'Fee Data'!$I$6:$J$14,2,TRUE)+'Fee Data'!$J$20+'Fee Data'!$J$21)*'Assumptions'!E37</x:f>
        <x:v>820</x:v>
      </x:c>
      <x:c r="Q376" s="27" t="n">
        <x:f>(VLOOKUP(O376,'Fee Data'!$C$6:$G$50,4,TRUE)+O376*VLOOKUP(O376,'Fee Data'!$C$6:$G$50,5,TRUE)+VLOOKUP(O376,'Fee Data'!$I$6:$J$14,2,TRUE)+'Fee Data'!$J$20+'Fee Data'!$J$21)*'Assumptions'!E37</x:f>
        <x:v>670</x:v>
      </x:c>
      <x:c r="R376" s="27" t="n">
        <x:f>P376*(1-'Assumptions'!$D$14)+Q376*'Assumptions'!$D$14</x:f>
        <x:v>745</x:v>
      </x:c>
      <x:c r="S376" s="27" t="n">
        <x:f>O376*'Carrier Engine'!E92</x:f>
        <x:v>108.73893925555095</x:v>
      </x:c>
      <x:c r="T376" s="28" t="n">
        <x:f>R376+S376</x:f>
        <x:v>853.7389392555509</x:v>
      </x:c>
      <x:c r="U376" s="27" t="n">
        <x:f>N376*'Fleet Engine'!G211</x:f>
        <x:v>0</x:v>
      </x:c>
      <x:c r="V376" s="28" t="n">
        <x:f>U376*T376</x:f>
        <x:v>0</x:v>
      </x:c>
      <x:c r="W376" s="28" t="n">
        <x:f>U376*O376</x:f>
        <x:v>0</x:v>
      </x:c>
    </x:row>
    <x:row r="377" ht="19" customHeight="1">
      <x:c r="A377" s="2"/>
      <x:c r="B377" s="2"/>
      <x:c r="C377" s="46" t="n">
        <x:v>1</x:v>
      </x:c>
      <x:c r="D377" s="46" t="n">
        <x:v>17</x:v>
      </x:c>
      <x:c r="E377" s="46" t="n">
        <x:v>2</x:v>
      </x:c>
      <x:c r="F377" s="46" t="n">
        <x:v>5</x:v>
      </x:c>
      <x:c r="G377" s="12" t="n">
        <x:v>0.2222222222222222</x:v>
      </x:c>
      <x:c r="H377" s="12" t="n">
        <x:v>0.3333333333333333</x:v>
      </x:c>
      <x:c r="I377" s="29" t="n">
        <x:f>'Assumptions'!$D$11+'Assumptions'!$D$12*(0.5-(G377+H377)/2)</x:f>
        <x:v>0.34444444444444444</x:v>
      </x:c>
      <x:c r="J377" s="27" t="n">
        <x:f>'Assumptions'!$D$8*EXP(-'Assumptions'!$D$9*('Fleet Engine'!E211-10))*'Assumptions'!E57*'Assumptions'!E36</x:f>
        <x:v>7414.018585605744</x:v>
      </x:c>
      <x:c r="K377" s="27" t="n">
        <x:f>'Source Data'!F222+LN('Assumptions'!D57)+LN('Assumptions'!E35)</x:f>
        <x:v>8.319557366061195</x:v>
      </x:c>
      <x:c r="L377" s="27" t="n">
        <x:f>J377*(1-I377*(1-'Carrier Engine'!E92))</x:f>
        <x:v>4962.449773298778</x:v>
      </x:c>
      <x:c r="M377" s="29" t="n">
        <x:f>NORM.S.DIST((LN(L377)-K377)/'Assumptions'!$D$10,TRUE)</x:f>
        <x:v>0.5481803390545841</x:v>
      </x:c>
      <x:c r="N377" s="30" t="n">
        <x:f>MAX(0,H377-MAX(G377,M377))</x:f>
        <x:v>0</x:v>
      </x:c>
      <x:c r="O377" s="28" t="n">
        <x:f>J377*I377</x:f>
        <x:v>2553.7175128197564</x:v>
      </x:c>
      <x:c r="P377" s="27" t="n">
        <x:f>(VLOOKUP(O377,'Fee Data'!$C$6:$G$50,2,TRUE)+O377*VLOOKUP(O377,'Fee Data'!$C$6:$G$50,3,TRUE)+VLOOKUP(O377,'Fee Data'!$I$6:$J$14,2,TRUE)+'Fee Data'!$J$20+'Fee Data'!$J$21)*'Assumptions'!E37</x:f>
        <x:v>820</x:v>
      </x:c>
      <x:c r="Q377" s="27" t="n">
        <x:f>(VLOOKUP(O377,'Fee Data'!$C$6:$G$50,4,TRUE)+O377*VLOOKUP(O377,'Fee Data'!$C$6:$G$50,5,TRUE)+VLOOKUP(O377,'Fee Data'!$I$6:$J$14,2,TRUE)+'Fee Data'!$J$20+'Fee Data'!$J$21)*'Assumptions'!E37</x:f>
        <x:v>670</x:v>
      </x:c>
      <x:c r="R377" s="27" t="n">
        <x:f>P377*(1-'Assumptions'!$D$14)+Q377*'Assumptions'!$D$14</x:f>
        <x:v>745</x:v>
      </x:c>
      <x:c r="S377" s="27" t="n">
        <x:f>O377*'Carrier Engine'!E92</x:f>
        <x:v>102.14870051279027</x:v>
      </x:c>
      <x:c r="T377" s="28" t="n">
        <x:f>R377+S377</x:f>
        <x:v>847.1487005127902</x:v>
      </x:c>
      <x:c r="U377" s="27" t="n">
        <x:f>N377*'Fleet Engine'!G211</x:f>
        <x:v>0</x:v>
      </x:c>
      <x:c r="V377" s="28" t="n">
        <x:f>U377*T377</x:f>
        <x:v>0</x:v>
      </x:c>
      <x:c r="W377" s="28" t="n">
        <x:f>U377*O377</x:f>
        <x:v>0</x:v>
      </x:c>
    </x:row>
    <x:row r="378" ht="19" customHeight="1">
      <x:c r="A378" s="2"/>
      <x:c r="B378" s="2"/>
      <x:c r="C378" s="46" t="n">
        <x:v>1</x:v>
      </x:c>
      <x:c r="D378" s="46" t="n">
        <x:v>17</x:v>
      </x:c>
      <x:c r="E378" s="46" t="n">
        <x:v>2</x:v>
      </x:c>
      <x:c r="F378" s="46" t="n">
        <x:v>5</x:v>
      </x:c>
      <x:c r="G378" s="12" t="n">
        <x:v>0.3333333333333333</x:v>
      </x:c>
      <x:c r="H378" s="12" t="n">
        <x:v>0.4444444444444444</x:v>
      </x:c>
      <x:c r="I378" s="29" t="n">
        <x:f>'Assumptions'!$D$11+'Assumptions'!$D$12*(0.5-(G378+H378)/2)</x:f>
        <x:v>0.32222222222222224</x:v>
      </x:c>
      <x:c r="J378" s="27" t="n">
        <x:f>'Assumptions'!$D$8*EXP(-'Assumptions'!$D$9*('Fleet Engine'!E211-10))*'Assumptions'!E57*'Assumptions'!E36</x:f>
        <x:v>7414.018585605744</x:v>
      </x:c>
      <x:c r="K378" s="27" t="n">
        <x:f>'Source Data'!F222+LN('Assumptions'!D57)+LN('Assumptions'!E35)</x:f>
        <x:v>8.319557366061195</x:v>
      </x:c>
      <x:c r="L378" s="27" t="n">
        <x:f>J378*(1-I378*(1-'Carrier Engine'!E92))</x:f>
        <x:v>5120.615503125034</x:v>
      </x:c>
      <x:c r="M378" s="29" t="n">
        <x:f>NORM.S.DIST((LN(L378)-K378)/'Assumptions'!$D$10,TRUE)</x:f>
        <x:v>0.5560835236213721</x:v>
      </x:c>
      <x:c r="N378" s="30" t="n">
        <x:f>MAX(0,H378-MAX(G378,M378))</x:f>
        <x:v>0</x:v>
      </x:c>
      <x:c r="O378" s="28" t="n">
        <x:f>J378*I378</x:f>
        <x:v>2388.9615442507397</x:v>
      </x:c>
      <x:c r="P378" s="27" t="n">
        <x:f>(VLOOKUP(O378,'Fee Data'!$C$6:$G$50,2,TRUE)+O378*VLOOKUP(O378,'Fee Data'!$C$6:$G$50,3,TRUE)+VLOOKUP(O378,'Fee Data'!$I$6:$J$14,2,TRUE)+'Fee Data'!$J$20+'Fee Data'!$J$21)*'Assumptions'!E37</x:f>
        <x:v>745</x:v>
      </x:c>
      <x:c r="Q378" s="27" t="n">
        <x:f>(VLOOKUP(O378,'Fee Data'!$C$6:$G$50,4,TRUE)+O378*VLOOKUP(O378,'Fee Data'!$C$6:$G$50,5,TRUE)+VLOOKUP(O378,'Fee Data'!$I$6:$J$14,2,TRUE)+'Fee Data'!$J$20+'Fee Data'!$J$21)*'Assumptions'!E37</x:f>
        <x:v>600</x:v>
      </x:c>
      <x:c r="R378" s="27" t="n">
        <x:f>P378*(1-'Assumptions'!$D$14)+Q378*'Assumptions'!$D$14</x:f>
        <x:v>672.5</x:v>
      </x:c>
      <x:c r="S378" s="27" t="n">
        <x:f>O378*'Carrier Engine'!E92</x:f>
        <x:v>95.55846177002961</x:v>
      </x:c>
      <x:c r="T378" s="28" t="n">
        <x:f>R378+S378</x:f>
        <x:v>768.0584617700296</x:v>
      </x:c>
      <x:c r="U378" s="27" t="n">
        <x:f>N378*'Fleet Engine'!G211</x:f>
        <x:v>0</x:v>
      </x:c>
      <x:c r="V378" s="28" t="n">
        <x:f>U378*T378</x:f>
        <x:v>0</x:v>
      </x:c>
      <x:c r="W378" s="28" t="n">
        <x:f>U378*O378</x:f>
        <x:v>0</x:v>
      </x:c>
    </x:row>
    <x:row r="379" ht="19" customHeight="1">
      <x:c r="A379" s="2"/>
      <x:c r="B379" s="2"/>
      <x:c r="C379" s="46" t="n">
        <x:v>1</x:v>
      </x:c>
      <x:c r="D379" s="46" t="n">
        <x:v>17</x:v>
      </x:c>
      <x:c r="E379" s="46" t="n">
        <x:v>2</x:v>
      </x:c>
      <x:c r="F379" s="46" t="n">
        <x:v>5</x:v>
      </x:c>
      <x:c r="G379" s="12" t="n">
        <x:v>0.4444444444444444</x:v>
      </x:c>
      <x:c r="H379" s="12" t="n">
        <x:v>0.5555555555555556</x:v>
      </x:c>
      <x:c r="I379" s="29" t="n">
        <x:f>'Assumptions'!$D$11+'Assumptions'!$D$12*(0.5-(G379+H379)/2)</x:f>
        <x:v>0.3</x:v>
      </x:c>
      <x:c r="J379" s="27" t="n">
        <x:f>'Assumptions'!$D$8*EXP(-'Assumptions'!$D$9*('Fleet Engine'!E211-10))*'Assumptions'!E57*'Assumptions'!E36</x:f>
        <x:v>7414.018585605744</x:v>
      </x:c>
      <x:c r="K379" s="27" t="n">
        <x:f>'Source Data'!F222+LN('Assumptions'!D57)+LN('Assumptions'!E35)</x:f>
        <x:v>8.319557366061195</x:v>
      </x:c>
      <x:c r="L379" s="27" t="n">
        <x:f>J379*(1-I379*(1-'Carrier Engine'!E92))</x:f>
        <x:v>5278.78123295129</x:v>
      </x:c>
      <x:c r="M379" s="29" t="n">
        <x:f>NORM.S.DIST((LN(L379)-K379)/'Assumptions'!$D$10,TRUE)</x:f>
        <x:v>0.5637250623121128</x:v>
      </x:c>
      <x:c r="N379" s="30" t="n">
        <x:f>MAX(0,H379-MAX(G379,M379))</x:f>
        <x:v>0</x:v>
      </x:c>
      <x:c r="O379" s="28" t="n">
        <x:f>J379*I379</x:f>
        <x:v>2224.205575681723</x:v>
      </x:c>
      <x:c r="P379" s="27" t="n">
        <x:f>(VLOOKUP(O379,'Fee Data'!$C$6:$G$50,2,TRUE)+O379*VLOOKUP(O379,'Fee Data'!$C$6:$G$50,3,TRUE)+VLOOKUP(O379,'Fee Data'!$I$6:$J$14,2,TRUE)+'Fee Data'!$J$20+'Fee Data'!$J$21)*'Assumptions'!E37</x:f>
        <x:v>745</x:v>
      </x:c>
      <x:c r="Q379" s="27" t="n">
        <x:f>(VLOOKUP(O379,'Fee Data'!$C$6:$G$50,4,TRUE)+O379*VLOOKUP(O379,'Fee Data'!$C$6:$G$50,5,TRUE)+VLOOKUP(O379,'Fee Data'!$I$6:$J$14,2,TRUE)+'Fee Data'!$J$20+'Fee Data'!$J$21)*'Assumptions'!E37</x:f>
        <x:v>600</x:v>
      </x:c>
      <x:c r="R379" s="27" t="n">
        <x:f>P379*(1-'Assumptions'!$D$14)+Q379*'Assumptions'!$D$14</x:f>
        <x:v>672.5</x:v>
      </x:c>
      <x:c r="S379" s="27" t="n">
        <x:f>O379*'Carrier Engine'!E92</x:f>
        <x:v>88.96822302726893</x:v>
      </x:c>
      <x:c r="T379" s="28" t="n">
        <x:f>R379+S379</x:f>
        <x:v>761.4682230272689</x:v>
      </x:c>
      <x:c r="U379" s="27" t="n">
        <x:f>N379*'Fleet Engine'!G211</x:f>
        <x:v>0</x:v>
      </x:c>
      <x:c r="V379" s="28" t="n">
        <x:f>U379*T379</x:f>
        <x:v>0</x:v>
      </x:c>
      <x:c r="W379" s="28" t="n">
        <x:f>U379*O379</x:f>
        <x:v>0</x:v>
      </x:c>
    </x:row>
    <x:row r="380" ht="19" customHeight="1">
      <x:c r="A380" s="2"/>
      <x:c r="B380" s="2"/>
      <x:c r="C380" s="46" t="n">
        <x:v>1</x:v>
      </x:c>
      <x:c r="D380" s="46" t="n">
        <x:v>17</x:v>
      </x:c>
      <x:c r="E380" s="46" t="n">
        <x:v>2</x:v>
      </x:c>
      <x:c r="F380" s="46" t="n">
        <x:v>5</x:v>
      </x:c>
      <x:c r="G380" s="12" t="n">
        <x:v>0.5555555555555556</x:v>
      </x:c>
      <x:c r="H380" s="12" t="n">
        <x:v>0.6666666666666666</x:v>
      </x:c>
      <x:c r="I380" s="29" t="n">
        <x:f>'Assumptions'!$D$11+'Assumptions'!$D$12*(0.5-(G380+H380)/2)</x:f>
        <x:v>0.27777777777777773</x:v>
      </x:c>
      <x:c r="J380" s="27" t="n">
        <x:f>'Assumptions'!$D$8*EXP(-'Assumptions'!$D$9*('Fleet Engine'!E211-10))*'Assumptions'!E57*'Assumptions'!E36</x:f>
        <x:v>7414.018585605744</x:v>
      </x:c>
      <x:c r="K380" s="27" t="n">
        <x:f>'Source Data'!F222+LN('Assumptions'!D57)+LN('Assumptions'!E35)</x:f>
        <x:v>8.319557366061195</x:v>
      </x:c>
      <x:c r="L380" s="27" t="n">
        <x:f>J380*(1-I380*(1-'Carrier Engine'!E92))</x:f>
        <x:v>5436.946962777546</x:v>
      </x:c>
      <x:c r="M380" s="29" t="n">
        <x:f>NORM.S.DIST((LN(L380)-K380)/'Assumptions'!$D$10,TRUE)</x:f>
        <x:v>0.5711183414959459</x:v>
      </x:c>
      <x:c r="N380" s="30" t="n">
        <x:f>MAX(0,H380-MAX(G380,M380))</x:f>
        <x:v>0.09554832517072076</x:v>
      </x:c>
      <x:c r="O380" s="28" t="n">
        <x:f>J380*I380</x:f>
        <x:v>2059.4496071127064</x:v>
      </x:c>
      <x:c r="P380" s="27" t="n">
        <x:f>(VLOOKUP(O380,'Fee Data'!$C$6:$G$50,2,TRUE)+O380*VLOOKUP(O380,'Fee Data'!$C$6:$G$50,3,TRUE)+VLOOKUP(O380,'Fee Data'!$I$6:$J$14,2,TRUE)+'Fee Data'!$J$20+'Fee Data'!$J$21)*'Assumptions'!E37</x:f>
        <x:v>745</x:v>
      </x:c>
      <x:c r="Q380" s="27" t="n">
        <x:f>(VLOOKUP(O380,'Fee Data'!$C$6:$G$50,4,TRUE)+O380*VLOOKUP(O380,'Fee Data'!$C$6:$G$50,5,TRUE)+VLOOKUP(O380,'Fee Data'!$I$6:$J$14,2,TRUE)+'Fee Data'!$J$20+'Fee Data'!$J$21)*'Assumptions'!E37</x:f>
        <x:v>600</x:v>
      </x:c>
      <x:c r="R380" s="27" t="n">
        <x:f>P380*(1-'Assumptions'!$D$14)+Q380*'Assumptions'!$D$14</x:f>
        <x:v>672.5</x:v>
      </x:c>
      <x:c r="S380" s="27" t="n">
        <x:f>O380*'Carrier Engine'!E92</x:f>
        <x:v>82.37798428450827</x:v>
      </x:c>
      <x:c r="T380" s="28" t="n">
        <x:f>R380+S380</x:f>
        <x:v>754.8779842845083</x:v>
      </x:c>
      <x:c r="U380" s="27" t="n">
        <x:f>N380*'Fleet Engine'!G211</x:f>
        <x:v>296.161873469296</x:v>
      </x:c>
      <x:c r="V380" s="28" t="n">
        <x:f>U380*T380</x:f>
        <x:v>223566.07806642575</x:v>
      </x:c>
      <x:c r="W380" s="28" t="n">
        <x:f>U380*O380</x:f>
        <x:v>609930.4539581047</x:v>
      </x:c>
    </x:row>
    <x:row r="381" ht="19" customHeight="1">
      <x:c r="A381" s="2"/>
      <x:c r="B381" s="2"/>
      <x:c r="C381" s="46" t="n">
        <x:v>1</x:v>
      </x:c>
      <x:c r="D381" s="46" t="n">
        <x:v>17</x:v>
      </x:c>
      <x:c r="E381" s="46" t="n">
        <x:v>2</x:v>
      </x:c>
      <x:c r="F381" s="46" t="n">
        <x:v>5</x:v>
      </x:c>
      <x:c r="G381" s="12" t="n">
        <x:v>0.6666666666666666</x:v>
      </x:c>
      <x:c r="H381" s="12" t="n">
        <x:v>0.7777777777777778</x:v>
      </x:c>
      <x:c r="I381" s="29" t="n">
        <x:f>'Assumptions'!$D$11+'Assumptions'!$D$12*(0.5-(G381+H381)/2)</x:f>
        <x:v>0.25555555555555554</x:v>
      </x:c>
      <x:c r="J381" s="27" t="n">
        <x:f>'Assumptions'!$D$8*EXP(-'Assumptions'!$D$9*('Fleet Engine'!E211-10))*'Assumptions'!E57*'Assumptions'!E36</x:f>
        <x:v>7414.018585605744</x:v>
      </x:c>
      <x:c r="K381" s="27" t="n">
        <x:f>'Source Data'!F222+LN('Assumptions'!D57)+LN('Assumptions'!E35)</x:f>
        <x:v>8.319557366061195</x:v>
      </x:c>
      <x:c r="L381" s="27" t="n">
        <x:f>J381*(1-I381*(1-'Carrier Engine'!E92))</x:f>
        <x:v>5595.112692603802</x:v>
      </x:c>
      <x:c r="M381" s="29" t="n">
        <x:f>NORM.S.DIST((LN(L381)-K381)/'Assumptions'!$D$10,TRUE)</x:f>
        <x:v>0.5782758099492802</x:v>
      </x:c>
      <x:c r="N381" s="30" t="n">
        <x:f>MAX(0,H381-MAX(G381,M381))</x:f>
        <x:v>0.11111111111111116</x:v>
      </x:c>
      <x:c r="O381" s="28" t="n">
        <x:f>J381*I381</x:f>
        <x:v>1894.69363854369</x:v>
      </x:c>
      <x:c r="P381" s="27" t="n">
        <x:f>(VLOOKUP(O381,'Fee Data'!$C$6:$G$50,2,TRUE)+O381*VLOOKUP(O381,'Fee Data'!$C$6:$G$50,3,TRUE)+VLOOKUP(O381,'Fee Data'!$I$6:$J$14,2,TRUE)+'Fee Data'!$J$20+'Fee Data'!$J$21)*'Assumptions'!E37</x:f>
        <x:v>705</x:v>
      </x:c>
      <x:c r="Q381" s="27" t="n">
        <x:f>(VLOOKUP(O381,'Fee Data'!$C$6:$G$50,4,TRUE)+O381*VLOOKUP(O381,'Fee Data'!$C$6:$G$50,5,TRUE)+VLOOKUP(O381,'Fee Data'!$I$6:$J$14,2,TRUE)+'Fee Data'!$J$20+'Fee Data'!$J$21)*'Assumptions'!E37</x:f>
        <x:v>565</x:v>
      </x:c>
      <x:c r="R381" s="27" t="n">
        <x:f>P381*(1-'Assumptions'!$D$14)+Q381*'Assumptions'!$D$14</x:f>
        <x:v>635</x:v>
      </x:c>
      <x:c r="S381" s="27" t="n">
        <x:f>O381*'Carrier Engine'!E92</x:f>
        <x:v>75.78774554174761</x:v>
      </x:c>
      <x:c r="T381" s="28" t="n">
        <x:f>R381+S381</x:f>
        <x:v>710.7877455417477</x:v>
      </x:c>
      <x:c r="U381" s="27" t="n">
        <x:f>N381*'Fleet Engine'!G211</x:f>
        <x:v>344.4003311531155</x:v>
      </x:c>
      <x:c r="V381" s="28" t="n">
        <x:f>U381*T381</x:f>
        <x:v>244795.53494415426</x:v>
      </x:c>
      <x:c r="W381" s="28" t="n">
        <x:f>U381*O381</x:f>
        <x:v>652533.1165481481</x:v>
      </x:c>
    </x:row>
    <x:row r="382" ht="19" customHeight="1">
      <x:c r="A382" s="2"/>
      <x:c r="B382" s="2"/>
      <x:c r="C382" s="46" t="n">
        <x:v>1</x:v>
      </x:c>
      <x:c r="D382" s="46" t="n">
        <x:v>17</x:v>
      </x:c>
      <x:c r="E382" s="46" t="n">
        <x:v>2</x:v>
      </x:c>
      <x:c r="F382" s="46" t="n">
        <x:v>5</x:v>
      </x:c>
      <x:c r="G382" s="12" t="n">
        <x:v>0.7777777777777778</x:v>
      </x:c>
      <x:c r="H382" s="12" t="n">
        <x:v>0.8888888888888888</x:v>
      </x:c>
      <x:c r="I382" s="29" t="n">
        <x:f>'Assumptions'!$D$11+'Assumptions'!$D$12*(0.5-(G382+H382)/2)</x:f>
        <x:v>0.23333333333333334</x:v>
      </x:c>
      <x:c r="J382" s="27" t="n">
        <x:f>'Assumptions'!$D$8*EXP(-'Assumptions'!$D$9*('Fleet Engine'!E211-10))*'Assumptions'!E57*'Assumptions'!E36</x:f>
        <x:v>7414.018585605744</x:v>
      </x:c>
      <x:c r="K382" s="27" t="n">
        <x:f>'Source Data'!F222+LN('Assumptions'!D57)+LN('Assumptions'!E35)</x:f>
        <x:v>8.319557366061195</x:v>
      </x:c>
      <x:c r="L382" s="27" t="n">
        <x:f>J382*(1-I382*(1-'Carrier Engine'!E92))</x:f>
        <x:v>5753.278422430058</x:v>
      </x:c>
      <x:c r="M382" s="29" t="n">
        <x:f>NORM.S.DIST((LN(L382)-K382)/'Assumptions'!$D$10,TRUE)</x:f>
        <x:v>0.5852090621304324</x:v>
      </x:c>
      <x:c r="N382" s="30" t="n">
        <x:f>MAX(0,H382-MAX(G382,M382))</x:f>
        <x:v>0.11111111111111105</x:v>
      </x:c>
      <x:c r="O382" s="28" t="n">
        <x:f>J382*I382</x:f>
        <x:v>1729.9376699746738</x:v>
      </x:c>
      <x:c r="P382" s="27" t="n">
        <x:f>(VLOOKUP(O382,'Fee Data'!$C$6:$G$50,2,TRUE)+O382*VLOOKUP(O382,'Fee Data'!$C$6:$G$50,3,TRUE)+VLOOKUP(O382,'Fee Data'!$I$6:$J$14,2,TRUE)+'Fee Data'!$J$20+'Fee Data'!$J$21)*'Assumptions'!E37</x:f>
        <x:v>680</x:v>
      </x:c>
      <x:c r="Q382" s="27" t="n">
        <x:f>(VLOOKUP(O382,'Fee Data'!$C$6:$G$50,4,TRUE)+O382*VLOOKUP(O382,'Fee Data'!$C$6:$G$50,5,TRUE)+VLOOKUP(O382,'Fee Data'!$I$6:$J$14,2,TRUE)+'Fee Data'!$J$20+'Fee Data'!$J$21)*'Assumptions'!E37</x:f>
        <x:v>545</x:v>
      </x:c>
      <x:c r="R382" s="27" t="n">
        <x:f>P382*(1-'Assumptions'!$D$14)+Q382*'Assumptions'!$D$14</x:f>
        <x:v>612.5</x:v>
      </x:c>
      <x:c r="S382" s="27" t="n">
        <x:f>O382*'Carrier Engine'!E92</x:f>
        <x:v>69.19750679898696</x:v>
      </x:c>
      <x:c r="T382" s="28" t="n">
        <x:f>R382+S382</x:f>
        <x:v>681.697506798987</x:v>
      </x:c>
      <x:c r="U382" s="27" t="n">
        <x:f>N382*'Fleet Engine'!G211</x:f>
        <x:v>344.40033115311513</x:v>
      </x:c>
      <x:c r="V382" s="28" t="n">
        <x:f>U382*T382</x:f>
        <x:v>234776.84708782408</x:v>
      </x:c>
      <x:c r="W382" s="28" t="n">
        <x:f>U382*O382</x:f>
        <x:v>595791.106413526</x:v>
      </x:c>
    </x:row>
    <x:row r="383" ht="19" customHeight="1">
      <x:c r="A383" s="2"/>
      <x:c r="B383" s="2"/>
      <x:c r="C383" s="46" t="n">
        <x:v>1</x:v>
      </x:c>
      <x:c r="D383" s="46" t="n">
        <x:v>17</x:v>
      </x:c>
      <x:c r="E383" s="46" t="n">
        <x:v>2</x:v>
      </x:c>
      <x:c r="F383" s="46" t="n">
        <x:v>5</x:v>
      </x:c>
      <x:c r="G383" s="12" t="n">
        <x:v>0.8888888888888888</x:v>
      </x:c>
      <x:c r="H383" s="12" t="n">
        <x:v>1</x:v>
      </x:c>
      <x:c r="I383" s="29" t="n">
        <x:f>'Assumptions'!$D$11+'Assumptions'!$D$12*(0.5-(G383+H383)/2)</x:f>
        <x:v>0.21111111111111108</x:v>
      </x:c>
      <x:c r="J383" s="27" t="n">
        <x:f>'Assumptions'!$D$8*EXP(-'Assumptions'!$D$9*('Fleet Engine'!E211-10))*'Assumptions'!E57*'Assumptions'!E36</x:f>
        <x:v>7414.018585605744</x:v>
      </x:c>
      <x:c r="K383" s="27" t="n">
        <x:f>'Source Data'!F222+LN('Assumptions'!D57)+LN('Assumptions'!E35)</x:f>
        <x:v>8.319557366061195</x:v>
      </x:c>
      <x:c r="L383" s="27" t="n">
        <x:f>J383*(1-I383*(1-'Carrier Engine'!E92))</x:f>
        <x:v>5911.444152256314</x:v>
      </x:c>
      <x:c r="M383" s="29" t="n">
        <x:f>NORM.S.DIST((LN(L383)-K383)/'Assumptions'!$D$10,TRUE)</x:f>
        <x:v>0.591928912547617</x:v>
      </x:c>
      <x:c r="N383" s="30" t="n">
        <x:f>MAX(0,H383-MAX(G383,M383))</x:f>
        <x:v>0.11111111111111116</x:v>
      </x:c>
      <x:c r="O383" s="28" t="n">
        <x:f>J383*I383</x:f>
        <x:v>1565.181701405657</x:v>
      </x:c>
      <x:c r="P383" s="27" t="n">
        <x:f>(VLOOKUP(O383,'Fee Data'!$C$6:$G$50,2,TRUE)+O383*VLOOKUP(O383,'Fee Data'!$C$6:$G$50,3,TRUE)+VLOOKUP(O383,'Fee Data'!$I$6:$J$14,2,TRUE)+'Fee Data'!$J$20+'Fee Data'!$J$21)*'Assumptions'!E37</x:f>
        <x:v>640</x:v>
      </x:c>
      <x:c r="Q383" s="27" t="n">
        <x:f>(VLOOKUP(O383,'Fee Data'!$C$6:$G$50,4,TRUE)+O383*VLOOKUP(O383,'Fee Data'!$C$6:$G$50,5,TRUE)+VLOOKUP(O383,'Fee Data'!$I$6:$J$14,2,TRUE)+'Fee Data'!$J$20+'Fee Data'!$J$21)*'Assumptions'!E37</x:f>
        <x:v>510</x:v>
      </x:c>
      <x:c r="R383" s="27" t="n">
        <x:f>P383*(1-'Assumptions'!$D$14)+Q383*'Assumptions'!$D$14</x:f>
        <x:v>575</x:v>
      </x:c>
      <x:c r="S383" s="27" t="n">
        <x:f>O383*'Carrier Engine'!E92</x:f>
        <x:v>62.60726805622629</x:v>
      </x:c>
      <x:c r="T383" s="28" t="n">
        <x:f>R383+S383</x:f>
        <x:v>637.6072680562263</x:v>
      </x:c>
      <x:c r="U383" s="27" t="n">
        <x:f>N383*'Fleet Engine'!G211</x:f>
        <x:v>344.4003311531155</x:v>
      </x:c>
      <x:c r="V383" s="28" t="n">
        <x:f>U383*T383</x:f>
        <x:v>219592.1542641976</x:v>
      </x:c>
      <x:c r="W383" s="28" t="n">
        <x:f>U383*O383</x:f>
        <x:v>539049.0962789049</x:v>
      </x:c>
    </x:row>
    <x:row r="384" ht="19" customHeight="1">
      <x:c r="A384" s="2"/>
      <x:c r="B384" s="2"/>
      <x:c r="C384" s="46" t="n">
        <x:v>1</x:v>
      </x:c>
      <x:c r="D384" s="46" t="n">
        <x:v>18</x:v>
      </x:c>
      <x:c r="E384" s="46" t="n">
        <x:v>3</x:v>
      </x:c>
      <x:c r="F384" s="46" t="n">
        <x:v>0</x:v>
      </x:c>
      <x:c r="G384" s="12" t="n">
        <x:v>0</x:v>
      </x:c>
      <x:c r="H384" s="12" t="n">
        <x:v>0.1111111111111111</x:v>
      </x:c>
      <x:c r="I384" s="29" t="n">
        <x:f>'Assumptions'!$D$11+'Assumptions'!$D$12*(0.5-(G384+H384)/2)</x:f>
        <x:v>0.3888888888888889</x:v>
      </x:c>
      <x:c r="J384" s="27" t="n">
        <x:f>'Assumptions'!$D$8*EXP(-'Assumptions'!$D$9*('Fleet Engine'!E212-10))*'Assumptions'!E58*'Assumptions'!E36</x:f>
        <x:v>27182.818284590452</x:v>
      </x:c>
      <x:c r="K384" s="27" t="n">
        <x:f>'Source Data'!F217+LN('Assumptions'!D58)+LN('Assumptions'!E35)</x:f>
        <x:v>8.005343029779286</x:v>
      </x:c>
      <x:c r="L384" s="27" t="n">
        <x:f>J384*(1-I384*(1-'Carrier Engine'!E92))</x:f>
        <x:v>17034.566125010017</x:v>
      </x:c>
      <x:c r="M384" s="29" t="n">
        <x:f>NORM.S.DIST((LN(L384)-K384)/'Assumptions'!$D$10,TRUE)</x:f>
        <x:v>0.8657757644693824</x:v>
      </x:c>
      <x:c r="N384" s="30" t="n">
        <x:f>MAX(0,H384-MAX(G384,M384))</x:f>
        <x:v>0</x:v>
      </x:c>
      <x:c r="O384" s="28" t="n">
        <x:f>J384*I384</x:f>
        <x:v>10571.095999562955</x:v>
      </x:c>
      <x:c r="P384" s="27" t="n">
        <x:f>(VLOOKUP(O384,'Fee Data'!$C$6:$G$50,2,TRUE)+O384*VLOOKUP(O384,'Fee Data'!$C$6:$G$50,3,TRUE)+VLOOKUP(O384,'Fee Data'!$I$6:$J$14,2,TRUE)+'Fee Data'!$J$20+'Fee Data'!$J$21)*'Assumptions'!E37</x:f>
        <x:v>1250</x:v>
      </x:c>
      <x:c r="Q384" s="27" t="n">
        <x:f>(VLOOKUP(O384,'Fee Data'!$C$6:$G$50,4,TRUE)+O384*VLOOKUP(O384,'Fee Data'!$C$6:$G$50,5,TRUE)+VLOOKUP(O384,'Fee Data'!$I$6:$J$14,2,TRUE)+'Fee Data'!$J$20+'Fee Data'!$J$21)*'Assumptions'!E37</x:f>
        <x:v>1100</x:v>
      </x:c>
      <x:c r="R384" s="27" t="n">
        <x:f>P384*(1-'Assumptions'!$D$14)+Q384*'Assumptions'!$D$14</x:f>
        <x:v>1175</x:v>
      </x:c>
      <x:c r="S384" s="27" t="n">
        <x:f>O384*'Carrier Engine'!E92</x:f>
        <x:v>422.84383998251826</x:v>
      </x:c>
      <x:c r="T384" s="28" t="n">
        <x:f>R384+S384</x:f>
        <x:v>1597.8438399825181</x:v>
      </x:c>
      <x:c r="U384" s="27" t="n">
        <x:f>N384*'Fleet Engine'!G212</x:f>
        <x:v>0</x:v>
      </x:c>
      <x:c r="V384" s="28" t="n">
        <x:f>U384*T384</x:f>
        <x:v>0</x:v>
      </x:c>
      <x:c r="W384" s="28" t="n">
        <x:f>U384*O384</x:f>
        <x:v>0</x:v>
      </x:c>
    </x:row>
    <x:row r="385" ht="19" customHeight="1">
      <x:c r="A385" s="2"/>
      <x:c r="B385" s="2"/>
      <x:c r="C385" s="46" t="n">
        <x:v>1</x:v>
      </x:c>
      <x:c r="D385" s="46" t="n">
        <x:v>18</x:v>
      </x:c>
      <x:c r="E385" s="46" t="n">
        <x:v>3</x:v>
      </x:c>
      <x:c r="F385" s="46" t="n">
        <x:v>0</x:v>
      </x:c>
      <x:c r="G385" s="12" t="n">
        <x:v>0.1111111111111111</x:v>
      </x:c>
      <x:c r="H385" s="12" t="n">
        <x:v>0.2222222222222222</x:v>
      </x:c>
      <x:c r="I385" s="29" t="n">
        <x:f>'Assumptions'!$D$11+'Assumptions'!$D$12*(0.5-(G385+H385)/2)</x:f>
        <x:v>0.3666666666666667</x:v>
      </x:c>
      <x:c r="J385" s="27" t="n">
        <x:f>'Assumptions'!$D$8*EXP(-'Assumptions'!$D$9*('Fleet Engine'!E212-10))*'Assumptions'!E58*'Assumptions'!E36</x:f>
        <x:v>27182.818284590452</x:v>
      </x:c>
      <x:c r="K385" s="27" t="n">
        <x:f>'Source Data'!F217+LN('Assumptions'!D58)+LN('Assumptions'!E35)</x:f>
        <x:v>8.005343029779286</x:v>
      </x:c>
      <x:c r="L385" s="27" t="n">
        <x:f>J385*(1-I385*(1-'Carrier Engine'!E92))</x:f>
        <x:v>17614.46624841461</x:v>
      </x:c>
      <x:c r="M385" s="29" t="n">
        <x:f>NORM.S.DIST((LN(L385)-K385)/'Assumptions'!$D$10,TRUE)</x:f>
        <x:v>0.8703320319855985</x:v>
      </x:c>
      <x:c r="N385" s="30" t="n">
        <x:f>MAX(0,H385-MAX(G385,M385))</x:f>
        <x:v>0</x:v>
      </x:c>
      <x:c r="O385" s="28" t="n">
        <x:f>J385*I385</x:f>
        <x:v>9967.0333710165</x:v>
      </x:c>
      <x:c r="P385" s="27" t="n">
        <x:f>(VLOOKUP(O385,'Fee Data'!$C$6:$G$50,2,TRUE)+O385*VLOOKUP(O385,'Fee Data'!$C$6:$G$50,3,TRUE)+VLOOKUP(O385,'Fee Data'!$I$6:$J$14,2,TRUE)+'Fee Data'!$J$20+'Fee Data'!$J$21)*'Assumptions'!E37</x:f>
        <x:v>1195</x:v>
      </x:c>
      <x:c r="Q385" s="27" t="n">
        <x:f>(VLOOKUP(O385,'Fee Data'!$C$6:$G$50,4,TRUE)+O385*VLOOKUP(O385,'Fee Data'!$C$6:$G$50,5,TRUE)+VLOOKUP(O385,'Fee Data'!$I$6:$J$14,2,TRUE)+'Fee Data'!$J$20+'Fee Data'!$J$21)*'Assumptions'!E37</x:f>
        <x:v>1070</x:v>
      </x:c>
      <x:c r="R385" s="27" t="n">
        <x:f>P385*(1-'Assumptions'!$D$14)+Q385*'Assumptions'!$D$14</x:f>
        <x:v>1132.5</x:v>
      </x:c>
      <x:c r="S385" s="27" t="n">
        <x:f>O385*'Carrier Engine'!E92</x:f>
        <x:v>398.68133484066004</x:v>
      </x:c>
      <x:c r="T385" s="28" t="n">
        <x:f>R385+S385</x:f>
        <x:v>1531.18133484066</x:v>
      </x:c>
      <x:c r="U385" s="27" t="n">
        <x:f>N385*'Fleet Engine'!G212</x:f>
        <x:v>0</x:v>
      </x:c>
      <x:c r="V385" s="28" t="n">
        <x:f>U385*T385</x:f>
        <x:v>0</x:v>
      </x:c>
      <x:c r="W385" s="28" t="n">
        <x:f>U385*O385</x:f>
        <x:v>0</x:v>
      </x:c>
    </x:row>
    <x:row r="386" ht="19" customHeight="1">
      <x:c r="A386" s="2"/>
      <x:c r="B386" s="2"/>
      <x:c r="C386" s="46" t="n">
        <x:v>1</x:v>
      </x:c>
      <x:c r="D386" s="46" t="n">
        <x:v>18</x:v>
      </x:c>
      <x:c r="E386" s="46" t="n">
        <x:v>3</x:v>
      </x:c>
      <x:c r="F386" s="46" t="n">
        <x:v>0</x:v>
      </x:c>
      <x:c r="G386" s="12" t="n">
        <x:v>0.2222222222222222</x:v>
      </x:c>
      <x:c r="H386" s="12" t="n">
        <x:v>0.3333333333333333</x:v>
      </x:c>
      <x:c r="I386" s="29" t="n">
        <x:f>'Assumptions'!$D$11+'Assumptions'!$D$12*(0.5-(G386+H386)/2)</x:f>
        <x:v>0.34444444444444444</x:v>
      </x:c>
      <x:c r="J386" s="27" t="n">
        <x:f>'Assumptions'!$D$8*EXP(-'Assumptions'!$D$9*('Fleet Engine'!E212-10))*'Assumptions'!E58*'Assumptions'!E36</x:f>
        <x:v>27182.818284590452</x:v>
      </x:c>
      <x:c r="K386" s="27" t="n">
        <x:f>'Source Data'!F217+LN('Assumptions'!D58)+LN('Assumptions'!E35)</x:f>
        <x:v>8.005343029779286</x:v>
      </x:c>
      <x:c r="L386" s="27" t="n">
        <x:f>J386*(1-I386*(1-'Carrier Engine'!E92))</x:f>
        <x:v>18194.36637181921</x:v>
      </x:c>
      <x:c r="M386" s="29" t="n">
        <x:f>NORM.S.DIST((LN(L386)-K386)/'Assumptions'!$D$10,TRUE)</x:f>
        <x:v>0.874637643415871</x:v>
      </x:c>
      <x:c r="N386" s="30" t="n">
        <x:f>MAX(0,H386-MAX(G386,M386))</x:f>
        <x:v>0</x:v>
      </x:c>
      <x:c r="O386" s="28" t="n">
        <x:f>J386*I386</x:f>
        <x:v>9362.970742470045</x:v>
      </x:c>
      <x:c r="P386" s="27" t="n">
        <x:f>(VLOOKUP(O386,'Fee Data'!$C$6:$G$50,2,TRUE)+O386*VLOOKUP(O386,'Fee Data'!$C$6:$G$50,3,TRUE)+VLOOKUP(O386,'Fee Data'!$I$6:$J$14,2,TRUE)+'Fee Data'!$J$20+'Fee Data'!$J$21)*'Assumptions'!E37</x:f>
        <x:v>1195</x:v>
      </x:c>
      <x:c r="Q386" s="27" t="n">
        <x:f>(VLOOKUP(O386,'Fee Data'!$C$6:$G$50,4,TRUE)+O386*VLOOKUP(O386,'Fee Data'!$C$6:$G$50,5,TRUE)+VLOOKUP(O386,'Fee Data'!$I$6:$J$14,2,TRUE)+'Fee Data'!$J$20+'Fee Data'!$J$21)*'Assumptions'!E37</x:f>
        <x:v>1070</x:v>
      </x:c>
      <x:c r="R386" s="27" t="n">
        <x:f>P386*(1-'Assumptions'!$D$14)+Q386*'Assumptions'!$D$14</x:f>
        <x:v>1132.5</x:v>
      </x:c>
      <x:c r="S386" s="27" t="n">
        <x:f>O386*'Carrier Engine'!E92</x:f>
        <x:v>374.5188296988019</x:v>
      </x:c>
      <x:c r="T386" s="28" t="n">
        <x:f>R386+S386</x:f>
        <x:v>1507.018829698802</x:v>
      </x:c>
      <x:c r="U386" s="27" t="n">
        <x:f>N386*'Fleet Engine'!G212</x:f>
        <x:v>0</x:v>
      </x:c>
      <x:c r="V386" s="28" t="n">
        <x:f>U386*T386</x:f>
        <x:v>0</x:v>
      </x:c>
      <x:c r="W386" s="28" t="n">
        <x:f>U386*O386</x:f>
        <x:v>0</x:v>
      </x:c>
    </x:row>
    <x:row r="387" ht="19" customHeight="1">
      <x:c r="A387" s="2"/>
      <x:c r="B387" s="2"/>
      <x:c r="C387" s="46" t="n">
        <x:v>1</x:v>
      </x:c>
      <x:c r="D387" s="46" t="n">
        <x:v>18</x:v>
      </x:c>
      <x:c r="E387" s="46" t="n">
        <x:v>3</x:v>
      </x:c>
      <x:c r="F387" s="46" t="n">
        <x:v>0</x:v>
      </x:c>
      <x:c r="G387" s="12" t="n">
        <x:v>0.3333333333333333</x:v>
      </x:c>
      <x:c r="H387" s="12" t="n">
        <x:v>0.4444444444444444</x:v>
      </x:c>
      <x:c r="I387" s="29" t="n">
        <x:f>'Assumptions'!$D$11+'Assumptions'!$D$12*(0.5-(G387+H387)/2)</x:f>
        <x:v>0.32222222222222224</x:v>
      </x:c>
      <x:c r="J387" s="27" t="n">
        <x:f>'Assumptions'!$D$8*EXP(-'Assumptions'!$D$9*('Fleet Engine'!E212-10))*'Assumptions'!E58*'Assumptions'!E36</x:f>
        <x:v>27182.818284590452</x:v>
      </x:c>
      <x:c r="K387" s="27" t="n">
        <x:f>'Source Data'!F217+LN('Assumptions'!D58)+LN('Assumptions'!E35)</x:f>
        <x:v>8.005343029779286</x:v>
      </x:c>
      <x:c r="L387" s="27" t="n">
        <x:f>J387*(1-I387*(1-'Carrier Engine'!E92))</x:f>
        <x:v>18774.266495223805</x:v>
      </x:c>
      <x:c r="M387" s="29" t="n">
        <x:f>NORM.S.DIST((LN(L387)-K387)/'Assumptions'!$D$10,TRUE)</x:f>
        <x:v>0.8787120289402852</x:v>
      </x:c>
      <x:c r="N387" s="30" t="n">
        <x:f>MAX(0,H387-MAX(G387,M387))</x:f>
        <x:v>0</x:v>
      </x:c>
      <x:c r="O387" s="28" t="n">
        <x:f>J387*I387</x:f>
        <x:v>8758.908113923591</x:v>
      </x:c>
      <x:c r="P387" s="27" t="n">
        <x:f>(VLOOKUP(O387,'Fee Data'!$C$6:$G$50,2,TRUE)+O387*VLOOKUP(O387,'Fee Data'!$C$6:$G$50,3,TRUE)+VLOOKUP(O387,'Fee Data'!$I$6:$J$14,2,TRUE)+'Fee Data'!$J$20+'Fee Data'!$J$21)*'Assumptions'!E37</x:f>
        <x:v>1195</x:v>
      </x:c>
      <x:c r="Q387" s="27" t="n">
        <x:f>(VLOOKUP(O387,'Fee Data'!$C$6:$G$50,4,TRUE)+O387*VLOOKUP(O387,'Fee Data'!$C$6:$G$50,5,TRUE)+VLOOKUP(O387,'Fee Data'!$I$6:$J$14,2,TRUE)+'Fee Data'!$J$20+'Fee Data'!$J$21)*'Assumptions'!E37</x:f>
        <x:v>1070</x:v>
      </x:c>
      <x:c r="R387" s="27" t="n">
        <x:f>P387*(1-'Assumptions'!$D$14)+Q387*'Assumptions'!$D$14</x:f>
        <x:v>1132.5</x:v>
      </x:c>
      <x:c r="S387" s="27" t="n">
        <x:f>O387*'Carrier Engine'!E92</x:f>
        <x:v>350.3563245569437</x:v>
      </x:c>
      <x:c r="T387" s="28" t="n">
        <x:f>R387+S387</x:f>
        <x:v>1482.8563245569437</x:v>
      </x:c>
      <x:c r="U387" s="27" t="n">
        <x:f>N387*'Fleet Engine'!G212</x:f>
        <x:v>0</x:v>
      </x:c>
      <x:c r="V387" s="28" t="n">
        <x:f>U387*T387</x:f>
        <x:v>0</x:v>
      </x:c>
      <x:c r="W387" s="28" t="n">
        <x:f>U387*O387</x:f>
        <x:v>0</x:v>
      </x:c>
    </x:row>
    <x:row r="388" ht="19" customHeight="1">
      <x:c r="A388" s="2"/>
      <x:c r="B388" s="2"/>
      <x:c r="C388" s="46" t="n">
        <x:v>1</x:v>
      </x:c>
      <x:c r="D388" s="46" t="n">
        <x:v>18</x:v>
      </x:c>
      <x:c r="E388" s="46" t="n">
        <x:v>3</x:v>
      </x:c>
      <x:c r="F388" s="46" t="n">
        <x:v>0</x:v>
      </x:c>
      <x:c r="G388" s="12" t="n">
        <x:v>0.4444444444444444</x:v>
      </x:c>
      <x:c r="H388" s="12" t="n">
        <x:v>0.5555555555555556</x:v>
      </x:c>
      <x:c r="I388" s="29" t="n">
        <x:f>'Assumptions'!$D$11+'Assumptions'!$D$12*(0.5-(G388+H388)/2)</x:f>
        <x:v>0.3</x:v>
      </x:c>
      <x:c r="J388" s="27" t="n">
        <x:f>'Assumptions'!$D$8*EXP(-'Assumptions'!$D$9*('Fleet Engine'!E212-10))*'Assumptions'!E58*'Assumptions'!E36</x:f>
        <x:v>27182.818284590452</x:v>
      </x:c>
      <x:c r="K388" s="27" t="n">
        <x:f>'Source Data'!F217+LN('Assumptions'!D58)+LN('Assumptions'!E35)</x:f>
        <x:v>8.005343029779286</x:v>
      </x:c>
      <x:c r="L388" s="27" t="n">
        <x:f>J388*(1-I388*(1-'Carrier Engine'!E92))</x:f>
        <x:v>19354.166618628402</x:v>
      </x:c>
      <x:c r="M388" s="29" t="n">
        <x:f>NORM.S.DIST((LN(L388)-K388)/'Assumptions'!$D$10,TRUE)</x:f>
        <x:v>0.882572669925294</x:v>
      </x:c>
      <x:c r="N388" s="30" t="n">
        <x:f>MAX(0,H388-MAX(G388,M388))</x:f>
        <x:v>0</x:v>
      </x:c>
      <x:c r="O388" s="28" t="n">
        <x:f>J388*I388</x:f>
        <x:v>8154.845485377135</x:v>
      </x:c>
      <x:c r="P388" s="27" t="n">
        <x:f>(VLOOKUP(O388,'Fee Data'!$C$6:$G$50,2,TRUE)+O388*VLOOKUP(O388,'Fee Data'!$C$6:$G$50,3,TRUE)+VLOOKUP(O388,'Fee Data'!$I$6:$J$14,2,TRUE)+'Fee Data'!$J$20+'Fee Data'!$J$21)*'Assumptions'!E37</x:f>
        <x:v>1175</x:v>
      </x:c>
      <x:c r="Q388" s="27" t="n">
        <x:f>(VLOOKUP(O388,'Fee Data'!$C$6:$G$50,4,TRUE)+O388*VLOOKUP(O388,'Fee Data'!$C$6:$G$50,5,TRUE)+VLOOKUP(O388,'Fee Data'!$I$6:$J$14,2,TRUE)+'Fee Data'!$J$20+'Fee Data'!$J$21)*'Assumptions'!E37</x:f>
        <x:v>1050</x:v>
      </x:c>
      <x:c r="R388" s="27" t="n">
        <x:f>P388*(1-'Assumptions'!$D$14)+Q388*'Assumptions'!$D$14</x:f>
        <x:v>1112.5</x:v>
      </x:c>
      <x:c r="S388" s="27" t="n">
        <x:f>O388*'Carrier Engine'!E92</x:f>
        <x:v>326.1938194150855</x:v>
      </x:c>
      <x:c r="T388" s="28" t="n">
        <x:f>R388+S388</x:f>
        <x:v>1438.6938194150855</x:v>
      </x:c>
      <x:c r="U388" s="27" t="n">
        <x:f>N388*'Fleet Engine'!G212</x:f>
        <x:v>0</x:v>
      </x:c>
      <x:c r="V388" s="28" t="n">
        <x:f>U388*T388</x:f>
        <x:v>0</x:v>
      </x:c>
      <x:c r="W388" s="28" t="n">
        <x:f>U388*O388</x:f>
        <x:v>0</x:v>
      </x:c>
    </x:row>
    <x:row r="389" ht="19" customHeight="1">
      <x:c r="A389" s="2"/>
      <x:c r="B389" s="2"/>
      <x:c r="C389" s="46" t="n">
        <x:v>1</x:v>
      </x:c>
      <x:c r="D389" s="46" t="n">
        <x:v>18</x:v>
      </x:c>
      <x:c r="E389" s="46" t="n">
        <x:v>3</x:v>
      </x:c>
      <x:c r="F389" s="46" t="n">
        <x:v>0</x:v>
      </x:c>
      <x:c r="G389" s="12" t="n">
        <x:v>0.5555555555555556</x:v>
      </x:c>
      <x:c r="H389" s="12" t="n">
        <x:v>0.6666666666666666</x:v>
      </x:c>
      <x:c r="I389" s="29" t="n">
        <x:f>'Assumptions'!$D$11+'Assumptions'!$D$12*(0.5-(G389+H389)/2)</x:f>
        <x:v>0.27777777777777773</x:v>
      </x:c>
      <x:c r="J389" s="27" t="n">
        <x:f>'Assumptions'!$D$8*EXP(-'Assumptions'!$D$9*('Fleet Engine'!E212-10))*'Assumptions'!E58*'Assumptions'!E36</x:f>
        <x:v>27182.818284590452</x:v>
      </x:c>
      <x:c r="K389" s="27" t="n">
        <x:f>'Source Data'!F217+LN('Assumptions'!D58)+LN('Assumptions'!E35)</x:f>
        <x:v>8.005343029779286</x:v>
      </x:c>
      <x:c r="L389" s="27" t="n">
        <x:f>J389*(1-I389*(1-'Carrier Engine'!E92))</x:f>
        <x:v>19934.066742033</x:v>
      </x:c>
      <x:c r="M389" s="29" t="n">
        <x:f>NORM.S.DIST((LN(L389)-K389)/'Assumptions'!$D$10,TRUE)</x:f>
        <x:v>0.8862353381924654</x:v>
      </x:c>
      <x:c r="N389" s="30" t="n">
        <x:f>MAX(0,H389-MAX(G389,M389))</x:f>
        <x:v>0</x:v>
      </x:c>
      <x:c r="O389" s="28" t="n">
        <x:f>J389*I389</x:f>
        <x:v>7550.7828568306795</x:v>
      </x:c>
      <x:c r="P389" s="27" t="n">
        <x:f>(VLOOKUP(O389,'Fee Data'!$C$6:$G$50,2,TRUE)+O389*VLOOKUP(O389,'Fee Data'!$C$6:$G$50,3,TRUE)+VLOOKUP(O389,'Fee Data'!$I$6:$J$14,2,TRUE)+'Fee Data'!$J$20+'Fee Data'!$J$21)*'Assumptions'!E37</x:f>
        <x:v>1135</x:v>
      </x:c>
      <x:c r="Q389" s="27" t="n">
        <x:f>(VLOOKUP(O389,'Fee Data'!$C$6:$G$50,4,TRUE)+O389*VLOOKUP(O389,'Fee Data'!$C$6:$G$50,5,TRUE)+VLOOKUP(O389,'Fee Data'!$I$6:$J$14,2,TRUE)+'Fee Data'!$J$20+'Fee Data'!$J$21)*'Assumptions'!E37</x:f>
        <x:v>1010</x:v>
      </x:c>
      <x:c r="R389" s="27" t="n">
        <x:f>P389*(1-'Assumptions'!$D$14)+Q389*'Assumptions'!$D$14</x:f>
        <x:v>1072.5</x:v>
      </x:c>
      <x:c r="S389" s="27" t="n">
        <x:f>O389*'Carrier Engine'!E92</x:f>
        <x:v>302.0313142732272</x:v>
      </x:c>
      <x:c r="T389" s="28" t="n">
        <x:f>R389+S389</x:f>
        <x:v>1374.5313142732273</x:v>
      </x:c>
      <x:c r="U389" s="27" t="n">
        <x:f>N389*'Fleet Engine'!G212</x:f>
        <x:v>0</x:v>
      </x:c>
      <x:c r="V389" s="28" t="n">
        <x:f>U389*T389</x:f>
        <x:v>0</x:v>
      </x:c>
      <x:c r="W389" s="28" t="n">
        <x:f>U389*O389</x:f>
        <x:v>0</x:v>
      </x:c>
    </x:row>
    <x:row r="390" ht="19" customHeight="1">
      <x:c r="A390" s="2"/>
      <x:c r="B390" s="2"/>
      <x:c r="C390" s="46" t="n">
        <x:v>1</x:v>
      </x:c>
      <x:c r="D390" s="46" t="n">
        <x:v>18</x:v>
      </x:c>
      <x:c r="E390" s="46" t="n">
        <x:v>3</x:v>
      </x:c>
      <x:c r="F390" s="46" t="n">
        <x:v>0</x:v>
      </x:c>
      <x:c r="G390" s="12" t="n">
        <x:v>0.6666666666666666</x:v>
      </x:c>
      <x:c r="H390" s="12" t="n">
        <x:v>0.7777777777777778</x:v>
      </x:c>
      <x:c r="I390" s="29" t="n">
        <x:f>'Assumptions'!$D$11+'Assumptions'!$D$12*(0.5-(G390+H390)/2)</x:f>
        <x:v>0.25555555555555554</x:v>
      </x:c>
      <x:c r="J390" s="27" t="n">
        <x:f>'Assumptions'!$D$8*EXP(-'Assumptions'!$D$9*('Fleet Engine'!E212-10))*'Assumptions'!E58*'Assumptions'!E36</x:f>
        <x:v>27182.818284590452</x:v>
      </x:c>
      <x:c r="K390" s="27" t="n">
        <x:f>'Source Data'!F217+LN('Assumptions'!D58)+LN('Assumptions'!E35)</x:f>
        <x:v>8.005343029779286</x:v>
      </x:c>
      <x:c r="L390" s="27" t="n">
        <x:f>J390*(1-I390*(1-'Carrier Engine'!E92))</x:f>
        <x:v>20513.966865437596</x:v>
      </x:c>
      <x:c r="M390" s="29" t="n">
        <x:f>NORM.S.DIST((LN(L390)-K390)/'Assumptions'!$D$10,TRUE)</x:f>
        <x:v>0.8897143006733278</x:v>
      </x:c>
      <x:c r="N390" s="30" t="n">
        <x:f>MAX(0,H390-MAX(G390,M390))</x:f>
        <x:v>0</x:v>
      </x:c>
      <x:c r="O390" s="28" t="n">
        <x:f>J390*I390</x:f>
        <x:v>6946.720228284226</x:v>
      </x:c>
      <x:c r="P390" s="27" t="n">
        <x:f>(VLOOKUP(O390,'Fee Data'!$C$6:$G$50,2,TRUE)+O390*VLOOKUP(O390,'Fee Data'!$C$6:$G$50,3,TRUE)+VLOOKUP(O390,'Fee Data'!$I$6:$J$14,2,TRUE)+'Fee Data'!$J$20+'Fee Data'!$J$21)*'Assumptions'!E37</x:f>
        <x:v>1080</x:v>
      </x:c>
      <x:c r="Q390" s="27" t="n">
        <x:f>(VLOOKUP(O390,'Fee Data'!$C$6:$G$50,4,TRUE)+O390*VLOOKUP(O390,'Fee Data'!$C$6:$G$50,5,TRUE)+VLOOKUP(O390,'Fee Data'!$I$6:$J$14,2,TRUE)+'Fee Data'!$J$20+'Fee Data'!$J$21)*'Assumptions'!E37</x:f>
        <x:v>955</x:v>
      </x:c>
      <x:c r="R390" s="27" t="n">
        <x:f>P390*(1-'Assumptions'!$D$14)+Q390*'Assumptions'!$D$14</x:f>
        <x:v>1017.5</x:v>
      </x:c>
      <x:c r="S390" s="27" t="n">
        <x:f>O390*'Carrier Engine'!E92</x:f>
        <x:v>277.8688091313691</x:v>
      </x:c>
      <x:c r="T390" s="28" t="n">
        <x:f>R390+S390</x:f>
        <x:v>1295.368809131369</x:v>
      </x:c>
      <x:c r="U390" s="27" t="n">
        <x:f>N390*'Fleet Engine'!G212</x:f>
        <x:v>0</x:v>
      </x:c>
      <x:c r="V390" s="28" t="n">
        <x:f>U390*T390</x:f>
        <x:v>0</x:v>
      </x:c>
      <x:c r="W390" s="28" t="n">
        <x:f>U390*O390</x:f>
        <x:v>0</x:v>
      </x:c>
    </x:row>
    <x:row r="391" ht="19" customHeight="1">
      <x:c r="A391" s="2"/>
      <x:c r="B391" s="2"/>
      <x:c r="C391" s="46" t="n">
        <x:v>1</x:v>
      </x:c>
      <x:c r="D391" s="46" t="n">
        <x:v>18</x:v>
      </x:c>
      <x:c r="E391" s="46" t="n">
        <x:v>3</x:v>
      </x:c>
      <x:c r="F391" s="46" t="n">
        <x:v>0</x:v>
      </x:c>
      <x:c r="G391" s="12" t="n">
        <x:v>0.7777777777777778</x:v>
      </x:c>
      <x:c r="H391" s="12" t="n">
        <x:v>0.8888888888888888</x:v>
      </x:c>
      <x:c r="I391" s="29" t="n">
        <x:f>'Assumptions'!$D$11+'Assumptions'!$D$12*(0.5-(G391+H391)/2)</x:f>
        <x:v>0.23333333333333334</x:v>
      </x:c>
      <x:c r="J391" s="27" t="n">
        <x:f>'Assumptions'!$D$8*EXP(-'Assumptions'!$D$9*('Fleet Engine'!E212-10))*'Assumptions'!E58*'Assumptions'!E36</x:f>
        <x:v>27182.818284590452</x:v>
      </x:c>
      <x:c r="K391" s="27" t="n">
        <x:f>'Source Data'!F217+LN('Assumptions'!D58)+LN('Assumptions'!E35)</x:f>
        <x:v>8.005343029779286</x:v>
      </x:c>
      <x:c r="L391" s="27" t="n">
        <x:f>J391*(1-I391*(1-'Carrier Engine'!E92))</x:f>
        <x:v>21093.86698884219</x:v>
      </x:c>
      <x:c r="M391" s="29" t="n">
        <x:f>NORM.S.DIST((LN(L391)-K391)/'Assumptions'!$D$10,TRUE)</x:f>
        <x:v>0.8930224951902263</x:v>
      </x:c>
      <x:c r="N391" s="30" t="n">
        <x:f>MAX(0,H391-MAX(G391,M391))</x:f>
        <x:v>0</x:v>
      </x:c>
      <x:c r="O391" s="28" t="n">
        <x:f>J391*I391</x:f>
        <x:v>6342.657599737772</x:v>
      </x:c>
      <x:c r="P391" s="27" t="n">
        <x:f>(VLOOKUP(O391,'Fee Data'!$C$6:$G$50,2,TRUE)+O391*VLOOKUP(O391,'Fee Data'!$C$6:$G$50,3,TRUE)+VLOOKUP(O391,'Fee Data'!$I$6:$J$14,2,TRUE)+'Fee Data'!$J$20+'Fee Data'!$J$21)*'Assumptions'!E37</x:f>
        <x:v>1060</x:v>
      </x:c>
      <x:c r="Q391" s="27" t="n">
        <x:f>(VLOOKUP(O391,'Fee Data'!$C$6:$G$50,4,TRUE)+O391*VLOOKUP(O391,'Fee Data'!$C$6:$G$50,5,TRUE)+VLOOKUP(O391,'Fee Data'!$I$6:$J$14,2,TRUE)+'Fee Data'!$J$20+'Fee Data'!$J$21)*'Assumptions'!E37</x:f>
        <x:v>935</x:v>
      </x:c>
      <x:c r="R391" s="27" t="n">
        <x:f>P391*(1-'Assumptions'!$D$14)+Q391*'Assumptions'!$D$14</x:f>
        <x:v>997.5</x:v>
      </x:c>
      <x:c r="S391" s="27" t="n">
        <x:f>O391*'Carrier Engine'!E92</x:f>
        <x:v>253.70630398951093</x:v>
      </x:c>
      <x:c r="T391" s="28" t="n">
        <x:f>R391+S391</x:f>
        <x:v>1251.2063039895108</x:v>
      </x:c>
      <x:c r="U391" s="27" t="n">
        <x:f>N391*'Fleet Engine'!G212</x:f>
        <x:v>0</x:v>
      </x:c>
      <x:c r="V391" s="28" t="n">
        <x:f>U391*T391</x:f>
        <x:v>0</x:v>
      </x:c>
      <x:c r="W391" s="28" t="n">
        <x:f>U391*O391</x:f>
        <x:v>0</x:v>
      </x:c>
    </x:row>
    <x:row r="392" ht="19" customHeight="1">
      <x:c r="A392" s="2"/>
      <x:c r="B392" s="2"/>
      <x:c r="C392" s="46" t="n">
        <x:v>1</x:v>
      </x:c>
      <x:c r="D392" s="46" t="n">
        <x:v>18</x:v>
      </x:c>
      <x:c r="E392" s="46" t="n">
        <x:v>3</x:v>
      </x:c>
      <x:c r="F392" s="46" t="n">
        <x:v>0</x:v>
      </x:c>
      <x:c r="G392" s="12" t="n">
        <x:v>0.8888888888888888</x:v>
      </x:c>
      <x:c r="H392" s="12" t="n">
        <x:v>1</x:v>
      </x:c>
      <x:c r="I392" s="29" t="n">
        <x:f>'Assumptions'!$D$11+'Assumptions'!$D$12*(0.5-(G392+H392)/2)</x:f>
        <x:v>0.21111111111111108</x:v>
      </x:c>
      <x:c r="J392" s="27" t="n">
        <x:f>'Assumptions'!$D$8*EXP(-'Assumptions'!$D$9*('Fleet Engine'!E212-10))*'Assumptions'!E58*'Assumptions'!E36</x:f>
        <x:v>27182.818284590452</x:v>
      </x:c>
      <x:c r="K392" s="27" t="n">
        <x:f>'Source Data'!F217+LN('Assumptions'!D58)+LN('Assumptions'!E35)</x:f>
        <x:v>8.005343029779286</x:v>
      </x:c>
      <x:c r="L392" s="27" t="n">
        <x:f>J392*(1-I392*(1-'Carrier Engine'!E92))</x:f>
        <x:v>21673.767112246787</x:v>
      </x:c>
      <x:c r="M392" s="29" t="n">
        <x:f>NORM.S.DIST((LN(L392)-K392)/'Assumptions'!$D$10,TRUE)</x:f>
        <x:v>0.8961716820343077</x:v>
      </x:c>
      <x:c r="N392" s="30" t="n">
        <x:f>MAX(0,H392-MAX(G392,M392))</x:f>
        <x:v>0.10382831796569225</x:v>
      </x:c>
      <x:c r="O392" s="28" t="n">
        <x:f>J392*I392</x:f>
        <x:v>5738.594971191317</x:v>
      </x:c>
      <x:c r="P392" s="27" t="n">
        <x:f>(VLOOKUP(O392,'Fee Data'!$C$6:$G$50,2,TRUE)+O392*VLOOKUP(O392,'Fee Data'!$C$6:$G$50,3,TRUE)+VLOOKUP(O392,'Fee Data'!$I$6:$J$14,2,TRUE)+'Fee Data'!$J$20+'Fee Data'!$J$21)*'Assumptions'!E37</x:f>
        <x:v>1020</x:v>
      </x:c>
      <x:c r="Q392" s="27" t="n">
        <x:f>(VLOOKUP(O392,'Fee Data'!$C$6:$G$50,4,TRUE)+O392*VLOOKUP(O392,'Fee Data'!$C$6:$G$50,5,TRUE)+VLOOKUP(O392,'Fee Data'!$I$6:$J$14,2,TRUE)+'Fee Data'!$J$20+'Fee Data'!$J$21)*'Assumptions'!E37</x:f>
        <x:v>895</x:v>
      </x:c>
      <x:c r="R392" s="27" t="n">
        <x:f>P392*(1-'Assumptions'!$D$14)+Q392*'Assumptions'!$D$14</x:f>
        <x:v>957.5</x:v>
      </x:c>
      <x:c r="S392" s="27" t="n">
        <x:f>O392*'Carrier Engine'!E92</x:f>
        <x:v>229.54379884765274</x:v>
      </x:c>
      <x:c r="T392" s="28" t="n">
        <x:f>R392+S392</x:f>
        <x:v>1187.0437988476529</x:v>
      </x:c>
      <x:c r="U392" s="27" t="n">
        <x:f>N392*'Fleet Engine'!G212</x:f>
        <x:v>56.37932489339202</x:v>
      </x:c>
      <x:c r="V392" s="28" t="n">
        <x:f>U392*T392</x:f>
        <x:v>66924.7279979181</x:v>
      </x:c>
      <x:c r="W392" s="28" t="n">
        <x:f>U392*O392</x:f>
        <x:v>323538.1103123809</x:v>
      </x:c>
    </x:row>
    <x:row r="393" ht="19" customHeight="1">
      <x:c r="A393" s="2"/>
      <x:c r="B393" s="2"/>
      <x:c r="C393" s="46" t="n">
        <x:v>1</x:v>
      </x:c>
      <x:c r="D393" s="46" t="n">
        <x:v>19</x:v>
      </x:c>
      <x:c r="E393" s="46" t="n">
        <x:v>3</x:v>
      </x:c>
      <x:c r="F393" s="46" t="n">
        <x:v>1</x:v>
      </x:c>
      <x:c r="G393" s="12" t="n">
        <x:v>0</x:v>
      </x:c>
      <x:c r="H393" s="12" t="n">
        <x:v>0.1111111111111111</x:v>
      </x:c>
      <x:c r="I393" s="29" t="n">
        <x:f>'Assumptions'!$D$11+'Assumptions'!$D$12*(0.5-(G393+H393)/2)</x:f>
        <x:v>0.3888888888888889</x:v>
      </x:c>
      <x:c r="J393" s="27" t="n">
        <x:f>'Assumptions'!$D$8*EXP(-'Assumptions'!$D$9*('Fleet Engine'!E213-10))*'Assumptions'!E58*'Assumptions'!E36</x:f>
        <x:v>22255.409284924677</x:v>
      </x:c>
      <x:c r="K393" s="27" t="n">
        <x:f>'Source Data'!F218+LN('Assumptions'!D58)+LN('Assumptions'!E35)</x:f>
        <x:v>7.890902228235048</x:v>
      </x:c>
      <x:c r="L393" s="27" t="n">
        <x:f>J393*(1-I393*(1-'Carrier Engine'!E92))</x:f>
        <x:v>13946.723151886132</x:v>
      </x:c>
      <x:c r="M393" s="29" t="n">
        <x:f>NORM.S.DIST((LN(L393)-K393)/'Assumptions'!$D$10,TRUE)</x:f>
        <x:v>0.8536354275611799</x:v>
      </x:c>
      <x:c r="N393" s="30" t="n">
        <x:f>MAX(0,H393-MAX(G393,M393))</x:f>
        <x:v>0</x:v>
      </x:c>
      <x:c r="O393" s="28" t="n">
        <x:f>J393*I393</x:f>
        <x:v>8654.88138858182</x:v>
      </x:c>
      <x:c r="P393" s="27" t="n">
        <x:f>(VLOOKUP(O393,'Fee Data'!$C$6:$G$50,2,TRUE)+O393*VLOOKUP(O393,'Fee Data'!$C$6:$G$50,3,TRUE)+VLOOKUP(O393,'Fee Data'!$I$6:$J$14,2,TRUE)+'Fee Data'!$J$20+'Fee Data'!$J$21)*'Assumptions'!E37</x:f>
        <x:v>1195</x:v>
      </x:c>
      <x:c r="Q393" s="27" t="n">
        <x:f>(VLOOKUP(O393,'Fee Data'!$C$6:$G$50,4,TRUE)+O393*VLOOKUP(O393,'Fee Data'!$C$6:$G$50,5,TRUE)+VLOOKUP(O393,'Fee Data'!$I$6:$J$14,2,TRUE)+'Fee Data'!$J$20+'Fee Data'!$J$21)*'Assumptions'!E37</x:f>
        <x:v>1070</x:v>
      </x:c>
      <x:c r="R393" s="27" t="n">
        <x:f>P393*(1-'Assumptions'!$D$14)+Q393*'Assumptions'!$D$14</x:f>
        <x:v>1132.5</x:v>
      </x:c>
      <x:c r="S393" s="27" t="n">
        <x:f>O393*'Carrier Engine'!E92</x:f>
        <x:v>346.1952555432729</x:v>
      </x:c>
      <x:c r="T393" s="28" t="n">
        <x:f>R393+S393</x:f>
        <x:v>1478.6952555432729</x:v>
      </x:c>
      <x:c r="U393" s="27" t="n">
        <x:f>N393*'Fleet Engine'!G213</x:f>
        <x:v>0</x:v>
      </x:c>
      <x:c r="V393" s="28" t="n">
        <x:f>U393*T393</x:f>
        <x:v>0</x:v>
      </x:c>
      <x:c r="W393" s="28" t="n">
        <x:f>U393*O393</x:f>
        <x:v>0</x:v>
      </x:c>
    </x:row>
    <x:row r="394" ht="19" customHeight="1">
      <x:c r="A394" s="2"/>
      <x:c r="B394" s="2"/>
      <x:c r="C394" s="46" t="n">
        <x:v>1</x:v>
      </x:c>
      <x:c r="D394" s="46" t="n">
        <x:v>19</x:v>
      </x:c>
      <x:c r="E394" s="46" t="n">
        <x:v>3</x:v>
      </x:c>
      <x:c r="F394" s="46" t="n">
        <x:v>1</x:v>
      </x:c>
      <x:c r="G394" s="12" t="n">
        <x:v>0.1111111111111111</x:v>
      </x:c>
      <x:c r="H394" s="12" t="n">
        <x:v>0.2222222222222222</x:v>
      </x:c>
      <x:c r="I394" s="29" t="n">
        <x:f>'Assumptions'!$D$11+'Assumptions'!$D$12*(0.5-(G394+H394)/2)</x:f>
        <x:v>0.3666666666666667</x:v>
      </x:c>
      <x:c r="J394" s="27" t="n">
        <x:f>'Assumptions'!$D$8*EXP(-'Assumptions'!$D$9*('Fleet Engine'!E213-10))*'Assumptions'!E58*'Assumptions'!E36</x:f>
        <x:v>22255.409284924677</x:v>
      </x:c>
      <x:c r="K394" s="27" t="n">
        <x:f>'Source Data'!F218+LN('Assumptions'!D58)+LN('Assumptions'!E35)</x:f>
        <x:v>7.890902228235048</x:v>
      </x:c>
      <x:c r="L394" s="27" t="n">
        <x:f>J394*(1-I394*(1-'Carrier Engine'!E92))</x:f>
        <x:v>14421.505216631189</x:v>
      </x:c>
      <x:c r="M394" s="29" t="n">
        <x:f>NORM.S.DIST((LN(L394)-K394)/'Assumptions'!$D$10,TRUE)</x:f>
        <x:v>0.858470508362788</x:v>
      </x:c>
      <x:c r="N394" s="30" t="n">
        <x:f>MAX(0,H394-MAX(G394,M394))</x:f>
        <x:v>0</x:v>
      </x:c>
      <x:c r="O394" s="28" t="n">
        <x:f>J394*I394</x:f>
        <x:v>8160.316737805716</x:v>
      </x:c>
      <x:c r="P394" s="27" t="n">
        <x:f>(VLOOKUP(O394,'Fee Data'!$C$6:$G$50,2,TRUE)+O394*VLOOKUP(O394,'Fee Data'!$C$6:$G$50,3,TRUE)+VLOOKUP(O394,'Fee Data'!$I$6:$J$14,2,TRUE)+'Fee Data'!$J$20+'Fee Data'!$J$21)*'Assumptions'!E37</x:f>
        <x:v>1175</x:v>
      </x:c>
      <x:c r="Q394" s="27" t="n">
        <x:f>(VLOOKUP(O394,'Fee Data'!$C$6:$G$50,4,TRUE)+O394*VLOOKUP(O394,'Fee Data'!$C$6:$G$50,5,TRUE)+VLOOKUP(O394,'Fee Data'!$I$6:$J$14,2,TRUE)+'Fee Data'!$J$20+'Fee Data'!$J$21)*'Assumptions'!E37</x:f>
        <x:v>1050</x:v>
      </x:c>
      <x:c r="R394" s="27" t="n">
        <x:f>P394*(1-'Assumptions'!$D$14)+Q394*'Assumptions'!$D$14</x:f>
        <x:v>1112.5</x:v>
      </x:c>
      <x:c r="S394" s="27" t="n">
        <x:f>O394*'Carrier Engine'!E92</x:f>
        <x:v>326.4126695122287</x:v>
      </x:c>
      <x:c r="T394" s="28" t="n">
        <x:f>R394+S394</x:f>
        <x:v>1438.9126695122286</x:v>
      </x:c>
      <x:c r="U394" s="27" t="n">
        <x:f>N394*'Fleet Engine'!G213</x:f>
        <x:v>0</x:v>
      </x:c>
      <x:c r="V394" s="28" t="n">
        <x:f>U394*T394</x:f>
        <x:v>0</x:v>
      </x:c>
      <x:c r="W394" s="28" t="n">
        <x:f>U394*O394</x:f>
        <x:v>0</x:v>
      </x:c>
    </x:row>
    <x:row r="395" ht="19" customHeight="1">
      <x:c r="A395" s="2"/>
      <x:c r="B395" s="2"/>
      <x:c r="C395" s="46" t="n">
        <x:v>1</x:v>
      </x:c>
      <x:c r="D395" s="46" t="n">
        <x:v>19</x:v>
      </x:c>
      <x:c r="E395" s="46" t="n">
        <x:v>3</x:v>
      </x:c>
      <x:c r="F395" s="46" t="n">
        <x:v>1</x:v>
      </x:c>
      <x:c r="G395" s="12" t="n">
        <x:v>0.2222222222222222</x:v>
      </x:c>
      <x:c r="H395" s="12" t="n">
        <x:v>0.3333333333333333</x:v>
      </x:c>
      <x:c r="I395" s="29" t="n">
        <x:f>'Assumptions'!$D$11+'Assumptions'!$D$12*(0.5-(G395+H395)/2)</x:f>
        <x:v>0.34444444444444444</x:v>
      </x:c>
      <x:c r="J395" s="27" t="n">
        <x:f>'Assumptions'!$D$8*EXP(-'Assumptions'!$D$9*('Fleet Engine'!E213-10))*'Assumptions'!E58*'Assumptions'!E36</x:f>
        <x:v>22255.409284924677</x:v>
      </x:c>
      <x:c r="K395" s="27" t="n">
        <x:f>'Source Data'!F218+LN('Assumptions'!D58)+LN('Assumptions'!E35)</x:f>
        <x:v>7.890902228235048</x:v>
      </x:c>
      <x:c r="L395" s="27" t="n">
        <x:f>J395*(1-I395*(1-'Carrier Engine'!E92))</x:f>
        <x:v>14896.287281376251</x:v>
      </x:c>
      <x:c r="M395" s="29" t="n">
        <x:f>NORM.S.DIST((LN(L395)-K395)/'Assumptions'!$D$10,TRUE)</x:f>
        <x:v>0.8630448198872039</x:v>
      </x:c>
      <x:c r="N395" s="30" t="n">
        <x:f>MAX(0,H395-MAX(G395,M395))</x:f>
        <x:v>0</x:v>
      </x:c>
      <x:c r="O395" s="28" t="n">
        <x:f>J395*I395</x:f>
        <x:v>7665.752087029611</x:v>
      </x:c>
      <x:c r="P395" s="27" t="n">
        <x:f>(VLOOKUP(O395,'Fee Data'!$C$6:$G$50,2,TRUE)+O395*VLOOKUP(O395,'Fee Data'!$C$6:$G$50,3,TRUE)+VLOOKUP(O395,'Fee Data'!$I$6:$J$14,2,TRUE)+'Fee Data'!$J$20+'Fee Data'!$J$21)*'Assumptions'!E37</x:f>
        <x:v>1135</x:v>
      </x:c>
      <x:c r="Q395" s="27" t="n">
        <x:f>(VLOOKUP(O395,'Fee Data'!$C$6:$G$50,4,TRUE)+O395*VLOOKUP(O395,'Fee Data'!$C$6:$G$50,5,TRUE)+VLOOKUP(O395,'Fee Data'!$I$6:$J$14,2,TRUE)+'Fee Data'!$J$20+'Fee Data'!$J$21)*'Assumptions'!E37</x:f>
        <x:v>1010</x:v>
      </x:c>
      <x:c r="R395" s="27" t="n">
        <x:f>P395*(1-'Assumptions'!$D$14)+Q395*'Assumptions'!$D$14</x:f>
        <x:v>1072.5</x:v>
      </x:c>
      <x:c r="S395" s="27" t="n">
        <x:f>O395*'Carrier Engine'!E92</x:f>
        <x:v>306.6300834811845</x:v>
      </x:c>
      <x:c r="T395" s="28" t="n">
        <x:f>R395+S395</x:f>
        <x:v>1379.1300834811846</x:v>
      </x:c>
      <x:c r="U395" s="27" t="n">
        <x:f>N395*'Fleet Engine'!G213</x:f>
        <x:v>0</x:v>
      </x:c>
      <x:c r="V395" s="28" t="n">
        <x:f>U395*T395</x:f>
        <x:v>0</x:v>
      </x:c>
      <x:c r="W395" s="28" t="n">
        <x:f>U395*O395</x:f>
        <x:v>0</x:v>
      </x:c>
    </x:row>
    <x:row r="396" ht="19" customHeight="1">
      <x:c r="A396" s="2"/>
      <x:c r="B396" s="2"/>
      <x:c r="C396" s="46" t="n">
        <x:v>1</x:v>
      </x:c>
      <x:c r="D396" s="46" t="n">
        <x:v>19</x:v>
      </x:c>
      <x:c r="E396" s="46" t="n">
        <x:v>3</x:v>
      </x:c>
      <x:c r="F396" s="46" t="n">
        <x:v>1</x:v>
      </x:c>
      <x:c r="G396" s="12" t="n">
        <x:v>0.3333333333333333</x:v>
      </x:c>
      <x:c r="H396" s="12" t="n">
        <x:v>0.4444444444444444</x:v>
      </x:c>
      <x:c r="I396" s="29" t="n">
        <x:f>'Assumptions'!$D$11+'Assumptions'!$D$12*(0.5-(G396+H396)/2)</x:f>
        <x:v>0.32222222222222224</x:v>
      </x:c>
      <x:c r="J396" s="27" t="n">
        <x:f>'Assumptions'!$D$8*EXP(-'Assumptions'!$D$9*('Fleet Engine'!E213-10))*'Assumptions'!E58*'Assumptions'!E36</x:f>
        <x:v>22255.409284924677</x:v>
      </x:c>
      <x:c r="K396" s="27" t="n">
        <x:f>'Source Data'!F218+LN('Assumptions'!D58)+LN('Assumptions'!E35)</x:f>
        <x:v>7.890902228235048</x:v>
      </x:c>
      <x:c r="L396" s="27" t="n">
        <x:f>J396*(1-I396*(1-'Carrier Engine'!E92))</x:f>
        <x:v>15371.06934612131</x:v>
      </x:c>
      <x:c r="M396" s="29" t="n">
        <x:f>NORM.S.DIST((LN(L396)-K396)/'Assumptions'!$D$10,TRUE)</x:f>
        <x:v>0.8673782677431042</x:v>
      </x:c>
      <x:c r="N396" s="30" t="n">
        <x:f>MAX(0,H396-MAX(G396,M396))</x:f>
        <x:v>0</x:v>
      </x:c>
      <x:c r="O396" s="28" t="n">
        <x:f>J396*I396</x:f>
        <x:v>7171.187436253507</x:v>
      </x:c>
      <x:c r="P396" s="27" t="n">
        <x:f>(VLOOKUP(O396,'Fee Data'!$C$6:$G$50,2,TRUE)+O396*VLOOKUP(O396,'Fee Data'!$C$6:$G$50,3,TRUE)+VLOOKUP(O396,'Fee Data'!$I$6:$J$14,2,TRUE)+'Fee Data'!$J$20+'Fee Data'!$J$21)*'Assumptions'!E37</x:f>
        <x:v>1115</x:v>
      </x:c>
      <x:c r="Q396" s="27" t="n">
        <x:f>(VLOOKUP(O396,'Fee Data'!$C$6:$G$50,4,TRUE)+O396*VLOOKUP(O396,'Fee Data'!$C$6:$G$50,5,TRUE)+VLOOKUP(O396,'Fee Data'!$I$6:$J$14,2,TRUE)+'Fee Data'!$J$20+'Fee Data'!$J$21)*'Assumptions'!E37</x:f>
        <x:v>990</x:v>
      </x:c>
      <x:c r="R396" s="27" t="n">
        <x:f>P396*(1-'Assumptions'!$D$14)+Q396*'Assumptions'!$D$14</x:f>
        <x:v>1052.5</x:v>
      </x:c>
      <x:c r="S396" s="27" t="n">
        <x:f>O396*'Carrier Engine'!E92</x:f>
        <x:v>286.84749745014034</x:v>
      </x:c>
      <x:c r="T396" s="28" t="n">
        <x:f>R396+S396</x:f>
        <x:v>1339.3474974501403</x:v>
      </x:c>
      <x:c r="U396" s="27" t="n">
        <x:f>N396*'Fleet Engine'!G213</x:f>
        <x:v>0</x:v>
      </x:c>
      <x:c r="V396" s="28" t="n">
        <x:f>U396*T396</x:f>
        <x:v>0</x:v>
      </x:c>
      <x:c r="W396" s="28" t="n">
        <x:f>U396*O396</x:f>
        <x:v>0</x:v>
      </x:c>
    </x:row>
    <x:row r="397" ht="19" customHeight="1">
      <x:c r="A397" s="2"/>
      <x:c r="B397" s="2"/>
      <x:c r="C397" s="46" t="n">
        <x:v>1</x:v>
      </x:c>
      <x:c r="D397" s="46" t="n">
        <x:v>19</x:v>
      </x:c>
      <x:c r="E397" s="46" t="n">
        <x:v>3</x:v>
      </x:c>
      <x:c r="F397" s="46" t="n">
        <x:v>1</x:v>
      </x:c>
      <x:c r="G397" s="12" t="n">
        <x:v>0.4444444444444444</x:v>
      </x:c>
      <x:c r="H397" s="12" t="n">
        <x:v>0.5555555555555556</x:v>
      </x:c>
      <x:c r="I397" s="29" t="n">
        <x:f>'Assumptions'!$D$11+'Assumptions'!$D$12*(0.5-(G397+H397)/2)</x:f>
        <x:v>0.3</x:v>
      </x:c>
      <x:c r="J397" s="27" t="n">
        <x:f>'Assumptions'!$D$8*EXP(-'Assumptions'!$D$9*('Fleet Engine'!E213-10))*'Assumptions'!E58*'Assumptions'!E36</x:f>
        <x:v>22255.409284924677</x:v>
      </x:c>
      <x:c r="K397" s="27" t="n">
        <x:f>'Source Data'!F218+LN('Assumptions'!D58)+LN('Assumptions'!E35)</x:f>
        <x:v>7.890902228235048</x:v>
      </x:c>
      <x:c r="L397" s="27" t="n">
        <x:f>J397*(1-I397*(1-'Carrier Engine'!E92))</x:f>
        <x:v>15845.85141086637</x:v>
      </x:c>
      <x:c r="M397" s="29" t="n">
        <x:f>NORM.S.DIST((LN(L397)-K397)/'Assumptions'!$D$10,TRUE)</x:f>
        <x:v>0.8714887858690716</x:v>
      </x:c>
      <x:c r="N397" s="30" t="n">
        <x:f>MAX(0,H397-MAX(G397,M397))</x:f>
        <x:v>0</x:v>
      </x:c>
      <x:c r="O397" s="28" t="n">
        <x:f>J397*I397</x:f>
        <x:v>6676.622785477403</x:v>
      </x:c>
      <x:c r="P397" s="27" t="n">
        <x:f>(VLOOKUP(O397,'Fee Data'!$C$6:$G$50,2,TRUE)+O397*VLOOKUP(O397,'Fee Data'!$C$6:$G$50,3,TRUE)+VLOOKUP(O397,'Fee Data'!$I$6:$J$14,2,TRUE)+'Fee Data'!$J$20+'Fee Data'!$J$21)*'Assumptions'!E37</x:f>
        <x:v>1080</x:v>
      </x:c>
      <x:c r="Q397" s="27" t="n">
        <x:f>(VLOOKUP(O397,'Fee Data'!$C$6:$G$50,4,TRUE)+O397*VLOOKUP(O397,'Fee Data'!$C$6:$G$50,5,TRUE)+VLOOKUP(O397,'Fee Data'!$I$6:$J$14,2,TRUE)+'Fee Data'!$J$20+'Fee Data'!$J$21)*'Assumptions'!E37</x:f>
        <x:v>955</x:v>
      </x:c>
      <x:c r="R397" s="27" t="n">
        <x:f>P397*(1-'Assumptions'!$D$14)+Q397*'Assumptions'!$D$14</x:f>
        <x:v>1017.5</x:v>
      </x:c>
      <x:c r="S397" s="27" t="n">
        <x:f>O397*'Carrier Engine'!E92</x:f>
        <x:v>267.0649114190962</x:v>
      </x:c>
      <x:c r="T397" s="28" t="n">
        <x:f>R397+S397</x:f>
        <x:v>1284.5649114190962</x:v>
      </x:c>
      <x:c r="U397" s="27" t="n">
        <x:f>N397*'Fleet Engine'!G213</x:f>
        <x:v>0</x:v>
      </x:c>
      <x:c r="V397" s="28" t="n">
        <x:f>U397*T397</x:f>
        <x:v>0</x:v>
      </x:c>
      <x:c r="W397" s="28" t="n">
        <x:f>U397*O397</x:f>
        <x:v>0</x:v>
      </x:c>
    </x:row>
    <x:row r="398" ht="19" customHeight="1">
      <x:c r="A398" s="2"/>
      <x:c r="B398" s="2"/>
      <x:c r="C398" s="46" t="n">
        <x:v>1</x:v>
      </x:c>
      <x:c r="D398" s="46" t="n">
        <x:v>19</x:v>
      </x:c>
      <x:c r="E398" s="46" t="n">
        <x:v>3</x:v>
      </x:c>
      <x:c r="F398" s="46" t="n">
        <x:v>1</x:v>
      </x:c>
      <x:c r="G398" s="12" t="n">
        <x:v>0.5555555555555556</x:v>
      </x:c>
      <x:c r="H398" s="12" t="n">
        <x:v>0.6666666666666666</x:v>
      </x:c>
      <x:c r="I398" s="29" t="n">
        <x:f>'Assumptions'!$D$11+'Assumptions'!$D$12*(0.5-(G398+H398)/2)</x:f>
        <x:v>0.27777777777777773</x:v>
      </x:c>
      <x:c r="J398" s="27" t="n">
        <x:f>'Assumptions'!$D$8*EXP(-'Assumptions'!$D$9*('Fleet Engine'!E213-10))*'Assumptions'!E58*'Assumptions'!E36</x:f>
        <x:v>22255.409284924677</x:v>
      </x:c>
      <x:c r="K398" s="27" t="n">
        <x:f>'Source Data'!F218+LN('Assumptions'!D58)+LN('Assumptions'!E35)</x:f>
        <x:v>7.890902228235048</x:v>
      </x:c>
      <x:c r="L398" s="27" t="n">
        <x:f>J398*(1-I398*(1-'Carrier Engine'!E92))</x:f>
        <x:v>16320.633475611432</x:v>
      </x:c>
      <x:c r="M398" s="29" t="n">
        <x:f>NORM.S.DIST((LN(L398)-K398)/'Assumptions'!$D$10,TRUE)</x:f>
        <x:v>0.875392576065582</x:v>
      </x:c>
      <x:c r="N398" s="30" t="n">
        <x:f>MAX(0,H398-MAX(G398,M398))</x:f>
        <x:v>0</x:v>
      </x:c>
      <x:c r="O398" s="28" t="n">
        <x:f>J398*I398</x:f>
        <x:v>6182.0581347012985</x:v>
      </x:c>
      <x:c r="P398" s="27" t="n">
        <x:f>(VLOOKUP(O398,'Fee Data'!$C$6:$G$50,2,TRUE)+O398*VLOOKUP(O398,'Fee Data'!$C$6:$G$50,3,TRUE)+VLOOKUP(O398,'Fee Data'!$I$6:$J$14,2,TRUE)+'Fee Data'!$J$20+'Fee Data'!$J$21)*'Assumptions'!E37</x:f>
        <x:v>1060</x:v>
      </x:c>
      <x:c r="Q398" s="27" t="n">
        <x:f>(VLOOKUP(O398,'Fee Data'!$C$6:$G$50,4,TRUE)+O398*VLOOKUP(O398,'Fee Data'!$C$6:$G$50,5,TRUE)+VLOOKUP(O398,'Fee Data'!$I$6:$J$14,2,TRUE)+'Fee Data'!$J$20+'Fee Data'!$J$21)*'Assumptions'!E37</x:f>
        <x:v>935</x:v>
      </x:c>
      <x:c r="R398" s="27" t="n">
        <x:f>P398*(1-'Assumptions'!$D$14)+Q398*'Assumptions'!$D$14</x:f>
        <x:v>997.5</x:v>
      </x:c>
      <x:c r="S398" s="27" t="n">
        <x:f>O398*'Carrier Engine'!E92</x:f>
        <x:v>247.282325388052</x:v>
      </x:c>
      <x:c r="T398" s="28" t="n">
        <x:f>R398+S398</x:f>
        <x:v>1244.782325388052</x:v>
      </x:c>
      <x:c r="U398" s="27" t="n">
        <x:f>N398*'Fleet Engine'!G213</x:f>
        <x:v>0</x:v>
      </x:c>
      <x:c r="V398" s="28" t="n">
        <x:f>U398*T398</x:f>
        <x:v>0</x:v>
      </x:c>
      <x:c r="W398" s="28" t="n">
        <x:f>U398*O398</x:f>
        <x:v>0</x:v>
      </x:c>
    </x:row>
    <x:row r="399" ht="19" customHeight="1">
      <x:c r="A399" s="2"/>
      <x:c r="B399" s="2"/>
      <x:c r="C399" s="46" t="n">
        <x:v>1</x:v>
      </x:c>
      <x:c r="D399" s="46" t="n">
        <x:v>19</x:v>
      </x:c>
      <x:c r="E399" s="46" t="n">
        <x:v>3</x:v>
      </x:c>
      <x:c r="F399" s="46" t="n">
        <x:v>1</x:v>
      </x:c>
      <x:c r="G399" s="12" t="n">
        <x:v>0.6666666666666666</x:v>
      </x:c>
      <x:c r="H399" s="12" t="n">
        <x:v>0.7777777777777778</x:v>
      </x:c>
      <x:c r="I399" s="29" t="n">
        <x:f>'Assumptions'!$D$11+'Assumptions'!$D$12*(0.5-(G399+H399)/2)</x:f>
        <x:v>0.25555555555555554</x:v>
      </x:c>
      <x:c r="J399" s="27" t="n">
        <x:f>'Assumptions'!$D$8*EXP(-'Assumptions'!$D$9*('Fleet Engine'!E213-10))*'Assumptions'!E58*'Assumptions'!E36</x:f>
        <x:v>22255.409284924677</x:v>
      </x:c>
      <x:c r="K399" s="27" t="n">
        <x:f>'Source Data'!F218+LN('Assumptions'!D58)+LN('Assumptions'!E35)</x:f>
        <x:v>7.890902228235048</x:v>
      </x:c>
      <x:c r="L399" s="27" t="n">
        <x:f>J399*(1-I399*(1-'Carrier Engine'!E92))</x:f>
        <x:v>16795.41554035649</x:v>
      </x:c>
      <x:c r="M399" s="29" t="n">
        <x:f>NORM.S.DIST((LN(L399)-K399)/'Assumptions'!$D$10,TRUE)</x:f>
        <x:v>0.879104313191051</x:v>
      </x:c>
      <x:c r="N399" s="30" t="n">
        <x:f>MAX(0,H399-MAX(G399,M399))</x:f>
        <x:v>0</x:v>
      </x:c>
      <x:c r="O399" s="28" t="n">
        <x:f>J399*I399</x:f>
        <x:v>5687.493483925195</x:v>
      </x:c>
      <x:c r="P399" s="27" t="n">
        <x:f>(VLOOKUP(O399,'Fee Data'!$C$6:$G$50,2,TRUE)+O399*VLOOKUP(O399,'Fee Data'!$C$6:$G$50,3,TRUE)+VLOOKUP(O399,'Fee Data'!$I$6:$J$14,2,TRUE)+'Fee Data'!$J$20+'Fee Data'!$J$21)*'Assumptions'!E37</x:f>
        <x:v>1020</x:v>
      </x:c>
      <x:c r="Q399" s="27" t="n">
        <x:f>(VLOOKUP(O399,'Fee Data'!$C$6:$G$50,4,TRUE)+O399*VLOOKUP(O399,'Fee Data'!$C$6:$G$50,5,TRUE)+VLOOKUP(O399,'Fee Data'!$I$6:$J$14,2,TRUE)+'Fee Data'!$J$20+'Fee Data'!$J$21)*'Assumptions'!E37</x:f>
        <x:v>895</x:v>
      </x:c>
      <x:c r="R399" s="27" t="n">
        <x:f>P399*(1-'Assumptions'!$D$14)+Q399*'Assumptions'!$D$14</x:f>
        <x:v>957.5</x:v>
      </x:c>
      <x:c r="S399" s="27" t="n">
        <x:f>O399*'Carrier Engine'!E92</x:f>
        <x:v>227.49973935700783</x:v>
      </x:c>
      <x:c r="T399" s="28" t="n">
        <x:f>R399+S399</x:f>
        <x:v>1184.999739357008</x:v>
      </x:c>
      <x:c r="U399" s="27" t="n">
        <x:f>N399*'Fleet Engine'!G213</x:f>
        <x:v>0</x:v>
      </x:c>
      <x:c r="V399" s="28" t="n">
        <x:f>U399*T399</x:f>
        <x:v>0</x:v>
      </x:c>
      <x:c r="W399" s="28" t="n">
        <x:f>U399*O399</x:f>
        <x:v>0</x:v>
      </x:c>
    </x:row>
    <x:row r="400" ht="19" customHeight="1">
      <x:c r="A400" s="2"/>
      <x:c r="B400" s="2"/>
      <x:c r="C400" s="46" t="n">
        <x:v>1</x:v>
      </x:c>
      <x:c r="D400" s="46" t="n">
        <x:v>19</x:v>
      </x:c>
      <x:c r="E400" s="46" t="n">
        <x:v>3</x:v>
      </x:c>
      <x:c r="F400" s="46" t="n">
        <x:v>1</x:v>
      </x:c>
      <x:c r="G400" s="12" t="n">
        <x:v>0.7777777777777778</x:v>
      </x:c>
      <x:c r="H400" s="12" t="n">
        <x:v>0.8888888888888888</x:v>
      </x:c>
      <x:c r="I400" s="29" t="n">
        <x:f>'Assumptions'!$D$11+'Assumptions'!$D$12*(0.5-(G400+H400)/2)</x:f>
        <x:v>0.23333333333333334</x:v>
      </x:c>
      <x:c r="J400" s="27" t="n">
        <x:f>'Assumptions'!$D$8*EXP(-'Assumptions'!$D$9*('Fleet Engine'!E213-10))*'Assumptions'!E58*'Assumptions'!E36</x:f>
        <x:v>22255.409284924677</x:v>
      </x:c>
      <x:c r="K400" s="27" t="n">
        <x:f>'Source Data'!F218+LN('Assumptions'!D58)+LN('Assumptions'!E35)</x:f>
        <x:v>7.890902228235048</x:v>
      </x:c>
      <x:c r="L400" s="27" t="n">
        <x:f>J400*(1-I400*(1-'Carrier Engine'!E92))</x:f>
        <x:v>17270.19760510155</x:v>
      </x:c>
      <x:c r="M400" s="29" t="n">
        <x:f>NORM.S.DIST((LN(L400)-K400)/'Assumptions'!$D$10,TRUE)</x:f>
        <x:v>0.8826373216697017</x:v>
      </x:c>
      <x:c r="N400" s="30" t="n">
        <x:f>MAX(0,H400-MAX(G400,M400))</x:f>
        <x:v>0.006251567219187182</x:v>
      </x:c>
      <x:c r="O400" s="28" t="n">
        <x:f>J400*I400</x:f>
        <x:v>5192.928833149092</x:v>
      </x:c>
      <x:c r="P400" s="27" t="n">
        <x:f>(VLOOKUP(O400,'Fee Data'!$C$6:$G$50,2,TRUE)+O400*VLOOKUP(O400,'Fee Data'!$C$6:$G$50,3,TRUE)+VLOOKUP(O400,'Fee Data'!$I$6:$J$14,2,TRUE)+'Fee Data'!$J$20+'Fee Data'!$J$21)*'Assumptions'!E37</x:f>
        <x:v>995</x:v>
      </x:c>
      <x:c r="Q400" s="27" t="n">
        <x:f>(VLOOKUP(O400,'Fee Data'!$C$6:$G$50,4,TRUE)+O400*VLOOKUP(O400,'Fee Data'!$C$6:$G$50,5,TRUE)+VLOOKUP(O400,'Fee Data'!$I$6:$J$14,2,TRUE)+'Fee Data'!$J$20+'Fee Data'!$J$21)*'Assumptions'!E37</x:f>
        <x:v>870</x:v>
      </x:c>
      <x:c r="R400" s="27" t="n">
        <x:f>P400*(1-'Assumptions'!$D$14)+Q400*'Assumptions'!$D$14</x:f>
        <x:v>932.5</x:v>
      </x:c>
      <x:c r="S400" s="27" t="n">
        <x:f>O400*'Carrier Engine'!E92</x:f>
        <x:v>207.7171533259637</x:v>
      </x:c>
      <x:c r="T400" s="28" t="n">
        <x:f>R400+S400</x:f>
        <x:v>1140.2171533259636</x:v>
      </x:c>
      <x:c r="U400" s="27" t="n">
        <x:f>N400*'Fleet Engine'!G213</x:f>
        <x:v>17.8843571184198</x:v>
      </x:c>
      <x:c r="V400" s="28" t="n">
        <x:f>U400*T400</x:f>
        <x:v>20392.05076262956</x:v>
      </x:c>
      <x:c r="W400" s="28" t="n">
        <x:f>U400*O400</x:f>
        <x:v>92872.19374257738</x:v>
      </x:c>
    </x:row>
    <x:row r="401" ht="19" customHeight="1">
      <x:c r="A401" s="2"/>
      <x:c r="B401" s="2"/>
      <x:c r="C401" s="46" t="n">
        <x:v>1</x:v>
      </x:c>
      <x:c r="D401" s="46" t="n">
        <x:v>19</x:v>
      </x:c>
      <x:c r="E401" s="46" t="n">
        <x:v>3</x:v>
      </x:c>
      <x:c r="F401" s="46" t="n">
        <x:v>1</x:v>
      </x:c>
      <x:c r="G401" s="12" t="n">
        <x:v>0.8888888888888888</x:v>
      </x:c>
      <x:c r="H401" s="12" t="n">
        <x:v>1</x:v>
      </x:c>
      <x:c r="I401" s="29" t="n">
        <x:f>'Assumptions'!$D$11+'Assumptions'!$D$12*(0.5-(G401+H401)/2)</x:f>
        <x:v>0.21111111111111108</x:v>
      </x:c>
      <x:c r="J401" s="27" t="n">
        <x:f>'Assumptions'!$D$8*EXP(-'Assumptions'!$D$9*('Fleet Engine'!E213-10))*'Assumptions'!E58*'Assumptions'!E36</x:f>
        <x:v>22255.409284924677</x:v>
      </x:c>
      <x:c r="K401" s="27" t="n">
        <x:f>'Source Data'!F218+LN('Assumptions'!D58)+LN('Assumptions'!E35)</x:f>
        <x:v>7.890902228235048</x:v>
      </x:c>
      <x:c r="L401" s="27" t="n">
        <x:f>J401*(1-I401*(1-'Carrier Engine'!E92))</x:f>
        <x:v>17744.97966984661</x:v>
      </x:c>
      <x:c r="M401" s="29" t="n">
        <x:f>NORM.S.DIST((LN(L401)-K401)/'Assumptions'!$D$10,TRUE)</x:f>
        <x:v>0.8860037279150648</x:v>
      </x:c>
      <x:c r="N401" s="30" t="n">
        <x:f>MAX(0,H401-MAX(G401,M401))</x:f>
        <x:v>0.11111111111111116</x:v>
      </x:c>
      <x:c r="O401" s="28" t="n">
        <x:f>J401*I401</x:f>
        <x:v>4698.364182372987</x:v>
      </x:c>
      <x:c r="P401" s="27" t="n">
        <x:f>(VLOOKUP(O401,'Fee Data'!$C$6:$G$50,2,TRUE)+O401*VLOOKUP(O401,'Fee Data'!$C$6:$G$50,3,TRUE)+VLOOKUP(O401,'Fee Data'!$I$6:$J$14,2,TRUE)+'Fee Data'!$J$20+'Fee Data'!$J$21)*'Assumptions'!E37</x:f>
        <x:v>970</x:v>
      </x:c>
      <x:c r="Q401" s="27" t="n">
        <x:f>(VLOOKUP(O401,'Fee Data'!$C$6:$G$50,4,TRUE)+O401*VLOOKUP(O401,'Fee Data'!$C$6:$G$50,5,TRUE)+VLOOKUP(O401,'Fee Data'!$I$6:$J$14,2,TRUE)+'Fee Data'!$J$20+'Fee Data'!$J$21)*'Assumptions'!E37</x:f>
        <x:v>845</x:v>
      </x:c>
      <x:c r="R401" s="27" t="n">
        <x:f>P401*(1-'Assumptions'!$D$14)+Q401*'Assumptions'!$D$14</x:f>
        <x:v>907.5</x:v>
      </x:c>
      <x:c r="S401" s="27" t="n">
        <x:f>O401*'Carrier Engine'!E92</x:f>
        <x:v>187.9345672949195</x:v>
      </x:c>
      <x:c r="T401" s="28" t="n">
        <x:f>R401+S401</x:f>
        <x:v>1095.4345672949196</x:v>
      </x:c>
      <x:c r="U401" s="27" t="n">
        <x:f>N401*'Fleet Engine'!G213</x:f>
        <x:v>317.86442043470504</x:v>
      </x:c>
      <x:c r="V401" s="28" t="n">
        <x:f>U401*T401</x:f>
        <x:v>348199.6738573415</x:v>
      </x:c>
      <x:c r="W401" s="28" t="n">
        <x:f>U401*O401</x:f>
        <x:v>1493442.8078211662</x:v>
      </x:c>
    </x:row>
    <x:row r="402" ht="19" customHeight="1">
      <x:c r="A402" s="2"/>
      <x:c r="B402" s="2"/>
      <x:c r="C402" s="46" t="n">
        <x:v>1</x:v>
      </x:c>
      <x:c r="D402" s="46" t="n">
        <x:v>20</x:v>
      </x:c>
      <x:c r="E402" s="46" t="n">
        <x:v>3</x:v>
      </x:c>
      <x:c r="F402" s="46" t="n">
        <x:v>2</x:v>
      </x:c>
      <x:c r="G402" s="12" t="n">
        <x:v>0</x:v>
      </x:c>
      <x:c r="H402" s="12" t="n">
        <x:v>0.1111111111111111</x:v>
      </x:c>
      <x:c r="I402" s="29" t="n">
        <x:f>'Assumptions'!$D$11+'Assumptions'!$D$12*(0.5-(G402+H402)/2)</x:f>
        <x:v>0.3888888888888889</x:v>
      </x:c>
      <x:c r="J402" s="27" t="n">
        <x:f>'Assumptions'!$D$8*EXP(-'Assumptions'!$D$9*('Fleet Engine'!E214-10))*'Assumptions'!E58*'Assumptions'!E36</x:f>
        <x:v>16487.212707001283</x:v>
      </x:c>
      <x:c r="K402" s="27" t="n">
        <x:f>'Source Data'!F219+LN('Assumptions'!D58)+LN('Assumptions'!E35)</x:f>
        <x:v>7.936584069520856</x:v>
      </x:c>
      <x:c r="L402" s="27" t="n">
        <x:f>J402*(1-I402*(1-'Carrier Engine'!E92))</x:f>
        <x:v>10331.986629720805</x:v>
      </x:c>
      <x:c r="M402" s="29" t="n">
        <x:f>NORM.S.DIST((LN(L402)-K402)/'Assumptions'!$D$10,TRUE)</x:f>
        <x:v>0.7972963261215247</x:v>
      </x:c>
      <x:c r="N402" s="30" t="n">
        <x:f>MAX(0,H402-MAX(G402,M402))</x:f>
        <x:v>0</x:v>
      </x:c>
      <x:c r="O402" s="28" t="n">
        <x:f>J402*I402</x:f>
        <x:v>6411.693830500499</x:v>
      </x:c>
      <x:c r="P402" s="27" t="n">
        <x:f>(VLOOKUP(O402,'Fee Data'!$C$6:$G$50,2,TRUE)+O402*VLOOKUP(O402,'Fee Data'!$C$6:$G$50,3,TRUE)+VLOOKUP(O402,'Fee Data'!$I$6:$J$14,2,TRUE)+'Fee Data'!$J$20+'Fee Data'!$J$21)*'Assumptions'!E37</x:f>
        <x:v>1060</x:v>
      </x:c>
      <x:c r="Q402" s="27" t="n">
        <x:f>(VLOOKUP(O402,'Fee Data'!$C$6:$G$50,4,TRUE)+O402*VLOOKUP(O402,'Fee Data'!$C$6:$G$50,5,TRUE)+VLOOKUP(O402,'Fee Data'!$I$6:$J$14,2,TRUE)+'Fee Data'!$J$20+'Fee Data'!$J$21)*'Assumptions'!E37</x:f>
        <x:v>935</x:v>
      </x:c>
      <x:c r="R402" s="27" t="n">
        <x:f>P402*(1-'Assumptions'!$D$14)+Q402*'Assumptions'!$D$14</x:f>
        <x:v>997.5</x:v>
      </x:c>
      <x:c r="S402" s="27" t="n">
        <x:f>O402*'Carrier Engine'!E92</x:f>
        <x:v>256.46775322002</x:v>
      </x:c>
      <x:c r="T402" s="28" t="n">
        <x:f>R402+S402</x:f>
        <x:v>1253.9677532200199</x:v>
      </x:c>
      <x:c r="U402" s="27" t="n">
        <x:f>N402*'Fleet Engine'!G214</x:f>
        <x:v>0</x:v>
      </x:c>
      <x:c r="V402" s="28" t="n">
        <x:f>U402*T402</x:f>
        <x:v>0</x:v>
      </x:c>
      <x:c r="W402" s="28" t="n">
        <x:f>U402*O402</x:f>
        <x:v>0</x:v>
      </x:c>
    </x:row>
    <x:row r="403" ht="19" customHeight="1">
      <x:c r="A403" s="2"/>
      <x:c r="B403" s="2"/>
      <x:c r="C403" s="46" t="n">
        <x:v>1</x:v>
      </x:c>
      <x:c r="D403" s="46" t="n">
        <x:v>20</x:v>
      </x:c>
      <x:c r="E403" s="46" t="n">
        <x:v>3</x:v>
      </x:c>
      <x:c r="F403" s="46" t="n">
        <x:v>2</x:v>
      </x:c>
      <x:c r="G403" s="12" t="n">
        <x:v>0.1111111111111111</x:v>
      </x:c>
      <x:c r="H403" s="12" t="n">
        <x:v>0.2222222222222222</x:v>
      </x:c>
      <x:c r="I403" s="29" t="n">
        <x:f>'Assumptions'!$D$11+'Assumptions'!$D$12*(0.5-(G403+H403)/2)</x:f>
        <x:v>0.3666666666666667</x:v>
      </x:c>
      <x:c r="J403" s="27" t="n">
        <x:f>'Assumptions'!$D$8*EXP(-'Assumptions'!$D$9*('Fleet Engine'!E214-10))*'Assumptions'!E58*'Assumptions'!E36</x:f>
        <x:v>16487.212707001283</x:v>
      </x:c>
      <x:c r="K403" s="27" t="n">
        <x:f>'Source Data'!F219+LN('Assumptions'!D58)+LN('Assumptions'!E35)</x:f>
        <x:v>7.936584069520856</x:v>
      </x:c>
      <x:c r="L403" s="27" t="n">
        <x:f>J403*(1-I403*(1-'Carrier Engine'!E92))</x:f>
        <x:v>10683.71383413683</x:v>
      </x:c>
      <x:c r="M403" s="29" t="n">
        <x:f>NORM.S.DIST((LN(L403)-K403)/'Assumptions'!$D$10,TRUE)</x:f>
        <x:v>0.8032596960589325</x:v>
      </x:c>
      <x:c r="N403" s="30" t="n">
        <x:f>MAX(0,H403-MAX(G403,M403))</x:f>
        <x:v>0</x:v>
      </x:c>
      <x:c r="O403" s="28" t="n">
        <x:f>J403*I403</x:f>
        <x:v>6045.311325900471</x:v>
      </x:c>
      <x:c r="P403" s="27" t="n">
        <x:f>(VLOOKUP(O403,'Fee Data'!$C$6:$G$50,2,TRUE)+O403*VLOOKUP(O403,'Fee Data'!$C$6:$G$50,3,TRUE)+VLOOKUP(O403,'Fee Data'!$I$6:$J$14,2,TRUE)+'Fee Data'!$J$20+'Fee Data'!$J$21)*'Assumptions'!E37</x:f>
        <x:v>1060</x:v>
      </x:c>
      <x:c r="Q403" s="27" t="n">
        <x:f>(VLOOKUP(O403,'Fee Data'!$C$6:$G$50,4,TRUE)+O403*VLOOKUP(O403,'Fee Data'!$C$6:$G$50,5,TRUE)+VLOOKUP(O403,'Fee Data'!$I$6:$J$14,2,TRUE)+'Fee Data'!$J$20+'Fee Data'!$J$21)*'Assumptions'!E37</x:f>
        <x:v>935</x:v>
      </x:c>
      <x:c r="R403" s="27" t="n">
        <x:f>P403*(1-'Assumptions'!$D$14)+Q403*'Assumptions'!$D$14</x:f>
        <x:v>997.5</x:v>
      </x:c>
      <x:c r="S403" s="27" t="n">
        <x:f>O403*'Carrier Engine'!E92</x:f>
        <x:v>241.8124530360189</x:v>
      </x:c>
      <x:c r="T403" s="28" t="n">
        <x:f>R403+S403</x:f>
        <x:v>1239.312453036019</x:v>
      </x:c>
      <x:c r="U403" s="27" t="n">
        <x:f>N403*'Fleet Engine'!G214</x:f>
        <x:v>0</x:v>
      </x:c>
      <x:c r="V403" s="28" t="n">
        <x:f>U403*T403</x:f>
        <x:v>0</x:v>
      </x:c>
      <x:c r="W403" s="28" t="n">
        <x:f>U403*O403</x:f>
        <x:v>0</x:v>
      </x:c>
    </x:row>
    <x:row r="404" ht="19" customHeight="1">
      <x:c r="A404" s="2"/>
      <x:c r="B404" s="2"/>
      <x:c r="C404" s="46" t="n">
        <x:v>1</x:v>
      </x:c>
      <x:c r="D404" s="46" t="n">
        <x:v>20</x:v>
      </x:c>
      <x:c r="E404" s="46" t="n">
        <x:v>3</x:v>
      </x:c>
      <x:c r="F404" s="46" t="n">
        <x:v>2</x:v>
      </x:c>
      <x:c r="G404" s="12" t="n">
        <x:v>0.2222222222222222</x:v>
      </x:c>
      <x:c r="H404" s="12" t="n">
        <x:v>0.3333333333333333</x:v>
      </x:c>
      <x:c r="I404" s="29" t="n">
        <x:f>'Assumptions'!$D$11+'Assumptions'!$D$12*(0.5-(G404+H404)/2)</x:f>
        <x:v>0.34444444444444444</x:v>
      </x:c>
      <x:c r="J404" s="27" t="n">
        <x:f>'Assumptions'!$D$8*EXP(-'Assumptions'!$D$9*('Fleet Engine'!E214-10))*'Assumptions'!E58*'Assumptions'!E36</x:f>
        <x:v>16487.212707001283</x:v>
      </x:c>
      <x:c r="K404" s="27" t="n">
        <x:f>'Source Data'!F219+LN('Assumptions'!D58)+LN('Assumptions'!E35)</x:f>
        <x:v>7.936584069520856</x:v>
      </x:c>
      <x:c r="L404" s="27" t="n">
        <x:f>J404*(1-I404*(1-'Carrier Engine'!E92))</x:f>
        <x:v>11035.441038552859</x:v>
      </x:c>
      <x:c r="M404" s="29" t="n">
        <x:f>NORM.S.DIST((LN(L404)-K404)/'Assumptions'!$D$10,TRUE)</x:f>
        <x:v>0.8089275577472801</x:v>
      </x:c>
      <x:c r="N404" s="30" t="n">
        <x:f>MAX(0,H404-MAX(G404,M404))</x:f>
        <x:v>0</x:v>
      </x:c>
      <x:c r="O404" s="28" t="n">
        <x:f>J404*I404</x:f>
        <x:v>5678.928821300442</x:v>
      </x:c>
      <x:c r="P404" s="27" t="n">
        <x:f>(VLOOKUP(O404,'Fee Data'!$C$6:$G$50,2,TRUE)+O404*VLOOKUP(O404,'Fee Data'!$C$6:$G$50,3,TRUE)+VLOOKUP(O404,'Fee Data'!$I$6:$J$14,2,TRUE)+'Fee Data'!$J$20+'Fee Data'!$J$21)*'Assumptions'!E37</x:f>
        <x:v>1020</x:v>
      </x:c>
      <x:c r="Q404" s="27" t="n">
        <x:f>(VLOOKUP(O404,'Fee Data'!$C$6:$G$50,4,TRUE)+O404*VLOOKUP(O404,'Fee Data'!$C$6:$G$50,5,TRUE)+VLOOKUP(O404,'Fee Data'!$I$6:$J$14,2,TRUE)+'Fee Data'!$J$20+'Fee Data'!$J$21)*'Assumptions'!E37</x:f>
        <x:v>895</x:v>
      </x:c>
      <x:c r="R404" s="27" t="n">
        <x:f>P404*(1-'Assumptions'!$D$14)+Q404*'Assumptions'!$D$14</x:f>
        <x:v>957.5</x:v>
      </x:c>
      <x:c r="S404" s="27" t="n">
        <x:f>O404*'Carrier Engine'!E92</x:f>
        <x:v>227.15715285201773</x:v>
      </x:c>
      <x:c r="T404" s="28" t="n">
        <x:f>R404+S404</x:f>
        <x:v>1184.6571528520178</x:v>
      </x:c>
      <x:c r="U404" s="27" t="n">
        <x:f>N404*'Fleet Engine'!G214</x:f>
        <x:v>0</x:v>
      </x:c>
      <x:c r="V404" s="28" t="n">
        <x:f>U404*T404</x:f>
        <x:v>0</x:v>
      </x:c>
      <x:c r="W404" s="28" t="n">
        <x:f>U404*O404</x:f>
        <x:v>0</x:v>
      </x:c>
    </x:row>
    <x:row r="405" ht="19" customHeight="1">
      <x:c r="A405" s="2"/>
      <x:c r="B405" s="2"/>
      <x:c r="C405" s="46" t="n">
        <x:v>1</x:v>
      </x:c>
      <x:c r="D405" s="46" t="n">
        <x:v>20</x:v>
      </x:c>
      <x:c r="E405" s="46" t="n">
        <x:v>3</x:v>
      </x:c>
      <x:c r="F405" s="46" t="n">
        <x:v>2</x:v>
      </x:c>
      <x:c r="G405" s="12" t="n">
        <x:v>0.3333333333333333</x:v>
      </x:c>
      <x:c r="H405" s="12" t="n">
        <x:v>0.4444444444444444</x:v>
      </x:c>
      <x:c r="I405" s="29" t="n">
        <x:f>'Assumptions'!$D$11+'Assumptions'!$D$12*(0.5-(G405+H405)/2)</x:f>
        <x:v>0.32222222222222224</x:v>
      </x:c>
      <x:c r="J405" s="27" t="n">
        <x:f>'Assumptions'!$D$8*EXP(-'Assumptions'!$D$9*('Fleet Engine'!E214-10))*'Assumptions'!E58*'Assumptions'!E36</x:f>
        <x:v>16487.212707001283</x:v>
      </x:c>
      <x:c r="K405" s="27" t="n">
        <x:f>'Source Data'!F219+LN('Assumptions'!D58)+LN('Assumptions'!E35)</x:f>
        <x:v>7.936584069520856</x:v>
      </x:c>
      <x:c r="L405" s="27" t="n">
        <x:f>J405*(1-I405*(1-'Carrier Engine'!E92))</x:f>
        <x:v>11387.168242968886</x:v>
      </x:c>
      <x:c r="M405" s="29" t="n">
        <x:f>NORM.S.DIST((LN(L405)-K405)/'Assumptions'!$D$10,TRUE)</x:f>
        <x:v>0.8143210319055623</x:v>
      </x:c>
      <x:c r="N405" s="30" t="n">
        <x:f>MAX(0,H405-MAX(G405,M405))</x:f>
        <x:v>0</x:v>
      </x:c>
      <x:c r="O405" s="28" t="n">
        <x:f>J405*I405</x:f>
        <x:v>5312.546316700414</x:v>
      </x:c>
      <x:c r="P405" s="27" t="n">
        <x:f>(VLOOKUP(O405,'Fee Data'!$C$6:$G$50,2,TRUE)+O405*VLOOKUP(O405,'Fee Data'!$C$6:$G$50,3,TRUE)+VLOOKUP(O405,'Fee Data'!$I$6:$J$14,2,TRUE)+'Fee Data'!$J$20+'Fee Data'!$J$21)*'Assumptions'!E37</x:f>
        <x:v>995</x:v>
      </x:c>
      <x:c r="Q405" s="27" t="n">
        <x:f>(VLOOKUP(O405,'Fee Data'!$C$6:$G$50,4,TRUE)+O405*VLOOKUP(O405,'Fee Data'!$C$6:$G$50,5,TRUE)+VLOOKUP(O405,'Fee Data'!$I$6:$J$14,2,TRUE)+'Fee Data'!$J$20+'Fee Data'!$J$21)*'Assumptions'!E37</x:f>
        <x:v>870</x:v>
      </x:c>
      <x:c r="R405" s="27" t="n">
        <x:f>P405*(1-'Assumptions'!$D$14)+Q405*'Assumptions'!$D$14</x:f>
        <x:v>932.5</x:v>
      </x:c>
      <x:c r="S405" s="27" t="n">
        <x:f>O405*'Carrier Engine'!E92</x:f>
        <x:v>212.5018526680166</x:v>
      </x:c>
      <x:c r="T405" s="28" t="n">
        <x:f>R405+S405</x:f>
        <x:v>1145.0018526680167</x:v>
      </x:c>
      <x:c r="U405" s="27" t="n">
        <x:f>N405*'Fleet Engine'!G214</x:f>
        <x:v>0</x:v>
      </x:c>
      <x:c r="V405" s="28" t="n">
        <x:f>U405*T405</x:f>
        <x:v>0</x:v>
      </x:c>
      <x:c r="W405" s="28" t="n">
        <x:f>U405*O405</x:f>
        <x:v>0</x:v>
      </x:c>
    </x:row>
    <x:row r="406" ht="19" customHeight="1">
      <x:c r="A406" s="2"/>
      <x:c r="B406" s="2"/>
      <x:c r="C406" s="46" t="n">
        <x:v>1</x:v>
      </x:c>
      <x:c r="D406" s="46" t="n">
        <x:v>20</x:v>
      </x:c>
      <x:c r="E406" s="46" t="n">
        <x:v>3</x:v>
      </x:c>
      <x:c r="F406" s="46" t="n">
        <x:v>2</x:v>
      </x:c>
      <x:c r="G406" s="12" t="n">
        <x:v>0.4444444444444444</x:v>
      </x:c>
      <x:c r="H406" s="12" t="n">
        <x:v>0.5555555555555556</x:v>
      </x:c>
      <x:c r="I406" s="29" t="n">
        <x:f>'Assumptions'!$D$11+'Assumptions'!$D$12*(0.5-(G406+H406)/2)</x:f>
        <x:v>0.3</x:v>
      </x:c>
      <x:c r="J406" s="27" t="n">
        <x:f>'Assumptions'!$D$8*EXP(-'Assumptions'!$D$9*('Fleet Engine'!E214-10))*'Assumptions'!E58*'Assumptions'!E36</x:f>
        <x:v>16487.212707001283</x:v>
      </x:c>
      <x:c r="K406" s="27" t="n">
        <x:f>'Source Data'!F219+LN('Assumptions'!D58)+LN('Assumptions'!E35)</x:f>
        <x:v>7.936584069520856</x:v>
      </x:c>
      <x:c r="L406" s="27" t="n">
        <x:f>J406*(1-I406*(1-'Carrier Engine'!E92))</x:f>
        <x:v>11738.895447384913</x:v>
      </x:c>
      <x:c r="M406" s="29" t="n">
        <x:f>NORM.S.DIST((LN(L406)-K406)/'Assumptions'!$D$10,TRUE)</x:f>
        <x:v>0.8194592567333258</x:v>
      </x:c>
      <x:c r="N406" s="30" t="n">
        <x:f>MAX(0,H406-MAX(G406,M406))</x:f>
        <x:v>0</x:v>
      </x:c>
      <x:c r="O406" s="28" t="n">
        <x:f>J406*I406</x:f>
        <x:v>4946.163812100384</x:v>
      </x:c>
      <x:c r="P406" s="27" t="n">
        <x:f>(VLOOKUP(O406,'Fee Data'!$C$6:$G$50,2,TRUE)+O406*VLOOKUP(O406,'Fee Data'!$C$6:$G$50,3,TRUE)+VLOOKUP(O406,'Fee Data'!$I$6:$J$14,2,TRUE)+'Fee Data'!$J$20+'Fee Data'!$J$21)*'Assumptions'!E37</x:f>
        <x:v>970</x:v>
      </x:c>
      <x:c r="Q406" s="27" t="n">
        <x:f>(VLOOKUP(O406,'Fee Data'!$C$6:$G$50,4,TRUE)+O406*VLOOKUP(O406,'Fee Data'!$C$6:$G$50,5,TRUE)+VLOOKUP(O406,'Fee Data'!$I$6:$J$14,2,TRUE)+'Fee Data'!$J$20+'Fee Data'!$J$21)*'Assumptions'!E37</x:f>
        <x:v>845</x:v>
      </x:c>
      <x:c r="R406" s="27" t="n">
        <x:f>P406*(1-'Assumptions'!$D$14)+Q406*'Assumptions'!$D$14</x:f>
        <x:v>907.5</x:v>
      </x:c>
      <x:c r="S406" s="27" t="n">
        <x:f>O406*'Carrier Engine'!E92</x:f>
        <x:v>197.8465524840154</x:v>
      </x:c>
      <x:c r="T406" s="28" t="n">
        <x:f>R406+S406</x:f>
        <x:v>1105.3465524840153</x:v>
      </x:c>
      <x:c r="U406" s="27" t="n">
        <x:f>N406*'Fleet Engine'!G214</x:f>
        <x:v>0</x:v>
      </x:c>
      <x:c r="V406" s="28" t="n">
        <x:f>U406*T406</x:f>
        <x:v>0</x:v>
      </x:c>
      <x:c r="W406" s="28" t="n">
        <x:f>U406*O406</x:f>
        <x:v>0</x:v>
      </x:c>
    </x:row>
    <x:row r="407" ht="19" customHeight="1">
      <x:c r="A407" s="2"/>
      <x:c r="B407" s="2"/>
      <x:c r="C407" s="46" t="n">
        <x:v>1</x:v>
      </x:c>
      <x:c r="D407" s="46" t="n">
        <x:v>20</x:v>
      </x:c>
      <x:c r="E407" s="46" t="n">
        <x:v>3</x:v>
      </x:c>
      <x:c r="F407" s="46" t="n">
        <x:v>2</x:v>
      </x:c>
      <x:c r="G407" s="12" t="n">
        <x:v>0.5555555555555556</x:v>
      </x:c>
      <x:c r="H407" s="12" t="n">
        <x:v>0.6666666666666666</x:v>
      </x:c>
      <x:c r="I407" s="29" t="n">
        <x:f>'Assumptions'!$D$11+'Assumptions'!$D$12*(0.5-(G407+H407)/2)</x:f>
        <x:v>0.27777777777777773</x:v>
      </x:c>
      <x:c r="J407" s="27" t="n">
        <x:f>'Assumptions'!$D$8*EXP(-'Assumptions'!$D$9*('Fleet Engine'!E214-10))*'Assumptions'!E58*'Assumptions'!E36</x:f>
        <x:v>16487.212707001283</x:v>
      </x:c>
      <x:c r="K407" s="27" t="n">
        <x:f>'Source Data'!F219+LN('Assumptions'!D58)+LN('Assumptions'!E35)</x:f>
        <x:v>7.936584069520856</x:v>
      </x:c>
      <x:c r="L407" s="27" t="n">
        <x:f>J407*(1-I407*(1-'Carrier Engine'!E92))</x:f>
        <x:v>12090.622651800943</x:v>
      </x:c>
      <x:c r="M407" s="29" t="n">
        <x:f>NORM.S.DIST((LN(L407)-K407)/'Assumptions'!$D$10,TRUE)</x:f>
        <x:v>0.824359618018476</x:v>
      </x:c>
      <x:c r="N407" s="30" t="n">
        <x:f>MAX(0,H407-MAX(G407,M407))</x:f>
        <x:v>0</x:v>
      </x:c>
      <x:c r="O407" s="28" t="n">
        <x:f>J407*I407</x:f>
        <x:v>4579.781307500356</x:v>
      </x:c>
      <x:c r="P407" s="27" t="n">
        <x:f>(VLOOKUP(O407,'Fee Data'!$C$6:$G$50,2,TRUE)+O407*VLOOKUP(O407,'Fee Data'!$C$6:$G$50,3,TRUE)+VLOOKUP(O407,'Fee Data'!$I$6:$J$14,2,TRUE)+'Fee Data'!$J$20+'Fee Data'!$J$21)*'Assumptions'!E37</x:f>
        <x:v>970</x:v>
      </x:c>
      <x:c r="Q407" s="27" t="n">
        <x:f>(VLOOKUP(O407,'Fee Data'!$C$6:$G$50,4,TRUE)+O407*VLOOKUP(O407,'Fee Data'!$C$6:$G$50,5,TRUE)+VLOOKUP(O407,'Fee Data'!$I$6:$J$14,2,TRUE)+'Fee Data'!$J$20+'Fee Data'!$J$21)*'Assumptions'!E37</x:f>
        <x:v>845</x:v>
      </x:c>
      <x:c r="R407" s="27" t="n">
        <x:f>P407*(1-'Assumptions'!$D$14)+Q407*'Assumptions'!$D$14</x:f>
        <x:v>907.5</x:v>
      </x:c>
      <x:c r="S407" s="27" t="n">
        <x:f>O407*'Carrier Engine'!E92</x:f>
        <x:v>183.19125230001427</x:v>
      </x:c>
      <x:c r="T407" s="28" t="n">
        <x:f>R407+S407</x:f>
        <x:v>1090.6912523000142</x:v>
      </x:c>
      <x:c r="U407" s="27" t="n">
        <x:f>N407*'Fleet Engine'!G214</x:f>
        <x:v>0</x:v>
      </x:c>
      <x:c r="V407" s="28" t="n">
        <x:f>U407*T407</x:f>
        <x:v>0</x:v>
      </x:c>
      <x:c r="W407" s="28" t="n">
        <x:f>U407*O407</x:f>
        <x:v>0</x:v>
      </x:c>
    </x:row>
    <x:row r="408" ht="19" customHeight="1">
      <x:c r="A408" s="2"/>
      <x:c r="B408" s="2"/>
      <x:c r="C408" s="46" t="n">
        <x:v>1</x:v>
      </x:c>
      <x:c r="D408" s="46" t="n">
        <x:v>20</x:v>
      </x:c>
      <x:c r="E408" s="46" t="n">
        <x:v>3</x:v>
      </x:c>
      <x:c r="F408" s="46" t="n">
        <x:v>2</x:v>
      </x:c>
      <x:c r="G408" s="12" t="n">
        <x:v>0.6666666666666666</x:v>
      </x:c>
      <x:c r="H408" s="12" t="n">
        <x:v>0.7777777777777778</x:v>
      </x:c>
      <x:c r="I408" s="29" t="n">
        <x:f>'Assumptions'!$D$11+'Assumptions'!$D$12*(0.5-(G408+H408)/2)</x:f>
        <x:v>0.25555555555555554</x:v>
      </x:c>
      <x:c r="J408" s="27" t="n">
        <x:f>'Assumptions'!$D$8*EXP(-'Assumptions'!$D$9*('Fleet Engine'!E214-10))*'Assumptions'!E58*'Assumptions'!E36</x:f>
        <x:v>16487.212707001283</x:v>
      </x:c>
      <x:c r="K408" s="27" t="n">
        <x:f>'Source Data'!F219+LN('Assumptions'!D58)+LN('Assumptions'!E35)</x:f>
        <x:v>7.936584069520856</x:v>
      </x:c>
      <x:c r="L408" s="27" t="n">
        <x:f>J408*(1-I408*(1-'Carrier Engine'!E92))</x:f>
        <x:v>12442.34985621697</x:v>
      </x:c>
      <x:c r="M408" s="29" t="n">
        <x:f>NORM.S.DIST((LN(L408)-K408)/'Assumptions'!$D$10,TRUE)</x:f>
        <x:v>0.8290379475487466</x:v>
      </x:c>
      <x:c r="N408" s="30" t="n">
        <x:f>MAX(0,H408-MAX(G408,M408))</x:f>
        <x:v>0</x:v>
      </x:c>
      <x:c r="O408" s="28" t="n">
        <x:f>J408*I408</x:f>
        <x:v>4213.398802900328</x:v>
      </x:c>
      <x:c r="P408" s="27" t="n">
        <x:f>(VLOOKUP(O408,'Fee Data'!$C$6:$G$50,2,TRUE)+O408*VLOOKUP(O408,'Fee Data'!$C$6:$G$50,3,TRUE)+VLOOKUP(O408,'Fee Data'!$I$6:$J$14,2,TRUE)+'Fee Data'!$J$20+'Fee Data'!$J$21)*'Assumptions'!E37</x:f>
        <x:v>945</x:v>
      </x:c>
      <x:c r="Q408" s="27" t="n">
        <x:f>(VLOOKUP(O408,'Fee Data'!$C$6:$G$50,4,TRUE)+O408*VLOOKUP(O408,'Fee Data'!$C$6:$G$50,5,TRUE)+VLOOKUP(O408,'Fee Data'!$I$6:$J$14,2,TRUE)+'Fee Data'!$J$20+'Fee Data'!$J$21)*'Assumptions'!E37</x:f>
        <x:v>820</x:v>
      </x:c>
      <x:c r="R408" s="27" t="n">
        <x:f>P408*(1-'Assumptions'!$D$14)+Q408*'Assumptions'!$D$14</x:f>
        <x:v>882.5</x:v>
      </x:c>
      <x:c r="S408" s="27" t="n">
        <x:f>O408*'Carrier Engine'!E92</x:f>
        <x:v>168.53595211601314</x:v>
      </x:c>
      <x:c r="T408" s="28" t="n">
        <x:f>R408+S408</x:f>
        <x:v>1051.035952116013</x:v>
      </x:c>
      <x:c r="U408" s="27" t="n">
        <x:f>N408*'Fleet Engine'!G214</x:f>
        <x:v>0</x:v>
      </x:c>
      <x:c r="V408" s="28" t="n">
        <x:f>U408*T408</x:f>
        <x:v>0</x:v>
      </x:c>
      <x:c r="W408" s="28" t="n">
        <x:f>U408*O408</x:f>
        <x:v>0</x:v>
      </x:c>
    </x:row>
    <x:row r="409" ht="19" customHeight="1">
      <x:c r="A409" s="2"/>
      <x:c r="B409" s="2"/>
      <x:c r="C409" s="46" t="n">
        <x:v>1</x:v>
      </x:c>
      <x:c r="D409" s="46" t="n">
        <x:v>20</x:v>
      </x:c>
      <x:c r="E409" s="46" t="n">
        <x:v>3</x:v>
      </x:c>
      <x:c r="F409" s="46" t="n">
        <x:v>2</x:v>
      </x:c>
      <x:c r="G409" s="12" t="n">
        <x:v>0.7777777777777778</x:v>
      </x:c>
      <x:c r="H409" s="12" t="n">
        <x:v>0.8888888888888888</x:v>
      </x:c>
      <x:c r="I409" s="29" t="n">
        <x:f>'Assumptions'!$D$11+'Assumptions'!$D$12*(0.5-(G409+H409)/2)</x:f>
        <x:v>0.23333333333333334</x:v>
      </x:c>
      <x:c r="J409" s="27" t="n">
        <x:f>'Assumptions'!$D$8*EXP(-'Assumptions'!$D$9*('Fleet Engine'!E214-10))*'Assumptions'!E58*'Assumptions'!E36</x:f>
        <x:v>16487.212707001283</x:v>
      </x:c>
      <x:c r="K409" s="27" t="n">
        <x:f>'Source Data'!F219+LN('Assumptions'!D58)+LN('Assumptions'!E35)</x:f>
        <x:v>7.936584069520856</x:v>
      </x:c>
      <x:c r="L409" s="27" t="n">
        <x:f>J409*(1-I409*(1-'Carrier Engine'!E92))</x:f>
        <x:v>12794.077060632995</x:v>
      </x:c>
      <x:c r="M409" s="29" t="n">
        <x:f>NORM.S.DIST((LN(L409)-K409)/'Assumptions'!$D$10,TRUE)</x:f>
        <x:v>0.8335086948581082</x:v>
      </x:c>
      <x:c r="N409" s="30" t="n">
        <x:f>MAX(0,H409-MAX(G409,M409))</x:f>
        <x:v>0.05538019403078065</x:v>
      </x:c>
      <x:c r="O409" s="28" t="n">
        <x:f>J409*I409</x:f>
        <x:v>3847.0162983002992</x:v>
      </x:c>
      <x:c r="P409" s="27" t="n">
        <x:f>(VLOOKUP(O409,'Fee Data'!$C$6:$G$50,2,TRUE)+O409*VLOOKUP(O409,'Fee Data'!$C$6:$G$50,3,TRUE)+VLOOKUP(O409,'Fee Data'!$I$6:$J$14,2,TRUE)+'Fee Data'!$J$20+'Fee Data'!$J$21)*'Assumptions'!E37</x:f>
        <x:v>915</x:v>
      </x:c>
      <x:c r="Q409" s="27" t="n">
        <x:f>(VLOOKUP(O409,'Fee Data'!$C$6:$G$50,4,TRUE)+O409*VLOOKUP(O409,'Fee Data'!$C$6:$G$50,5,TRUE)+VLOOKUP(O409,'Fee Data'!$I$6:$J$14,2,TRUE)+'Fee Data'!$J$20+'Fee Data'!$J$21)*'Assumptions'!E37</x:f>
        <x:v>765</x:v>
      </x:c>
      <x:c r="R409" s="27" t="n">
        <x:f>P409*(1-'Assumptions'!$D$14)+Q409*'Assumptions'!$D$14</x:f>
        <x:v>840</x:v>
      </x:c>
      <x:c r="S409" s="27" t="n">
        <x:f>O409*'Carrier Engine'!E92</x:f>
        <x:v>153.880651932012</x:v>
      </x:c>
      <x:c r="T409" s="28" t="n">
        <x:f>R409+S409</x:f>
        <x:v>993.880651932012</x:v>
      </x:c>
      <x:c r="U409" s="27" t="n">
        <x:f>N409*'Fleet Engine'!G214</x:f>
        <x:v>147.85292073086285</x:v>
      </x:c>
      <x:c r="V409" s="28" t="n">
        <x:f>U409*T409</x:f>
        <x:v>146948.15724604207</x:v>
      </x:c>
      <x:c r="W409" s="28" t="n">
        <x:f>U409*O409</x:f>
        <x:v>568792.5958029316</x:v>
      </x:c>
    </x:row>
    <x:row r="410" ht="19" customHeight="1">
      <x:c r="A410" s="2"/>
      <x:c r="B410" s="2"/>
      <x:c r="C410" s="46" t="n">
        <x:v>1</x:v>
      </x:c>
      <x:c r="D410" s="46" t="n">
        <x:v>20</x:v>
      </x:c>
      <x:c r="E410" s="46" t="n">
        <x:v>3</x:v>
      </x:c>
      <x:c r="F410" s="46" t="n">
        <x:v>2</x:v>
      </x:c>
      <x:c r="G410" s="12" t="n">
        <x:v>0.8888888888888888</x:v>
      </x:c>
      <x:c r="H410" s="12" t="n">
        <x:v>1</x:v>
      </x:c>
      <x:c r="I410" s="29" t="n">
        <x:f>'Assumptions'!$D$11+'Assumptions'!$D$12*(0.5-(G410+H410)/2)</x:f>
        <x:v>0.21111111111111108</x:v>
      </x:c>
      <x:c r="J410" s="27" t="n">
        <x:f>'Assumptions'!$D$8*EXP(-'Assumptions'!$D$9*('Fleet Engine'!E214-10))*'Assumptions'!E58*'Assumptions'!E36</x:f>
        <x:v>16487.212707001283</x:v>
      </x:c>
      <x:c r="K410" s="27" t="n">
        <x:f>'Source Data'!F219+LN('Assumptions'!D58)+LN('Assumptions'!E35)</x:f>
        <x:v>7.936584069520856</x:v>
      </x:c>
      <x:c r="L410" s="27" t="n">
        <x:f>J410*(1-I410*(1-'Carrier Engine'!E92))</x:f>
        <x:v>13145.804265049022</x:v>
      </x:c>
      <x:c r="M410" s="29" t="n">
        <x:f>NORM.S.DIST((LN(L410)-K410)/'Assumptions'!$D$10,TRUE)</x:f>
        <x:v>0.8377850764390044</x:v>
      </x:c>
      <x:c r="N410" s="30" t="n">
        <x:f>MAX(0,H410-MAX(G410,M410))</x:f>
        <x:v>0.11111111111111116</x:v>
      </x:c>
      <x:c r="O410" s="28" t="n">
        <x:f>J410*I410</x:f>
        <x:v>3480.6337937002704</x:v>
      </x:c>
      <x:c r="P410" s="27" t="n">
        <x:f>(VLOOKUP(O410,'Fee Data'!$C$6:$G$50,2,TRUE)+O410*VLOOKUP(O410,'Fee Data'!$C$6:$G$50,3,TRUE)+VLOOKUP(O410,'Fee Data'!$I$6:$J$14,2,TRUE)+'Fee Data'!$J$20+'Fee Data'!$J$21)*'Assumptions'!E37</x:f>
        <x:v>865</x:v>
      </x:c>
      <x:c r="Q410" s="27" t="n">
        <x:f>(VLOOKUP(O410,'Fee Data'!$C$6:$G$50,4,TRUE)+O410*VLOOKUP(O410,'Fee Data'!$C$6:$G$50,5,TRUE)+VLOOKUP(O410,'Fee Data'!$I$6:$J$14,2,TRUE)+'Fee Data'!$J$20+'Fee Data'!$J$21)*'Assumptions'!E37</x:f>
        <x:v>715</x:v>
      </x:c>
      <x:c r="R410" s="27" t="n">
        <x:f>P410*(1-'Assumptions'!$D$14)+Q410*'Assumptions'!$D$14</x:f>
        <x:v>790</x:v>
      </x:c>
      <x:c r="S410" s="27" t="n">
        <x:f>O410*'Carrier Engine'!E92</x:f>
        <x:v>139.22535174801084</x:v>
      </x:c>
      <x:c r="T410" s="28" t="n">
        <x:f>R410+S410</x:f>
        <x:v>929.2253517480108</x:v>
      </x:c>
      <x:c r="U410" s="27" t="n">
        <x:f>N410*'Fleet Engine'!G214</x:f>
        <x:v>296.64219475826275</x:v>
      </x:c>
      <x:c r="V410" s="28" t="n">
        <x:f>U410*T410</x:f>
        <x:v>275647.4477675486</x:v>
      </x:c>
      <x:c r="W410" s="28" t="n">
        <x:f>U410*O410</x:f>
        <x:v>1032502.8477130266</x:v>
      </x:c>
    </x:row>
    <x:row r="411" ht="19" customHeight="1">
      <x:c r="A411" s="2"/>
      <x:c r="B411" s="2"/>
      <x:c r="C411" s="46" t="n">
        <x:v>1</x:v>
      </x:c>
      <x:c r="D411" s="46" t="n">
        <x:v>21</x:v>
      </x:c>
      <x:c r="E411" s="46" t="n">
        <x:v>3</x:v>
      </x:c>
      <x:c r="F411" s="46" t="n">
        <x:v>3</x:v>
      </x:c>
      <x:c r="G411" s="12" t="n">
        <x:v>0</x:v>
      </x:c>
      <x:c r="H411" s="12" t="n">
        <x:v>0.1111111111111111</x:v>
      </x:c>
      <x:c r="I411" s="29" t="n">
        <x:f>'Assumptions'!$D$11+'Assumptions'!$D$12*(0.5-(G411+H411)/2)</x:f>
        <x:v>0.3888888888888889</x:v>
      </x:c>
      <x:c r="J411" s="27" t="n">
        <x:f>'Assumptions'!$D$8*EXP(-'Assumptions'!$D$9*('Fleet Engine'!E215-10))*'Assumptions'!E58*'Assumptions'!E36</x:f>
        <x:v>12214.027581601698</x:v>
      </x:c>
      <x:c r="K411" s="27" t="n">
        <x:f>'Source Data'!F220+LN('Assumptions'!D58)+LN('Assumptions'!E35)</x:f>
        <x:v>8.04371664078851</x:v>
      </x:c>
      <x:c r="L411" s="27" t="n">
        <x:f>J411*(1-I411*(1-'Carrier Engine'!E92))</x:f>
        <x:v>7654.123951137065</x:v>
      </x:c>
      <x:c r="M411" s="29" t="n">
        <x:f>NORM.S.DIST((LN(L411)-K411)/'Assumptions'!$D$10,TRUE)</x:f>
        <x:v>0.7165817467781002</x:v>
      </x:c>
      <x:c r="N411" s="30" t="n">
        <x:f>MAX(0,H411-MAX(G411,M411))</x:f>
        <x:v>0</x:v>
      </x:c>
      <x:c r="O411" s="28" t="n">
        <x:f>J411*I411</x:f>
        <x:v>4749.899615067327</x:v>
      </x:c>
      <x:c r="P411" s="27" t="n">
        <x:f>(VLOOKUP(O411,'Fee Data'!$C$6:$G$50,2,TRUE)+O411*VLOOKUP(O411,'Fee Data'!$C$6:$G$50,3,TRUE)+VLOOKUP(O411,'Fee Data'!$I$6:$J$14,2,TRUE)+'Fee Data'!$J$20+'Fee Data'!$J$21)*'Assumptions'!E37</x:f>
        <x:v>970</x:v>
      </x:c>
      <x:c r="Q411" s="27" t="n">
        <x:f>(VLOOKUP(O411,'Fee Data'!$C$6:$G$50,4,TRUE)+O411*VLOOKUP(O411,'Fee Data'!$C$6:$G$50,5,TRUE)+VLOOKUP(O411,'Fee Data'!$I$6:$J$14,2,TRUE)+'Fee Data'!$J$20+'Fee Data'!$J$21)*'Assumptions'!E37</x:f>
        <x:v>845</x:v>
      </x:c>
      <x:c r="R411" s="27" t="n">
        <x:f>P411*(1-'Assumptions'!$D$14)+Q411*'Assumptions'!$D$14</x:f>
        <x:v>907.5</x:v>
      </x:c>
      <x:c r="S411" s="27" t="n">
        <x:f>O411*'Carrier Engine'!E92</x:f>
        <x:v>189.99598460269314</x:v>
      </x:c>
      <x:c r="T411" s="28" t="n">
        <x:f>R411+S411</x:f>
        <x:v>1097.4959846026932</x:v>
      </x:c>
      <x:c r="U411" s="27" t="n">
        <x:f>N411*'Fleet Engine'!G215</x:f>
        <x:v>0</x:v>
      </x:c>
      <x:c r="V411" s="28" t="n">
        <x:f>U411*T411</x:f>
        <x:v>0</x:v>
      </x:c>
      <x:c r="W411" s="28" t="n">
        <x:f>U411*O411</x:f>
        <x:v>0</x:v>
      </x:c>
    </x:row>
    <x:row r="412" ht="19" customHeight="1">
      <x:c r="A412" s="2"/>
      <x:c r="B412" s="2"/>
      <x:c r="C412" s="46" t="n">
        <x:v>1</x:v>
      </x:c>
      <x:c r="D412" s="46" t="n">
        <x:v>21</x:v>
      </x:c>
      <x:c r="E412" s="46" t="n">
        <x:v>3</x:v>
      </x:c>
      <x:c r="F412" s="46" t="n">
        <x:v>3</x:v>
      </x:c>
      <x:c r="G412" s="12" t="n">
        <x:v>0.1111111111111111</x:v>
      </x:c>
      <x:c r="H412" s="12" t="n">
        <x:v>0.2222222222222222</x:v>
      </x:c>
      <x:c r="I412" s="29" t="n">
        <x:f>'Assumptions'!$D$11+'Assumptions'!$D$12*(0.5-(G412+H412)/2)</x:f>
        <x:v>0.3666666666666667</x:v>
      </x:c>
      <x:c r="J412" s="27" t="n">
        <x:f>'Assumptions'!$D$8*EXP(-'Assumptions'!$D$9*('Fleet Engine'!E215-10))*'Assumptions'!E58*'Assumptions'!E36</x:f>
        <x:v>12214.027581601698</x:v>
      </x:c>
      <x:c r="K412" s="27" t="n">
        <x:f>'Source Data'!F220+LN('Assumptions'!D58)+LN('Assumptions'!E35)</x:f>
        <x:v>8.04371664078851</x:v>
      </x:c>
      <x:c r="L412" s="27" t="n">
        <x:f>J412*(1-I412*(1-'Carrier Engine'!E92))</x:f>
        <x:v>7914.6898728779</x:v>
      </x:c>
      <x:c r="M412" s="29" t="n">
        <x:f>NORM.S.DIST((LN(L412)-K412)/'Assumptions'!$D$10,TRUE)</x:f>
        <x:v>0.7237560438609862</x:v>
      </x:c>
      <x:c r="N412" s="30" t="n">
        <x:f>MAX(0,H412-MAX(G412,M412))</x:f>
        <x:v>0</x:v>
      </x:c>
      <x:c r="O412" s="28" t="n">
        <x:f>J412*I412</x:f>
        <x:v>4478.476779920623</x:v>
      </x:c>
      <x:c r="P412" s="27" t="n">
        <x:f>(VLOOKUP(O412,'Fee Data'!$C$6:$G$50,2,TRUE)+O412*VLOOKUP(O412,'Fee Data'!$C$6:$G$50,3,TRUE)+VLOOKUP(O412,'Fee Data'!$I$6:$J$14,2,TRUE)+'Fee Data'!$J$20+'Fee Data'!$J$21)*'Assumptions'!E37</x:f>
        <x:v>945</x:v>
      </x:c>
      <x:c r="Q412" s="27" t="n">
        <x:f>(VLOOKUP(O412,'Fee Data'!$C$6:$G$50,4,TRUE)+O412*VLOOKUP(O412,'Fee Data'!$C$6:$G$50,5,TRUE)+VLOOKUP(O412,'Fee Data'!$I$6:$J$14,2,TRUE)+'Fee Data'!$J$20+'Fee Data'!$J$21)*'Assumptions'!E37</x:f>
        <x:v>820</x:v>
      </x:c>
      <x:c r="R412" s="27" t="n">
        <x:f>P412*(1-'Assumptions'!$D$14)+Q412*'Assumptions'!$D$14</x:f>
        <x:v>882.5</x:v>
      </x:c>
      <x:c r="S412" s="27" t="n">
        <x:f>O412*'Carrier Engine'!E92</x:f>
        <x:v>179.13907119682494</x:v>
      </x:c>
      <x:c r="T412" s="28" t="n">
        <x:f>R412+S412</x:f>
        <x:v>1061.639071196825</x:v>
      </x:c>
      <x:c r="U412" s="27" t="n">
        <x:f>N412*'Fleet Engine'!G215</x:f>
        <x:v>0</x:v>
      </x:c>
      <x:c r="V412" s="28" t="n">
        <x:f>U412*T412</x:f>
        <x:v>0</x:v>
      </x:c>
      <x:c r="W412" s="28" t="n">
        <x:f>U412*O412</x:f>
        <x:v>0</x:v>
      </x:c>
    </x:row>
    <x:row r="413" ht="19" customHeight="1">
      <x:c r="A413" s="2"/>
      <x:c r="B413" s="2"/>
      <x:c r="C413" s="46" t="n">
        <x:v>1</x:v>
      </x:c>
      <x:c r="D413" s="46" t="n">
        <x:v>21</x:v>
      </x:c>
      <x:c r="E413" s="46" t="n">
        <x:v>3</x:v>
      </x:c>
      <x:c r="F413" s="46" t="n">
        <x:v>3</x:v>
      </x:c>
      <x:c r="G413" s="12" t="n">
        <x:v>0.2222222222222222</x:v>
      </x:c>
      <x:c r="H413" s="12" t="n">
        <x:v>0.3333333333333333</x:v>
      </x:c>
      <x:c r="I413" s="29" t="n">
        <x:f>'Assumptions'!$D$11+'Assumptions'!$D$12*(0.5-(G413+H413)/2)</x:f>
        <x:v>0.34444444444444444</x:v>
      </x:c>
      <x:c r="J413" s="27" t="n">
        <x:f>'Assumptions'!$D$8*EXP(-'Assumptions'!$D$9*('Fleet Engine'!E215-10))*'Assumptions'!E58*'Assumptions'!E36</x:f>
        <x:v>12214.027581601698</x:v>
      </x:c>
      <x:c r="K413" s="27" t="n">
        <x:f>'Source Data'!F220+LN('Assumptions'!D58)+LN('Assumptions'!E35)</x:f>
        <x:v>8.04371664078851</x:v>
      </x:c>
      <x:c r="L413" s="27" t="n">
        <x:f>J413*(1-I413*(1-'Carrier Engine'!E92))</x:f>
        <x:v>8175.255794618737</x:v>
      </x:c>
      <x:c r="M413" s="29" t="n">
        <x:f>NORM.S.DIST((LN(L413)-K413)/'Assumptions'!$D$10,TRUE)</x:f>
        <x:v>0.730612011881529</x:v>
      </x:c>
      <x:c r="N413" s="30" t="n">
        <x:f>MAX(0,H413-MAX(G413,M413))</x:f>
        <x:v>0</x:v>
      </x:c>
      <x:c r="O413" s="28" t="n">
        <x:f>J413*I413</x:f>
        <x:v>4207.053944773918</x:v>
      </x:c>
      <x:c r="P413" s="27" t="n">
        <x:f>(VLOOKUP(O413,'Fee Data'!$C$6:$G$50,2,TRUE)+O413*VLOOKUP(O413,'Fee Data'!$C$6:$G$50,3,TRUE)+VLOOKUP(O413,'Fee Data'!$I$6:$J$14,2,TRUE)+'Fee Data'!$J$20+'Fee Data'!$J$21)*'Assumptions'!E37</x:f>
        <x:v>945</x:v>
      </x:c>
      <x:c r="Q413" s="27" t="n">
        <x:f>(VLOOKUP(O413,'Fee Data'!$C$6:$G$50,4,TRUE)+O413*VLOOKUP(O413,'Fee Data'!$C$6:$G$50,5,TRUE)+VLOOKUP(O413,'Fee Data'!$I$6:$J$14,2,TRUE)+'Fee Data'!$J$20+'Fee Data'!$J$21)*'Assumptions'!E37</x:f>
        <x:v>820</x:v>
      </x:c>
      <x:c r="R413" s="27" t="n">
        <x:f>P413*(1-'Assumptions'!$D$14)+Q413*'Assumptions'!$D$14</x:f>
        <x:v>882.5</x:v>
      </x:c>
      <x:c r="S413" s="27" t="n">
        <x:f>O413*'Carrier Engine'!E92</x:f>
        <x:v>168.28215779095677</x:v>
      </x:c>
      <x:c r="T413" s="28" t="n">
        <x:f>R413+S413</x:f>
        <x:v>1050.7821577909567</x:v>
      </x:c>
      <x:c r="U413" s="27" t="n">
        <x:f>N413*'Fleet Engine'!G215</x:f>
        <x:v>0</x:v>
      </x:c>
      <x:c r="V413" s="28" t="n">
        <x:f>U413*T413</x:f>
        <x:v>0</x:v>
      </x:c>
      <x:c r="W413" s="28" t="n">
        <x:f>U413*O413</x:f>
        <x:v>0</x:v>
      </x:c>
    </x:row>
    <x:row r="414" ht="19" customHeight="1">
      <x:c r="A414" s="2"/>
      <x:c r="B414" s="2"/>
      <x:c r="C414" s="46" t="n">
        <x:v>1</x:v>
      </x:c>
      <x:c r="D414" s="46" t="n">
        <x:v>21</x:v>
      </x:c>
      <x:c r="E414" s="46" t="n">
        <x:v>3</x:v>
      </x:c>
      <x:c r="F414" s="46" t="n">
        <x:v>3</x:v>
      </x:c>
      <x:c r="G414" s="12" t="n">
        <x:v>0.3333333333333333</x:v>
      </x:c>
      <x:c r="H414" s="12" t="n">
        <x:v>0.4444444444444444</x:v>
      </x:c>
      <x:c r="I414" s="29" t="n">
        <x:f>'Assumptions'!$D$11+'Assumptions'!$D$12*(0.5-(G414+H414)/2)</x:f>
        <x:v>0.32222222222222224</x:v>
      </x:c>
      <x:c r="J414" s="27" t="n">
        <x:f>'Assumptions'!$D$8*EXP(-'Assumptions'!$D$9*('Fleet Engine'!E215-10))*'Assumptions'!E58*'Assumptions'!E36</x:f>
        <x:v>12214.027581601698</x:v>
      </x:c>
      <x:c r="K414" s="27" t="n">
        <x:f>'Source Data'!F220+LN('Assumptions'!D58)+LN('Assumptions'!E35)</x:f>
        <x:v>8.04371664078851</x:v>
      </x:c>
      <x:c r="L414" s="27" t="n">
        <x:f>J414*(1-I414*(1-'Carrier Engine'!E92))</x:f>
        <x:v>8435.821716359573</x:v>
      </x:c>
      <x:c r="M414" s="29" t="n">
        <x:f>NORM.S.DIST((LN(L414)-K414)/'Assumptions'!$D$10,TRUE)</x:f>
        <x:v>0.737170515190244</x:v>
      </x:c>
      <x:c r="N414" s="30" t="n">
        <x:f>MAX(0,H414-MAX(G414,M414))</x:f>
        <x:v>0</x:v>
      </x:c>
      <x:c r="O414" s="28" t="n">
        <x:f>J414*I414</x:f>
        <x:v>3935.6311096272143</x:v>
      </x:c>
      <x:c r="P414" s="27" t="n">
        <x:f>(VLOOKUP(O414,'Fee Data'!$C$6:$G$50,2,TRUE)+O414*VLOOKUP(O414,'Fee Data'!$C$6:$G$50,3,TRUE)+VLOOKUP(O414,'Fee Data'!$I$6:$J$14,2,TRUE)+'Fee Data'!$J$20+'Fee Data'!$J$21)*'Assumptions'!E37</x:f>
        <x:v>915</x:v>
      </x:c>
      <x:c r="Q414" s="27" t="n">
        <x:f>(VLOOKUP(O414,'Fee Data'!$C$6:$G$50,4,TRUE)+O414*VLOOKUP(O414,'Fee Data'!$C$6:$G$50,5,TRUE)+VLOOKUP(O414,'Fee Data'!$I$6:$J$14,2,TRUE)+'Fee Data'!$J$20+'Fee Data'!$J$21)*'Assumptions'!E37</x:f>
        <x:v>765</x:v>
      </x:c>
      <x:c r="R414" s="27" t="n">
        <x:f>P414*(1-'Assumptions'!$D$14)+Q414*'Assumptions'!$D$14</x:f>
        <x:v>840</x:v>
      </x:c>
      <x:c r="S414" s="27" t="n">
        <x:f>O414*'Carrier Engine'!E92</x:f>
        <x:v>157.4252443850886</x:v>
      </x:c>
      <x:c r="T414" s="28" t="n">
        <x:f>R414+S414</x:f>
        <x:v>997.4252443850886</x:v>
      </x:c>
      <x:c r="U414" s="27" t="n">
        <x:f>N414*'Fleet Engine'!G215</x:f>
        <x:v>0</x:v>
      </x:c>
      <x:c r="V414" s="28" t="n">
        <x:f>U414*T414</x:f>
        <x:v>0</x:v>
      </x:c>
      <x:c r="W414" s="28" t="n">
        <x:f>U414*O414</x:f>
        <x:v>0</x:v>
      </x:c>
    </x:row>
    <x:row r="415" ht="19" customHeight="1">
      <x:c r="A415" s="2"/>
      <x:c r="B415" s="2"/>
      <x:c r="C415" s="46" t="n">
        <x:v>1</x:v>
      </x:c>
      <x:c r="D415" s="46" t="n">
        <x:v>21</x:v>
      </x:c>
      <x:c r="E415" s="46" t="n">
        <x:v>3</x:v>
      </x:c>
      <x:c r="F415" s="46" t="n">
        <x:v>3</x:v>
      </x:c>
      <x:c r="G415" s="12" t="n">
        <x:v>0.4444444444444444</x:v>
      </x:c>
      <x:c r="H415" s="12" t="n">
        <x:v>0.5555555555555556</x:v>
      </x:c>
      <x:c r="I415" s="29" t="n">
        <x:f>'Assumptions'!$D$11+'Assumptions'!$D$12*(0.5-(G415+H415)/2)</x:f>
        <x:v>0.3</x:v>
      </x:c>
      <x:c r="J415" s="27" t="n">
        <x:f>'Assumptions'!$D$8*EXP(-'Assumptions'!$D$9*('Fleet Engine'!E215-10))*'Assumptions'!E58*'Assumptions'!E36</x:f>
        <x:v>12214.027581601698</x:v>
      </x:c>
      <x:c r="K415" s="27" t="n">
        <x:f>'Source Data'!F220+LN('Assumptions'!D58)+LN('Assumptions'!E35)</x:f>
        <x:v>8.04371664078851</x:v>
      </x:c>
      <x:c r="L415" s="27" t="n">
        <x:f>J415*(1-I415*(1-'Carrier Engine'!E92))</x:f>
        <x:v>8696.387638100408</x:v>
      </x:c>
      <x:c r="M415" s="29" t="n">
        <x:f>NORM.S.DIST((LN(L415)-K415)/'Assumptions'!$D$10,TRUE)</x:f>
        <x:v>0.7434505950635955</x:v>
      </x:c>
      <x:c r="N415" s="30" t="n">
        <x:f>MAX(0,H415-MAX(G415,M415))</x:f>
        <x:v>0</x:v>
      </x:c>
      <x:c r="O415" s="28" t="n">
        <x:f>J415*I415</x:f>
        <x:v>3664.2082744805093</x:v>
      </x:c>
      <x:c r="P415" s="27" t="n">
        <x:f>(VLOOKUP(O415,'Fee Data'!$C$6:$G$50,2,TRUE)+O415*VLOOKUP(O415,'Fee Data'!$C$6:$G$50,3,TRUE)+VLOOKUP(O415,'Fee Data'!$I$6:$J$14,2,TRUE)+'Fee Data'!$J$20+'Fee Data'!$J$21)*'Assumptions'!E37</x:f>
        <x:v>915</x:v>
      </x:c>
      <x:c r="Q415" s="27" t="n">
        <x:f>(VLOOKUP(O415,'Fee Data'!$C$6:$G$50,4,TRUE)+O415*VLOOKUP(O415,'Fee Data'!$C$6:$G$50,5,TRUE)+VLOOKUP(O415,'Fee Data'!$I$6:$J$14,2,TRUE)+'Fee Data'!$J$20+'Fee Data'!$J$21)*'Assumptions'!E37</x:f>
        <x:v>765</x:v>
      </x:c>
      <x:c r="R415" s="27" t="n">
        <x:f>P415*(1-'Assumptions'!$D$14)+Q415*'Assumptions'!$D$14</x:f>
        <x:v>840</x:v>
      </x:c>
      <x:c r="S415" s="27" t="n">
        <x:f>O415*'Carrier Engine'!E92</x:f>
        <x:v>146.5683309792204</x:v>
      </x:c>
      <x:c r="T415" s="28" t="n">
        <x:f>R415+S415</x:f>
        <x:v>986.5683309792204</x:v>
      </x:c>
      <x:c r="U415" s="27" t="n">
        <x:f>N415*'Fleet Engine'!G215</x:f>
        <x:v>0</x:v>
      </x:c>
      <x:c r="V415" s="28" t="n">
        <x:f>U415*T415</x:f>
        <x:v>0</x:v>
      </x:c>
      <x:c r="W415" s="28" t="n">
        <x:f>U415*O415</x:f>
        <x:v>0</x:v>
      </x:c>
    </x:row>
    <x:row r="416" ht="19" customHeight="1">
      <x:c r="A416" s="2"/>
      <x:c r="B416" s="2"/>
      <x:c r="C416" s="46" t="n">
        <x:v>1</x:v>
      </x:c>
      <x:c r="D416" s="46" t="n">
        <x:v>21</x:v>
      </x:c>
      <x:c r="E416" s="46" t="n">
        <x:v>3</x:v>
      </x:c>
      <x:c r="F416" s="46" t="n">
        <x:v>3</x:v>
      </x:c>
      <x:c r="G416" s="12" t="n">
        <x:v>0.5555555555555556</x:v>
      </x:c>
      <x:c r="H416" s="12" t="n">
        <x:v>0.6666666666666666</x:v>
      </x:c>
      <x:c r="I416" s="29" t="n">
        <x:f>'Assumptions'!$D$11+'Assumptions'!$D$12*(0.5-(G416+H416)/2)</x:f>
        <x:v>0.27777777777777773</x:v>
      </x:c>
      <x:c r="J416" s="27" t="n">
        <x:f>'Assumptions'!$D$8*EXP(-'Assumptions'!$D$9*('Fleet Engine'!E215-10))*'Assumptions'!E58*'Assumptions'!E36</x:f>
        <x:v>12214.027581601698</x:v>
      </x:c>
      <x:c r="K416" s="27" t="n">
        <x:f>'Source Data'!F220+LN('Assumptions'!D58)+LN('Assumptions'!E35)</x:f>
        <x:v>8.04371664078851</x:v>
      </x:c>
      <x:c r="L416" s="27" t="n">
        <x:f>J416*(1-I416*(1-'Carrier Engine'!E92))</x:f>
        <x:v>8956.953559841246</x:v>
      </x:c>
      <x:c r="M416" s="29" t="n">
        <x:f>NORM.S.DIST((LN(L416)-K416)/'Assumptions'!$D$10,TRUE)</x:f>
        <x:v>0.7494696686328344</x:v>
      </x:c>
      <x:c r="N416" s="30" t="n">
        <x:f>MAX(0,H416-MAX(G416,M416))</x:f>
        <x:v>0</x:v>
      </x:c>
      <x:c r="O416" s="28" t="n">
        <x:f>J416*I416</x:f>
        <x:v>3392.785439333805</x:v>
      </x:c>
      <x:c r="P416" s="27" t="n">
        <x:f>(VLOOKUP(O416,'Fee Data'!$C$6:$G$50,2,TRUE)+O416*VLOOKUP(O416,'Fee Data'!$C$6:$G$50,3,TRUE)+VLOOKUP(O416,'Fee Data'!$I$6:$J$14,2,TRUE)+'Fee Data'!$J$20+'Fee Data'!$J$21)*'Assumptions'!E37</x:f>
        <x:v>865</x:v>
      </x:c>
      <x:c r="Q416" s="27" t="n">
        <x:f>(VLOOKUP(O416,'Fee Data'!$C$6:$G$50,4,TRUE)+O416*VLOOKUP(O416,'Fee Data'!$C$6:$G$50,5,TRUE)+VLOOKUP(O416,'Fee Data'!$I$6:$J$14,2,TRUE)+'Fee Data'!$J$20+'Fee Data'!$J$21)*'Assumptions'!E37</x:f>
        <x:v>715</x:v>
      </x:c>
      <x:c r="R416" s="27" t="n">
        <x:f>P416*(1-'Assumptions'!$D$14)+Q416*'Assumptions'!$D$14</x:f>
        <x:v>790</x:v>
      </x:c>
      <x:c r="S416" s="27" t="n">
        <x:f>O416*'Carrier Engine'!E92</x:f>
        <x:v>135.7114175733522</x:v>
      </x:c>
      <x:c r="T416" s="28" t="n">
        <x:f>R416+S416</x:f>
        <x:v>925.7114175733523</x:v>
      </x:c>
      <x:c r="U416" s="27" t="n">
        <x:f>N416*'Fleet Engine'!G215</x:f>
        <x:v>0</x:v>
      </x:c>
      <x:c r="V416" s="28" t="n">
        <x:f>U416*T416</x:f>
        <x:v>0</x:v>
      </x:c>
      <x:c r="W416" s="28" t="n">
        <x:f>U416*O416</x:f>
        <x:v>0</x:v>
      </x:c>
    </x:row>
    <x:row r="417" ht="19" customHeight="1">
      <x:c r="A417" s="2"/>
      <x:c r="B417" s="2"/>
      <x:c r="C417" s="46" t="n">
        <x:v>1</x:v>
      </x:c>
      <x:c r="D417" s="46" t="n">
        <x:v>21</x:v>
      </x:c>
      <x:c r="E417" s="46" t="n">
        <x:v>3</x:v>
      </x:c>
      <x:c r="F417" s="46" t="n">
        <x:v>3</x:v>
      </x:c>
      <x:c r="G417" s="12" t="n">
        <x:v>0.6666666666666666</x:v>
      </x:c>
      <x:c r="H417" s="12" t="n">
        <x:v>0.7777777777777778</x:v>
      </x:c>
      <x:c r="I417" s="29" t="n">
        <x:f>'Assumptions'!$D$11+'Assumptions'!$D$12*(0.5-(G417+H417)/2)</x:f>
        <x:v>0.25555555555555554</x:v>
      </x:c>
      <x:c r="J417" s="27" t="n">
        <x:f>'Assumptions'!$D$8*EXP(-'Assumptions'!$D$9*('Fleet Engine'!E215-10))*'Assumptions'!E58*'Assumptions'!E36</x:f>
        <x:v>12214.027581601698</x:v>
      </x:c>
      <x:c r="K417" s="27" t="n">
        <x:f>'Source Data'!F220+LN('Assumptions'!D58)+LN('Assumptions'!E35)</x:f>
        <x:v>8.04371664078851</x:v>
      </x:c>
      <x:c r="L417" s="27" t="n">
        <x:f>J417*(1-I417*(1-'Carrier Engine'!E92))</x:f>
        <x:v>9217.519481582081</x:v>
      </x:c>
      <x:c r="M417" s="29" t="n">
        <x:f>NORM.S.DIST((LN(L417)-K417)/'Assumptions'!$D$10,TRUE)</x:f>
        <x:v>0.755243701876744</x:v>
      </x:c>
      <x:c r="N417" s="30" t="n">
        <x:f>MAX(0,H417-MAX(G417,M417))</x:f>
        <x:v>0.022534075901033845</x:v>
      </x:c>
      <x:c r="O417" s="28" t="n">
        <x:f>J417*I417</x:f>
        <x:v>3121.3626041871003</x:v>
      </x:c>
      <x:c r="P417" s="27" t="n">
        <x:f>(VLOOKUP(O417,'Fee Data'!$C$6:$G$50,2,TRUE)+O417*VLOOKUP(O417,'Fee Data'!$C$6:$G$50,3,TRUE)+VLOOKUP(O417,'Fee Data'!$I$6:$J$14,2,TRUE)+'Fee Data'!$J$20+'Fee Data'!$J$21)*'Assumptions'!E37</x:f>
        <x:v>865</x:v>
      </x:c>
      <x:c r="Q417" s="27" t="n">
        <x:f>(VLOOKUP(O417,'Fee Data'!$C$6:$G$50,4,TRUE)+O417*VLOOKUP(O417,'Fee Data'!$C$6:$G$50,5,TRUE)+VLOOKUP(O417,'Fee Data'!$I$6:$J$14,2,TRUE)+'Fee Data'!$J$20+'Fee Data'!$J$21)*'Assumptions'!E37</x:f>
        <x:v>715</x:v>
      </x:c>
      <x:c r="R417" s="27" t="n">
        <x:f>P417*(1-'Assumptions'!$D$14)+Q417*'Assumptions'!$D$14</x:f>
        <x:v>790</x:v>
      </x:c>
      <x:c r="S417" s="27" t="n">
        <x:f>O417*'Carrier Engine'!E92</x:f>
        <x:v>124.85450416748404</x:v>
      </x:c>
      <x:c r="T417" s="28" t="n">
        <x:f>R417+S417</x:f>
        <x:v>914.854504167484</x:v>
      </x:c>
      <x:c r="U417" s="27" t="n">
        <x:f>N417*'Fleet Engine'!G215</x:f>
        <x:v>45.30714162293665</x:v>
      </x:c>
      <x:c r="V417" s="28" t="n">
        <x:f>U417*T417</x:f>
        <x:v>41449.44258469769</x:v>
      </x:c>
      <x:c r="W417" s="28" t="n">
        <x:f>U417*O417</x:f>
        <x:v>141420.0175644433</x:v>
      </x:c>
    </x:row>
    <x:row r="418" ht="19" customHeight="1">
      <x:c r="A418" s="2"/>
      <x:c r="B418" s="2"/>
      <x:c r="C418" s="46" t="n">
        <x:v>1</x:v>
      </x:c>
      <x:c r="D418" s="46" t="n">
        <x:v>21</x:v>
      </x:c>
      <x:c r="E418" s="46" t="n">
        <x:v>3</x:v>
      </x:c>
      <x:c r="F418" s="46" t="n">
        <x:v>3</x:v>
      </x:c>
      <x:c r="G418" s="12" t="n">
        <x:v>0.7777777777777778</x:v>
      </x:c>
      <x:c r="H418" s="12" t="n">
        <x:v>0.8888888888888888</x:v>
      </x:c>
      <x:c r="I418" s="29" t="n">
        <x:f>'Assumptions'!$D$11+'Assumptions'!$D$12*(0.5-(G418+H418)/2)</x:f>
        <x:v>0.23333333333333334</x:v>
      </x:c>
      <x:c r="J418" s="27" t="n">
        <x:f>'Assumptions'!$D$8*EXP(-'Assumptions'!$D$9*('Fleet Engine'!E215-10))*'Assumptions'!E58*'Assumptions'!E36</x:f>
        <x:v>12214.027581601698</x:v>
      </x:c>
      <x:c r="K418" s="27" t="n">
        <x:f>'Source Data'!F220+LN('Assumptions'!D58)+LN('Assumptions'!E35)</x:f>
        <x:v>8.04371664078851</x:v>
      </x:c>
      <x:c r="L418" s="27" t="n">
        <x:f>J418*(1-I418*(1-'Carrier Engine'!E92))</x:f>
        <x:v>9478.085403322919</x:v>
      </x:c>
      <x:c r="M418" s="29" t="n">
        <x:f>NORM.S.DIST((LN(L418)-K418)/'Assumptions'!$D$10,TRUE)</x:f>
        <x:v>0.7607873605938249</x:v>
      </x:c>
      <x:c r="N418" s="30" t="n">
        <x:f>MAX(0,H418-MAX(G418,M418))</x:f>
        <x:v>0.11111111111111105</x:v>
      </x:c>
      <x:c r="O418" s="28" t="n">
        <x:f>J418*I418</x:f>
        <x:v>2849.939769040396</x:v>
      </x:c>
      <x:c r="P418" s="27" t="n">
        <x:f>(VLOOKUP(O418,'Fee Data'!$C$6:$G$50,2,TRUE)+O418*VLOOKUP(O418,'Fee Data'!$C$6:$G$50,3,TRUE)+VLOOKUP(O418,'Fee Data'!$I$6:$J$14,2,TRUE)+'Fee Data'!$J$20+'Fee Data'!$J$21)*'Assumptions'!E37</x:f>
        <x:v>820</x:v>
      </x:c>
      <x:c r="Q418" s="27" t="n">
        <x:f>(VLOOKUP(O418,'Fee Data'!$C$6:$G$50,4,TRUE)+O418*VLOOKUP(O418,'Fee Data'!$C$6:$G$50,5,TRUE)+VLOOKUP(O418,'Fee Data'!$I$6:$J$14,2,TRUE)+'Fee Data'!$J$20+'Fee Data'!$J$21)*'Assumptions'!E37</x:f>
        <x:v>670</x:v>
      </x:c>
      <x:c r="R418" s="27" t="n">
        <x:f>P418*(1-'Assumptions'!$D$14)+Q418*'Assumptions'!$D$14</x:f>
        <x:v>745</x:v>
      </x:c>
      <x:c r="S418" s="27" t="n">
        <x:f>O418*'Carrier Engine'!E92</x:f>
        <x:v>113.99759076161587</x:v>
      </x:c>
      <x:c r="T418" s="28" t="n">
        <x:f>R418+S418</x:f>
        <x:v>858.9975907616158</x:v>
      </x:c>
      <x:c r="U418" s="27" t="n">
        <x:f>N418*'Fleet Engine'!G215</x:f>
        <x:v>223.4006341818524</x:v>
      </x:c>
      <x:c r="V418" s="28" t="n">
        <x:f>U418*T418</x:f>
        <x:v>191900.6065368283</x:v>
      </x:c>
      <x:c r="W418" s="28" t="n">
        <x:f>U418*O418</x:f>
        <x:v>636678.3517837065</x:v>
      </x:c>
    </x:row>
    <x:row r="419" ht="19" customHeight="1">
      <x:c r="A419" s="2"/>
      <x:c r="B419" s="2"/>
      <x:c r="C419" s="46" t="n">
        <x:v>1</x:v>
      </x:c>
      <x:c r="D419" s="46" t="n">
        <x:v>21</x:v>
      </x:c>
      <x:c r="E419" s="46" t="n">
        <x:v>3</x:v>
      </x:c>
      <x:c r="F419" s="46" t="n">
        <x:v>3</x:v>
      </x:c>
      <x:c r="G419" s="12" t="n">
        <x:v>0.8888888888888888</x:v>
      </x:c>
      <x:c r="H419" s="12" t="n">
        <x:v>1</x:v>
      </x:c>
      <x:c r="I419" s="29" t="n">
        <x:f>'Assumptions'!$D$11+'Assumptions'!$D$12*(0.5-(G419+H419)/2)</x:f>
        <x:v>0.21111111111111108</x:v>
      </x:c>
      <x:c r="J419" s="27" t="n">
        <x:f>'Assumptions'!$D$8*EXP(-'Assumptions'!$D$9*('Fleet Engine'!E215-10))*'Assumptions'!E58*'Assumptions'!E36</x:f>
        <x:v>12214.027581601698</x:v>
      </x:c>
      <x:c r="K419" s="27" t="n">
        <x:f>'Source Data'!F220+LN('Assumptions'!D58)+LN('Assumptions'!E35)</x:f>
        <x:v>8.04371664078851</x:v>
      </x:c>
      <x:c r="L419" s="27" t="n">
        <x:f>J419*(1-I419*(1-'Carrier Engine'!E92))</x:f>
        <x:v>9738.651325063754</x:v>
      </x:c>
      <x:c r="M419" s="29" t="n">
        <x:f>NORM.S.DIST((LN(L419)-K419)/'Assumptions'!$D$10,TRUE)</x:f>
        <x:v>0.7661141426007128</x:v>
      </x:c>
      <x:c r="N419" s="30" t="n">
        <x:f>MAX(0,H419-MAX(G419,M419))</x:f>
        <x:v>0.11111111111111116</x:v>
      </x:c>
      <x:c r="O419" s="28" t="n">
        <x:f>J419*I419</x:f>
        <x:v>2578.5169338936917</x:v>
      </x:c>
      <x:c r="P419" s="27" t="n">
        <x:f>(VLOOKUP(O419,'Fee Data'!$C$6:$G$50,2,TRUE)+O419*VLOOKUP(O419,'Fee Data'!$C$6:$G$50,3,TRUE)+VLOOKUP(O419,'Fee Data'!$I$6:$J$14,2,TRUE)+'Fee Data'!$J$20+'Fee Data'!$J$21)*'Assumptions'!E37</x:f>
        <x:v>820</x:v>
      </x:c>
      <x:c r="Q419" s="27" t="n">
        <x:f>(VLOOKUP(O419,'Fee Data'!$C$6:$G$50,4,TRUE)+O419*VLOOKUP(O419,'Fee Data'!$C$6:$G$50,5,TRUE)+VLOOKUP(O419,'Fee Data'!$I$6:$J$14,2,TRUE)+'Fee Data'!$J$20+'Fee Data'!$J$21)*'Assumptions'!E37</x:f>
        <x:v>670</x:v>
      </x:c>
      <x:c r="R419" s="27" t="n">
        <x:f>P419*(1-'Assumptions'!$D$14)+Q419*'Assumptions'!$D$14</x:f>
        <x:v>745</x:v>
      </x:c>
      <x:c r="S419" s="27" t="n">
        <x:f>O419*'Carrier Engine'!E92</x:f>
        <x:v>103.14067735574768</x:v>
      </x:c>
      <x:c r="T419" s="28" t="n">
        <x:f>R419+S419</x:f>
        <x:v>848.1406773557477</x:v>
      </x:c>
      <x:c r="U419" s="27" t="n">
        <x:f>N419*'Fleet Engine'!G215</x:f>
        <x:v>223.40063418185264</x:v>
      </x:c>
      <x:c r="V419" s="28" t="n">
        <x:f>U419*T419</x:f>
        <x:v>189475.1651967001</x:v>
      </x:c>
      <x:c r="W419" s="28" t="n">
        <x:f>U419*O419</x:f>
        <x:v>576042.3182804969</x:v>
      </x:c>
    </x:row>
    <x:row r="420" ht="19" customHeight="1">
      <x:c r="A420" s="2"/>
      <x:c r="B420" s="2"/>
      <x:c r="C420" s="46" t="n">
        <x:v>1</x:v>
      </x:c>
      <x:c r="D420" s="46" t="n">
        <x:v>22</x:v>
      </x:c>
      <x:c r="E420" s="46" t="n">
        <x:v>3</x:v>
      </x:c>
      <x:c r="F420" s="46" t="n">
        <x:v>4</x:v>
      </x:c>
      <x:c r="G420" s="12" t="n">
        <x:v>0</x:v>
      </x:c>
      <x:c r="H420" s="12" t="n">
        <x:v>0.1111111111111111</x:v>
      </x:c>
      <x:c r="I420" s="29" t="n">
        <x:f>'Assumptions'!$D$11+'Assumptions'!$D$12*(0.5-(G420+H420)/2)</x:f>
        <x:v>0.3888888888888889</x:v>
      </x:c>
      <x:c r="J420" s="27" t="n">
        <x:f>'Assumptions'!$D$8*EXP(-'Assumptions'!$D$9*('Fleet Engine'!E216-10))*'Assumptions'!E58*'Assumptions'!E36</x:f>
        <x:v>9048.374180359595</x:v>
      </x:c>
      <x:c r="K420" s="27" t="n">
        <x:f>'Source Data'!F221+LN('Assumptions'!D58)+LN('Assumptions'!E35)</x:f>
        <x:v>8.129564769703762</x:v>
      </x:c>
      <x:c r="L420" s="27" t="n">
        <x:f>J420*(1-I420*(1-'Carrier Engine'!E92))</x:f>
        <x:v>5670.3144863586795</x:v>
      </x:c>
      <x:c r="M420" s="29" t="n">
        <x:f>NORM.S.DIST((LN(L420)-K420)/'Assumptions'!$D$10,TRUE)</x:f>
        <x:v>0.6281606975277834</x:v>
      </x:c>
      <x:c r="N420" s="30" t="n">
        <x:f>MAX(0,H420-MAX(G420,M420))</x:f>
        <x:v>0</x:v>
      </x:c>
      <x:c r="O420" s="28" t="n">
        <x:f>J420*I420</x:f>
        <x:v>3518.8121812509535</x:v>
      </x:c>
      <x:c r="P420" s="27" t="n">
        <x:f>(VLOOKUP(O420,'Fee Data'!$C$6:$G$50,2,TRUE)+O420*VLOOKUP(O420,'Fee Data'!$C$6:$G$50,3,TRUE)+VLOOKUP(O420,'Fee Data'!$I$6:$J$14,2,TRUE)+'Fee Data'!$J$20+'Fee Data'!$J$21)*'Assumptions'!E37</x:f>
        <x:v>915</x:v>
      </x:c>
      <x:c r="Q420" s="27" t="n">
        <x:f>(VLOOKUP(O420,'Fee Data'!$C$6:$G$50,4,TRUE)+O420*VLOOKUP(O420,'Fee Data'!$C$6:$G$50,5,TRUE)+VLOOKUP(O420,'Fee Data'!$I$6:$J$14,2,TRUE)+'Fee Data'!$J$20+'Fee Data'!$J$21)*'Assumptions'!E37</x:f>
        <x:v>765</x:v>
      </x:c>
      <x:c r="R420" s="27" t="n">
        <x:f>P420*(1-'Assumptions'!$D$14)+Q420*'Assumptions'!$D$14</x:f>
        <x:v>840</x:v>
      </x:c>
      <x:c r="S420" s="27" t="n">
        <x:f>O420*'Carrier Engine'!E92</x:f>
        <x:v>140.75248725003817</x:v>
      </x:c>
      <x:c r="T420" s="28" t="n">
        <x:f>R420+S420</x:f>
        <x:v>980.7524872500381</x:v>
      </x:c>
      <x:c r="U420" s="27" t="n">
        <x:f>N420*'Fleet Engine'!G216</x:f>
        <x:v>0</x:v>
      </x:c>
      <x:c r="V420" s="28" t="n">
        <x:f>U420*T420</x:f>
        <x:v>0</x:v>
      </x:c>
      <x:c r="W420" s="28" t="n">
        <x:f>U420*O420</x:f>
        <x:v>0</x:v>
      </x:c>
    </x:row>
    <x:row r="421" ht="19" customHeight="1">
      <x:c r="A421" s="2"/>
      <x:c r="B421" s="2"/>
      <x:c r="C421" s="46" t="n">
        <x:v>1</x:v>
      </x:c>
      <x:c r="D421" s="46" t="n">
        <x:v>22</x:v>
      </x:c>
      <x:c r="E421" s="46" t="n">
        <x:v>3</x:v>
      </x:c>
      <x:c r="F421" s="46" t="n">
        <x:v>4</x:v>
      </x:c>
      <x:c r="G421" s="12" t="n">
        <x:v>0.1111111111111111</x:v>
      </x:c>
      <x:c r="H421" s="12" t="n">
        <x:v>0.2222222222222222</x:v>
      </x:c>
      <x:c r="I421" s="29" t="n">
        <x:f>'Assumptions'!$D$11+'Assumptions'!$D$12*(0.5-(G421+H421)/2)</x:f>
        <x:v>0.3666666666666667</x:v>
      </x:c>
      <x:c r="J421" s="27" t="n">
        <x:f>'Assumptions'!$D$8*EXP(-'Assumptions'!$D$9*('Fleet Engine'!E216-10))*'Assumptions'!E58*'Assumptions'!E36</x:f>
        <x:v>9048.374180359595</x:v>
      </x:c>
      <x:c r="K421" s="27" t="n">
        <x:f>'Source Data'!F221+LN('Assumptions'!D58)+LN('Assumptions'!E35)</x:f>
        <x:v>8.129564769703762</x:v>
      </x:c>
      <x:c r="L421" s="27" t="n">
        <x:f>J421*(1-I421*(1-'Carrier Engine'!E92))</x:f>
        <x:v>5863.346468873016</x:v>
      </x:c>
      <x:c r="M421" s="29" t="n">
        <x:f>NORM.S.DIST((LN(L421)-K421)/'Assumptions'!$D$10,TRUE)</x:f>
        <x:v>0.6361945348683504</x:v>
      </x:c>
      <x:c r="N421" s="30" t="n">
        <x:f>MAX(0,H421-MAX(G421,M421))</x:f>
        <x:v>0</x:v>
      </x:c>
      <x:c r="O421" s="28" t="n">
        <x:f>J421*I421</x:f>
        <x:v>3317.737199465185</x:v>
      </x:c>
      <x:c r="P421" s="27" t="n">
        <x:f>(VLOOKUP(O421,'Fee Data'!$C$6:$G$50,2,TRUE)+O421*VLOOKUP(O421,'Fee Data'!$C$6:$G$50,3,TRUE)+VLOOKUP(O421,'Fee Data'!$I$6:$J$14,2,TRUE)+'Fee Data'!$J$20+'Fee Data'!$J$21)*'Assumptions'!E37</x:f>
        <x:v>865</x:v>
      </x:c>
      <x:c r="Q421" s="27" t="n">
        <x:f>(VLOOKUP(O421,'Fee Data'!$C$6:$G$50,4,TRUE)+O421*VLOOKUP(O421,'Fee Data'!$C$6:$G$50,5,TRUE)+VLOOKUP(O421,'Fee Data'!$I$6:$J$14,2,TRUE)+'Fee Data'!$J$20+'Fee Data'!$J$21)*'Assumptions'!E37</x:f>
        <x:v>715</x:v>
      </x:c>
      <x:c r="R421" s="27" t="n">
        <x:f>P421*(1-'Assumptions'!$D$14)+Q421*'Assumptions'!$D$14</x:f>
        <x:v>790</x:v>
      </x:c>
      <x:c r="S421" s="27" t="n">
        <x:f>O421*'Carrier Engine'!E92</x:f>
        <x:v>132.70948797860743</x:v>
      </x:c>
      <x:c r="T421" s="28" t="n">
        <x:f>R421+S421</x:f>
        <x:v>922.7094879786074</x:v>
      </x:c>
      <x:c r="U421" s="27" t="n">
        <x:f>N421*'Fleet Engine'!G216</x:f>
        <x:v>0</x:v>
      </x:c>
      <x:c r="V421" s="28" t="n">
        <x:f>U421*T421</x:f>
        <x:v>0</x:v>
      </x:c>
      <x:c r="W421" s="28" t="n">
        <x:f>U421*O421</x:f>
        <x:v>0</x:v>
      </x:c>
    </x:row>
    <x:row r="422" ht="19" customHeight="1">
      <x:c r="A422" s="2"/>
      <x:c r="B422" s="2"/>
      <x:c r="C422" s="46" t="n">
        <x:v>1</x:v>
      </x:c>
      <x:c r="D422" s="46" t="n">
        <x:v>22</x:v>
      </x:c>
      <x:c r="E422" s="46" t="n">
        <x:v>3</x:v>
      </x:c>
      <x:c r="F422" s="46" t="n">
        <x:v>4</x:v>
      </x:c>
      <x:c r="G422" s="12" t="n">
        <x:v>0.2222222222222222</x:v>
      </x:c>
      <x:c r="H422" s="12" t="n">
        <x:v>0.3333333333333333</x:v>
      </x:c>
      <x:c r="I422" s="29" t="n">
        <x:f>'Assumptions'!$D$11+'Assumptions'!$D$12*(0.5-(G422+H422)/2)</x:f>
        <x:v>0.34444444444444444</x:v>
      </x:c>
      <x:c r="J422" s="27" t="n">
        <x:f>'Assumptions'!$D$8*EXP(-'Assumptions'!$D$9*('Fleet Engine'!E216-10))*'Assumptions'!E58*'Assumptions'!E36</x:f>
        <x:v>9048.374180359595</x:v>
      </x:c>
      <x:c r="K422" s="27" t="n">
        <x:f>'Source Data'!F221+LN('Assumptions'!D58)+LN('Assumptions'!E35)</x:f>
        <x:v>8.129564769703762</x:v>
      </x:c>
      <x:c r="L422" s="27" t="n">
        <x:f>J422*(1-I422*(1-'Carrier Engine'!E92))</x:f>
        <x:v>6056.378451387355</x:v>
      </x:c>
      <x:c r="M422" s="29" t="n">
        <x:f>NORM.S.DIST((LN(L422)-K422)/'Assumptions'!$D$10,TRUE)</x:f>
        <x:v>0.6439115766417938</x:v>
      </x:c>
      <x:c r="N422" s="30" t="n">
        <x:f>MAX(0,H422-MAX(G422,M422))</x:f>
        <x:v>0</x:v>
      </x:c>
      <x:c r="O422" s="28" t="n">
        <x:f>J422*I422</x:f>
        <x:v>3116.662217679416</x:v>
      </x:c>
      <x:c r="P422" s="27" t="n">
        <x:f>(VLOOKUP(O422,'Fee Data'!$C$6:$G$50,2,TRUE)+O422*VLOOKUP(O422,'Fee Data'!$C$6:$G$50,3,TRUE)+VLOOKUP(O422,'Fee Data'!$I$6:$J$14,2,TRUE)+'Fee Data'!$J$20+'Fee Data'!$J$21)*'Assumptions'!E37</x:f>
        <x:v>865</x:v>
      </x:c>
      <x:c r="Q422" s="27" t="n">
        <x:f>(VLOOKUP(O422,'Fee Data'!$C$6:$G$50,4,TRUE)+O422*VLOOKUP(O422,'Fee Data'!$C$6:$G$50,5,TRUE)+VLOOKUP(O422,'Fee Data'!$I$6:$J$14,2,TRUE)+'Fee Data'!$J$20+'Fee Data'!$J$21)*'Assumptions'!E37</x:f>
        <x:v>715</x:v>
      </x:c>
      <x:c r="R422" s="27" t="n">
        <x:f>P422*(1-'Assumptions'!$D$14)+Q422*'Assumptions'!$D$14</x:f>
        <x:v>790</x:v>
      </x:c>
      <x:c r="S422" s="27" t="n">
        <x:f>O422*'Carrier Engine'!E92</x:f>
        <x:v>124.66648870717665</x:v>
      </x:c>
      <x:c r="T422" s="28" t="n">
        <x:f>R422+S422</x:f>
        <x:v>914.6664887071767</x:v>
      </x:c>
      <x:c r="U422" s="27" t="n">
        <x:f>N422*'Fleet Engine'!G216</x:f>
        <x:v>0</x:v>
      </x:c>
      <x:c r="V422" s="28" t="n">
        <x:f>U422*T422</x:f>
        <x:v>0</x:v>
      </x:c>
      <x:c r="W422" s="28" t="n">
        <x:f>U422*O422</x:f>
        <x:v>0</x:v>
      </x:c>
    </x:row>
    <x:row r="423" ht="19" customHeight="1">
      <x:c r="A423" s="2"/>
      <x:c r="B423" s="2"/>
      <x:c r="C423" s="46" t="n">
        <x:v>1</x:v>
      </x:c>
      <x:c r="D423" s="46" t="n">
        <x:v>22</x:v>
      </x:c>
      <x:c r="E423" s="46" t="n">
        <x:v>3</x:v>
      </x:c>
      <x:c r="F423" s="46" t="n">
        <x:v>4</x:v>
      </x:c>
      <x:c r="G423" s="12" t="n">
        <x:v>0.3333333333333333</x:v>
      </x:c>
      <x:c r="H423" s="12" t="n">
        <x:v>0.4444444444444444</x:v>
      </x:c>
      <x:c r="I423" s="29" t="n">
        <x:f>'Assumptions'!$D$11+'Assumptions'!$D$12*(0.5-(G423+H423)/2)</x:f>
        <x:v>0.32222222222222224</x:v>
      </x:c>
      <x:c r="J423" s="27" t="n">
        <x:f>'Assumptions'!$D$8*EXP(-'Assumptions'!$D$9*('Fleet Engine'!E216-10))*'Assumptions'!E58*'Assumptions'!E36</x:f>
        <x:v>9048.374180359595</x:v>
      </x:c>
      <x:c r="K423" s="27" t="n">
        <x:f>'Source Data'!F221+LN('Assumptions'!D58)+LN('Assumptions'!E35)</x:f>
        <x:v>8.129564769703762</x:v>
      </x:c>
      <x:c r="L423" s="27" t="n">
        <x:f>J423*(1-I423*(1-'Carrier Engine'!E92))</x:f>
        <x:v>6249.410433901693</x:v>
      </x:c>
      <x:c r="M423" s="29" t="n">
        <x:f>NORM.S.DIST((LN(L423)-K423)/'Assumptions'!$D$10,TRUE)</x:f>
        <x:v>0.651330720808863</x:v>
      </x:c>
      <x:c r="N423" s="30" t="n">
        <x:f>MAX(0,H423-MAX(G423,M423))</x:f>
        <x:v>0</x:v>
      </x:c>
      <x:c r="O423" s="28" t="n">
        <x:f>J423*I423</x:f>
        <x:v>2915.5872358936476</x:v>
      </x:c>
      <x:c r="P423" s="27" t="n">
        <x:f>(VLOOKUP(O423,'Fee Data'!$C$6:$G$50,2,TRUE)+O423*VLOOKUP(O423,'Fee Data'!$C$6:$G$50,3,TRUE)+VLOOKUP(O423,'Fee Data'!$I$6:$J$14,2,TRUE)+'Fee Data'!$J$20+'Fee Data'!$J$21)*'Assumptions'!E37</x:f>
        <x:v>820</x:v>
      </x:c>
      <x:c r="Q423" s="27" t="n">
        <x:f>(VLOOKUP(O423,'Fee Data'!$C$6:$G$50,4,TRUE)+O423*VLOOKUP(O423,'Fee Data'!$C$6:$G$50,5,TRUE)+VLOOKUP(O423,'Fee Data'!$I$6:$J$14,2,TRUE)+'Fee Data'!$J$20+'Fee Data'!$J$21)*'Assumptions'!E37</x:f>
        <x:v>670</x:v>
      </x:c>
      <x:c r="R423" s="27" t="n">
        <x:f>P423*(1-'Assumptions'!$D$14)+Q423*'Assumptions'!$D$14</x:f>
        <x:v>745</x:v>
      </x:c>
      <x:c r="S423" s="27" t="n">
        <x:f>O423*'Carrier Engine'!E92</x:f>
        <x:v>116.62348943574592</x:v>
      </x:c>
      <x:c r="T423" s="28" t="n">
        <x:f>R423+S423</x:f>
        <x:v>861.6234894357459</x:v>
      </x:c>
      <x:c r="U423" s="27" t="n">
        <x:f>N423*'Fleet Engine'!G216</x:f>
        <x:v>0</x:v>
      </x:c>
      <x:c r="V423" s="28" t="n">
        <x:f>U423*T423</x:f>
        <x:v>0</x:v>
      </x:c>
      <x:c r="W423" s="28" t="n">
        <x:f>U423*O423</x:f>
        <x:v>0</x:v>
      </x:c>
    </x:row>
    <x:row r="424" ht="19" customHeight="1">
      <x:c r="A424" s="2"/>
      <x:c r="B424" s="2"/>
      <x:c r="C424" s="46" t="n">
        <x:v>1</x:v>
      </x:c>
      <x:c r="D424" s="46" t="n">
        <x:v>22</x:v>
      </x:c>
      <x:c r="E424" s="46" t="n">
        <x:v>3</x:v>
      </x:c>
      <x:c r="F424" s="46" t="n">
        <x:v>4</x:v>
      </x:c>
      <x:c r="G424" s="12" t="n">
        <x:v>0.4444444444444444</x:v>
      </x:c>
      <x:c r="H424" s="12" t="n">
        <x:v>0.5555555555555556</x:v>
      </x:c>
      <x:c r="I424" s="29" t="n">
        <x:f>'Assumptions'!$D$11+'Assumptions'!$D$12*(0.5-(G424+H424)/2)</x:f>
        <x:v>0.3</x:v>
      </x:c>
      <x:c r="J424" s="27" t="n">
        <x:f>'Assumptions'!$D$8*EXP(-'Assumptions'!$D$9*('Fleet Engine'!E216-10))*'Assumptions'!E58*'Assumptions'!E36</x:f>
        <x:v>9048.374180359595</x:v>
      </x:c>
      <x:c r="K424" s="27" t="n">
        <x:f>'Source Data'!F221+LN('Assumptions'!D58)+LN('Assumptions'!E35)</x:f>
        <x:v>8.129564769703762</x:v>
      </x:c>
      <x:c r="L424" s="27" t="n">
        <x:f>J424*(1-I424*(1-'Carrier Engine'!E92))</x:f>
        <x:v>6442.442416416031</x:v>
      </x:c>
      <x:c r="M424" s="29" t="n">
        <x:f>NORM.S.DIST((LN(L424)-K424)/'Assumptions'!$D$10,TRUE)</x:f>
        <x:v>0.6584693407393539</x:v>
      </x:c>
      <x:c r="N424" s="30" t="n">
        <x:f>MAX(0,H424-MAX(G424,M424))</x:f>
        <x:v>0</x:v>
      </x:c>
      <x:c r="O424" s="28" t="n">
        <x:f>J424*I424</x:f>
        <x:v>2714.5122541078786</x:v>
      </x:c>
      <x:c r="P424" s="27" t="n">
        <x:f>(VLOOKUP(O424,'Fee Data'!$C$6:$G$50,2,TRUE)+O424*VLOOKUP(O424,'Fee Data'!$C$6:$G$50,3,TRUE)+VLOOKUP(O424,'Fee Data'!$I$6:$J$14,2,TRUE)+'Fee Data'!$J$20+'Fee Data'!$J$21)*'Assumptions'!E37</x:f>
        <x:v>820</x:v>
      </x:c>
      <x:c r="Q424" s="27" t="n">
        <x:f>(VLOOKUP(O424,'Fee Data'!$C$6:$G$50,4,TRUE)+O424*VLOOKUP(O424,'Fee Data'!$C$6:$G$50,5,TRUE)+VLOOKUP(O424,'Fee Data'!$I$6:$J$14,2,TRUE)+'Fee Data'!$J$20+'Fee Data'!$J$21)*'Assumptions'!E37</x:f>
        <x:v>670</x:v>
      </x:c>
      <x:c r="R424" s="27" t="n">
        <x:f>P424*(1-'Assumptions'!$D$14)+Q424*'Assumptions'!$D$14</x:f>
        <x:v>745</x:v>
      </x:c>
      <x:c r="S424" s="27" t="n">
        <x:f>O424*'Carrier Engine'!E92</x:f>
        <x:v>108.58049016431517</x:v>
      </x:c>
      <x:c r="T424" s="28" t="n">
        <x:f>R424+S424</x:f>
        <x:v>853.5804901643152</x:v>
      </x:c>
      <x:c r="U424" s="27" t="n">
        <x:f>N424*'Fleet Engine'!G216</x:f>
        <x:v>0</x:v>
      </x:c>
      <x:c r="V424" s="28" t="n">
        <x:f>U424*T424</x:f>
        <x:v>0</x:v>
      </x:c>
      <x:c r="W424" s="28" t="n">
        <x:f>U424*O424</x:f>
        <x:v>0</x:v>
      </x:c>
    </x:row>
    <x:row r="425" ht="19" customHeight="1">
      <x:c r="A425" s="2"/>
      <x:c r="B425" s="2"/>
      <x:c r="C425" s="46" t="n">
        <x:v>1</x:v>
      </x:c>
      <x:c r="D425" s="46" t="n">
        <x:v>22</x:v>
      </x:c>
      <x:c r="E425" s="46" t="n">
        <x:v>3</x:v>
      </x:c>
      <x:c r="F425" s="46" t="n">
        <x:v>4</x:v>
      </x:c>
      <x:c r="G425" s="12" t="n">
        <x:v>0.5555555555555556</x:v>
      </x:c>
      <x:c r="H425" s="12" t="n">
        <x:v>0.6666666666666666</x:v>
      </x:c>
      <x:c r="I425" s="29" t="n">
        <x:f>'Assumptions'!$D$11+'Assumptions'!$D$12*(0.5-(G425+H425)/2)</x:f>
        <x:v>0.27777777777777773</x:v>
      </x:c>
      <x:c r="J425" s="27" t="n">
        <x:f>'Assumptions'!$D$8*EXP(-'Assumptions'!$D$9*('Fleet Engine'!E216-10))*'Assumptions'!E58*'Assumptions'!E36</x:f>
        <x:v>9048.374180359595</x:v>
      </x:c>
      <x:c r="K425" s="27" t="n">
        <x:f>'Source Data'!F221+LN('Assumptions'!D58)+LN('Assumptions'!E35)</x:f>
        <x:v>8.129564769703762</x:v>
      </x:c>
      <x:c r="L425" s="27" t="n">
        <x:f>J425*(1-I425*(1-'Carrier Engine'!E92))</x:f>
        <x:v>6635.47439893037</x:v>
      </x:c>
      <x:c r="M425" s="29" t="n">
        <x:f>NORM.S.DIST((LN(L425)-K425)/'Assumptions'!$D$10,TRUE)</x:f>
        <x:v>0.6653434401742447</x:v>
      </x:c>
      <x:c r="N425" s="30" t="n">
        <x:f>MAX(0,H425-MAX(G425,M425))</x:f>
        <x:v>0.0013232264924218917</x:v>
      </x:c>
      <x:c r="O425" s="28" t="n">
        <x:f>J425*I425</x:f>
        <x:v>2513.4372723221095</x:v>
      </x:c>
      <x:c r="P425" s="27" t="n">
        <x:f>(VLOOKUP(O425,'Fee Data'!$C$6:$G$50,2,TRUE)+O425*VLOOKUP(O425,'Fee Data'!$C$6:$G$50,3,TRUE)+VLOOKUP(O425,'Fee Data'!$I$6:$J$14,2,TRUE)+'Fee Data'!$J$20+'Fee Data'!$J$21)*'Assumptions'!E37</x:f>
        <x:v>820</x:v>
      </x:c>
      <x:c r="Q425" s="27" t="n">
        <x:f>(VLOOKUP(O425,'Fee Data'!$C$6:$G$50,4,TRUE)+O425*VLOOKUP(O425,'Fee Data'!$C$6:$G$50,5,TRUE)+VLOOKUP(O425,'Fee Data'!$I$6:$J$14,2,TRUE)+'Fee Data'!$J$20+'Fee Data'!$J$21)*'Assumptions'!E37</x:f>
        <x:v>670</x:v>
      </x:c>
      <x:c r="R425" s="27" t="n">
        <x:f>P425*(1-'Assumptions'!$D$14)+Q425*'Assumptions'!$D$14</x:f>
        <x:v>745</x:v>
      </x:c>
      <x:c r="S425" s="27" t="n">
        <x:f>O425*'Carrier Engine'!E92</x:f>
        <x:v>100.53749089288439</x:v>
      </x:c>
      <x:c r="T425" s="28" t="n">
        <x:f>R425+S425</x:f>
        <x:v>845.5374908928844</x:v>
      </x:c>
      <x:c r="U425" s="27" t="n">
        <x:f>N425*'Fleet Engine'!G216</x:f>
        <x:v>1.4284678274506655</x:v>
      </x:c>
      <x:c r="V425" s="28" t="n">
        <x:f>U425*T425</x:f>
        <x:v>1207.8231026438455</x:v>
      </x:c>
      <x:c r="W425" s="28" t="n">
        <x:f>U425*O425</x:f>
        <x:v>3590.3642798274905</x:v>
      </x:c>
    </x:row>
    <x:row r="426" ht="19" customHeight="1">
      <x:c r="A426" s="2"/>
      <x:c r="B426" s="2"/>
      <x:c r="C426" s="46" t="n">
        <x:v>1</x:v>
      </x:c>
      <x:c r="D426" s="46" t="n">
        <x:v>22</x:v>
      </x:c>
      <x:c r="E426" s="46" t="n">
        <x:v>3</x:v>
      </x:c>
      <x:c r="F426" s="46" t="n">
        <x:v>4</x:v>
      </x:c>
      <x:c r="G426" s="12" t="n">
        <x:v>0.6666666666666666</x:v>
      </x:c>
      <x:c r="H426" s="12" t="n">
        <x:v>0.7777777777777778</x:v>
      </x:c>
      <x:c r="I426" s="29" t="n">
        <x:f>'Assumptions'!$D$11+'Assumptions'!$D$12*(0.5-(G426+H426)/2)</x:f>
        <x:v>0.25555555555555554</x:v>
      </x:c>
      <x:c r="J426" s="27" t="n">
        <x:f>'Assumptions'!$D$8*EXP(-'Assumptions'!$D$9*('Fleet Engine'!E216-10))*'Assumptions'!E58*'Assumptions'!E36</x:f>
        <x:v>9048.374180359595</x:v>
      </x:c>
      <x:c r="K426" s="27" t="n">
        <x:f>'Source Data'!F221+LN('Assumptions'!D58)+LN('Assumptions'!E35)</x:f>
        <x:v>8.129564769703762</x:v>
      </x:c>
      <x:c r="L426" s="27" t="n">
        <x:f>J426*(1-I426*(1-'Carrier Engine'!E92))</x:f>
        <x:v>6828.506381444708</x:v>
      </x:c>
      <x:c r="M426" s="29" t="n">
        <x:f>NORM.S.DIST((LN(L426)-K426)/'Assumptions'!$D$10,TRUE)</x:f>
        <x:v>0.6719677892659592</x:v>
      </x:c>
      <x:c r="N426" s="30" t="n">
        <x:f>MAX(0,H426-MAX(G426,M426))</x:f>
        <x:v>0.10580998851181855</x:v>
      </x:c>
      <x:c r="O426" s="28" t="n">
        <x:f>J426*I426</x:f>
        <x:v>2312.362290536341</x:v>
      </x:c>
      <x:c r="P426" s="27" t="n">
        <x:f>(VLOOKUP(O426,'Fee Data'!$C$6:$G$50,2,TRUE)+O426*VLOOKUP(O426,'Fee Data'!$C$6:$G$50,3,TRUE)+VLOOKUP(O426,'Fee Data'!$I$6:$J$14,2,TRUE)+'Fee Data'!$J$20+'Fee Data'!$J$21)*'Assumptions'!E37</x:f>
        <x:v>745</x:v>
      </x:c>
      <x:c r="Q426" s="27" t="n">
        <x:f>(VLOOKUP(O426,'Fee Data'!$C$6:$G$50,4,TRUE)+O426*VLOOKUP(O426,'Fee Data'!$C$6:$G$50,5,TRUE)+VLOOKUP(O426,'Fee Data'!$I$6:$J$14,2,TRUE)+'Fee Data'!$J$20+'Fee Data'!$J$21)*'Assumptions'!E37</x:f>
        <x:v>600</x:v>
      </x:c>
      <x:c r="R426" s="27" t="n">
        <x:f>P426*(1-'Assumptions'!$D$14)+Q426*'Assumptions'!$D$14</x:f>
        <x:v>672.5</x:v>
      </x:c>
      <x:c r="S426" s="27" t="n">
        <x:f>O426*'Carrier Engine'!E92</x:f>
        <x:v>92.49449162145365</x:v>
      </x:c>
      <x:c r="T426" s="28" t="n">
        <x:f>R426+S426</x:f>
        <x:v>764.9944916214537</x:v>
      </x:c>
      <x:c r="U426" s="27" t="n">
        <x:f>N426*'Fleet Engine'!G216</x:f>
        <x:v>114.22546727840644</x:v>
      </x:c>
      <x:c r="V426" s="28" t="n">
        <x:f>U426*T426</x:f>
        <x:v>87381.85327086753</x:v>
      </x:c>
      <x:c r="W426" s="28" t="n">
        <x:f>U426*O426</x:f>
        <x:v>264130.66315347975</x:v>
      </x:c>
    </x:row>
    <x:row r="427" ht="19" customHeight="1">
      <x:c r="A427" s="2"/>
      <x:c r="B427" s="2"/>
      <x:c r="C427" s="46" t="n">
        <x:v>1</x:v>
      </x:c>
      <x:c r="D427" s="46" t="n">
        <x:v>22</x:v>
      </x:c>
      <x:c r="E427" s="46" t="n">
        <x:v>3</x:v>
      </x:c>
      <x:c r="F427" s="46" t="n">
        <x:v>4</x:v>
      </x:c>
      <x:c r="G427" s="12" t="n">
        <x:v>0.7777777777777778</x:v>
      </x:c>
      <x:c r="H427" s="12" t="n">
        <x:v>0.8888888888888888</x:v>
      </x:c>
      <x:c r="I427" s="29" t="n">
        <x:f>'Assumptions'!$D$11+'Assumptions'!$D$12*(0.5-(G427+H427)/2)</x:f>
        <x:v>0.23333333333333334</x:v>
      </x:c>
      <x:c r="J427" s="27" t="n">
        <x:f>'Assumptions'!$D$8*EXP(-'Assumptions'!$D$9*('Fleet Engine'!E216-10))*'Assumptions'!E58*'Assumptions'!E36</x:f>
        <x:v>9048.374180359595</x:v>
      </x:c>
      <x:c r="K427" s="27" t="n">
        <x:f>'Source Data'!F221+LN('Assumptions'!D58)+LN('Assumptions'!E35)</x:f>
        <x:v>8.129564769703762</x:v>
      </x:c>
      <x:c r="L427" s="27" t="n">
        <x:f>J427*(1-I427*(1-'Carrier Engine'!E92))</x:f>
        <x:v>7021.5383639590455</x:v>
      </x:c>
      <x:c r="M427" s="29" t="n">
        <x:f>NORM.S.DIST((LN(L427)-K427)/'Assumptions'!$D$10,TRUE)</x:f>
        <x:v>0.6783560443804386</x:v>
      </x:c>
      <x:c r="N427" s="30" t="n">
        <x:f>MAX(0,H427-MAX(G427,M427))</x:f>
        <x:v>0.11111111111111105</x:v>
      </x:c>
      <x:c r="O427" s="28" t="n">
        <x:f>J427*I427</x:f>
        <x:v>2111.2873087505723</x:v>
      </x:c>
      <x:c r="P427" s="27" t="n">
        <x:f>(VLOOKUP(O427,'Fee Data'!$C$6:$G$50,2,TRUE)+O427*VLOOKUP(O427,'Fee Data'!$C$6:$G$50,3,TRUE)+VLOOKUP(O427,'Fee Data'!$I$6:$J$14,2,TRUE)+'Fee Data'!$J$20+'Fee Data'!$J$21)*'Assumptions'!E37</x:f>
        <x:v>745</x:v>
      </x:c>
      <x:c r="Q427" s="27" t="n">
        <x:f>(VLOOKUP(O427,'Fee Data'!$C$6:$G$50,4,TRUE)+O427*VLOOKUP(O427,'Fee Data'!$C$6:$G$50,5,TRUE)+VLOOKUP(O427,'Fee Data'!$I$6:$J$14,2,TRUE)+'Fee Data'!$J$20+'Fee Data'!$J$21)*'Assumptions'!E37</x:f>
        <x:v>600</x:v>
      </x:c>
      <x:c r="R427" s="27" t="n">
        <x:f>P427*(1-'Assumptions'!$D$14)+Q427*'Assumptions'!$D$14</x:f>
        <x:v>672.5</x:v>
      </x:c>
      <x:c r="S427" s="27" t="n">
        <x:f>O427*'Carrier Engine'!E92</x:f>
        <x:v>84.4514923500229</x:v>
      </x:c>
      <x:c r="T427" s="28" t="n">
        <x:f>R427+S427</x:f>
        <x:v>756.9514923500229</x:v>
      </x:c>
      <x:c r="U427" s="27" t="n">
        <x:f>N427*'Fleet Engine'!G216</x:f>
        <x:v>119.94820871823441</x:v>
      </x:c>
      <x:c r="V427" s="28" t="n">
        <x:f>U427*T427</x:f>
        <x:v>90794.97559397957</x:v>
      </x:c>
      <x:c r="W427" s="28" t="n">
        <x:f>U427*O427</x:f>
        <x:v>253245.13077417307</x:v>
      </x:c>
    </x:row>
    <x:row r="428" ht="19" customHeight="1">
      <x:c r="A428" s="2"/>
      <x:c r="B428" s="2"/>
      <x:c r="C428" s="46" t="n">
        <x:v>1</x:v>
      </x:c>
      <x:c r="D428" s="46" t="n">
        <x:v>22</x:v>
      </x:c>
      <x:c r="E428" s="46" t="n">
        <x:v>3</x:v>
      </x:c>
      <x:c r="F428" s="46" t="n">
        <x:v>4</x:v>
      </x:c>
      <x:c r="G428" s="12" t="n">
        <x:v>0.8888888888888888</x:v>
      </x:c>
      <x:c r="H428" s="12" t="n">
        <x:v>1</x:v>
      </x:c>
      <x:c r="I428" s="29" t="n">
        <x:f>'Assumptions'!$D$11+'Assumptions'!$D$12*(0.5-(G428+H428)/2)</x:f>
        <x:v>0.21111111111111108</x:v>
      </x:c>
      <x:c r="J428" s="27" t="n">
        <x:f>'Assumptions'!$D$8*EXP(-'Assumptions'!$D$9*('Fleet Engine'!E216-10))*'Assumptions'!E58*'Assumptions'!E36</x:f>
        <x:v>9048.374180359595</x:v>
      </x:c>
      <x:c r="K428" s="27" t="n">
        <x:f>'Source Data'!F221+LN('Assumptions'!D58)+LN('Assumptions'!E35)</x:f>
        <x:v>8.129564769703762</x:v>
      </x:c>
      <x:c r="L428" s="27" t="n">
        <x:f>J428*(1-I428*(1-'Carrier Engine'!E92))</x:f>
        <x:v>7214.570346473383</x:v>
      </x:c>
      <x:c r="M428" s="29" t="n">
        <x:f>NORM.S.DIST((LN(L428)-K428)/'Assumptions'!$D$10,TRUE)</x:f>
        <x:v>0.6845208539134946</x:v>
      </x:c>
      <x:c r="N428" s="30" t="n">
        <x:f>MAX(0,H428-MAX(G428,M428))</x:f>
        <x:v>0.11111111111111116</x:v>
      </x:c>
      <x:c r="O428" s="28" t="n">
        <x:f>J428*I428</x:f>
        <x:v>1910.2123269648032</x:v>
      </x:c>
      <x:c r="P428" s="27" t="n">
        <x:f>(VLOOKUP(O428,'Fee Data'!$C$6:$G$50,2,TRUE)+O428*VLOOKUP(O428,'Fee Data'!$C$6:$G$50,3,TRUE)+VLOOKUP(O428,'Fee Data'!$I$6:$J$14,2,TRUE)+'Fee Data'!$J$20+'Fee Data'!$J$21)*'Assumptions'!E37</x:f>
        <x:v>705</x:v>
      </x:c>
      <x:c r="Q428" s="27" t="n">
        <x:f>(VLOOKUP(O428,'Fee Data'!$C$6:$G$50,4,TRUE)+O428*VLOOKUP(O428,'Fee Data'!$C$6:$G$50,5,TRUE)+VLOOKUP(O428,'Fee Data'!$I$6:$J$14,2,TRUE)+'Fee Data'!$J$20+'Fee Data'!$J$21)*'Assumptions'!E37</x:f>
        <x:v>565</x:v>
      </x:c>
      <x:c r="R428" s="27" t="n">
        <x:f>P428*(1-'Assumptions'!$D$14)+Q428*'Assumptions'!$D$14</x:f>
        <x:v>635</x:v>
      </x:c>
      <x:c r="S428" s="27" t="n">
        <x:f>O428*'Carrier Engine'!E92</x:f>
        <x:v>76.40849307859214</x:v>
      </x:c>
      <x:c r="T428" s="28" t="n">
        <x:f>R428+S428</x:f>
        <x:v>711.4084930785922</x:v>
      </x:c>
      <x:c r="U428" s="27" t="n">
        <x:f>N428*'Fleet Engine'!G216</x:f>
        <x:v>119.94820871823454</x:v>
      </x:c>
      <x:c r="V428" s="28" t="n">
        <x:f>U428*T428</x:f>
        <x:v>85332.17441171569</x:v>
      </x:c>
      <x:c r="W428" s="28" t="n">
        <x:f>U428*O428</x:f>
        <x:v>229126.5468909187</x:v>
      </x:c>
    </x:row>
    <x:row r="429" ht="19" customHeight="1">
      <x:c r="A429" s="2"/>
      <x:c r="B429" s="2"/>
      <x:c r="C429" s="46" t="n">
        <x:v>1</x:v>
      </x:c>
      <x:c r="D429" s="46" t="n">
        <x:v>23</x:v>
      </x:c>
      <x:c r="E429" s="46" t="n">
        <x:v>3</x:v>
      </x:c>
      <x:c r="F429" s="46" t="n">
        <x:v>5</x:v>
      </x:c>
      <x:c r="G429" s="12" t="n">
        <x:v>0</x:v>
      </x:c>
      <x:c r="H429" s="12" t="n">
        <x:v>0.1111111111111111</x:v>
      </x:c>
      <x:c r="I429" s="29" t="n">
        <x:f>'Assumptions'!$D$11+'Assumptions'!$D$12*(0.5-(G429+H429)/2)</x:f>
        <x:v>0.3888888888888889</x:v>
      </x:c>
      <x:c r="J429" s="27" t="n">
        <x:f>'Assumptions'!$D$8*EXP(-'Assumptions'!$D$9*('Fleet Engine'!E217-10))*'Assumptions'!E58*'Assumptions'!E36</x:f>
        <x:v>4965.853037914095</x:v>
      </x:c>
      <x:c r="K429" s="27" t="n">
        <x:f>'Source Data'!F222+LN('Assumptions'!D58)+LN('Assumptions'!E35)</x:f>
        <x:v>8.030635919980082</x:v>
      </x:c>
      <x:c r="L429" s="27" t="n">
        <x:f>J429*(1-I429*(1-'Carrier Engine'!E92))</x:f>
        <x:v>3111.9345704261664</x:v>
      </x:c>
      <x:c r="M429" s="29" t="n">
        <x:f>NORM.S.DIST((LN(L429)-K429)/'Assumptions'!$D$10,TRUE)</x:f>
        <x:v>0.5031412742530323</x:v>
      </x:c>
      <x:c r="N429" s="30" t="n">
        <x:f>MAX(0,H429-MAX(G429,M429))</x:f>
        <x:v>0</x:v>
      </x:c>
      <x:c r="O429" s="28" t="n">
        <x:f>J429*I429</x:f>
        <x:v>1931.1650702999257</x:v>
      </x:c>
      <x:c r="P429" s="27" t="n">
        <x:f>(VLOOKUP(O429,'Fee Data'!$C$6:$G$50,2,TRUE)+O429*VLOOKUP(O429,'Fee Data'!$C$6:$G$50,3,TRUE)+VLOOKUP(O429,'Fee Data'!$I$6:$J$14,2,TRUE)+'Fee Data'!$J$20+'Fee Data'!$J$21)*'Assumptions'!E37</x:f>
        <x:v>705</x:v>
      </x:c>
      <x:c r="Q429" s="27" t="n">
        <x:f>(VLOOKUP(O429,'Fee Data'!$C$6:$G$50,4,TRUE)+O429*VLOOKUP(O429,'Fee Data'!$C$6:$G$50,5,TRUE)+VLOOKUP(O429,'Fee Data'!$I$6:$J$14,2,TRUE)+'Fee Data'!$J$20+'Fee Data'!$J$21)*'Assumptions'!E37</x:f>
        <x:v>565</x:v>
      </x:c>
      <x:c r="R429" s="27" t="n">
        <x:f>P429*(1-'Assumptions'!$D$14)+Q429*'Assumptions'!$D$14</x:f>
        <x:v>635</x:v>
      </x:c>
      <x:c r="S429" s="27" t="n">
        <x:f>O429*'Carrier Engine'!E92</x:f>
        <x:v>77.24660281199704</x:v>
      </x:c>
      <x:c r="T429" s="28" t="n">
        <x:f>R429+S429</x:f>
        <x:v>712.246602811997</x:v>
      </x:c>
      <x:c r="U429" s="27" t="n">
        <x:f>N429*'Fleet Engine'!G217</x:f>
        <x:v>0</x:v>
      </x:c>
      <x:c r="V429" s="28" t="n">
        <x:f>U429*T429</x:f>
        <x:v>0</x:v>
      </x:c>
      <x:c r="W429" s="28" t="n">
        <x:f>U429*O429</x:f>
        <x:v>0</x:v>
      </x:c>
    </x:row>
    <x:row r="430" ht="19" customHeight="1">
      <x:c r="A430" s="2"/>
      <x:c r="B430" s="2"/>
      <x:c r="C430" s="46" t="n">
        <x:v>1</x:v>
      </x:c>
      <x:c r="D430" s="46" t="n">
        <x:v>23</x:v>
      </x:c>
      <x:c r="E430" s="46" t="n">
        <x:v>3</x:v>
      </x:c>
      <x:c r="F430" s="46" t="n">
        <x:v>5</x:v>
      </x:c>
      <x:c r="G430" s="12" t="n">
        <x:v>0.1111111111111111</x:v>
      </x:c>
      <x:c r="H430" s="12" t="n">
        <x:v>0.2222222222222222</x:v>
      </x:c>
      <x:c r="I430" s="29" t="n">
        <x:f>'Assumptions'!$D$11+'Assumptions'!$D$12*(0.5-(G430+H430)/2)</x:f>
        <x:v>0.3666666666666667</x:v>
      </x:c>
      <x:c r="J430" s="27" t="n">
        <x:f>'Assumptions'!$D$8*EXP(-'Assumptions'!$D$9*('Fleet Engine'!E217-10))*'Assumptions'!E58*'Assumptions'!E36</x:f>
        <x:v>4965.853037914095</x:v>
      </x:c>
      <x:c r="K430" s="27" t="n">
        <x:f>'Source Data'!F222+LN('Assumptions'!D58)+LN('Assumptions'!E35)</x:f>
        <x:v>8.030635919980082</x:v>
      </x:c>
      <x:c r="L430" s="27" t="n">
        <x:f>J430*(1-I430*(1-'Carrier Engine'!E92))</x:f>
        <x:v>3217.872768568333</x:v>
      </x:c>
      <x:c r="M430" s="29" t="n">
        <x:f>NORM.S.DIST((LN(L430)-K430)/'Assumptions'!$D$10,TRUE)</x:f>
        <x:v>0.511644883114373</x:v>
      </x:c>
      <x:c r="N430" s="30" t="n">
        <x:f>MAX(0,H430-MAX(G430,M430))</x:f>
        <x:v>0</x:v>
      </x:c>
      <x:c r="O430" s="28" t="n">
        <x:f>J430*I430</x:f>
        <x:v>1820.8127805685015</x:v>
      </x:c>
      <x:c r="P430" s="27" t="n">
        <x:f>(VLOOKUP(O430,'Fee Data'!$C$6:$G$50,2,TRUE)+O430*VLOOKUP(O430,'Fee Data'!$C$6:$G$50,3,TRUE)+VLOOKUP(O430,'Fee Data'!$I$6:$J$14,2,TRUE)+'Fee Data'!$J$20+'Fee Data'!$J$21)*'Assumptions'!E37</x:f>
        <x:v>705</x:v>
      </x:c>
      <x:c r="Q430" s="27" t="n">
        <x:f>(VLOOKUP(O430,'Fee Data'!$C$6:$G$50,4,TRUE)+O430*VLOOKUP(O430,'Fee Data'!$C$6:$G$50,5,TRUE)+VLOOKUP(O430,'Fee Data'!$I$6:$J$14,2,TRUE)+'Fee Data'!$J$20+'Fee Data'!$J$21)*'Assumptions'!E37</x:f>
        <x:v>565</x:v>
      </x:c>
      <x:c r="R430" s="27" t="n">
        <x:f>P430*(1-'Assumptions'!$D$14)+Q430*'Assumptions'!$D$14</x:f>
        <x:v>635</x:v>
      </x:c>
      <x:c r="S430" s="27" t="n">
        <x:f>O430*'Carrier Engine'!E92</x:f>
        <x:v>72.83251122274007</x:v>
      </x:c>
      <x:c r="T430" s="28" t="n">
        <x:f>R430+S430</x:f>
        <x:v>707.8325112227401</x:v>
      </x:c>
      <x:c r="U430" s="27" t="n">
        <x:f>N430*'Fleet Engine'!G217</x:f>
        <x:v>0</x:v>
      </x:c>
      <x:c r="V430" s="28" t="n">
        <x:f>U430*T430</x:f>
        <x:v>0</x:v>
      </x:c>
      <x:c r="W430" s="28" t="n">
        <x:f>U430*O430</x:f>
        <x:v>0</x:v>
      </x:c>
    </x:row>
    <x:row r="431" ht="19" customHeight="1">
      <x:c r="A431" s="2"/>
      <x:c r="B431" s="2"/>
      <x:c r="C431" s="46" t="n">
        <x:v>1</x:v>
      </x:c>
      <x:c r="D431" s="46" t="n">
        <x:v>23</x:v>
      </x:c>
      <x:c r="E431" s="46" t="n">
        <x:v>3</x:v>
      </x:c>
      <x:c r="F431" s="46" t="n">
        <x:v>5</x:v>
      </x:c>
      <x:c r="G431" s="12" t="n">
        <x:v>0.2222222222222222</x:v>
      </x:c>
      <x:c r="H431" s="12" t="n">
        <x:v>0.3333333333333333</x:v>
      </x:c>
      <x:c r="I431" s="29" t="n">
        <x:f>'Assumptions'!$D$11+'Assumptions'!$D$12*(0.5-(G431+H431)/2)</x:f>
        <x:v>0.34444444444444444</x:v>
      </x:c>
      <x:c r="J431" s="27" t="n">
        <x:f>'Assumptions'!$D$8*EXP(-'Assumptions'!$D$9*('Fleet Engine'!E217-10))*'Assumptions'!E58*'Assumptions'!E36</x:f>
        <x:v>4965.853037914095</x:v>
      </x:c>
      <x:c r="K431" s="27" t="n">
        <x:f>'Source Data'!F222+LN('Assumptions'!D58)+LN('Assumptions'!E35)</x:f>
        <x:v>8.030635919980082</x:v>
      </x:c>
      <x:c r="L431" s="27" t="n">
        <x:f>J431*(1-I431*(1-'Carrier Engine'!E92))</x:f>
        <x:v>3323.810966710501</x:v>
      </x:c>
      <x:c r="M431" s="29" t="n">
        <x:f>NORM.S.DIST((LN(L431)-K431)/'Assumptions'!$D$10,TRUE)</x:f>
        <x:v>0.5198680257298949</x:v>
      </x:c>
      <x:c r="N431" s="30" t="n">
        <x:f>MAX(0,H431-MAX(G431,M431))</x:f>
        <x:v>0</x:v>
      </x:c>
      <x:c r="O431" s="28" t="n">
        <x:f>J431*I431</x:f>
        <x:v>1710.460490837077</x:v>
      </x:c>
      <x:c r="P431" s="27" t="n">
        <x:f>(VLOOKUP(O431,'Fee Data'!$C$6:$G$50,2,TRUE)+O431*VLOOKUP(O431,'Fee Data'!$C$6:$G$50,3,TRUE)+VLOOKUP(O431,'Fee Data'!$I$6:$J$14,2,TRUE)+'Fee Data'!$J$20+'Fee Data'!$J$21)*'Assumptions'!E37</x:f>
        <x:v>680</x:v>
      </x:c>
      <x:c r="Q431" s="27" t="n">
        <x:f>(VLOOKUP(O431,'Fee Data'!$C$6:$G$50,4,TRUE)+O431*VLOOKUP(O431,'Fee Data'!$C$6:$G$50,5,TRUE)+VLOOKUP(O431,'Fee Data'!$I$6:$J$14,2,TRUE)+'Fee Data'!$J$20+'Fee Data'!$J$21)*'Assumptions'!E37</x:f>
        <x:v>545</x:v>
      </x:c>
      <x:c r="R431" s="27" t="n">
        <x:f>P431*(1-'Assumptions'!$D$14)+Q431*'Assumptions'!$D$14</x:f>
        <x:v>612.5</x:v>
      </x:c>
      <x:c r="S431" s="27" t="n">
        <x:f>O431*'Carrier Engine'!E92</x:f>
        <x:v>68.4184196334831</x:v>
      </x:c>
      <x:c r="T431" s="28" t="n">
        <x:f>R431+S431</x:f>
        <x:v>680.9184196334832</x:v>
      </x:c>
      <x:c r="U431" s="27" t="n">
        <x:f>N431*'Fleet Engine'!G217</x:f>
        <x:v>0</x:v>
      </x:c>
      <x:c r="V431" s="28" t="n">
        <x:f>U431*T431</x:f>
        <x:v>0</x:v>
      </x:c>
      <x:c r="W431" s="28" t="n">
        <x:f>U431*O431</x:f>
        <x:v>0</x:v>
      </x:c>
    </x:row>
    <x:row r="432" ht="19" customHeight="1">
      <x:c r="A432" s="2"/>
      <x:c r="B432" s="2"/>
      <x:c r="C432" s="46" t="n">
        <x:v>1</x:v>
      </x:c>
      <x:c r="D432" s="46" t="n">
        <x:v>23</x:v>
      </x:c>
      <x:c r="E432" s="46" t="n">
        <x:v>3</x:v>
      </x:c>
      <x:c r="F432" s="46" t="n">
        <x:v>5</x:v>
      </x:c>
      <x:c r="G432" s="12" t="n">
        <x:v>0.3333333333333333</x:v>
      </x:c>
      <x:c r="H432" s="12" t="n">
        <x:v>0.4444444444444444</x:v>
      </x:c>
      <x:c r="I432" s="29" t="n">
        <x:f>'Assumptions'!$D$11+'Assumptions'!$D$12*(0.5-(G432+H432)/2)</x:f>
        <x:v>0.32222222222222224</x:v>
      </x:c>
      <x:c r="J432" s="27" t="n">
        <x:f>'Assumptions'!$D$8*EXP(-'Assumptions'!$D$9*('Fleet Engine'!E217-10))*'Assumptions'!E58*'Assumptions'!E36</x:f>
        <x:v>4965.853037914095</x:v>
      </x:c>
      <x:c r="K432" s="27" t="n">
        <x:f>'Source Data'!F222+LN('Assumptions'!D58)+LN('Assumptions'!E35)</x:f>
        <x:v>8.030635919980082</x:v>
      </x:c>
      <x:c r="L432" s="27" t="n">
        <x:f>J432*(1-I432*(1-'Carrier Engine'!E92))</x:f>
        <x:v>3429.749164852668</x:v>
      </x:c>
      <x:c r="M432" s="29" t="n">
        <x:f>NORM.S.DIST((LN(L432)-K432)/'Assumptions'!$D$10,TRUE)</x:f>
        <x:v>0.5278251256486162</x:v>
      </x:c>
      <x:c r="N432" s="30" t="n">
        <x:f>MAX(0,H432-MAX(G432,M432))</x:f>
        <x:v>0</x:v>
      </x:c>
      <x:c r="O432" s="28" t="n">
        <x:f>J432*I432</x:f>
        <x:v>1600.1082011056528</x:v>
      </x:c>
      <x:c r="P432" s="27" t="n">
        <x:f>(VLOOKUP(O432,'Fee Data'!$C$6:$G$50,2,TRUE)+O432*VLOOKUP(O432,'Fee Data'!$C$6:$G$50,3,TRUE)+VLOOKUP(O432,'Fee Data'!$I$6:$J$14,2,TRUE)+'Fee Data'!$J$20+'Fee Data'!$J$21)*'Assumptions'!E37</x:f>
        <x:v>660</x:v>
      </x:c>
      <x:c r="Q432" s="27" t="n">
        <x:f>(VLOOKUP(O432,'Fee Data'!$C$6:$G$50,4,TRUE)+O432*VLOOKUP(O432,'Fee Data'!$C$6:$G$50,5,TRUE)+VLOOKUP(O432,'Fee Data'!$I$6:$J$14,2,TRUE)+'Fee Data'!$J$20+'Fee Data'!$J$21)*'Assumptions'!E37</x:f>
        <x:v>525</x:v>
      </x:c>
      <x:c r="R432" s="27" t="n">
        <x:f>P432*(1-'Assumptions'!$D$14)+Q432*'Assumptions'!$D$14</x:f>
        <x:v>592.5</x:v>
      </x:c>
      <x:c r="S432" s="27" t="n">
        <x:f>O432*'Carrier Engine'!E92</x:f>
        <x:v>64.00432804422613</x:v>
      </x:c>
      <x:c r="T432" s="28" t="n">
        <x:f>R432+S432</x:f>
        <x:v>656.5043280442261</x:v>
      </x:c>
      <x:c r="U432" s="27" t="n">
        <x:f>N432*'Fleet Engine'!G217</x:f>
        <x:v>0</x:v>
      </x:c>
      <x:c r="V432" s="28" t="n">
        <x:f>U432*T432</x:f>
        <x:v>0</x:v>
      </x:c>
      <x:c r="W432" s="28" t="n">
        <x:f>U432*O432</x:f>
        <x:v>0</x:v>
      </x:c>
    </x:row>
    <x:row r="433" ht="19" customHeight="1">
      <x:c r="A433" s="2"/>
      <x:c r="B433" s="2"/>
      <x:c r="C433" s="46" t="n">
        <x:v>1</x:v>
      </x:c>
      <x:c r="D433" s="46" t="n">
        <x:v>23</x:v>
      </x:c>
      <x:c r="E433" s="46" t="n">
        <x:v>3</x:v>
      </x:c>
      <x:c r="F433" s="46" t="n">
        <x:v>5</x:v>
      </x:c>
      <x:c r="G433" s="12" t="n">
        <x:v>0.4444444444444444</x:v>
      </x:c>
      <x:c r="H433" s="12" t="n">
        <x:v>0.5555555555555556</x:v>
      </x:c>
      <x:c r="I433" s="29" t="n">
        <x:f>'Assumptions'!$D$11+'Assumptions'!$D$12*(0.5-(G433+H433)/2)</x:f>
        <x:v>0.3</x:v>
      </x:c>
      <x:c r="J433" s="27" t="n">
        <x:f>'Assumptions'!$D$8*EXP(-'Assumptions'!$D$9*('Fleet Engine'!E217-10))*'Assumptions'!E58*'Assumptions'!E36</x:f>
        <x:v>4965.853037914095</x:v>
      </x:c>
      <x:c r="K433" s="27" t="n">
        <x:f>'Source Data'!F222+LN('Assumptions'!D58)+LN('Assumptions'!E35)</x:f>
        <x:v>8.030635919980082</x:v>
      </x:c>
      <x:c r="L433" s="27" t="n">
        <x:f>J433*(1-I433*(1-'Carrier Engine'!E92))</x:f>
        <x:v>3535.6873629948354</x:v>
      </x:c>
      <x:c r="M433" s="29" t="n">
        <x:f>NORM.S.DIST((LN(L433)-K433)/'Assumptions'!$D$10,TRUE)</x:f>
        <x:v>0.5355295877473003</x:v>
      </x:c>
      <x:c r="N433" s="30" t="n">
        <x:f>MAX(0,H433-MAX(G433,M433))</x:f>
        <x:v>0.020025967808255274</x:v>
      </x:c>
      <x:c r="O433" s="28" t="n">
        <x:f>J433*I433</x:f>
        <x:v>1489.7559113742284</x:v>
      </x:c>
      <x:c r="P433" s="27" t="n">
        <x:f>(VLOOKUP(O433,'Fee Data'!$C$6:$G$50,2,TRUE)+O433*VLOOKUP(O433,'Fee Data'!$C$6:$G$50,3,TRUE)+VLOOKUP(O433,'Fee Data'!$I$6:$J$14,2,TRUE)+'Fee Data'!$J$20+'Fee Data'!$J$21)*'Assumptions'!E37</x:f>
        <x:v>615</x:v>
      </x:c>
      <x:c r="Q433" s="27" t="n">
        <x:f>(VLOOKUP(O433,'Fee Data'!$C$6:$G$50,4,TRUE)+O433*VLOOKUP(O433,'Fee Data'!$C$6:$G$50,5,TRUE)+VLOOKUP(O433,'Fee Data'!$I$6:$J$14,2,TRUE)+'Fee Data'!$J$20+'Fee Data'!$J$21)*'Assumptions'!E37</x:f>
        <x:v>485</x:v>
      </x:c>
      <x:c r="R433" s="27" t="n">
        <x:f>P433*(1-'Assumptions'!$D$14)+Q433*'Assumptions'!$D$14</x:f>
        <x:v>550</x:v>
      </x:c>
      <x:c r="S433" s="27" t="n">
        <x:f>O433*'Carrier Engine'!E92</x:f>
        <x:v>59.590236454969144</x:v>
      </x:c>
      <x:c r="T433" s="28" t="n">
        <x:f>R433+S433</x:f>
        <x:v>609.5902364549692</x:v>
      </x:c>
      <x:c r="U433" s="27" t="n">
        <x:f>N433*'Fleet Engine'!G217</x:f>
        <x:v>26.76522776753089</x:v>
      </x:c>
      <x:c r="V433" s="28" t="n">
        <x:f>U433*T433</x:f>
        <x:v>16315.821523580262</x:v>
      </x:c>
      <x:c r="W433" s="28" t="n">
        <x:f>U433*O433</x:f>
        <x:v>39873.656285956786</x:v>
      </x:c>
    </x:row>
    <x:row r="434" ht="19" customHeight="1">
      <x:c r="A434" s="2"/>
      <x:c r="B434" s="2"/>
      <x:c r="C434" s="46" t="n">
        <x:v>1</x:v>
      </x:c>
      <x:c r="D434" s="46" t="n">
        <x:v>23</x:v>
      </x:c>
      <x:c r="E434" s="46" t="n">
        <x:v>3</x:v>
      </x:c>
      <x:c r="F434" s="46" t="n">
        <x:v>5</x:v>
      </x:c>
      <x:c r="G434" s="12" t="n">
        <x:v>0.5555555555555556</x:v>
      </x:c>
      <x:c r="H434" s="12" t="n">
        <x:v>0.6666666666666666</x:v>
      </x:c>
      <x:c r="I434" s="29" t="n">
        <x:f>'Assumptions'!$D$11+'Assumptions'!$D$12*(0.5-(G434+H434)/2)</x:f>
        <x:v>0.27777777777777773</x:v>
      </x:c>
      <x:c r="J434" s="27" t="n">
        <x:f>'Assumptions'!$D$8*EXP(-'Assumptions'!$D$9*('Fleet Engine'!E217-10))*'Assumptions'!E58*'Assumptions'!E36</x:f>
        <x:v>4965.853037914095</x:v>
      </x:c>
      <x:c r="K434" s="27" t="n">
        <x:f>'Source Data'!F222+LN('Assumptions'!D58)+LN('Assumptions'!E35)</x:f>
        <x:v>8.030635919980082</x:v>
      </x:c>
      <x:c r="L434" s="27" t="n">
        <x:f>J434*(1-I434*(1-'Carrier Engine'!E92))</x:f>
        <x:v>3641.625561137003</x:v>
      </x:c>
      <x:c r="M434" s="29" t="n">
        <x:f>NORM.S.DIST((LN(L434)-K434)/'Assumptions'!$D$10,TRUE)</x:f>
        <x:v>0.5429938893858242</x:v>
      </x:c>
      <x:c r="N434" s="30" t="n">
        <x:f>MAX(0,H434-MAX(G434,M434))</x:f>
        <x:v>0.11111111111111105</x:v>
      </x:c>
      <x:c r="O434" s="28" t="n">
        <x:f>J434*I434</x:f>
        <x:v>1379.403621642804</x:v>
      </x:c>
      <x:c r="P434" s="27" t="n">
        <x:f>(VLOOKUP(O434,'Fee Data'!$C$6:$G$50,2,TRUE)+O434*VLOOKUP(O434,'Fee Data'!$C$6:$G$50,3,TRUE)+VLOOKUP(O434,'Fee Data'!$I$6:$J$14,2,TRUE)+'Fee Data'!$J$20+'Fee Data'!$J$21)*'Assumptions'!E37</x:f>
        <x:v>595</x:v>
      </x:c>
      <x:c r="Q434" s="27" t="n">
        <x:f>(VLOOKUP(O434,'Fee Data'!$C$6:$G$50,4,TRUE)+O434*VLOOKUP(O434,'Fee Data'!$C$6:$G$50,5,TRUE)+VLOOKUP(O434,'Fee Data'!$I$6:$J$14,2,TRUE)+'Fee Data'!$J$20+'Fee Data'!$J$21)*'Assumptions'!E37</x:f>
        <x:v>470</x:v>
      </x:c>
      <x:c r="R434" s="27" t="n">
        <x:f>P434*(1-'Assumptions'!$D$14)+Q434*'Assumptions'!$D$14</x:f>
        <x:v>532.5</x:v>
      </x:c>
      <x:c r="S434" s="27" t="n">
        <x:f>O434*'Carrier Engine'!E92</x:f>
        <x:v>55.17614486571217</x:v>
      </x:c>
      <x:c r="T434" s="28" t="n">
        <x:f>R434+S434</x:f>
        <x:v>587.6761448657122</x:v>
      </x:c>
      <x:c r="U434" s="27" t="n">
        <x:f>N434*'Fleet Engine'!G217</x:f>
        <x:v>148.50289508437078</x:v>
      </x:c>
      <x:c r="V434" s="28" t="n">
        <x:f>U434*T434</x:f>
        <x:v>87271.60888458035</x:v>
      </x:c>
      <x:c r="W434" s="28" t="n">
        <x:f>U434*O434</x:f>
        <x:v>204845.4313038224</x:v>
      </x:c>
    </x:row>
    <x:row r="435" ht="19" customHeight="1">
      <x:c r="A435" s="2"/>
      <x:c r="B435" s="2"/>
      <x:c r="C435" s="46" t="n">
        <x:v>1</x:v>
      </x:c>
      <x:c r="D435" s="46" t="n">
        <x:v>23</x:v>
      </x:c>
      <x:c r="E435" s="46" t="n">
        <x:v>3</x:v>
      </x:c>
      <x:c r="F435" s="46" t="n">
        <x:v>5</x:v>
      </x:c>
      <x:c r="G435" s="12" t="n">
        <x:v>0.6666666666666666</x:v>
      </x:c>
      <x:c r="H435" s="12" t="n">
        <x:v>0.7777777777777778</x:v>
      </x:c>
      <x:c r="I435" s="29" t="n">
        <x:f>'Assumptions'!$D$11+'Assumptions'!$D$12*(0.5-(G435+H435)/2)</x:f>
        <x:v>0.25555555555555554</x:v>
      </x:c>
      <x:c r="J435" s="27" t="n">
        <x:f>'Assumptions'!$D$8*EXP(-'Assumptions'!$D$9*('Fleet Engine'!E217-10))*'Assumptions'!E58*'Assumptions'!E36</x:f>
        <x:v>4965.853037914095</x:v>
      </x:c>
      <x:c r="K435" s="27" t="n">
        <x:f>'Source Data'!F222+LN('Assumptions'!D58)+LN('Assumptions'!E35)</x:f>
        <x:v>8.030635919980082</x:v>
      </x:c>
      <x:c r="L435" s="27" t="n">
        <x:f>J435*(1-I435*(1-'Carrier Engine'!E92))</x:f>
        <x:v>3747.5637592791704</x:v>
      </x:c>
      <x:c r="M435" s="29" t="n">
        <x:f>NORM.S.DIST((LN(L435)-K435)/'Assumptions'!$D$10,TRUE)</x:f>
        <x:v>0.5502296617814866</x:v>
      </x:c>
      <x:c r="N435" s="30" t="n">
        <x:f>MAX(0,H435-MAX(G435,M435))</x:f>
        <x:v>0.11111111111111116</x:v>
      </x:c>
      <x:c r="O435" s="28" t="n">
        <x:f>J435*I435</x:f>
        <x:v>1269.0513319113797</x:v>
      </x:c>
      <x:c r="P435" s="27" t="n">
        <x:f>(VLOOKUP(O435,'Fee Data'!$C$6:$G$50,2,TRUE)+O435*VLOOKUP(O435,'Fee Data'!$C$6:$G$50,3,TRUE)+VLOOKUP(O435,'Fee Data'!$I$6:$J$14,2,TRUE)+'Fee Data'!$J$20+'Fee Data'!$J$21)*'Assumptions'!E37</x:f>
        <x:v>580</x:v>
      </x:c>
      <x:c r="Q435" s="27" t="n">
        <x:f>(VLOOKUP(O435,'Fee Data'!$C$6:$G$50,4,TRUE)+O435*VLOOKUP(O435,'Fee Data'!$C$6:$G$50,5,TRUE)+VLOOKUP(O435,'Fee Data'!$I$6:$J$14,2,TRUE)+'Fee Data'!$J$20+'Fee Data'!$J$21)*'Assumptions'!E37</x:f>
        <x:v>455</x:v>
      </x:c>
      <x:c r="R435" s="27" t="n">
        <x:f>P435*(1-'Assumptions'!$D$14)+Q435*'Assumptions'!$D$14</x:f>
        <x:v>517.5</x:v>
      </x:c>
      <x:c r="S435" s="27" t="n">
        <x:f>O435*'Carrier Engine'!E92</x:f>
        <x:v>50.7620532764552</x:v>
      </x:c>
      <x:c r="T435" s="28" t="n">
        <x:f>R435+S435</x:f>
        <x:v>568.2620532764552</x:v>
      </x:c>
      <x:c r="U435" s="27" t="n">
        <x:f>N435*'Fleet Engine'!G217</x:f>
        <x:v>148.50289508437095</x:v>
      </x:c>
      <x:c r="V435" s="28" t="n">
        <x:f>U435*T435</x:f>
        <x:v>84388.56007814263</x:v>
      </x:c>
      <x:c r="W435" s="28" t="n">
        <x:f>U435*O435</x:f>
        <x:v>188457.79679951683</x:v>
      </x:c>
    </x:row>
    <x:row r="436" ht="19" customHeight="1">
      <x:c r="A436" s="2"/>
      <x:c r="B436" s="2"/>
      <x:c r="C436" s="46" t="n">
        <x:v>1</x:v>
      </x:c>
      <x:c r="D436" s="46" t="n">
        <x:v>23</x:v>
      </x:c>
      <x:c r="E436" s="46" t="n">
        <x:v>3</x:v>
      </x:c>
      <x:c r="F436" s="46" t="n">
        <x:v>5</x:v>
      </x:c>
      <x:c r="G436" s="12" t="n">
        <x:v>0.7777777777777778</x:v>
      </x:c>
      <x:c r="H436" s="12" t="n">
        <x:v>0.8888888888888888</x:v>
      </x:c>
      <x:c r="I436" s="29" t="n">
        <x:f>'Assumptions'!$D$11+'Assumptions'!$D$12*(0.5-(G436+H436)/2)</x:f>
        <x:v>0.23333333333333334</x:v>
      </x:c>
      <x:c r="J436" s="27" t="n">
        <x:f>'Assumptions'!$D$8*EXP(-'Assumptions'!$D$9*('Fleet Engine'!E217-10))*'Assumptions'!E58*'Assumptions'!E36</x:f>
        <x:v>4965.853037914095</x:v>
      </x:c>
      <x:c r="K436" s="27" t="n">
        <x:f>'Source Data'!F222+LN('Assumptions'!D58)+LN('Assumptions'!E35)</x:f>
        <x:v>8.030635919980082</x:v>
      </x:c>
      <x:c r="L436" s="27" t="n">
        <x:f>J436*(1-I436*(1-'Carrier Engine'!E92))</x:f>
        <x:v>3853.5019574213375</x:v>
      </x:c>
      <x:c r="M436" s="29" t="n">
        <x:f>NORM.S.DIST((LN(L436)-K436)/'Assumptions'!$D$10,TRUE)</x:f>
        <x:v>0.557247762810186</x:v>
      </x:c>
      <x:c r="N436" s="30" t="n">
        <x:f>MAX(0,H436-MAX(G436,M436))</x:f>
        <x:v>0.11111111111111105</x:v>
      </x:c>
      <x:c r="O436" s="28" t="n">
        <x:f>J436*I436</x:f>
        <x:v>1158.6990421799555</x:v>
      </x:c>
      <x:c r="P436" s="27" t="n">
        <x:f>(VLOOKUP(O436,'Fee Data'!$C$6:$G$50,2,TRUE)+O436*VLOOKUP(O436,'Fee Data'!$C$6:$G$50,3,TRUE)+VLOOKUP(O436,'Fee Data'!$I$6:$J$14,2,TRUE)+'Fee Data'!$J$20+'Fee Data'!$J$21)*'Assumptions'!E37</x:f>
        <x:v>560</x:v>
      </x:c>
      <x:c r="Q436" s="27" t="n">
        <x:f>(VLOOKUP(O436,'Fee Data'!$C$6:$G$50,4,TRUE)+O436*VLOOKUP(O436,'Fee Data'!$C$6:$G$50,5,TRUE)+VLOOKUP(O436,'Fee Data'!$I$6:$J$14,2,TRUE)+'Fee Data'!$J$20+'Fee Data'!$J$21)*'Assumptions'!E37</x:f>
        <x:v>435</x:v>
      </x:c>
      <x:c r="R436" s="27" t="n">
        <x:f>P436*(1-'Assumptions'!$D$14)+Q436*'Assumptions'!$D$14</x:f>
        <x:v>497.5</x:v>
      </x:c>
      <x:c r="S436" s="27" t="n">
        <x:f>O436*'Carrier Engine'!E92</x:f>
        <x:v>46.34796168719823</x:v>
      </x:c>
      <x:c r="T436" s="28" t="n">
        <x:f>R436+S436</x:f>
        <x:v>543.8479616871982</x:v>
      </x:c>
      <x:c r="U436" s="27" t="n">
        <x:f>N436*'Fleet Engine'!G217</x:f>
        <x:v>148.50289508437078</x:v>
      </x:c>
      <x:c r="V436" s="28" t="n">
        <x:f>U436*T436</x:f>
        <x:v>80762.9967962829</x:v>
      </x:c>
      <x:c r="W436" s="28" t="n">
        <x:f>U436*O436</x:f>
        <x:v>172070.16229521084</x:v>
      </x:c>
    </x:row>
    <x:row r="437" ht="19" customHeight="1">
      <x:c r="A437" s="2"/>
      <x:c r="B437" s="2"/>
      <x:c r="C437" s="46" t="n">
        <x:v>1</x:v>
      </x:c>
      <x:c r="D437" s="46" t="n">
        <x:v>23</x:v>
      </x:c>
      <x:c r="E437" s="46" t="n">
        <x:v>3</x:v>
      </x:c>
      <x:c r="F437" s="46" t="n">
        <x:v>5</x:v>
      </x:c>
      <x:c r="G437" s="12" t="n">
        <x:v>0.8888888888888888</x:v>
      </x:c>
      <x:c r="H437" s="12" t="n">
        <x:v>1</x:v>
      </x:c>
      <x:c r="I437" s="29" t="n">
        <x:f>'Assumptions'!$D$11+'Assumptions'!$D$12*(0.5-(G437+H437)/2)</x:f>
        <x:v>0.21111111111111108</x:v>
      </x:c>
      <x:c r="J437" s="27" t="n">
        <x:f>'Assumptions'!$D$8*EXP(-'Assumptions'!$D$9*('Fleet Engine'!E217-10))*'Assumptions'!E58*'Assumptions'!E36</x:f>
        <x:v>4965.853037914095</x:v>
      </x:c>
      <x:c r="K437" s="27" t="n">
        <x:f>'Source Data'!F222+LN('Assumptions'!D58)+LN('Assumptions'!E35)</x:f>
        <x:v>8.030635919980082</x:v>
      </x:c>
      <x:c r="L437" s="27" t="n">
        <x:f>J437*(1-I437*(1-'Carrier Engine'!E92))</x:f>
        <x:v>3959.440155563505</x:v>
      </x:c>
      <x:c r="M437" s="29" t="n">
        <x:f>NORM.S.DIST((LN(L437)-K437)/'Assumptions'!$D$10,TRUE)</x:f>
        <x:v>0.5640583422764271</x:v>
      </x:c>
      <x:c r="N437" s="30" t="n">
        <x:f>MAX(0,H437-MAX(G437,M437))</x:f>
        <x:v>0.11111111111111116</x:v>
      </x:c>
      <x:c r="O437" s="28" t="n">
        <x:f>J437*I437</x:f>
        <x:v>1048.3467524485309</x:v>
      </x:c>
      <x:c r="P437" s="27" t="n">
        <x:f>(VLOOKUP(O437,'Fee Data'!$C$6:$G$50,2,TRUE)+O437*VLOOKUP(O437,'Fee Data'!$C$6:$G$50,3,TRUE)+VLOOKUP(O437,'Fee Data'!$I$6:$J$14,2,TRUE)+'Fee Data'!$J$20+'Fee Data'!$J$21)*'Assumptions'!E37</x:f>
        <x:v>560</x:v>
      </x:c>
      <x:c r="Q437" s="27" t="n">
        <x:f>(VLOOKUP(O437,'Fee Data'!$C$6:$G$50,4,TRUE)+O437*VLOOKUP(O437,'Fee Data'!$C$6:$G$50,5,TRUE)+VLOOKUP(O437,'Fee Data'!$I$6:$J$14,2,TRUE)+'Fee Data'!$J$20+'Fee Data'!$J$21)*'Assumptions'!E37</x:f>
        <x:v>435</x:v>
      </x:c>
      <x:c r="R437" s="27" t="n">
        <x:f>P437*(1-'Assumptions'!$D$14)+Q437*'Assumptions'!$D$14</x:f>
        <x:v>497.5</x:v>
      </x:c>
      <x:c r="S437" s="27" t="n">
        <x:f>O437*'Carrier Engine'!E92</x:f>
        <x:v>41.933870097941245</x:v>
      </x:c>
      <x:c r="T437" s="28" t="n">
        <x:f>R437+S437</x:f>
        <x:v>539.4338700979413</x:v>
      </x:c>
      <x:c r="U437" s="27" t="n">
        <x:f>N437*'Fleet Engine'!G217</x:f>
        <x:v>148.50289508437095</x:v>
      </x:c>
      <x:c r="V437" s="28" t="n">
        <x:f>U437*T437</x:f>
        <x:v>80107.49141611076</x:v>
      </x:c>
      <x:c r="W437" s="28" t="n">
        <x:f>U437*O437</x:f>
        <x:v>155682.52779090518</x:v>
      </x:c>
    </x:row>
    <x:row r="438" ht="19" customHeight="1">
      <x:c r="A438" s="2"/>
      <x:c r="B438" s="2"/>
      <x:c r="C438" s="46" t="n">
        <x:v>2</x:v>
      </x:c>
      <x:c r="D438" s="46" t="n">
        <x:v>0</x:v>
      </x:c>
      <x:c r="E438" s="46" t="n">
        <x:v>0</x:v>
      </x:c>
      <x:c r="F438" s="46" t="n">
        <x:v>0</x:v>
      </x:c>
      <x:c r="G438" s="12" t="n">
        <x:v>0</x:v>
      </x:c>
      <x:c r="H438" s="12" t="n">
        <x:v>0.1111111111111111</x:v>
      </x:c>
      <x:c r="I438" s="29" t="n">
        <x:f>'Assumptions'!$D$11+'Assumptions'!$D$12*(0.5-(G438+H438)/2)</x:f>
        <x:v>0.3888888888888889</x:v>
      </x:c>
      <x:c r="J438" s="27" t="n">
        <x:f>'Assumptions'!$D$8*EXP(-'Assumptions'!$D$9*('Fleet Engine'!E194-10))*'Assumptions'!E55*'Assumptions'!F36</x:f>
        <x:v>27182.818284590452</x:v>
      </x:c>
      <x:c r="K438" s="27" t="n">
        <x:f>'Source Data'!F217+LN('Assumptions'!D55)+LN('Assumptions'!F35)</x:f>
        <x:v>8.024343827519704</x:v>
      </x:c>
      <x:c r="L438" s="27" t="n">
        <x:f>J438*(1-I438*(1-'Carrier Engine'!E93))</x:f>
        <x:v>17034.566125010017</x:v>
      </x:c>
      <x:c r="M438" s="29" t="n">
        <x:f>NORM.S.DIST((LN(L438)-K438)/'Assumptions'!$D$10,TRUE)</x:f>
        <x:v>0.8631412857617822</x:v>
      </x:c>
      <x:c r="N438" s="30" t="n">
        <x:f>MAX(0,H438-MAX(G438,M438))</x:f>
        <x:v>0</x:v>
      </x:c>
      <x:c r="O438" s="28" t="n">
        <x:f>J438*I438</x:f>
        <x:v>10571.095999562955</x:v>
      </x:c>
      <x:c r="P438" s="27" t="n">
        <x:f>(VLOOKUP(O438,'Fee Data'!$C$6:$G$50,2,TRUE)+O438*VLOOKUP(O438,'Fee Data'!$C$6:$G$50,3,TRUE)+VLOOKUP(O438,'Fee Data'!$I$6:$J$14,2,TRUE)+'Fee Data'!$J$20+'Fee Data'!$J$21)*'Assumptions'!F37</x:f>
        <x:v>1250</x:v>
      </x:c>
      <x:c r="Q438" s="27" t="n">
        <x:f>(VLOOKUP(O438,'Fee Data'!$C$6:$G$50,4,TRUE)+O438*VLOOKUP(O438,'Fee Data'!$C$6:$G$50,5,TRUE)+VLOOKUP(O438,'Fee Data'!$I$6:$J$14,2,TRUE)+'Fee Data'!$J$20+'Fee Data'!$J$21)*'Assumptions'!F37</x:f>
        <x:v>1100</x:v>
      </x:c>
      <x:c r="R438" s="27" t="n">
        <x:f>P438*(1-'Assumptions'!$D$14)+Q438*'Assumptions'!$D$14</x:f>
        <x:v>1175</x:v>
      </x:c>
      <x:c r="S438" s="27" t="n">
        <x:f>O438*'Carrier Engine'!E93</x:f>
        <x:v>422.8438399825182</x:v>
      </x:c>
      <x:c r="T438" s="28" t="n">
        <x:f>R438+S438</x:f>
        <x:v>1597.8438399825181</x:v>
      </x:c>
      <x:c r="U438" s="27" t="n">
        <x:f>N438*'Fleet Engine'!H194</x:f>
        <x:v>0</x:v>
      </x:c>
      <x:c r="V438" s="28" t="n">
        <x:f>U438*T438</x:f>
        <x:v>0</x:v>
      </x:c>
      <x:c r="W438" s="28" t="n">
        <x:f>U438*O438</x:f>
        <x:v>0</x:v>
      </x:c>
    </x:row>
    <x:row r="439" ht="19" customHeight="1">
      <x:c r="A439" s="2"/>
      <x:c r="B439" s="2"/>
      <x:c r="C439" s="46" t="n">
        <x:v>2</x:v>
      </x:c>
      <x:c r="D439" s="46" t="n">
        <x:v>0</x:v>
      </x:c>
      <x:c r="E439" s="46" t="n">
        <x:v>0</x:v>
      </x:c>
      <x:c r="F439" s="46" t="n">
        <x:v>0</x:v>
      </x:c>
      <x:c r="G439" s="12" t="n">
        <x:v>0.1111111111111111</x:v>
      </x:c>
      <x:c r="H439" s="12" t="n">
        <x:v>0.2222222222222222</x:v>
      </x:c>
      <x:c r="I439" s="29" t="n">
        <x:f>'Assumptions'!$D$11+'Assumptions'!$D$12*(0.5-(G439+H439)/2)</x:f>
        <x:v>0.3666666666666667</x:v>
      </x:c>
      <x:c r="J439" s="27" t="n">
        <x:f>'Assumptions'!$D$8*EXP(-'Assumptions'!$D$9*('Fleet Engine'!E194-10))*'Assumptions'!E55*'Assumptions'!F36</x:f>
        <x:v>27182.818284590452</x:v>
      </x:c>
      <x:c r="K439" s="27" t="n">
        <x:f>'Source Data'!F217+LN('Assumptions'!D55)+LN('Assumptions'!F35)</x:f>
        <x:v>8.024343827519704</x:v>
      </x:c>
      <x:c r="L439" s="27" t="n">
        <x:f>J439*(1-I439*(1-'Carrier Engine'!E93))</x:f>
        <x:v>17614.46624841461</x:v>
      </x:c>
      <x:c r="M439" s="29" t="n">
        <x:f>NORM.S.DIST((LN(L439)-K439)/'Assumptions'!$D$10,TRUE)</x:f>
        <x:v>0.867759233179046</x:v>
      </x:c>
      <x:c r="N439" s="30" t="n">
        <x:f>MAX(0,H439-MAX(G439,M439))</x:f>
        <x:v>0</x:v>
      </x:c>
      <x:c r="O439" s="28" t="n">
        <x:f>J439*I439</x:f>
        <x:v>9967.0333710165</x:v>
      </x:c>
      <x:c r="P439" s="27" t="n">
        <x:f>(VLOOKUP(O439,'Fee Data'!$C$6:$G$50,2,TRUE)+O439*VLOOKUP(O439,'Fee Data'!$C$6:$G$50,3,TRUE)+VLOOKUP(O439,'Fee Data'!$I$6:$J$14,2,TRUE)+'Fee Data'!$J$20+'Fee Data'!$J$21)*'Assumptions'!F37</x:f>
        <x:v>1195</x:v>
      </x:c>
      <x:c r="Q439" s="27" t="n">
        <x:f>(VLOOKUP(O439,'Fee Data'!$C$6:$G$50,4,TRUE)+O439*VLOOKUP(O439,'Fee Data'!$C$6:$G$50,5,TRUE)+VLOOKUP(O439,'Fee Data'!$I$6:$J$14,2,TRUE)+'Fee Data'!$J$20+'Fee Data'!$J$21)*'Assumptions'!F37</x:f>
        <x:v>1070</x:v>
      </x:c>
      <x:c r="R439" s="27" t="n">
        <x:f>P439*(1-'Assumptions'!$D$14)+Q439*'Assumptions'!$D$14</x:f>
        <x:v>1132.5</x:v>
      </x:c>
      <x:c r="S439" s="27" t="n">
        <x:f>O439*'Carrier Engine'!E93</x:f>
        <x:v>398.68133484066</x:v>
      </x:c>
      <x:c r="T439" s="28" t="n">
        <x:f>R439+S439</x:f>
        <x:v>1531.18133484066</x:v>
      </x:c>
      <x:c r="U439" s="27" t="n">
        <x:f>N439*'Fleet Engine'!H194</x:f>
        <x:v>0</x:v>
      </x:c>
      <x:c r="V439" s="28" t="n">
        <x:f>U439*T439</x:f>
        <x:v>0</x:v>
      </x:c>
      <x:c r="W439" s="28" t="n">
        <x:f>U439*O439</x:f>
        <x:v>0</x:v>
      </x:c>
    </x:row>
    <x:row r="440" ht="19" customHeight="1">
      <x:c r="A440" s="2"/>
      <x:c r="B440" s="2"/>
      <x:c r="C440" s="46" t="n">
        <x:v>2</x:v>
      </x:c>
      <x:c r="D440" s="46" t="n">
        <x:v>0</x:v>
      </x:c>
      <x:c r="E440" s="46" t="n">
        <x:v>0</x:v>
      </x:c>
      <x:c r="F440" s="46" t="n">
        <x:v>0</x:v>
      </x:c>
      <x:c r="G440" s="12" t="n">
        <x:v>0.2222222222222222</x:v>
      </x:c>
      <x:c r="H440" s="12" t="n">
        <x:v>0.3333333333333333</x:v>
      </x:c>
      <x:c r="I440" s="29" t="n">
        <x:f>'Assumptions'!$D$11+'Assumptions'!$D$12*(0.5-(G440+H440)/2)</x:f>
        <x:v>0.34444444444444444</x:v>
      </x:c>
      <x:c r="J440" s="27" t="n">
        <x:f>'Assumptions'!$D$8*EXP(-'Assumptions'!$D$9*('Fleet Engine'!E194-10))*'Assumptions'!E55*'Assumptions'!F36</x:f>
        <x:v>27182.818284590452</x:v>
      </x:c>
      <x:c r="K440" s="27" t="n">
        <x:f>'Source Data'!F217+LN('Assumptions'!D55)+LN('Assumptions'!F35)</x:f>
        <x:v>8.024343827519704</x:v>
      </x:c>
      <x:c r="L440" s="27" t="n">
        <x:f>J440*(1-I440*(1-'Carrier Engine'!E93))</x:f>
        <x:v>18194.36637181921</x:v>
      </x:c>
      <x:c r="M440" s="29" t="n">
        <x:f>NORM.S.DIST((LN(L440)-K440)/'Assumptions'!$D$10,TRUE)</x:f>
        <x:v>0.8721242391048682</x:v>
      </x:c>
      <x:c r="N440" s="30" t="n">
        <x:f>MAX(0,H440-MAX(G440,M440))</x:f>
        <x:v>0</x:v>
      </x:c>
      <x:c r="O440" s="28" t="n">
        <x:f>J440*I440</x:f>
        <x:v>9362.970742470045</x:v>
      </x:c>
      <x:c r="P440" s="27" t="n">
        <x:f>(VLOOKUP(O440,'Fee Data'!$C$6:$G$50,2,TRUE)+O440*VLOOKUP(O440,'Fee Data'!$C$6:$G$50,3,TRUE)+VLOOKUP(O440,'Fee Data'!$I$6:$J$14,2,TRUE)+'Fee Data'!$J$20+'Fee Data'!$J$21)*'Assumptions'!F37</x:f>
        <x:v>1195</x:v>
      </x:c>
      <x:c r="Q440" s="27" t="n">
        <x:f>(VLOOKUP(O440,'Fee Data'!$C$6:$G$50,4,TRUE)+O440*VLOOKUP(O440,'Fee Data'!$C$6:$G$50,5,TRUE)+VLOOKUP(O440,'Fee Data'!$I$6:$J$14,2,TRUE)+'Fee Data'!$J$20+'Fee Data'!$J$21)*'Assumptions'!F37</x:f>
        <x:v>1070</x:v>
      </x:c>
      <x:c r="R440" s="27" t="n">
        <x:f>P440*(1-'Assumptions'!$D$14)+Q440*'Assumptions'!$D$14</x:f>
        <x:v>1132.5</x:v>
      </x:c>
      <x:c r="S440" s="27" t="n">
        <x:f>O440*'Carrier Engine'!E93</x:f>
        <x:v>374.51882969880177</x:v>
      </x:c>
      <x:c r="T440" s="28" t="n">
        <x:f>R440+S440</x:f>
        <x:v>1507.0188296988017</x:v>
      </x:c>
      <x:c r="U440" s="27" t="n">
        <x:f>N440*'Fleet Engine'!H194</x:f>
        <x:v>0</x:v>
      </x:c>
      <x:c r="V440" s="28" t="n">
        <x:f>U440*T440</x:f>
        <x:v>0</x:v>
      </x:c>
      <x:c r="W440" s="28" t="n">
        <x:f>U440*O440</x:f>
        <x:v>0</x:v>
      </x:c>
    </x:row>
    <x:row r="441" ht="19" customHeight="1">
      <x:c r="A441" s="2"/>
      <x:c r="B441" s="2"/>
      <x:c r="C441" s="46" t="n">
        <x:v>2</x:v>
      </x:c>
      <x:c r="D441" s="46" t="n">
        <x:v>0</x:v>
      </x:c>
      <x:c r="E441" s="46" t="n">
        <x:v>0</x:v>
      </x:c>
      <x:c r="F441" s="46" t="n">
        <x:v>0</x:v>
      </x:c>
      <x:c r="G441" s="12" t="n">
        <x:v>0.3333333333333333</x:v>
      </x:c>
      <x:c r="H441" s="12" t="n">
        <x:v>0.4444444444444444</x:v>
      </x:c>
      <x:c r="I441" s="29" t="n">
        <x:f>'Assumptions'!$D$11+'Assumptions'!$D$12*(0.5-(G441+H441)/2)</x:f>
        <x:v>0.32222222222222224</x:v>
      </x:c>
      <x:c r="J441" s="27" t="n">
        <x:f>'Assumptions'!$D$8*EXP(-'Assumptions'!$D$9*('Fleet Engine'!E194-10))*'Assumptions'!E55*'Assumptions'!F36</x:f>
        <x:v>27182.818284590452</x:v>
      </x:c>
      <x:c r="K441" s="27" t="n">
        <x:f>'Source Data'!F217+LN('Assumptions'!D55)+LN('Assumptions'!F35)</x:f>
        <x:v>8.024343827519704</x:v>
      </x:c>
      <x:c r="L441" s="27" t="n">
        <x:f>J441*(1-I441*(1-'Carrier Engine'!E93))</x:f>
        <x:v>18774.266495223805</x:v>
      </x:c>
      <x:c r="M441" s="29" t="n">
        <x:f>NORM.S.DIST((LN(L441)-K441)/'Assumptions'!$D$10,TRUE)</x:f>
        <x:v>0.8762558445797033</x:v>
      </x:c>
      <x:c r="N441" s="30" t="n">
        <x:f>MAX(0,H441-MAX(G441,M441))</x:f>
        <x:v>0</x:v>
      </x:c>
      <x:c r="O441" s="28" t="n">
        <x:f>J441*I441</x:f>
        <x:v>8758.908113923591</x:v>
      </x:c>
      <x:c r="P441" s="27" t="n">
        <x:f>(VLOOKUP(O441,'Fee Data'!$C$6:$G$50,2,TRUE)+O441*VLOOKUP(O441,'Fee Data'!$C$6:$G$50,3,TRUE)+VLOOKUP(O441,'Fee Data'!$I$6:$J$14,2,TRUE)+'Fee Data'!$J$20+'Fee Data'!$J$21)*'Assumptions'!F37</x:f>
        <x:v>1195</x:v>
      </x:c>
      <x:c r="Q441" s="27" t="n">
        <x:f>(VLOOKUP(O441,'Fee Data'!$C$6:$G$50,4,TRUE)+O441*VLOOKUP(O441,'Fee Data'!$C$6:$G$50,5,TRUE)+VLOOKUP(O441,'Fee Data'!$I$6:$J$14,2,TRUE)+'Fee Data'!$J$20+'Fee Data'!$J$21)*'Assumptions'!F37</x:f>
        <x:v>1070</x:v>
      </x:c>
      <x:c r="R441" s="27" t="n">
        <x:f>P441*(1-'Assumptions'!$D$14)+Q441*'Assumptions'!$D$14</x:f>
        <x:v>1132.5</x:v>
      </x:c>
      <x:c r="S441" s="27" t="n">
        <x:f>O441*'Carrier Engine'!E93</x:f>
        <x:v>350.35632455694366</x:v>
      </x:c>
      <x:c r="T441" s="28" t="n">
        <x:f>R441+S441</x:f>
        <x:v>1482.8563245569437</x:v>
      </x:c>
      <x:c r="U441" s="27" t="n">
        <x:f>N441*'Fleet Engine'!H194</x:f>
        <x:v>0</x:v>
      </x:c>
      <x:c r="V441" s="28" t="n">
        <x:f>U441*T441</x:f>
        <x:v>0</x:v>
      </x:c>
      <x:c r="W441" s="28" t="n">
        <x:f>U441*O441</x:f>
        <x:v>0</x:v>
      </x:c>
    </x:row>
    <x:row r="442" ht="19" customHeight="1">
      <x:c r="A442" s="2"/>
      <x:c r="B442" s="2"/>
      <x:c r="C442" s="46" t="n">
        <x:v>2</x:v>
      </x:c>
      <x:c r="D442" s="46" t="n">
        <x:v>0</x:v>
      </x:c>
      <x:c r="E442" s="46" t="n">
        <x:v>0</x:v>
      </x:c>
      <x:c r="F442" s="46" t="n">
        <x:v>0</x:v>
      </x:c>
      <x:c r="G442" s="12" t="n">
        <x:v>0.4444444444444444</x:v>
      </x:c>
      <x:c r="H442" s="12" t="n">
        <x:v>0.5555555555555556</x:v>
      </x:c>
      <x:c r="I442" s="29" t="n">
        <x:f>'Assumptions'!$D$11+'Assumptions'!$D$12*(0.5-(G442+H442)/2)</x:f>
        <x:v>0.3</x:v>
      </x:c>
      <x:c r="J442" s="27" t="n">
        <x:f>'Assumptions'!$D$8*EXP(-'Assumptions'!$D$9*('Fleet Engine'!E194-10))*'Assumptions'!E55*'Assumptions'!F36</x:f>
        <x:v>27182.818284590452</x:v>
      </x:c>
      <x:c r="K442" s="27" t="n">
        <x:f>'Source Data'!F217+LN('Assumptions'!D55)+LN('Assumptions'!F35)</x:f>
        <x:v>8.024343827519704</x:v>
      </x:c>
      <x:c r="L442" s="27" t="n">
        <x:f>J442*(1-I442*(1-'Carrier Engine'!E93))</x:f>
        <x:v>19354.166618628402</x:v>
      </x:c>
      <x:c r="M442" s="29" t="n">
        <x:f>NORM.S.DIST((LN(L442)-K442)/'Assumptions'!$D$10,TRUE)</x:f>
        <x:v>0.8801716361024907</x:v>
      </x:c>
      <x:c r="N442" s="30" t="n">
        <x:f>MAX(0,H442-MAX(G442,M442))</x:f>
        <x:v>0</x:v>
      </x:c>
      <x:c r="O442" s="28" t="n">
        <x:f>J442*I442</x:f>
        <x:v>8154.845485377135</x:v>
      </x:c>
      <x:c r="P442" s="27" t="n">
        <x:f>(VLOOKUP(O442,'Fee Data'!$C$6:$G$50,2,TRUE)+O442*VLOOKUP(O442,'Fee Data'!$C$6:$G$50,3,TRUE)+VLOOKUP(O442,'Fee Data'!$I$6:$J$14,2,TRUE)+'Fee Data'!$J$20+'Fee Data'!$J$21)*'Assumptions'!F37</x:f>
        <x:v>1175</x:v>
      </x:c>
      <x:c r="Q442" s="27" t="n">
        <x:f>(VLOOKUP(O442,'Fee Data'!$C$6:$G$50,4,TRUE)+O442*VLOOKUP(O442,'Fee Data'!$C$6:$G$50,5,TRUE)+VLOOKUP(O442,'Fee Data'!$I$6:$J$14,2,TRUE)+'Fee Data'!$J$20+'Fee Data'!$J$21)*'Assumptions'!F37</x:f>
        <x:v>1050</x:v>
      </x:c>
      <x:c r="R442" s="27" t="n">
        <x:f>P442*(1-'Assumptions'!$D$14)+Q442*'Assumptions'!$D$14</x:f>
        <x:v>1112.5</x:v>
      </x:c>
      <x:c r="S442" s="27" t="n">
        <x:f>O442*'Carrier Engine'!E93</x:f>
        <x:v>326.19381941508544</x:v>
      </x:c>
      <x:c r="T442" s="28" t="n">
        <x:f>R442+S442</x:f>
        <x:v>1438.6938194150855</x:v>
      </x:c>
      <x:c r="U442" s="27" t="n">
        <x:f>N442*'Fleet Engine'!H194</x:f>
        <x:v>0</x:v>
      </x:c>
      <x:c r="V442" s="28" t="n">
        <x:f>U442*T442</x:f>
        <x:v>0</x:v>
      </x:c>
      <x:c r="W442" s="28" t="n">
        <x:f>U442*O442</x:f>
        <x:v>0</x:v>
      </x:c>
    </x:row>
    <x:row r="443" ht="19" customHeight="1">
      <x:c r="A443" s="2"/>
      <x:c r="B443" s="2"/>
      <x:c r="C443" s="46" t="n">
        <x:v>2</x:v>
      </x:c>
      <x:c r="D443" s="46" t="n">
        <x:v>0</x:v>
      </x:c>
      <x:c r="E443" s="46" t="n">
        <x:v>0</x:v>
      </x:c>
      <x:c r="F443" s="46" t="n">
        <x:v>0</x:v>
      </x:c>
      <x:c r="G443" s="12" t="n">
        <x:v>0.5555555555555556</x:v>
      </x:c>
      <x:c r="H443" s="12" t="n">
        <x:v>0.6666666666666666</x:v>
      </x:c>
      <x:c r="I443" s="29" t="n">
        <x:f>'Assumptions'!$D$11+'Assumptions'!$D$12*(0.5-(G443+H443)/2)</x:f>
        <x:v>0.27777777777777773</x:v>
      </x:c>
      <x:c r="J443" s="27" t="n">
        <x:f>'Assumptions'!$D$8*EXP(-'Assumptions'!$D$9*('Fleet Engine'!E194-10))*'Assumptions'!E55*'Assumptions'!F36</x:f>
        <x:v>27182.818284590452</x:v>
      </x:c>
      <x:c r="K443" s="27" t="n">
        <x:f>'Source Data'!F217+LN('Assumptions'!D55)+LN('Assumptions'!F35)</x:f>
        <x:v>8.024343827519704</x:v>
      </x:c>
      <x:c r="L443" s="27" t="n">
        <x:f>J443*(1-I443*(1-'Carrier Engine'!E93))</x:f>
        <x:v>19934.066742033</x:v>
      </x:c>
      <x:c r="M443" s="29" t="n">
        <x:f>NORM.S.DIST((LN(L443)-K443)/'Assumptions'!$D$10,TRUE)</x:f>
        <x:v>0.8838874850458363</x:v>
      </x:c>
      <x:c r="N443" s="30" t="n">
        <x:f>MAX(0,H443-MAX(G443,M443))</x:f>
        <x:v>0</x:v>
      </x:c>
      <x:c r="O443" s="28" t="n">
        <x:f>J443*I443</x:f>
        <x:v>7550.7828568306795</x:v>
      </x:c>
      <x:c r="P443" s="27" t="n">
        <x:f>(VLOOKUP(O443,'Fee Data'!$C$6:$G$50,2,TRUE)+O443*VLOOKUP(O443,'Fee Data'!$C$6:$G$50,3,TRUE)+VLOOKUP(O443,'Fee Data'!$I$6:$J$14,2,TRUE)+'Fee Data'!$J$20+'Fee Data'!$J$21)*'Assumptions'!F37</x:f>
        <x:v>1135</x:v>
      </x:c>
      <x:c r="Q443" s="27" t="n">
        <x:f>(VLOOKUP(O443,'Fee Data'!$C$6:$G$50,4,TRUE)+O443*VLOOKUP(O443,'Fee Data'!$C$6:$G$50,5,TRUE)+VLOOKUP(O443,'Fee Data'!$I$6:$J$14,2,TRUE)+'Fee Data'!$J$20+'Fee Data'!$J$21)*'Assumptions'!F37</x:f>
        <x:v>1010</x:v>
      </x:c>
      <x:c r="R443" s="27" t="n">
        <x:f>P443*(1-'Assumptions'!$D$14)+Q443*'Assumptions'!$D$14</x:f>
        <x:v>1072.5</x:v>
      </x:c>
      <x:c r="S443" s="27" t="n">
        <x:f>O443*'Carrier Engine'!E93</x:f>
        <x:v>302.03131427322717</x:v>
      </x:c>
      <x:c r="T443" s="28" t="n">
        <x:f>R443+S443</x:f>
        <x:v>1374.531314273227</x:v>
      </x:c>
      <x:c r="U443" s="27" t="n">
        <x:f>N443*'Fleet Engine'!H194</x:f>
        <x:v>0</x:v>
      </x:c>
      <x:c r="V443" s="28" t="n">
        <x:f>U443*T443</x:f>
        <x:v>0</x:v>
      </x:c>
      <x:c r="W443" s="28" t="n">
        <x:f>U443*O443</x:f>
        <x:v>0</x:v>
      </x:c>
    </x:row>
    <x:row r="444" ht="19" customHeight="1">
      <x:c r="A444" s="2"/>
      <x:c r="B444" s="2"/>
      <x:c r="C444" s="46" t="n">
        <x:v>2</x:v>
      </x:c>
      <x:c r="D444" s="46" t="n">
        <x:v>0</x:v>
      </x:c>
      <x:c r="E444" s="46" t="n">
        <x:v>0</x:v>
      </x:c>
      <x:c r="F444" s="46" t="n">
        <x:v>0</x:v>
      </x:c>
      <x:c r="G444" s="12" t="n">
        <x:v>0.6666666666666666</x:v>
      </x:c>
      <x:c r="H444" s="12" t="n">
        <x:v>0.7777777777777778</x:v>
      </x:c>
      <x:c r="I444" s="29" t="n">
        <x:f>'Assumptions'!$D$11+'Assumptions'!$D$12*(0.5-(G444+H444)/2)</x:f>
        <x:v>0.25555555555555554</x:v>
      </x:c>
      <x:c r="J444" s="27" t="n">
        <x:f>'Assumptions'!$D$8*EXP(-'Assumptions'!$D$9*('Fleet Engine'!E194-10))*'Assumptions'!E55*'Assumptions'!F36</x:f>
        <x:v>27182.818284590452</x:v>
      </x:c>
      <x:c r="K444" s="27" t="n">
        <x:f>'Source Data'!F217+LN('Assumptions'!D55)+LN('Assumptions'!F35)</x:f>
        <x:v>8.024343827519704</x:v>
      </x:c>
      <x:c r="L444" s="27" t="n">
        <x:f>J444*(1-I444*(1-'Carrier Engine'!E93))</x:f>
        <x:v>20513.966865437596</x:v>
      </x:c>
      <x:c r="M444" s="29" t="n">
        <x:f>NORM.S.DIST((LN(L444)-K444)/'Assumptions'!$D$10,TRUE)</x:f>
        <x:v>0.8874177525057891</x:v>
      </x:c>
      <x:c r="N444" s="30" t="n">
        <x:f>MAX(0,H444-MAX(G444,M444))</x:f>
        <x:v>0</x:v>
      </x:c>
      <x:c r="O444" s="28" t="n">
        <x:f>J444*I444</x:f>
        <x:v>6946.720228284226</x:v>
      </x:c>
      <x:c r="P444" s="27" t="n">
        <x:f>(VLOOKUP(O444,'Fee Data'!$C$6:$G$50,2,TRUE)+O444*VLOOKUP(O444,'Fee Data'!$C$6:$G$50,3,TRUE)+VLOOKUP(O444,'Fee Data'!$I$6:$J$14,2,TRUE)+'Fee Data'!$J$20+'Fee Data'!$J$21)*'Assumptions'!F37</x:f>
        <x:v>1080</x:v>
      </x:c>
      <x:c r="Q444" s="27" t="n">
        <x:f>(VLOOKUP(O444,'Fee Data'!$C$6:$G$50,4,TRUE)+O444*VLOOKUP(O444,'Fee Data'!$C$6:$G$50,5,TRUE)+VLOOKUP(O444,'Fee Data'!$I$6:$J$14,2,TRUE)+'Fee Data'!$J$20+'Fee Data'!$J$21)*'Assumptions'!F37</x:f>
        <x:v>955</x:v>
      </x:c>
      <x:c r="R444" s="27" t="n">
        <x:f>P444*(1-'Assumptions'!$D$14)+Q444*'Assumptions'!$D$14</x:f>
        <x:v>1017.5</x:v>
      </x:c>
      <x:c r="S444" s="27" t="n">
        <x:f>O444*'Carrier Engine'!E93</x:f>
        <x:v>277.86880913136906</x:v>
      </x:c>
      <x:c r="T444" s="28" t="n">
        <x:f>R444+S444</x:f>
        <x:v>1295.368809131369</x:v>
      </x:c>
      <x:c r="U444" s="27" t="n">
        <x:f>N444*'Fleet Engine'!H194</x:f>
        <x:v>0</x:v>
      </x:c>
      <x:c r="V444" s="28" t="n">
        <x:f>U444*T444</x:f>
        <x:v>0</x:v>
      </x:c>
      <x:c r="W444" s="28" t="n">
        <x:f>U444*O444</x:f>
        <x:v>0</x:v>
      </x:c>
    </x:row>
    <x:row r="445" ht="19" customHeight="1">
      <x:c r="A445" s="2"/>
      <x:c r="B445" s="2"/>
      <x:c r="C445" s="46" t="n">
        <x:v>2</x:v>
      </x:c>
      <x:c r="D445" s="46" t="n">
        <x:v>0</x:v>
      </x:c>
      <x:c r="E445" s="46" t="n">
        <x:v>0</x:v>
      </x:c>
      <x:c r="F445" s="46" t="n">
        <x:v>0</x:v>
      </x:c>
      <x:c r="G445" s="12" t="n">
        <x:v>0.7777777777777778</x:v>
      </x:c>
      <x:c r="H445" s="12" t="n">
        <x:v>0.8888888888888888</x:v>
      </x:c>
      <x:c r="I445" s="29" t="n">
        <x:f>'Assumptions'!$D$11+'Assumptions'!$D$12*(0.5-(G445+H445)/2)</x:f>
        <x:v>0.23333333333333334</x:v>
      </x:c>
      <x:c r="J445" s="27" t="n">
        <x:f>'Assumptions'!$D$8*EXP(-'Assumptions'!$D$9*('Fleet Engine'!E194-10))*'Assumptions'!E55*'Assumptions'!F36</x:f>
        <x:v>27182.818284590452</x:v>
      </x:c>
      <x:c r="K445" s="27" t="n">
        <x:f>'Source Data'!F217+LN('Assumptions'!D55)+LN('Assumptions'!F35)</x:f>
        <x:v>8.024343827519704</x:v>
      </x:c>
      <x:c r="L445" s="27" t="n">
        <x:f>J445*(1-I445*(1-'Carrier Engine'!E93))</x:f>
        <x:v>21093.86698884219</x:v>
      </x:c>
      <x:c r="M445" s="29" t="n">
        <x:f>NORM.S.DIST((LN(L445)-K445)/'Assumptions'!$D$10,TRUE)</x:f>
        <x:v>0.8907754653078662</x:v>
      </x:c>
      <x:c r="N445" s="30" t="n">
        <x:f>MAX(0,H445-MAX(G445,M445))</x:f>
        <x:v>0</x:v>
      </x:c>
      <x:c r="O445" s="28" t="n">
        <x:f>J445*I445</x:f>
        <x:v>6342.657599737772</x:v>
      </x:c>
      <x:c r="P445" s="27" t="n">
        <x:f>(VLOOKUP(O445,'Fee Data'!$C$6:$G$50,2,TRUE)+O445*VLOOKUP(O445,'Fee Data'!$C$6:$G$50,3,TRUE)+VLOOKUP(O445,'Fee Data'!$I$6:$J$14,2,TRUE)+'Fee Data'!$J$20+'Fee Data'!$J$21)*'Assumptions'!F37</x:f>
        <x:v>1060</x:v>
      </x:c>
      <x:c r="Q445" s="27" t="n">
        <x:f>(VLOOKUP(O445,'Fee Data'!$C$6:$G$50,4,TRUE)+O445*VLOOKUP(O445,'Fee Data'!$C$6:$G$50,5,TRUE)+VLOOKUP(O445,'Fee Data'!$I$6:$J$14,2,TRUE)+'Fee Data'!$J$20+'Fee Data'!$J$21)*'Assumptions'!F37</x:f>
        <x:v>935</x:v>
      </x:c>
      <x:c r="R445" s="27" t="n">
        <x:f>P445*(1-'Assumptions'!$D$14)+Q445*'Assumptions'!$D$14</x:f>
        <x:v>997.5</x:v>
      </x:c>
      <x:c r="S445" s="27" t="n">
        <x:f>O445*'Carrier Engine'!E93</x:f>
        <x:v>253.7063039895109</x:v>
      </x:c>
      <x:c r="T445" s="28" t="n">
        <x:f>R445+S445</x:f>
        <x:v>1251.2063039895108</x:v>
      </x:c>
      <x:c r="U445" s="27" t="n">
        <x:f>N445*'Fleet Engine'!H194</x:f>
        <x:v>0</x:v>
      </x:c>
      <x:c r="V445" s="28" t="n">
        <x:f>U445*T445</x:f>
        <x:v>0</x:v>
      </x:c>
      <x:c r="W445" s="28" t="n">
        <x:f>U445*O445</x:f>
        <x:v>0</x:v>
      </x:c>
    </x:row>
    <x:row r="446" ht="19" customHeight="1">
      <x:c r="A446" s="2"/>
      <x:c r="B446" s="2"/>
      <x:c r="C446" s="46" t="n">
        <x:v>2</x:v>
      </x:c>
      <x:c r="D446" s="46" t="n">
        <x:v>0</x:v>
      </x:c>
      <x:c r="E446" s="46" t="n">
        <x:v>0</x:v>
      </x:c>
      <x:c r="F446" s="46" t="n">
        <x:v>0</x:v>
      </x:c>
      <x:c r="G446" s="12" t="n">
        <x:v>0.8888888888888888</x:v>
      </x:c>
      <x:c r="H446" s="12" t="n">
        <x:v>1</x:v>
      </x:c>
      <x:c r="I446" s="29" t="n">
        <x:f>'Assumptions'!$D$11+'Assumptions'!$D$12*(0.5-(G446+H446)/2)</x:f>
        <x:v>0.21111111111111108</x:v>
      </x:c>
      <x:c r="J446" s="27" t="n">
        <x:f>'Assumptions'!$D$8*EXP(-'Assumptions'!$D$9*('Fleet Engine'!E194-10))*'Assumptions'!E55*'Assumptions'!F36</x:f>
        <x:v>27182.818284590452</x:v>
      </x:c>
      <x:c r="K446" s="27" t="n">
        <x:f>'Source Data'!F217+LN('Assumptions'!D55)+LN('Assumptions'!F35)</x:f>
        <x:v>8.024343827519704</x:v>
      </x:c>
      <x:c r="L446" s="27" t="n">
        <x:f>J446*(1-I446*(1-'Carrier Engine'!E93))</x:f>
        <x:v>21673.767112246787</x:v>
      </x:c>
      <x:c r="M446" s="29" t="n">
        <x:f>NORM.S.DIST((LN(L446)-K446)/'Assumptions'!$D$10,TRUE)</x:f>
        <x:v>0.8939724678273033</x:v>
      </x:c>
      <x:c r="N446" s="30" t="n">
        <x:f>MAX(0,H446-MAX(G446,M446))</x:f>
        <x:v>0.10602753217269667</x:v>
      </x:c>
      <x:c r="O446" s="28" t="n">
        <x:f>J446*I446</x:f>
        <x:v>5738.594971191317</x:v>
      </x:c>
      <x:c r="P446" s="27" t="n">
        <x:f>(VLOOKUP(O446,'Fee Data'!$C$6:$G$50,2,TRUE)+O446*VLOOKUP(O446,'Fee Data'!$C$6:$G$50,3,TRUE)+VLOOKUP(O446,'Fee Data'!$I$6:$J$14,2,TRUE)+'Fee Data'!$J$20+'Fee Data'!$J$21)*'Assumptions'!F37</x:f>
        <x:v>1020</x:v>
      </x:c>
      <x:c r="Q446" s="27" t="n">
        <x:f>(VLOOKUP(O446,'Fee Data'!$C$6:$G$50,4,TRUE)+O446*VLOOKUP(O446,'Fee Data'!$C$6:$G$50,5,TRUE)+VLOOKUP(O446,'Fee Data'!$I$6:$J$14,2,TRUE)+'Fee Data'!$J$20+'Fee Data'!$J$21)*'Assumptions'!F37</x:f>
        <x:v>895</x:v>
      </x:c>
      <x:c r="R446" s="27" t="n">
        <x:f>P446*(1-'Assumptions'!$D$14)+Q446*'Assumptions'!$D$14</x:f>
        <x:v>957.5</x:v>
      </x:c>
      <x:c r="S446" s="27" t="n">
        <x:f>O446*'Carrier Engine'!E93</x:f>
        <x:v>229.54379884765268</x:v>
      </x:c>
      <x:c r="T446" s="28" t="n">
        <x:f>R446+S446</x:f>
        <x:v>1187.0437988476526</x:v>
      </x:c>
      <x:c r="U446" s="27" t="n">
        <x:f>N446*'Fleet Engine'!H194</x:f>
        <x:v>146.5512549691013</x:v>
      </x:c>
      <x:c r="V446" s="28" t="n">
        <x:f>U446*T446</x:f>
        <x:v>173962.75842441295</x:v>
      </x:c>
      <x:c r="W446" s="28" t="n">
        <x:f>U446*O446</x:f>
        <x:v>840998.2947874613</x:v>
      </x:c>
    </x:row>
    <x:row r="447" ht="19" customHeight="1">
      <x:c r="A447" s="2"/>
      <x:c r="B447" s="2"/>
      <x:c r="C447" s="46" t="n">
        <x:v>2</x:v>
      </x:c>
      <x:c r="D447" s="46" t="n">
        <x:v>1</x:v>
      </x:c>
      <x:c r="E447" s="46" t="n">
        <x:v>0</x:v>
      </x:c>
      <x:c r="F447" s="46" t="n">
        <x:v>1</x:v>
      </x:c>
      <x:c r="G447" s="12" t="n">
        <x:v>0</x:v>
      </x:c>
      <x:c r="H447" s="12" t="n">
        <x:v>0.1111111111111111</x:v>
      </x:c>
      <x:c r="I447" s="29" t="n">
        <x:f>'Assumptions'!$D$11+'Assumptions'!$D$12*(0.5-(G447+H447)/2)</x:f>
        <x:v>0.3888888888888889</x:v>
      </x:c>
      <x:c r="J447" s="27" t="n">
        <x:f>'Assumptions'!$D$8*EXP(-'Assumptions'!$D$9*('Fleet Engine'!E195-10))*'Assumptions'!E55*'Assumptions'!F36</x:f>
        <x:v>22255.409284924677</x:v>
      </x:c>
      <x:c r="K447" s="27" t="n">
        <x:f>'Source Data'!F218+LN('Assumptions'!D55)+LN('Assumptions'!F35)</x:f>
        <x:v>7.909903025975467</x:v>
      </x:c>
      <x:c r="L447" s="27" t="n">
        <x:f>J447*(1-I447*(1-'Carrier Engine'!E93))</x:f>
        <x:v>13946.723151886132</x:v>
      </x:c>
      <x:c r="M447" s="29" t="n">
        <x:f>NORM.S.DIST((LN(L447)-K447)/'Assumptions'!$D$10,TRUE)</x:f>
        <x:v>0.8508422763569413</x:v>
      </x:c>
      <x:c r="N447" s="30" t="n">
        <x:f>MAX(0,H447-MAX(G447,M447))</x:f>
        <x:v>0</x:v>
      </x:c>
      <x:c r="O447" s="28" t="n">
        <x:f>J447*I447</x:f>
        <x:v>8654.88138858182</x:v>
      </x:c>
      <x:c r="P447" s="27" t="n">
        <x:f>(VLOOKUP(O447,'Fee Data'!$C$6:$G$50,2,TRUE)+O447*VLOOKUP(O447,'Fee Data'!$C$6:$G$50,3,TRUE)+VLOOKUP(O447,'Fee Data'!$I$6:$J$14,2,TRUE)+'Fee Data'!$J$20+'Fee Data'!$J$21)*'Assumptions'!F37</x:f>
        <x:v>1195</x:v>
      </x:c>
      <x:c r="Q447" s="27" t="n">
        <x:f>(VLOOKUP(O447,'Fee Data'!$C$6:$G$50,4,TRUE)+O447*VLOOKUP(O447,'Fee Data'!$C$6:$G$50,5,TRUE)+VLOOKUP(O447,'Fee Data'!$I$6:$J$14,2,TRUE)+'Fee Data'!$J$20+'Fee Data'!$J$21)*'Assumptions'!F37</x:f>
        <x:v>1070</x:v>
      </x:c>
      <x:c r="R447" s="27" t="n">
        <x:f>P447*(1-'Assumptions'!$D$14)+Q447*'Assumptions'!$D$14</x:f>
        <x:v>1132.5</x:v>
      </x:c>
      <x:c r="S447" s="27" t="n">
        <x:f>O447*'Carrier Engine'!E93</x:f>
        <x:v>346.1952555432728</x:v>
      </x:c>
      <x:c r="T447" s="28" t="n">
        <x:f>R447+S447</x:f>
        <x:v>1478.6952555432729</x:v>
      </x:c>
      <x:c r="U447" s="27" t="n">
        <x:f>N447*'Fleet Engine'!H195</x:f>
        <x:v>0</x:v>
      </x:c>
      <x:c r="V447" s="28" t="n">
        <x:f>U447*T447</x:f>
        <x:v>0</x:v>
      </x:c>
      <x:c r="W447" s="28" t="n">
        <x:f>U447*O447</x:f>
        <x:v>0</x:v>
      </x:c>
    </x:row>
    <x:row r="448" ht="19" customHeight="1">
      <x:c r="A448" s="2"/>
      <x:c r="B448" s="2"/>
      <x:c r="C448" s="46" t="n">
        <x:v>2</x:v>
      </x:c>
      <x:c r="D448" s="46" t="n">
        <x:v>1</x:v>
      </x:c>
      <x:c r="E448" s="46" t="n">
        <x:v>0</x:v>
      </x:c>
      <x:c r="F448" s="46" t="n">
        <x:v>1</x:v>
      </x:c>
      <x:c r="G448" s="12" t="n">
        <x:v>0.1111111111111111</x:v>
      </x:c>
      <x:c r="H448" s="12" t="n">
        <x:v>0.2222222222222222</x:v>
      </x:c>
      <x:c r="I448" s="29" t="n">
        <x:f>'Assumptions'!$D$11+'Assumptions'!$D$12*(0.5-(G448+H448)/2)</x:f>
        <x:v>0.3666666666666667</x:v>
      </x:c>
      <x:c r="J448" s="27" t="n">
        <x:f>'Assumptions'!$D$8*EXP(-'Assumptions'!$D$9*('Fleet Engine'!E195-10))*'Assumptions'!E55*'Assumptions'!F36</x:f>
        <x:v>22255.409284924677</x:v>
      </x:c>
      <x:c r="K448" s="27" t="n">
        <x:f>'Source Data'!F218+LN('Assumptions'!D55)+LN('Assumptions'!F35)</x:f>
        <x:v>7.909903025975467</x:v>
      </x:c>
      <x:c r="L448" s="27" t="n">
        <x:f>J448*(1-I448*(1-'Carrier Engine'!E93))</x:f>
        <x:v>14421.505216631189</x:v>
      </x:c>
      <x:c r="M448" s="29" t="n">
        <x:f>NORM.S.DIST((LN(L448)-K448)/'Assumptions'!$D$10,TRUE)</x:f>
        <x:v>0.8557395814099102</x:v>
      </x:c>
      <x:c r="N448" s="30" t="n">
        <x:f>MAX(0,H448-MAX(G448,M448))</x:f>
        <x:v>0</x:v>
      </x:c>
      <x:c r="O448" s="28" t="n">
        <x:f>J448*I448</x:f>
        <x:v>8160.316737805716</x:v>
      </x:c>
      <x:c r="P448" s="27" t="n">
        <x:f>(VLOOKUP(O448,'Fee Data'!$C$6:$G$50,2,TRUE)+O448*VLOOKUP(O448,'Fee Data'!$C$6:$G$50,3,TRUE)+VLOOKUP(O448,'Fee Data'!$I$6:$J$14,2,TRUE)+'Fee Data'!$J$20+'Fee Data'!$J$21)*'Assumptions'!F37</x:f>
        <x:v>1175</x:v>
      </x:c>
      <x:c r="Q448" s="27" t="n">
        <x:f>(VLOOKUP(O448,'Fee Data'!$C$6:$G$50,4,TRUE)+O448*VLOOKUP(O448,'Fee Data'!$C$6:$G$50,5,TRUE)+VLOOKUP(O448,'Fee Data'!$I$6:$J$14,2,TRUE)+'Fee Data'!$J$20+'Fee Data'!$J$21)*'Assumptions'!F37</x:f>
        <x:v>1050</x:v>
      </x:c>
      <x:c r="R448" s="27" t="n">
        <x:f>P448*(1-'Assumptions'!$D$14)+Q448*'Assumptions'!$D$14</x:f>
        <x:v>1112.5</x:v>
      </x:c>
      <x:c r="S448" s="27" t="n">
        <x:f>O448*'Carrier Engine'!E93</x:f>
        <x:v>326.41266951222866</x:v>
      </x:c>
      <x:c r="T448" s="28" t="n">
        <x:f>R448+S448</x:f>
        <x:v>1438.9126695122286</x:v>
      </x:c>
      <x:c r="U448" s="27" t="n">
        <x:f>N448*'Fleet Engine'!H195</x:f>
        <x:v>0</x:v>
      </x:c>
      <x:c r="V448" s="28" t="n">
        <x:f>U448*T448</x:f>
        <x:v>0</x:v>
      </x:c>
      <x:c r="W448" s="28" t="n">
        <x:f>U448*O448</x:f>
        <x:v>0</x:v>
      </x:c>
    </x:row>
    <x:row r="449" ht="19" customHeight="1">
      <x:c r="A449" s="2"/>
      <x:c r="B449" s="2"/>
      <x:c r="C449" s="46" t="n">
        <x:v>2</x:v>
      </x:c>
      <x:c r="D449" s="46" t="n">
        <x:v>1</x:v>
      </x:c>
      <x:c r="E449" s="46" t="n">
        <x:v>0</x:v>
      </x:c>
      <x:c r="F449" s="46" t="n">
        <x:v>1</x:v>
      </x:c>
      <x:c r="G449" s="12" t="n">
        <x:v>0.2222222222222222</x:v>
      </x:c>
      <x:c r="H449" s="12" t="n">
        <x:v>0.3333333333333333</x:v>
      </x:c>
      <x:c r="I449" s="29" t="n">
        <x:f>'Assumptions'!$D$11+'Assumptions'!$D$12*(0.5-(G449+H449)/2)</x:f>
        <x:v>0.34444444444444444</x:v>
      </x:c>
      <x:c r="J449" s="27" t="n">
        <x:f>'Assumptions'!$D$8*EXP(-'Assumptions'!$D$9*('Fleet Engine'!E195-10))*'Assumptions'!E55*'Assumptions'!F36</x:f>
        <x:v>22255.409284924677</x:v>
      </x:c>
      <x:c r="K449" s="27" t="n">
        <x:f>'Source Data'!F218+LN('Assumptions'!D55)+LN('Assumptions'!F35)</x:f>
        <x:v>7.909903025975467</x:v>
      </x:c>
      <x:c r="L449" s="27" t="n">
        <x:f>J449*(1-I449*(1-'Carrier Engine'!E93))</x:f>
        <x:v>14896.287281376251</x:v>
      </x:c>
      <x:c r="M449" s="29" t="n">
        <x:f>NORM.S.DIST((LN(L449)-K449)/'Assumptions'!$D$10,TRUE)</x:f>
        <x:v>0.8603739374321665</x:v>
      </x:c>
      <x:c r="N449" s="30" t="n">
        <x:f>MAX(0,H449-MAX(G449,M449))</x:f>
        <x:v>0</x:v>
      </x:c>
      <x:c r="O449" s="28" t="n">
        <x:f>J449*I449</x:f>
        <x:v>7665.752087029611</x:v>
      </x:c>
      <x:c r="P449" s="27" t="n">
        <x:f>(VLOOKUP(O449,'Fee Data'!$C$6:$G$50,2,TRUE)+O449*VLOOKUP(O449,'Fee Data'!$C$6:$G$50,3,TRUE)+VLOOKUP(O449,'Fee Data'!$I$6:$J$14,2,TRUE)+'Fee Data'!$J$20+'Fee Data'!$J$21)*'Assumptions'!F37</x:f>
        <x:v>1135</x:v>
      </x:c>
      <x:c r="Q449" s="27" t="n">
        <x:f>(VLOOKUP(O449,'Fee Data'!$C$6:$G$50,4,TRUE)+O449*VLOOKUP(O449,'Fee Data'!$C$6:$G$50,5,TRUE)+VLOOKUP(O449,'Fee Data'!$I$6:$J$14,2,TRUE)+'Fee Data'!$J$20+'Fee Data'!$J$21)*'Assumptions'!F37</x:f>
        <x:v>1010</x:v>
      </x:c>
      <x:c r="R449" s="27" t="n">
        <x:f>P449*(1-'Assumptions'!$D$14)+Q449*'Assumptions'!$D$14</x:f>
        <x:v>1072.5</x:v>
      </x:c>
      <x:c r="S449" s="27" t="n">
        <x:f>O449*'Carrier Engine'!E93</x:f>
        <x:v>306.63008348118444</x:v>
      </x:c>
      <x:c r="T449" s="28" t="n">
        <x:f>R449+S449</x:f>
        <x:v>1379.1300834811846</x:v>
      </x:c>
      <x:c r="U449" s="27" t="n">
        <x:f>N449*'Fleet Engine'!H195</x:f>
        <x:v>0</x:v>
      </x:c>
      <x:c r="V449" s="28" t="n">
        <x:f>U449*T449</x:f>
        <x:v>0</x:v>
      </x:c>
      <x:c r="W449" s="28" t="n">
        <x:f>U449*O449</x:f>
        <x:v>0</x:v>
      </x:c>
    </x:row>
    <x:row r="450" ht="19" customHeight="1">
      <x:c r="A450" s="2"/>
      <x:c r="B450" s="2"/>
      <x:c r="C450" s="46" t="n">
        <x:v>2</x:v>
      </x:c>
      <x:c r="D450" s="46" t="n">
        <x:v>1</x:v>
      </x:c>
      <x:c r="E450" s="46" t="n">
        <x:v>0</x:v>
      </x:c>
      <x:c r="F450" s="46" t="n">
        <x:v>1</x:v>
      </x:c>
      <x:c r="G450" s="12" t="n">
        <x:v>0.3333333333333333</x:v>
      </x:c>
      <x:c r="H450" s="12" t="n">
        <x:v>0.4444444444444444</x:v>
      </x:c>
      <x:c r="I450" s="29" t="n">
        <x:f>'Assumptions'!$D$11+'Assumptions'!$D$12*(0.5-(G450+H450)/2)</x:f>
        <x:v>0.32222222222222224</x:v>
      </x:c>
      <x:c r="J450" s="27" t="n">
        <x:f>'Assumptions'!$D$8*EXP(-'Assumptions'!$D$9*('Fleet Engine'!E195-10))*'Assumptions'!E55*'Assumptions'!F36</x:f>
        <x:v>22255.409284924677</x:v>
      </x:c>
      <x:c r="K450" s="27" t="n">
        <x:f>'Source Data'!F218+LN('Assumptions'!D55)+LN('Assumptions'!F35)</x:f>
        <x:v>7.909903025975467</x:v>
      </x:c>
      <x:c r="L450" s="27" t="n">
        <x:f>J450*(1-I450*(1-'Carrier Engine'!E93))</x:f>
        <x:v>15371.06934612131</x:v>
      </x:c>
      <x:c r="M450" s="29" t="n">
        <x:f>NORM.S.DIST((LN(L450)-K450)/'Assumptions'!$D$10,TRUE)</x:f>
        <x:v>0.8647653470677638</x:v>
      </x:c>
      <x:c r="N450" s="30" t="n">
        <x:f>MAX(0,H450-MAX(G450,M450))</x:f>
        <x:v>0</x:v>
      </x:c>
      <x:c r="O450" s="28" t="n">
        <x:f>J450*I450</x:f>
        <x:v>7171.187436253507</x:v>
      </x:c>
      <x:c r="P450" s="27" t="n">
        <x:f>(VLOOKUP(O450,'Fee Data'!$C$6:$G$50,2,TRUE)+O450*VLOOKUP(O450,'Fee Data'!$C$6:$G$50,3,TRUE)+VLOOKUP(O450,'Fee Data'!$I$6:$J$14,2,TRUE)+'Fee Data'!$J$20+'Fee Data'!$J$21)*'Assumptions'!F37</x:f>
        <x:v>1115</x:v>
      </x:c>
      <x:c r="Q450" s="27" t="n">
        <x:f>(VLOOKUP(O450,'Fee Data'!$C$6:$G$50,4,TRUE)+O450*VLOOKUP(O450,'Fee Data'!$C$6:$G$50,5,TRUE)+VLOOKUP(O450,'Fee Data'!$I$6:$J$14,2,TRUE)+'Fee Data'!$J$20+'Fee Data'!$J$21)*'Assumptions'!F37</x:f>
        <x:v>990</x:v>
      </x:c>
      <x:c r="R450" s="27" t="n">
        <x:f>P450*(1-'Assumptions'!$D$14)+Q450*'Assumptions'!$D$14</x:f>
        <x:v>1052.5</x:v>
      </x:c>
      <x:c r="S450" s="27" t="n">
        <x:f>O450*'Carrier Engine'!E93</x:f>
        <x:v>286.8474974501403</x:v>
      </x:c>
      <x:c r="T450" s="28" t="n">
        <x:f>R450+S450</x:f>
        <x:v>1339.3474974501403</x:v>
      </x:c>
      <x:c r="U450" s="27" t="n">
        <x:f>N450*'Fleet Engine'!H195</x:f>
        <x:v>0</x:v>
      </x:c>
      <x:c r="V450" s="28" t="n">
        <x:f>U450*T450</x:f>
        <x:v>0</x:v>
      </x:c>
      <x:c r="W450" s="28" t="n">
        <x:f>U450*O450</x:f>
        <x:v>0</x:v>
      </x:c>
    </x:row>
    <x:row r="451" ht="19" customHeight="1">
      <x:c r="A451" s="2"/>
      <x:c r="B451" s="2"/>
      <x:c r="C451" s="46" t="n">
        <x:v>2</x:v>
      </x:c>
      <x:c r="D451" s="46" t="n">
        <x:v>1</x:v>
      </x:c>
      <x:c r="E451" s="46" t="n">
        <x:v>0</x:v>
      </x:c>
      <x:c r="F451" s="46" t="n">
        <x:v>1</x:v>
      </x:c>
      <x:c r="G451" s="12" t="n">
        <x:v>0.4444444444444444</x:v>
      </x:c>
      <x:c r="H451" s="12" t="n">
        <x:v>0.5555555555555556</x:v>
      </x:c>
      <x:c r="I451" s="29" t="n">
        <x:f>'Assumptions'!$D$11+'Assumptions'!$D$12*(0.5-(G451+H451)/2)</x:f>
        <x:v>0.3</x:v>
      </x:c>
      <x:c r="J451" s="27" t="n">
        <x:f>'Assumptions'!$D$8*EXP(-'Assumptions'!$D$9*('Fleet Engine'!E195-10))*'Assumptions'!E55*'Assumptions'!F36</x:f>
        <x:v>22255.409284924677</x:v>
      </x:c>
      <x:c r="K451" s="27" t="n">
        <x:f>'Source Data'!F218+LN('Assumptions'!D55)+LN('Assumptions'!F35)</x:f>
        <x:v>7.909903025975467</x:v>
      </x:c>
      <x:c r="L451" s="27" t="n">
        <x:f>J451*(1-I451*(1-'Carrier Engine'!E93))</x:f>
        <x:v>15845.85141086637</x:v>
      </x:c>
      <x:c r="M451" s="29" t="n">
        <x:f>NORM.S.DIST((LN(L451)-K451)/'Assumptions'!$D$10,TRUE)</x:f>
        <x:v>0.8689318372553634</x:v>
      </x:c>
      <x:c r="N451" s="30" t="n">
        <x:f>MAX(0,H451-MAX(G451,M451))</x:f>
        <x:v>0</x:v>
      </x:c>
      <x:c r="O451" s="28" t="n">
        <x:f>J451*I451</x:f>
        <x:v>6676.622785477403</x:v>
      </x:c>
      <x:c r="P451" s="27" t="n">
        <x:f>(VLOOKUP(O451,'Fee Data'!$C$6:$G$50,2,TRUE)+O451*VLOOKUP(O451,'Fee Data'!$C$6:$G$50,3,TRUE)+VLOOKUP(O451,'Fee Data'!$I$6:$J$14,2,TRUE)+'Fee Data'!$J$20+'Fee Data'!$J$21)*'Assumptions'!F37</x:f>
        <x:v>1080</x:v>
      </x:c>
      <x:c r="Q451" s="27" t="n">
        <x:f>(VLOOKUP(O451,'Fee Data'!$C$6:$G$50,4,TRUE)+O451*VLOOKUP(O451,'Fee Data'!$C$6:$G$50,5,TRUE)+VLOOKUP(O451,'Fee Data'!$I$6:$J$14,2,TRUE)+'Fee Data'!$J$20+'Fee Data'!$J$21)*'Assumptions'!F37</x:f>
        <x:v>955</x:v>
      </x:c>
      <x:c r="R451" s="27" t="n">
        <x:f>P451*(1-'Assumptions'!$D$14)+Q451*'Assumptions'!$D$14</x:f>
        <x:v>1017.5</x:v>
      </x:c>
      <x:c r="S451" s="27" t="n">
        <x:f>O451*'Carrier Engine'!E93</x:f>
        <x:v>267.0649114190961</x:v>
      </x:c>
      <x:c r="T451" s="28" t="n">
        <x:f>R451+S451</x:f>
        <x:v>1284.564911419096</x:v>
      </x:c>
      <x:c r="U451" s="27" t="n">
        <x:f>N451*'Fleet Engine'!H195</x:f>
        <x:v>0</x:v>
      </x:c>
      <x:c r="V451" s="28" t="n">
        <x:f>U451*T451</x:f>
        <x:v>0</x:v>
      </x:c>
      <x:c r="W451" s="28" t="n">
        <x:f>U451*O451</x:f>
        <x:v>0</x:v>
      </x:c>
    </x:row>
    <x:row r="452" ht="19" customHeight="1">
      <x:c r="A452" s="2"/>
      <x:c r="B452" s="2"/>
      <x:c r="C452" s="46" t="n">
        <x:v>2</x:v>
      </x:c>
      <x:c r="D452" s="46" t="n">
        <x:v>1</x:v>
      </x:c>
      <x:c r="E452" s="46" t="n">
        <x:v>0</x:v>
      </x:c>
      <x:c r="F452" s="46" t="n">
        <x:v>1</x:v>
      </x:c>
      <x:c r="G452" s="12" t="n">
        <x:v>0.5555555555555556</x:v>
      </x:c>
      <x:c r="H452" s="12" t="n">
        <x:v>0.6666666666666666</x:v>
      </x:c>
      <x:c r="I452" s="29" t="n">
        <x:f>'Assumptions'!$D$11+'Assumptions'!$D$12*(0.5-(G452+H452)/2)</x:f>
        <x:v>0.27777777777777773</x:v>
      </x:c>
      <x:c r="J452" s="27" t="n">
        <x:f>'Assumptions'!$D$8*EXP(-'Assumptions'!$D$9*('Fleet Engine'!E195-10))*'Assumptions'!E55*'Assumptions'!F36</x:f>
        <x:v>22255.409284924677</x:v>
      </x:c>
      <x:c r="K452" s="27" t="n">
        <x:f>'Source Data'!F218+LN('Assumptions'!D55)+LN('Assumptions'!F35)</x:f>
        <x:v>7.909903025975467</x:v>
      </x:c>
      <x:c r="L452" s="27" t="n">
        <x:f>J452*(1-I452*(1-'Carrier Engine'!E93))</x:f>
        <x:v>16320.633475611432</x:v>
      </x:c>
      <x:c r="M452" s="29" t="n">
        <x:f>NORM.S.DIST((LN(L452)-K452)/'Assumptions'!$D$10,TRUE)</x:f>
        <x:v>0.8728896986796358</x:v>
      </x:c>
      <x:c r="N452" s="30" t="n">
        <x:f>MAX(0,H452-MAX(G452,M452))</x:f>
        <x:v>0</x:v>
      </x:c>
      <x:c r="O452" s="28" t="n">
        <x:f>J452*I452</x:f>
        <x:v>6182.0581347012985</x:v>
      </x:c>
      <x:c r="P452" s="27" t="n">
        <x:f>(VLOOKUP(O452,'Fee Data'!$C$6:$G$50,2,TRUE)+O452*VLOOKUP(O452,'Fee Data'!$C$6:$G$50,3,TRUE)+VLOOKUP(O452,'Fee Data'!$I$6:$J$14,2,TRUE)+'Fee Data'!$J$20+'Fee Data'!$J$21)*'Assumptions'!F37</x:f>
        <x:v>1060</x:v>
      </x:c>
      <x:c r="Q452" s="27" t="n">
        <x:f>(VLOOKUP(O452,'Fee Data'!$C$6:$G$50,4,TRUE)+O452*VLOOKUP(O452,'Fee Data'!$C$6:$G$50,5,TRUE)+VLOOKUP(O452,'Fee Data'!$I$6:$J$14,2,TRUE)+'Fee Data'!$J$20+'Fee Data'!$J$21)*'Assumptions'!F37</x:f>
        <x:v>935</x:v>
      </x:c>
      <x:c r="R452" s="27" t="n">
        <x:f>P452*(1-'Assumptions'!$D$14)+Q452*'Assumptions'!$D$14</x:f>
        <x:v>997.5</x:v>
      </x:c>
      <x:c r="S452" s="27" t="n">
        <x:f>O452*'Carrier Engine'!E93</x:f>
        <x:v>247.28232538805196</x:v>
      </x:c>
      <x:c r="T452" s="28" t="n">
        <x:f>R452+S452</x:f>
        <x:v>1244.782325388052</x:v>
      </x:c>
      <x:c r="U452" s="27" t="n">
        <x:f>N452*'Fleet Engine'!H195</x:f>
        <x:v>0</x:v>
      </x:c>
      <x:c r="V452" s="28" t="n">
        <x:f>U452*T452</x:f>
        <x:v>0</x:v>
      </x:c>
      <x:c r="W452" s="28" t="n">
        <x:f>U452*O452</x:f>
        <x:v>0</x:v>
      </x:c>
    </x:row>
    <x:row r="453" ht="19" customHeight="1">
      <x:c r="A453" s="2"/>
      <x:c r="B453" s="2"/>
      <x:c r="C453" s="46" t="n">
        <x:v>2</x:v>
      </x:c>
      <x:c r="D453" s="46" t="n">
        <x:v>1</x:v>
      </x:c>
      <x:c r="E453" s="46" t="n">
        <x:v>0</x:v>
      </x:c>
      <x:c r="F453" s="46" t="n">
        <x:v>1</x:v>
      </x:c>
      <x:c r="G453" s="12" t="n">
        <x:v>0.6666666666666666</x:v>
      </x:c>
      <x:c r="H453" s="12" t="n">
        <x:v>0.7777777777777778</x:v>
      </x:c>
      <x:c r="I453" s="29" t="n">
        <x:f>'Assumptions'!$D$11+'Assumptions'!$D$12*(0.5-(G453+H453)/2)</x:f>
        <x:v>0.25555555555555554</x:v>
      </x:c>
      <x:c r="J453" s="27" t="n">
        <x:f>'Assumptions'!$D$8*EXP(-'Assumptions'!$D$9*('Fleet Engine'!E195-10))*'Assumptions'!E55*'Assumptions'!F36</x:f>
        <x:v>22255.409284924677</x:v>
      </x:c>
      <x:c r="K453" s="27" t="n">
        <x:f>'Source Data'!F218+LN('Assumptions'!D55)+LN('Assumptions'!F35)</x:f>
        <x:v>7.909903025975467</x:v>
      </x:c>
      <x:c r="L453" s="27" t="n">
        <x:f>J453*(1-I453*(1-'Carrier Engine'!E93))</x:f>
        <x:v>16795.41554035649</x:v>
      </x:c>
      <x:c r="M453" s="29" t="n">
        <x:f>NORM.S.DIST((LN(L453)-K453)/'Assumptions'!$D$10,TRUE)</x:f>
        <x:v>0.8766536909691995</x:v>
      </x:c>
      <x:c r="N453" s="30" t="n">
        <x:f>MAX(0,H453-MAX(G453,M453))</x:f>
        <x:v>0</x:v>
      </x:c>
      <x:c r="O453" s="28" t="n">
        <x:f>J453*I453</x:f>
        <x:v>5687.493483925195</x:v>
      </x:c>
      <x:c r="P453" s="27" t="n">
        <x:f>(VLOOKUP(O453,'Fee Data'!$C$6:$G$50,2,TRUE)+O453*VLOOKUP(O453,'Fee Data'!$C$6:$G$50,3,TRUE)+VLOOKUP(O453,'Fee Data'!$I$6:$J$14,2,TRUE)+'Fee Data'!$J$20+'Fee Data'!$J$21)*'Assumptions'!F37</x:f>
        <x:v>1020</x:v>
      </x:c>
      <x:c r="Q453" s="27" t="n">
        <x:f>(VLOOKUP(O453,'Fee Data'!$C$6:$G$50,4,TRUE)+O453*VLOOKUP(O453,'Fee Data'!$C$6:$G$50,5,TRUE)+VLOOKUP(O453,'Fee Data'!$I$6:$J$14,2,TRUE)+'Fee Data'!$J$20+'Fee Data'!$J$21)*'Assumptions'!F37</x:f>
        <x:v>895</x:v>
      </x:c>
      <x:c r="R453" s="27" t="n">
        <x:f>P453*(1-'Assumptions'!$D$14)+Q453*'Assumptions'!$D$14</x:f>
        <x:v>957.5</x:v>
      </x:c>
      <x:c r="S453" s="27" t="n">
        <x:f>O453*'Carrier Engine'!E93</x:f>
        <x:v>227.4997393570078</x:v>
      </x:c>
      <x:c r="T453" s="28" t="n">
        <x:f>R453+S453</x:f>
        <x:v>1184.999739357008</x:v>
      </x:c>
      <x:c r="U453" s="27" t="n">
        <x:f>N453*'Fleet Engine'!H195</x:f>
        <x:v>0</x:v>
      </x:c>
      <x:c r="V453" s="28" t="n">
        <x:f>U453*T453</x:f>
        <x:v>0</x:v>
      </x:c>
      <x:c r="W453" s="28" t="n">
        <x:f>U453*O453</x:f>
        <x:v>0</x:v>
      </x:c>
    </x:row>
    <x:row r="454" ht="19" customHeight="1">
      <x:c r="A454" s="2"/>
      <x:c r="B454" s="2"/>
      <x:c r="C454" s="46" t="n">
        <x:v>2</x:v>
      </x:c>
      <x:c r="D454" s="46" t="n">
        <x:v>1</x:v>
      </x:c>
      <x:c r="E454" s="46" t="n">
        <x:v>0</x:v>
      </x:c>
      <x:c r="F454" s="46" t="n">
        <x:v>1</x:v>
      </x:c>
      <x:c r="G454" s="12" t="n">
        <x:v>0.7777777777777778</x:v>
      </x:c>
      <x:c r="H454" s="12" t="n">
        <x:v>0.8888888888888888</x:v>
      </x:c>
      <x:c r="I454" s="29" t="n">
        <x:f>'Assumptions'!$D$11+'Assumptions'!$D$12*(0.5-(G454+H454)/2)</x:f>
        <x:v>0.23333333333333334</x:v>
      </x:c>
      <x:c r="J454" s="27" t="n">
        <x:f>'Assumptions'!$D$8*EXP(-'Assumptions'!$D$9*('Fleet Engine'!E195-10))*'Assumptions'!E55*'Assumptions'!F36</x:f>
        <x:v>22255.409284924677</x:v>
      </x:c>
      <x:c r="K454" s="27" t="n">
        <x:f>'Source Data'!F218+LN('Assumptions'!D55)+LN('Assumptions'!F35)</x:f>
        <x:v>7.909903025975467</x:v>
      </x:c>
      <x:c r="L454" s="27" t="n">
        <x:f>J454*(1-I454*(1-'Carrier Engine'!E93))</x:f>
        <x:v>17270.19760510155</x:v>
      </x:c>
      <x:c r="M454" s="29" t="n">
        <x:f>NORM.S.DIST((LN(L454)-K454)/'Assumptions'!$D$10,TRUE)</x:f>
        <x:v>0.880237219264955</x:v>
      </x:c>
      <x:c r="N454" s="30" t="n">
        <x:f>MAX(0,H454-MAX(G454,M454))</x:f>
        <x:v>0.008651669623933822</x:v>
      </x:c>
      <x:c r="O454" s="28" t="n">
        <x:f>J454*I454</x:f>
        <x:v>5192.928833149092</x:v>
      </x:c>
      <x:c r="P454" s="27" t="n">
        <x:f>(VLOOKUP(O454,'Fee Data'!$C$6:$G$50,2,TRUE)+O454*VLOOKUP(O454,'Fee Data'!$C$6:$G$50,3,TRUE)+VLOOKUP(O454,'Fee Data'!$I$6:$J$14,2,TRUE)+'Fee Data'!$J$20+'Fee Data'!$J$21)*'Assumptions'!F37</x:f>
        <x:v>995</x:v>
      </x:c>
      <x:c r="Q454" s="27" t="n">
        <x:f>(VLOOKUP(O454,'Fee Data'!$C$6:$G$50,4,TRUE)+O454*VLOOKUP(O454,'Fee Data'!$C$6:$G$50,5,TRUE)+VLOOKUP(O454,'Fee Data'!$I$6:$J$14,2,TRUE)+'Fee Data'!$J$20+'Fee Data'!$J$21)*'Assumptions'!F37</x:f>
        <x:v>870</x:v>
      </x:c>
      <x:c r="R454" s="27" t="n">
        <x:f>P454*(1-'Assumptions'!$D$14)+Q454*'Assumptions'!$D$14</x:f>
        <x:v>932.5</x:v>
      </x:c>
      <x:c r="S454" s="27" t="n">
        <x:f>O454*'Carrier Engine'!E93</x:f>
        <x:v>207.71715332596366</x:v>
      </x:c>
      <x:c r="T454" s="28" t="n">
        <x:f>R454+S454</x:f>
        <x:v>1140.2171533259636</x:v>
      </x:c>
      <x:c r="U454" s="27" t="n">
        <x:f>N454*'Fleet Engine'!H195</x:f>
        <x:v>78.54038150965825</x:v>
      </x:c>
      <x:c r="V454" s="28" t="n">
        <x:f>U454*T454</x:f>
        <x:v>89553.09022607768</x:v>
      </x:c>
      <x:c r="W454" s="28" t="n">
        <x:f>U454*O454</x:f>
        <x:v>407854.61170803406</x:v>
      </x:c>
    </x:row>
    <x:row r="455" ht="19" customHeight="1">
      <x:c r="A455" s="2"/>
      <x:c r="B455" s="2"/>
      <x:c r="C455" s="46" t="n">
        <x:v>2</x:v>
      </x:c>
      <x:c r="D455" s="46" t="n">
        <x:v>1</x:v>
      </x:c>
      <x:c r="E455" s="46" t="n">
        <x:v>0</x:v>
      </x:c>
      <x:c r="F455" s="46" t="n">
        <x:v>1</x:v>
      </x:c>
      <x:c r="G455" s="12" t="n">
        <x:v>0.8888888888888888</x:v>
      </x:c>
      <x:c r="H455" s="12" t="n">
        <x:v>1</x:v>
      </x:c>
      <x:c r="I455" s="29" t="n">
        <x:f>'Assumptions'!$D$11+'Assumptions'!$D$12*(0.5-(G455+H455)/2)</x:f>
        <x:v>0.21111111111111108</x:v>
      </x:c>
      <x:c r="J455" s="27" t="n">
        <x:f>'Assumptions'!$D$8*EXP(-'Assumptions'!$D$9*('Fleet Engine'!E195-10))*'Assumptions'!E55*'Assumptions'!F36</x:f>
        <x:v>22255.409284924677</x:v>
      </x:c>
      <x:c r="K455" s="27" t="n">
        <x:f>'Source Data'!F218+LN('Assumptions'!D55)+LN('Assumptions'!F35)</x:f>
        <x:v>7.909903025975467</x:v>
      </x:c>
      <x:c r="L455" s="27" t="n">
        <x:f>J455*(1-I455*(1-'Carrier Engine'!E93))</x:f>
        <x:v>17744.97966984661</x:v>
      </x:c>
      <x:c r="M455" s="29" t="n">
        <x:f>NORM.S.DIST((LN(L455)-K455)/'Assumptions'!$D$10,TRUE)</x:f>
        <x:v>0.8836524867448694</x:v>
      </x:c>
      <x:c r="N455" s="30" t="n">
        <x:f>MAX(0,H455-MAX(G455,M455))</x:f>
        <x:v>0.11111111111111116</x:v>
      </x:c>
      <x:c r="O455" s="28" t="n">
        <x:f>J455*I455</x:f>
        <x:v>4698.364182372987</x:v>
      </x:c>
      <x:c r="P455" s="27" t="n">
        <x:f>(VLOOKUP(O455,'Fee Data'!$C$6:$G$50,2,TRUE)+O455*VLOOKUP(O455,'Fee Data'!$C$6:$G$50,3,TRUE)+VLOOKUP(O455,'Fee Data'!$I$6:$J$14,2,TRUE)+'Fee Data'!$J$20+'Fee Data'!$J$21)*'Assumptions'!F37</x:f>
        <x:v>970</x:v>
      </x:c>
      <x:c r="Q455" s="27" t="n">
        <x:f>(VLOOKUP(O455,'Fee Data'!$C$6:$G$50,4,TRUE)+O455*VLOOKUP(O455,'Fee Data'!$C$6:$G$50,5,TRUE)+VLOOKUP(O455,'Fee Data'!$I$6:$J$14,2,TRUE)+'Fee Data'!$J$20+'Fee Data'!$J$21)*'Assumptions'!F37</x:f>
        <x:v>845</x:v>
      </x:c>
      <x:c r="R455" s="27" t="n">
        <x:f>P455*(1-'Assumptions'!$D$14)+Q455*'Assumptions'!$D$14</x:f>
        <x:v>907.5</x:v>
      </x:c>
      <x:c r="S455" s="27" t="n">
        <x:f>O455*'Carrier Engine'!E93</x:f>
        <x:v>187.93456729491947</x:v>
      </x:c>
      <x:c r="T455" s="28" t="n">
        <x:f>R455+S455</x:f>
        <x:v>1095.4345672949194</x:v>
      </x:c>
      <x:c r="U455" s="27" t="n">
        <x:f>N455*'Fleet Engine'!H195</x:f>
        <x:v>1008.6734047827357</x:v>
      </x:c>
      <x:c r="V455" s="28" t="n">
        <x:f>U455*T455</x:f>
        <x:v>1104935.7147100691</x:v>
      </x:c>
      <x:c r="W455" s="28" t="n">
        <x:f>U455*O455</x:f>
        <x:v>4739114.996743415</x:v>
      </x:c>
    </x:row>
    <x:row r="456" ht="19" customHeight="1">
      <x:c r="A456" s="2"/>
      <x:c r="B456" s="2"/>
      <x:c r="C456" s="46" t="n">
        <x:v>2</x:v>
      </x:c>
      <x:c r="D456" s="46" t="n">
        <x:v>2</x:v>
      </x:c>
      <x:c r="E456" s="46" t="n">
        <x:v>0</x:v>
      </x:c>
      <x:c r="F456" s="46" t="n">
        <x:v>2</x:v>
      </x:c>
      <x:c r="G456" s="12" t="n">
        <x:v>0</x:v>
      </x:c>
      <x:c r="H456" s="12" t="n">
        <x:v>0.1111111111111111</x:v>
      </x:c>
      <x:c r="I456" s="29" t="n">
        <x:f>'Assumptions'!$D$11+'Assumptions'!$D$12*(0.5-(G456+H456)/2)</x:f>
        <x:v>0.3888888888888889</x:v>
      </x:c>
      <x:c r="J456" s="27" t="n">
        <x:f>'Assumptions'!$D$8*EXP(-'Assumptions'!$D$9*('Fleet Engine'!E196-10))*'Assumptions'!E55*'Assumptions'!F36</x:f>
        <x:v>16487.212707001283</x:v>
      </x:c>
      <x:c r="K456" s="27" t="n">
        <x:f>'Source Data'!F219+LN('Assumptions'!D55)+LN('Assumptions'!F35)</x:f>
        <x:v>7.955584867261274</x:v>
      </x:c>
      <x:c r="L456" s="27" t="n">
        <x:f>J456*(1-I456*(1-'Carrier Engine'!E93))</x:f>
        <x:v>10331.986629720805</x:v>
      </x:c>
      <x:c r="M456" s="29" t="n">
        <x:f>NORM.S.DIST((LN(L456)-K456)/'Assumptions'!$D$10,TRUE)</x:f>
        <x:v>0.7938640109511643</x:v>
      </x:c>
      <x:c r="N456" s="30" t="n">
        <x:f>MAX(0,H456-MAX(G456,M456))</x:f>
        <x:v>0</x:v>
      </x:c>
      <x:c r="O456" s="28" t="n">
        <x:f>J456*I456</x:f>
        <x:v>6411.693830500499</x:v>
      </x:c>
      <x:c r="P456" s="27" t="n">
        <x:f>(VLOOKUP(O456,'Fee Data'!$C$6:$G$50,2,TRUE)+O456*VLOOKUP(O456,'Fee Data'!$C$6:$G$50,3,TRUE)+VLOOKUP(O456,'Fee Data'!$I$6:$J$14,2,TRUE)+'Fee Data'!$J$20+'Fee Data'!$J$21)*'Assumptions'!F37</x:f>
        <x:v>1060</x:v>
      </x:c>
      <x:c r="Q456" s="27" t="n">
        <x:f>(VLOOKUP(O456,'Fee Data'!$C$6:$G$50,4,TRUE)+O456*VLOOKUP(O456,'Fee Data'!$C$6:$G$50,5,TRUE)+VLOOKUP(O456,'Fee Data'!$I$6:$J$14,2,TRUE)+'Fee Data'!$J$20+'Fee Data'!$J$21)*'Assumptions'!F37</x:f>
        <x:v>935</x:v>
      </x:c>
      <x:c r="R456" s="27" t="n">
        <x:f>P456*(1-'Assumptions'!$D$14)+Q456*'Assumptions'!$D$14</x:f>
        <x:v>997.5</x:v>
      </x:c>
      <x:c r="S456" s="27" t="n">
        <x:f>O456*'Carrier Engine'!E93</x:f>
        <x:v>256.46775322002</x:v>
      </x:c>
      <x:c r="T456" s="28" t="n">
        <x:f>R456+S456</x:f>
        <x:v>1253.9677532200199</x:v>
      </x:c>
      <x:c r="U456" s="27" t="n">
        <x:f>N456*'Fleet Engine'!H196</x:f>
        <x:v>0</x:v>
      </x:c>
      <x:c r="V456" s="28" t="n">
        <x:f>U456*T456</x:f>
        <x:v>0</x:v>
      </x:c>
      <x:c r="W456" s="28" t="n">
        <x:f>U456*O456</x:f>
        <x:v>0</x:v>
      </x:c>
    </x:row>
    <x:row r="457" ht="19" customHeight="1">
      <x:c r="A457" s="2"/>
      <x:c r="B457" s="2"/>
      <x:c r="C457" s="46" t="n">
        <x:v>2</x:v>
      </x:c>
      <x:c r="D457" s="46" t="n">
        <x:v>2</x:v>
      </x:c>
      <x:c r="E457" s="46" t="n">
        <x:v>0</x:v>
      </x:c>
      <x:c r="F457" s="46" t="n">
        <x:v>2</x:v>
      </x:c>
      <x:c r="G457" s="12" t="n">
        <x:v>0.1111111111111111</x:v>
      </x:c>
      <x:c r="H457" s="12" t="n">
        <x:v>0.2222222222222222</x:v>
      </x:c>
      <x:c r="I457" s="29" t="n">
        <x:f>'Assumptions'!$D$11+'Assumptions'!$D$12*(0.5-(G457+H457)/2)</x:f>
        <x:v>0.3666666666666667</x:v>
      </x:c>
      <x:c r="J457" s="27" t="n">
        <x:f>'Assumptions'!$D$8*EXP(-'Assumptions'!$D$9*('Fleet Engine'!E196-10))*'Assumptions'!E55*'Assumptions'!F36</x:f>
        <x:v>16487.212707001283</x:v>
      </x:c>
      <x:c r="K457" s="27" t="n">
        <x:f>'Source Data'!F219+LN('Assumptions'!D55)+LN('Assumptions'!F35)</x:f>
        <x:v>7.955584867261274</x:v>
      </x:c>
      <x:c r="L457" s="27" t="n">
        <x:f>J457*(1-I457*(1-'Carrier Engine'!E93))</x:f>
        <x:v>10683.71383413683</x:v>
      </x:c>
      <x:c r="M457" s="29" t="n">
        <x:f>NORM.S.DIST((LN(L457)-K457)/'Assumptions'!$D$10,TRUE)</x:f>
        <x:v>0.7998880565872375</x:v>
      </x:c>
      <x:c r="N457" s="30" t="n">
        <x:f>MAX(0,H457-MAX(G457,M457))</x:f>
        <x:v>0</x:v>
      </x:c>
      <x:c r="O457" s="28" t="n">
        <x:f>J457*I457</x:f>
        <x:v>6045.311325900471</x:v>
      </x:c>
      <x:c r="P457" s="27" t="n">
        <x:f>(VLOOKUP(O457,'Fee Data'!$C$6:$G$50,2,TRUE)+O457*VLOOKUP(O457,'Fee Data'!$C$6:$G$50,3,TRUE)+VLOOKUP(O457,'Fee Data'!$I$6:$J$14,2,TRUE)+'Fee Data'!$J$20+'Fee Data'!$J$21)*'Assumptions'!F37</x:f>
        <x:v>1060</x:v>
      </x:c>
      <x:c r="Q457" s="27" t="n">
        <x:f>(VLOOKUP(O457,'Fee Data'!$C$6:$G$50,4,TRUE)+O457*VLOOKUP(O457,'Fee Data'!$C$6:$G$50,5,TRUE)+VLOOKUP(O457,'Fee Data'!$I$6:$J$14,2,TRUE)+'Fee Data'!$J$20+'Fee Data'!$J$21)*'Assumptions'!F37</x:f>
        <x:v>935</x:v>
      </x:c>
      <x:c r="R457" s="27" t="n">
        <x:f>P457*(1-'Assumptions'!$D$14)+Q457*'Assumptions'!$D$14</x:f>
        <x:v>997.5</x:v>
      </x:c>
      <x:c r="S457" s="27" t="n">
        <x:f>O457*'Carrier Engine'!E93</x:f>
        <x:v>241.81245303601887</x:v>
      </x:c>
      <x:c r="T457" s="28" t="n">
        <x:f>R457+S457</x:f>
        <x:v>1239.312453036019</x:v>
      </x:c>
      <x:c r="U457" s="27" t="n">
        <x:f>N457*'Fleet Engine'!H196</x:f>
        <x:v>0</x:v>
      </x:c>
      <x:c r="V457" s="28" t="n">
        <x:f>U457*T457</x:f>
        <x:v>0</x:v>
      </x:c>
      <x:c r="W457" s="28" t="n">
        <x:f>U457*O457</x:f>
        <x:v>0</x:v>
      </x:c>
    </x:row>
    <x:row r="458" ht="19" customHeight="1">
      <x:c r="A458" s="2"/>
      <x:c r="B458" s="2"/>
      <x:c r="C458" s="46" t="n">
        <x:v>2</x:v>
      </x:c>
      <x:c r="D458" s="46" t="n">
        <x:v>2</x:v>
      </x:c>
      <x:c r="E458" s="46" t="n">
        <x:v>0</x:v>
      </x:c>
      <x:c r="F458" s="46" t="n">
        <x:v>2</x:v>
      </x:c>
      <x:c r="G458" s="12" t="n">
        <x:v>0.2222222222222222</x:v>
      </x:c>
      <x:c r="H458" s="12" t="n">
        <x:v>0.3333333333333333</x:v>
      </x:c>
      <x:c r="I458" s="29" t="n">
        <x:f>'Assumptions'!$D$11+'Assumptions'!$D$12*(0.5-(G458+H458)/2)</x:f>
        <x:v>0.34444444444444444</x:v>
      </x:c>
      <x:c r="J458" s="27" t="n">
        <x:f>'Assumptions'!$D$8*EXP(-'Assumptions'!$D$9*('Fleet Engine'!E196-10))*'Assumptions'!E55*'Assumptions'!F36</x:f>
        <x:v>16487.212707001283</x:v>
      </x:c>
      <x:c r="K458" s="27" t="n">
        <x:f>'Source Data'!F219+LN('Assumptions'!D55)+LN('Assumptions'!F35)</x:f>
        <x:v>7.955584867261274</x:v>
      </x:c>
      <x:c r="L458" s="27" t="n">
        <x:f>J458*(1-I458*(1-'Carrier Engine'!E93))</x:f>
        <x:v>11035.441038552859</x:v>
      </x:c>
      <x:c r="M458" s="29" t="n">
        <x:f>NORM.S.DIST((LN(L458)-K458)/'Assumptions'!$D$10,TRUE)</x:f>
        <x:v>0.8056150406948284</x:v>
      </x:c>
      <x:c r="N458" s="30" t="n">
        <x:f>MAX(0,H458-MAX(G458,M458))</x:f>
        <x:v>0</x:v>
      </x:c>
      <x:c r="O458" s="28" t="n">
        <x:f>J458*I458</x:f>
        <x:v>5678.928821300442</x:v>
      </x:c>
      <x:c r="P458" s="27" t="n">
        <x:f>(VLOOKUP(O458,'Fee Data'!$C$6:$G$50,2,TRUE)+O458*VLOOKUP(O458,'Fee Data'!$C$6:$G$50,3,TRUE)+VLOOKUP(O458,'Fee Data'!$I$6:$J$14,2,TRUE)+'Fee Data'!$J$20+'Fee Data'!$J$21)*'Assumptions'!F37</x:f>
        <x:v>1020</x:v>
      </x:c>
      <x:c r="Q458" s="27" t="n">
        <x:f>(VLOOKUP(O458,'Fee Data'!$C$6:$G$50,4,TRUE)+O458*VLOOKUP(O458,'Fee Data'!$C$6:$G$50,5,TRUE)+VLOOKUP(O458,'Fee Data'!$I$6:$J$14,2,TRUE)+'Fee Data'!$J$20+'Fee Data'!$J$21)*'Assumptions'!F37</x:f>
        <x:v>895</x:v>
      </x:c>
      <x:c r="R458" s="27" t="n">
        <x:f>P458*(1-'Assumptions'!$D$14)+Q458*'Assumptions'!$D$14</x:f>
        <x:v>957.5</x:v>
      </x:c>
      <x:c r="S458" s="27" t="n">
        <x:f>O458*'Carrier Engine'!E93</x:f>
        <x:v>227.15715285201767</x:v>
      </x:c>
      <x:c r="T458" s="28" t="n">
        <x:f>R458+S458</x:f>
        <x:v>1184.6571528520176</x:v>
      </x:c>
      <x:c r="U458" s="27" t="n">
        <x:f>N458*'Fleet Engine'!H196</x:f>
        <x:v>0</x:v>
      </x:c>
      <x:c r="V458" s="28" t="n">
        <x:f>U458*T458</x:f>
        <x:v>0</x:v>
      </x:c>
      <x:c r="W458" s="28" t="n">
        <x:f>U458*O458</x:f>
        <x:v>0</x:v>
      </x:c>
    </x:row>
    <x:row r="459" ht="19" customHeight="1">
      <x:c r="A459" s="2"/>
      <x:c r="B459" s="2"/>
      <x:c r="C459" s="46" t="n">
        <x:v>2</x:v>
      </x:c>
      <x:c r="D459" s="46" t="n">
        <x:v>2</x:v>
      </x:c>
      <x:c r="E459" s="46" t="n">
        <x:v>0</x:v>
      </x:c>
      <x:c r="F459" s="46" t="n">
        <x:v>2</x:v>
      </x:c>
      <x:c r="G459" s="12" t="n">
        <x:v>0.3333333333333333</x:v>
      </x:c>
      <x:c r="H459" s="12" t="n">
        <x:v>0.4444444444444444</x:v>
      </x:c>
      <x:c r="I459" s="29" t="n">
        <x:f>'Assumptions'!$D$11+'Assumptions'!$D$12*(0.5-(G459+H459)/2)</x:f>
        <x:v>0.32222222222222224</x:v>
      </x:c>
      <x:c r="J459" s="27" t="n">
        <x:f>'Assumptions'!$D$8*EXP(-'Assumptions'!$D$9*('Fleet Engine'!E196-10))*'Assumptions'!E55*'Assumptions'!F36</x:f>
        <x:v>16487.212707001283</x:v>
      </x:c>
      <x:c r="K459" s="27" t="n">
        <x:f>'Source Data'!F219+LN('Assumptions'!D55)+LN('Assumptions'!F35)</x:f>
        <x:v>7.955584867261274</x:v>
      </x:c>
      <x:c r="L459" s="27" t="n">
        <x:f>J459*(1-I459*(1-'Carrier Engine'!E93))</x:f>
        <x:v>11387.168242968886</x:v>
      </x:c>
      <x:c r="M459" s="29" t="n">
        <x:f>NORM.S.DIST((LN(L459)-K459)/'Assumptions'!$D$10,TRUE)</x:f>
        <x:v>0.8110661143853564</x:v>
      </x:c>
      <x:c r="N459" s="30" t="n">
        <x:f>MAX(0,H459-MAX(G459,M459))</x:f>
        <x:v>0</x:v>
      </x:c>
      <x:c r="O459" s="28" t="n">
        <x:f>J459*I459</x:f>
        <x:v>5312.546316700414</x:v>
      </x:c>
      <x:c r="P459" s="27" t="n">
        <x:f>(VLOOKUP(O459,'Fee Data'!$C$6:$G$50,2,TRUE)+O459*VLOOKUP(O459,'Fee Data'!$C$6:$G$50,3,TRUE)+VLOOKUP(O459,'Fee Data'!$I$6:$J$14,2,TRUE)+'Fee Data'!$J$20+'Fee Data'!$J$21)*'Assumptions'!F37</x:f>
        <x:v>995</x:v>
      </x:c>
      <x:c r="Q459" s="27" t="n">
        <x:f>(VLOOKUP(O459,'Fee Data'!$C$6:$G$50,4,TRUE)+O459*VLOOKUP(O459,'Fee Data'!$C$6:$G$50,5,TRUE)+VLOOKUP(O459,'Fee Data'!$I$6:$J$14,2,TRUE)+'Fee Data'!$J$20+'Fee Data'!$J$21)*'Assumptions'!F37</x:f>
        <x:v>870</x:v>
      </x:c>
      <x:c r="R459" s="27" t="n">
        <x:f>P459*(1-'Assumptions'!$D$14)+Q459*'Assumptions'!$D$14</x:f>
        <x:v>932.5</x:v>
      </x:c>
      <x:c r="S459" s="27" t="n">
        <x:f>O459*'Carrier Engine'!E93</x:f>
        <x:v>212.50185266801654</x:v>
      </x:c>
      <x:c r="T459" s="28" t="n">
        <x:f>R459+S459</x:f>
        <x:v>1145.0018526680165</x:v>
      </x:c>
      <x:c r="U459" s="27" t="n">
        <x:f>N459*'Fleet Engine'!H196</x:f>
        <x:v>0</x:v>
      </x:c>
      <x:c r="V459" s="28" t="n">
        <x:f>U459*T459</x:f>
        <x:v>0</x:v>
      </x:c>
      <x:c r="W459" s="28" t="n">
        <x:f>U459*O459</x:f>
        <x:v>0</x:v>
      </x:c>
    </x:row>
    <x:row r="460" ht="19" customHeight="1">
      <x:c r="A460" s="2"/>
      <x:c r="B460" s="2"/>
      <x:c r="C460" s="46" t="n">
        <x:v>2</x:v>
      </x:c>
      <x:c r="D460" s="46" t="n">
        <x:v>2</x:v>
      </x:c>
      <x:c r="E460" s="46" t="n">
        <x:v>0</x:v>
      </x:c>
      <x:c r="F460" s="46" t="n">
        <x:v>2</x:v>
      </x:c>
      <x:c r="G460" s="12" t="n">
        <x:v>0.4444444444444444</x:v>
      </x:c>
      <x:c r="H460" s="12" t="n">
        <x:v>0.5555555555555556</x:v>
      </x:c>
      <x:c r="I460" s="29" t="n">
        <x:f>'Assumptions'!$D$11+'Assumptions'!$D$12*(0.5-(G460+H460)/2)</x:f>
        <x:v>0.3</x:v>
      </x:c>
      <x:c r="J460" s="27" t="n">
        <x:f>'Assumptions'!$D$8*EXP(-'Assumptions'!$D$9*('Fleet Engine'!E196-10))*'Assumptions'!E55*'Assumptions'!F36</x:f>
        <x:v>16487.212707001283</x:v>
      </x:c>
      <x:c r="K460" s="27" t="n">
        <x:f>'Source Data'!F219+LN('Assumptions'!D55)+LN('Assumptions'!F35)</x:f>
        <x:v>7.955584867261274</x:v>
      </x:c>
      <x:c r="L460" s="27" t="n">
        <x:f>J460*(1-I460*(1-'Carrier Engine'!E93))</x:f>
        <x:v>11738.895447384913</x:v>
      </x:c>
      <x:c r="M460" s="29" t="n">
        <x:f>NORM.S.DIST((LN(L460)-K460)/'Assumptions'!$D$10,TRUE)</x:f>
        <x:v>0.816260449587562</x:v>
      </x:c>
      <x:c r="N460" s="30" t="n">
        <x:f>MAX(0,H460-MAX(G460,M460))</x:f>
        <x:v>0</x:v>
      </x:c>
      <x:c r="O460" s="28" t="n">
        <x:f>J460*I460</x:f>
        <x:v>4946.163812100384</x:v>
      </x:c>
      <x:c r="P460" s="27" t="n">
        <x:f>(VLOOKUP(O460,'Fee Data'!$C$6:$G$50,2,TRUE)+O460*VLOOKUP(O460,'Fee Data'!$C$6:$G$50,3,TRUE)+VLOOKUP(O460,'Fee Data'!$I$6:$J$14,2,TRUE)+'Fee Data'!$J$20+'Fee Data'!$J$21)*'Assumptions'!F37</x:f>
        <x:v>970</x:v>
      </x:c>
      <x:c r="Q460" s="27" t="n">
        <x:f>(VLOOKUP(O460,'Fee Data'!$C$6:$G$50,4,TRUE)+O460*VLOOKUP(O460,'Fee Data'!$C$6:$G$50,5,TRUE)+VLOOKUP(O460,'Fee Data'!$I$6:$J$14,2,TRUE)+'Fee Data'!$J$20+'Fee Data'!$J$21)*'Assumptions'!F37</x:f>
        <x:v>845</x:v>
      </x:c>
      <x:c r="R460" s="27" t="n">
        <x:f>P460*(1-'Assumptions'!$D$14)+Q460*'Assumptions'!$D$14</x:f>
        <x:v>907.5</x:v>
      </x:c>
      <x:c r="S460" s="27" t="n">
        <x:f>O460*'Carrier Engine'!E93</x:f>
        <x:v>197.84655248401538</x:v>
      </x:c>
      <x:c r="T460" s="28" t="n">
        <x:f>R460+S460</x:f>
        <x:v>1105.3465524840153</x:v>
      </x:c>
      <x:c r="U460" s="27" t="n">
        <x:f>N460*'Fleet Engine'!H196</x:f>
        <x:v>0</x:v>
      </x:c>
      <x:c r="V460" s="28" t="n">
        <x:f>U460*T460</x:f>
        <x:v>0</x:v>
      </x:c>
      <x:c r="W460" s="28" t="n">
        <x:f>U460*O460</x:f>
        <x:v>0</x:v>
      </x:c>
    </x:row>
    <x:row r="461" ht="19" customHeight="1">
      <x:c r="A461" s="2"/>
      <x:c r="B461" s="2"/>
      <x:c r="C461" s="46" t="n">
        <x:v>2</x:v>
      </x:c>
      <x:c r="D461" s="46" t="n">
        <x:v>2</x:v>
      </x:c>
      <x:c r="E461" s="46" t="n">
        <x:v>0</x:v>
      </x:c>
      <x:c r="F461" s="46" t="n">
        <x:v>2</x:v>
      </x:c>
      <x:c r="G461" s="12" t="n">
        <x:v>0.5555555555555556</x:v>
      </x:c>
      <x:c r="H461" s="12" t="n">
        <x:v>0.6666666666666666</x:v>
      </x:c>
      <x:c r="I461" s="29" t="n">
        <x:f>'Assumptions'!$D$11+'Assumptions'!$D$12*(0.5-(G461+H461)/2)</x:f>
        <x:v>0.27777777777777773</x:v>
      </x:c>
      <x:c r="J461" s="27" t="n">
        <x:f>'Assumptions'!$D$8*EXP(-'Assumptions'!$D$9*('Fleet Engine'!E196-10))*'Assumptions'!E55*'Assumptions'!F36</x:f>
        <x:v>16487.212707001283</x:v>
      </x:c>
      <x:c r="K461" s="27" t="n">
        <x:f>'Source Data'!F219+LN('Assumptions'!D55)+LN('Assumptions'!F35)</x:f>
        <x:v>7.955584867261274</x:v>
      </x:c>
      <x:c r="L461" s="27" t="n">
        <x:f>J461*(1-I461*(1-'Carrier Engine'!E93))</x:f>
        <x:v>12090.622651800943</x:v>
      </x:c>
      <x:c r="M461" s="29" t="n">
        <x:f>NORM.S.DIST((LN(L461)-K461)/'Assumptions'!$D$10,TRUE)</x:f>
        <x:v>0.8212154681565336</x:v>
      </x:c>
      <x:c r="N461" s="30" t="n">
        <x:f>MAX(0,H461-MAX(G461,M461))</x:f>
        <x:v>0</x:v>
      </x:c>
      <x:c r="O461" s="28" t="n">
        <x:f>J461*I461</x:f>
        <x:v>4579.781307500356</x:v>
      </x:c>
      <x:c r="P461" s="27" t="n">
        <x:f>(VLOOKUP(O461,'Fee Data'!$C$6:$G$50,2,TRUE)+O461*VLOOKUP(O461,'Fee Data'!$C$6:$G$50,3,TRUE)+VLOOKUP(O461,'Fee Data'!$I$6:$J$14,2,TRUE)+'Fee Data'!$J$20+'Fee Data'!$J$21)*'Assumptions'!F37</x:f>
        <x:v>970</x:v>
      </x:c>
      <x:c r="Q461" s="27" t="n">
        <x:f>(VLOOKUP(O461,'Fee Data'!$C$6:$G$50,4,TRUE)+O461*VLOOKUP(O461,'Fee Data'!$C$6:$G$50,5,TRUE)+VLOOKUP(O461,'Fee Data'!$I$6:$J$14,2,TRUE)+'Fee Data'!$J$20+'Fee Data'!$J$21)*'Assumptions'!F37</x:f>
        <x:v>845</x:v>
      </x:c>
      <x:c r="R461" s="27" t="n">
        <x:f>P461*(1-'Assumptions'!$D$14)+Q461*'Assumptions'!$D$14</x:f>
        <x:v>907.5</x:v>
      </x:c>
      <x:c r="S461" s="27" t="n">
        <x:f>O461*'Carrier Engine'!E93</x:f>
        <x:v>183.19125230001424</x:v>
      </x:c>
      <x:c r="T461" s="28" t="n">
        <x:f>R461+S461</x:f>
        <x:v>1090.6912523000142</x:v>
      </x:c>
      <x:c r="U461" s="27" t="n">
        <x:f>N461*'Fleet Engine'!H196</x:f>
        <x:v>0</x:v>
      </x:c>
      <x:c r="V461" s="28" t="n">
        <x:f>U461*T461</x:f>
        <x:v>0</x:v>
      </x:c>
      <x:c r="W461" s="28" t="n">
        <x:f>U461*O461</x:f>
        <x:v>0</x:v>
      </x:c>
    </x:row>
    <x:row r="462" ht="19" customHeight="1">
      <x:c r="A462" s="2"/>
      <x:c r="B462" s="2"/>
      <x:c r="C462" s="46" t="n">
        <x:v>2</x:v>
      </x:c>
      <x:c r="D462" s="46" t="n">
        <x:v>2</x:v>
      </x:c>
      <x:c r="E462" s="46" t="n">
        <x:v>0</x:v>
      </x:c>
      <x:c r="F462" s="46" t="n">
        <x:v>2</x:v>
      </x:c>
      <x:c r="G462" s="12" t="n">
        <x:v>0.6666666666666666</x:v>
      </x:c>
      <x:c r="H462" s="12" t="n">
        <x:v>0.7777777777777778</x:v>
      </x:c>
      <x:c r="I462" s="29" t="n">
        <x:f>'Assumptions'!$D$11+'Assumptions'!$D$12*(0.5-(G462+H462)/2)</x:f>
        <x:v>0.25555555555555554</x:v>
      </x:c>
      <x:c r="J462" s="27" t="n">
        <x:f>'Assumptions'!$D$8*EXP(-'Assumptions'!$D$9*('Fleet Engine'!E196-10))*'Assumptions'!E55*'Assumptions'!F36</x:f>
        <x:v>16487.212707001283</x:v>
      </x:c>
      <x:c r="K462" s="27" t="n">
        <x:f>'Source Data'!F219+LN('Assumptions'!D55)+LN('Assumptions'!F35)</x:f>
        <x:v>7.955584867261274</x:v>
      </x:c>
      <x:c r="L462" s="27" t="n">
        <x:f>J462*(1-I462*(1-'Carrier Engine'!E93))</x:f>
        <x:v>12442.34985621697</x:v>
      </x:c>
      <x:c r="M462" s="29" t="n">
        <x:f>NORM.S.DIST((LN(L462)-K462)/'Assumptions'!$D$10,TRUE)</x:f>
        <x:v>0.8259470394978756</x:v>
      </x:c>
      <x:c r="N462" s="30" t="n">
        <x:f>MAX(0,H462-MAX(G462,M462))</x:f>
        <x:v>0</x:v>
      </x:c>
      <x:c r="O462" s="28" t="n">
        <x:f>J462*I462</x:f>
        <x:v>4213.398802900328</x:v>
      </x:c>
      <x:c r="P462" s="27" t="n">
        <x:f>(VLOOKUP(O462,'Fee Data'!$C$6:$G$50,2,TRUE)+O462*VLOOKUP(O462,'Fee Data'!$C$6:$G$50,3,TRUE)+VLOOKUP(O462,'Fee Data'!$I$6:$J$14,2,TRUE)+'Fee Data'!$J$20+'Fee Data'!$J$21)*'Assumptions'!F37</x:f>
        <x:v>945</x:v>
      </x:c>
      <x:c r="Q462" s="27" t="n">
        <x:f>(VLOOKUP(O462,'Fee Data'!$C$6:$G$50,4,TRUE)+O462*VLOOKUP(O462,'Fee Data'!$C$6:$G$50,5,TRUE)+VLOOKUP(O462,'Fee Data'!$I$6:$J$14,2,TRUE)+'Fee Data'!$J$20+'Fee Data'!$J$21)*'Assumptions'!F37</x:f>
        <x:v>820</x:v>
      </x:c>
      <x:c r="R462" s="27" t="n">
        <x:f>P462*(1-'Assumptions'!$D$14)+Q462*'Assumptions'!$D$14</x:f>
        <x:v>882.5</x:v>
      </x:c>
      <x:c r="S462" s="27" t="n">
        <x:f>O462*'Carrier Engine'!E93</x:f>
        <x:v>168.5359521160131</x:v>
      </x:c>
      <x:c r="T462" s="28" t="n">
        <x:f>R462+S462</x:f>
        <x:v>1051.035952116013</x:v>
      </x:c>
      <x:c r="U462" s="27" t="n">
        <x:f>N462*'Fleet Engine'!H196</x:f>
        <x:v>0</x:v>
      </x:c>
      <x:c r="V462" s="28" t="n">
        <x:f>U462*T462</x:f>
        <x:v>0</x:v>
      </x:c>
      <x:c r="W462" s="28" t="n">
        <x:f>U462*O462</x:f>
        <x:v>0</x:v>
      </x:c>
    </x:row>
    <x:row r="463" ht="19" customHeight="1">
      <x:c r="A463" s="2"/>
      <x:c r="B463" s="2"/>
      <x:c r="C463" s="46" t="n">
        <x:v>2</x:v>
      </x:c>
      <x:c r="D463" s="46" t="n">
        <x:v>2</x:v>
      </x:c>
      <x:c r="E463" s="46" t="n">
        <x:v>0</x:v>
      </x:c>
      <x:c r="F463" s="46" t="n">
        <x:v>2</x:v>
      </x:c>
      <x:c r="G463" s="12" t="n">
        <x:v>0.7777777777777778</x:v>
      </x:c>
      <x:c r="H463" s="12" t="n">
        <x:v>0.8888888888888888</x:v>
      </x:c>
      <x:c r="I463" s="29" t="n">
        <x:f>'Assumptions'!$D$11+'Assumptions'!$D$12*(0.5-(G463+H463)/2)</x:f>
        <x:v>0.23333333333333334</x:v>
      </x:c>
      <x:c r="J463" s="27" t="n">
        <x:f>'Assumptions'!$D$8*EXP(-'Assumptions'!$D$9*('Fleet Engine'!E196-10))*'Assumptions'!E55*'Assumptions'!F36</x:f>
        <x:v>16487.212707001283</x:v>
      </x:c>
      <x:c r="K463" s="27" t="n">
        <x:f>'Source Data'!F219+LN('Assumptions'!D55)+LN('Assumptions'!F35)</x:f>
        <x:v>7.955584867261274</x:v>
      </x:c>
      <x:c r="L463" s="27" t="n">
        <x:f>J463*(1-I463*(1-'Carrier Engine'!E93))</x:f>
        <x:v>12794.077060632995</x:v>
      </x:c>
      <x:c r="M463" s="29" t="n">
        <x:f>NORM.S.DIST((LN(L463)-K463)/'Assumptions'!$D$10,TRUE)</x:f>
        <x:v>0.8304696516941905</x:v>
      </x:c>
      <x:c r="N463" s="30" t="n">
        <x:f>MAX(0,H463-MAX(G463,M463))</x:f>
        <x:v>0.058419237194698326</x:v>
      </x:c>
      <x:c r="O463" s="28" t="n">
        <x:f>J463*I463</x:f>
        <x:v>3847.0162983002992</x:v>
      </x:c>
      <x:c r="P463" s="27" t="n">
        <x:f>(VLOOKUP(O463,'Fee Data'!$C$6:$G$50,2,TRUE)+O463*VLOOKUP(O463,'Fee Data'!$C$6:$G$50,3,TRUE)+VLOOKUP(O463,'Fee Data'!$I$6:$J$14,2,TRUE)+'Fee Data'!$J$20+'Fee Data'!$J$21)*'Assumptions'!F37</x:f>
        <x:v>915</x:v>
      </x:c>
      <x:c r="Q463" s="27" t="n">
        <x:f>(VLOOKUP(O463,'Fee Data'!$C$6:$G$50,4,TRUE)+O463*VLOOKUP(O463,'Fee Data'!$C$6:$G$50,5,TRUE)+VLOOKUP(O463,'Fee Data'!$I$6:$J$14,2,TRUE)+'Fee Data'!$J$20+'Fee Data'!$J$21)*'Assumptions'!F37</x:f>
        <x:v>765</x:v>
      </x:c>
      <x:c r="R463" s="27" t="n">
        <x:f>P463*(1-'Assumptions'!$D$14)+Q463*'Assumptions'!$D$14</x:f>
        <x:v>840</x:v>
      </x:c>
      <x:c r="S463" s="27" t="n">
        <x:f>O463*'Carrier Engine'!E93</x:f>
        <x:v>153.88065193201197</x:v>
      </x:c>
      <x:c r="T463" s="28" t="n">
        <x:f>R463+S463</x:f>
        <x:v>993.8806519320119</x:v>
      </x:c>
      <x:c r="U463" s="27" t="n">
        <x:f>N463*'Fleet Engine'!H196</x:f>
        <x:v>637.355388889761</x:v>
      </x:c>
      <x:c r="V463" s="28" t="n">
        <x:f>U463*T463</x:f>
        <x:v>633455.1894221366</x:v>
      </x:c>
      <x:c r="W463" s="28" t="n">
        <x:f>U463*O463</x:f>
        <x:v>2451916.568868436</x:v>
      </x:c>
    </x:row>
    <x:row r="464" ht="19" customHeight="1">
      <x:c r="A464" s="2"/>
      <x:c r="B464" s="2"/>
      <x:c r="C464" s="46" t="n">
        <x:v>2</x:v>
      </x:c>
      <x:c r="D464" s="46" t="n">
        <x:v>2</x:v>
      </x:c>
      <x:c r="E464" s="46" t="n">
        <x:v>0</x:v>
      </x:c>
      <x:c r="F464" s="46" t="n">
        <x:v>2</x:v>
      </x:c>
      <x:c r="G464" s="12" t="n">
        <x:v>0.8888888888888888</x:v>
      </x:c>
      <x:c r="H464" s="12" t="n">
        <x:v>1</x:v>
      </x:c>
      <x:c r="I464" s="29" t="n">
        <x:f>'Assumptions'!$D$11+'Assumptions'!$D$12*(0.5-(G464+H464)/2)</x:f>
        <x:v>0.21111111111111108</x:v>
      </x:c>
      <x:c r="J464" s="27" t="n">
        <x:f>'Assumptions'!$D$8*EXP(-'Assumptions'!$D$9*('Fleet Engine'!E196-10))*'Assumptions'!E55*'Assumptions'!F36</x:f>
        <x:v>16487.212707001283</x:v>
      </x:c>
      <x:c r="K464" s="27" t="n">
        <x:f>'Source Data'!F219+LN('Assumptions'!D55)+LN('Assumptions'!F35)</x:f>
        <x:v>7.955584867261274</x:v>
      </x:c>
      <x:c r="L464" s="27" t="n">
        <x:f>J464*(1-I464*(1-'Carrier Engine'!E93))</x:f>
        <x:v>13145.804265049022</x:v>
      </x:c>
      <x:c r="M464" s="29" t="n">
        <x:f>NORM.S.DIST((LN(L464)-K464)/'Assumptions'!$D$10,TRUE)</x:f>
        <x:v>0.8347965602302723</x:v>
      </x:c>
      <x:c r="N464" s="30" t="n">
        <x:f>MAX(0,H464-MAX(G464,M464))</x:f>
        <x:v>0.11111111111111116</x:v>
      </x:c>
      <x:c r="O464" s="28" t="n">
        <x:f>J464*I464</x:f>
        <x:v>3480.6337937002704</x:v>
      </x:c>
      <x:c r="P464" s="27" t="n">
        <x:f>(VLOOKUP(O464,'Fee Data'!$C$6:$G$50,2,TRUE)+O464*VLOOKUP(O464,'Fee Data'!$C$6:$G$50,3,TRUE)+VLOOKUP(O464,'Fee Data'!$I$6:$J$14,2,TRUE)+'Fee Data'!$J$20+'Fee Data'!$J$21)*'Assumptions'!F37</x:f>
        <x:v>865</x:v>
      </x:c>
      <x:c r="Q464" s="27" t="n">
        <x:f>(VLOOKUP(O464,'Fee Data'!$C$6:$G$50,4,TRUE)+O464*VLOOKUP(O464,'Fee Data'!$C$6:$G$50,5,TRUE)+VLOOKUP(O464,'Fee Data'!$I$6:$J$14,2,TRUE)+'Fee Data'!$J$20+'Fee Data'!$J$21)*'Assumptions'!F37</x:f>
        <x:v>715</x:v>
      </x:c>
      <x:c r="R464" s="27" t="n">
        <x:f>P464*(1-'Assumptions'!$D$14)+Q464*'Assumptions'!$D$14</x:f>
        <x:v>790</x:v>
      </x:c>
      <x:c r="S464" s="27" t="n">
        <x:f>O464*'Carrier Engine'!E93</x:f>
        <x:v>139.2253517480108</x:v>
      </x:c>
      <x:c r="T464" s="28" t="n">
        <x:f>R464+S464</x:f>
        <x:v>929.2253517480108</x:v>
      </x:c>
      <x:c r="U464" s="27" t="n">
        <x:f>N464*'Fleet Engine'!H196</x:f>
        <x:v>1212.2250962671337</x:v>
      </x:c>
      <x:c r="V464" s="28" t="n">
        <x:f>U464*T464</x:f>
        <x:v>1126430.2914765936</x:v>
      </x:c>
      <x:c r="W464" s="28" t="n">
        <x:f>U464*O464</x:f>
        <x:v>4219311.635638949</x:v>
      </x:c>
    </x:row>
    <x:row r="465" ht="19" customHeight="1">
      <x:c r="A465" s="2"/>
      <x:c r="B465" s="2"/>
      <x:c r="C465" s="46" t="n">
        <x:v>2</x:v>
      </x:c>
      <x:c r="D465" s="46" t="n">
        <x:v>3</x:v>
      </x:c>
      <x:c r="E465" s="46" t="n">
        <x:v>0</x:v>
      </x:c>
      <x:c r="F465" s="46" t="n">
        <x:v>3</x:v>
      </x:c>
      <x:c r="G465" s="12" t="n">
        <x:v>0</x:v>
      </x:c>
      <x:c r="H465" s="12" t="n">
        <x:v>0.1111111111111111</x:v>
      </x:c>
      <x:c r="I465" s="29" t="n">
        <x:f>'Assumptions'!$D$11+'Assumptions'!$D$12*(0.5-(G465+H465)/2)</x:f>
        <x:v>0.3888888888888889</x:v>
      </x:c>
      <x:c r="J465" s="27" t="n">
        <x:f>'Assumptions'!$D$8*EXP(-'Assumptions'!$D$9*('Fleet Engine'!E197-10))*'Assumptions'!E55*'Assumptions'!F36</x:f>
        <x:v>12214.027581601698</x:v>
      </x:c>
      <x:c r="K465" s="27" t="n">
        <x:f>'Source Data'!F220+LN('Assumptions'!D55)+LN('Assumptions'!F35)</x:f>
        <x:v>8.062717438528928</x:v>
      </x:c>
      <x:c r="L465" s="27" t="n">
        <x:f>J465*(1-I465*(1-'Carrier Engine'!E93))</x:f>
        <x:v>7654.123951137065</x:v>
      </x:c>
      <x:c r="M465" s="29" t="n">
        <x:f>NORM.S.DIST((LN(L465)-K465)/'Assumptions'!$D$10,TRUE)</x:f>
        <x:v>0.7124702952152316</x:v>
      </x:c>
      <x:c r="N465" s="30" t="n">
        <x:f>MAX(0,H465-MAX(G465,M465))</x:f>
        <x:v>0</x:v>
      </x:c>
      <x:c r="O465" s="28" t="n">
        <x:f>J465*I465</x:f>
        <x:v>4749.899615067327</x:v>
      </x:c>
      <x:c r="P465" s="27" t="n">
        <x:f>(VLOOKUP(O465,'Fee Data'!$C$6:$G$50,2,TRUE)+O465*VLOOKUP(O465,'Fee Data'!$C$6:$G$50,3,TRUE)+VLOOKUP(O465,'Fee Data'!$I$6:$J$14,2,TRUE)+'Fee Data'!$J$20+'Fee Data'!$J$21)*'Assumptions'!F37</x:f>
        <x:v>970</x:v>
      </x:c>
      <x:c r="Q465" s="27" t="n">
        <x:f>(VLOOKUP(O465,'Fee Data'!$C$6:$G$50,4,TRUE)+O465*VLOOKUP(O465,'Fee Data'!$C$6:$G$50,5,TRUE)+VLOOKUP(O465,'Fee Data'!$I$6:$J$14,2,TRUE)+'Fee Data'!$J$20+'Fee Data'!$J$21)*'Assumptions'!F37</x:f>
        <x:v>845</x:v>
      </x:c>
      <x:c r="R465" s="27" t="n">
        <x:f>P465*(1-'Assumptions'!$D$14)+Q465*'Assumptions'!$D$14</x:f>
        <x:v>907.5</x:v>
      </x:c>
      <x:c r="S465" s="27" t="n">
        <x:f>O465*'Carrier Engine'!E93</x:f>
        <x:v>189.9959846026931</x:v>
      </x:c>
      <x:c r="T465" s="28" t="n">
        <x:f>R465+S465</x:f>
        <x:v>1097.4959846026932</x:v>
      </x:c>
      <x:c r="U465" s="27" t="n">
        <x:f>N465*'Fleet Engine'!H197</x:f>
        <x:v>0</x:v>
      </x:c>
      <x:c r="V465" s="28" t="n">
        <x:f>U465*T465</x:f>
        <x:v>0</x:v>
      </x:c>
      <x:c r="W465" s="28" t="n">
        <x:f>U465*O465</x:f>
        <x:v>0</x:v>
      </x:c>
    </x:row>
    <x:row r="466" ht="19" customHeight="1">
      <x:c r="A466" s="2"/>
      <x:c r="B466" s="2"/>
      <x:c r="C466" s="46" t="n">
        <x:v>2</x:v>
      </x:c>
      <x:c r="D466" s="46" t="n">
        <x:v>3</x:v>
      </x:c>
      <x:c r="E466" s="46" t="n">
        <x:v>0</x:v>
      </x:c>
      <x:c r="F466" s="46" t="n">
        <x:v>3</x:v>
      </x:c>
      <x:c r="G466" s="12" t="n">
        <x:v>0.1111111111111111</x:v>
      </x:c>
      <x:c r="H466" s="12" t="n">
        <x:v>0.2222222222222222</x:v>
      </x:c>
      <x:c r="I466" s="29" t="n">
        <x:f>'Assumptions'!$D$11+'Assumptions'!$D$12*(0.5-(G466+H466)/2)</x:f>
        <x:v>0.3666666666666667</x:v>
      </x:c>
      <x:c r="J466" s="27" t="n">
        <x:f>'Assumptions'!$D$8*EXP(-'Assumptions'!$D$9*('Fleet Engine'!E197-10))*'Assumptions'!E55*'Assumptions'!F36</x:f>
        <x:v>12214.027581601698</x:v>
      </x:c>
      <x:c r="K466" s="27" t="n">
        <x:f>'Source Data'!F220+LN('Assumptions'!D55)+LN('Assumptions'!F35)</x:f>
        <x:v>8.062717438528928</x:v>
      </x:c>
      <x:c r="L466" s="27" t="n">
        <x:f>J466*(1-I466*(1-'Carrier Engine'!E93))</x:f>
        <x:v>7914.6898728779</x:v>
      </x:c>
      <x:c r="M466" s="29" t="n">
        <x:f>NORM.S.DIST((LN(L466)-K466)/'Assumptions'!$D$10,TRUE)</x:f>
        <x:v>0.7196948864067317</x:v>
      </x:c>
      <x:c r="N466" s="30" t="n">
        <x:f>MAX(0,H466-MAX(G466,M466))</x:f>
        <x:v>0</x:v>
      </x:c>
      <x:c r="O466" s="28" t="n">
        <x:f>J466*I466</x:f>
        <x:v>4478.476779920623</x:v>
      </x:c>
      <x:c r="P466" s="27" t="n">
        <x:f>(VLOOKUP(O466,'Fee Data'!$C$6:$G$50,2,TRUE)+O466*VLOOKUP(O466,'Fee Data'!$C$6:$G$50,3,TRUE)+VLOOKUP(O466,'Fee Data'!$I$6:$J$14,2,TRUE)+'Fee Data'!$J$20+'Fee Data'!$J$21)*'Assumptions'!F37</x:f>
        <x:v>945</x:v>
      </x:c>
      <x:c r="Q466" s="27" t="n">
        <x:f>(VLOOKUP(O466,'Fee Data'!$C$6:$G$50,4,TRUE)+O466*VLOOKUP(O466,'Fee Data'!$C$6:$G$50,5,TRUE)+VLOOKUP(O466,'Fee Data'!$I$6:$J$14,2,TRUE)+'Fee Data'!$J$20+'Fee Data'!$J$21)*'Assumptions'!F37</x:f>
        <x:v>820</x:v>
      </x:c>
      <x:c r="R466" s="27" t="n">
        <x:f>P466*(1-'Assumptions'!$D$14)+Q466*'Assumptions'!$D$14</x:f>
        <x:v>882.5</x:v>
      </x:c>
      <x:c r="S466" s="27" t="n">
        <x:f>O466*'Carrier Engine'!E93</x:f>
        <x:v>179.13907119682491</x:v>
      </x:c>
      <x:c r="T466" s="28" t="n">
        <x:f>R466+S466</x:f>
        <x:v>1061.639071196825</x:v>
      </x:c>
      <x:c r="U466" s="27" t="n">
        <x:f>N466*'Fleet Engine'!H197</x:f>
        <x:v>0</x:v>
      </x:c>
      <x:c r="V466" s="28" t="n">
        <x:f>U466*T466</x:f>
        <x:v>0</x:v>
      </x:c>
      <x:c r="W466" s="28" t="n">
        <x:f>U466*O466</x:f>
        <x:v>0</x:v>
      </x:c>
    </x:row>
    <x:row r="467" ht="19" customHeight="1">
      <x:c r="A467" s="2"/>
      <x:c r="B467" s="2"/>
      <x:c r="C467" s="46" t="n">
        <x:v>2</x:v>
      </x:c>
      <x:c r="D467" s="46" t="n">
        <x:v>3</x:v>
      </x:c>
      <x:c r="E467" s="46" t="n">
        <x:v>0</x:v>
      </x:c>
      <x:c r="F467" s="46" t="n">
        <x:v>3</x:v>
      </x:c>
      <x:c r="G467" s="12" t="n">
        <x:v>0.2222222222222222</x:v>
      </x:c>
      <x:c r="H467" s="12" t="n">
        <x:v>0.3333333333333333</x:v>
      </x:c>
      <x:c r="I467" s="29" t="n">
        <x:f>'Assumptions'!$D$11+'Assumptions'!$D$12*(0.5-(G467+H467)/2)</x:f>
        <x:v>0.34444444444444444</x:v>
      </x:c>
      <x:c r="J467" s="27" t="n">
        <x:f>'Assumptions'!$D$8*EXP(-'Assumptions'!$D$9*('Fleet Engine'!E197-10))*'Assumptions'!E55*'Assumptions'!F36</x:f>
        <x:v>12214.027581601698</x:v>
      </x:c>
      <x:c r="K467" s="27" t="n">
        <x:f>'Source Data'!F220+LN('Assumptions'!D55)+LN('Assumptions'!F35)</x:f>
        <x:v>8.062717438528928</x:v>
      </x:c>
      <x:c r="L467" s="27" t="n">
        <x:f>J467*(1-I467*(1-'Carrier Engine'!E93))</x:f>
        <x:v>8175.255794618737</x:v>
      </x:c>
      <x:c r="M467" s="29" t="n">
        <x:f>NORM.S.DIST((LN(L467)-K467)/'Assumptions'!$D$10,TRUE)</x:f>
        <x:v>0.7266006694983298</x:v>
      </x:c>
      <x:c r="N467" s="30" t="n">
        <x:f>MAX(0,H467-MAX(G467,M467))</x:f>
        <x:v>0</x:v>
      </x:c>
      <x:c r="O467" s="28" t="n">
        <x:f>J467*I467</x:f>
        <x:v>4207.053944773918</x:v>
      </x:c>
      <x:c r="P467" s="27" t="n">
        <x:f>(VLOOKUP(O467,'Fee Data'!$C$6:$G$50,2,TRUE)+O467*VLOOKUP(O467,'Fee Data'!$C$6:$G$50,3,TRUE)+VLOOKUP(O467,'Fee Data'!$I$6:$J$14,2,TRUE)+'Fee Data'!$J$20+'Fee Data'!$J$21)*'Assumptions'!F37</x:f>
        <x:v>945</x:v>
      </x:c>
      <x:c r="Q467" s="27" t="n">
        <x:f>(VLOOKUP(O467,'Fee Data'!$C$6:$G$50,4,TRUE)+O467*VLOOKUP(O467,'Fee Data'!$C$6:$G$50,5,TRUE)+VLOOKUP(O467,'Fee Data'!$I$6:$J$14,2,TRUE)+'Fee Data'!$J$20+'Fee Data'!$J$21)*'Assumptions'!F37</x:f>
        <x:v>820</x:v>
      </x:c>
      <x:c r="R467" s="27" t="n">
        <x:f>P467*(1-'Assumptions'!$D$14)+Q467*'Assumptions'!$D$14</x:f>
        <x:v>882.5</x:v>
      </x:c>
      <x:c r="S467" s="27" t="n">
        <x:f>O467*'Carrier Engine'!E93</x:f>
        <x:v>168.28215779095675</x:v>
      </x:c>
      <x:c r="T467" s="28" t="n">
        <x:f>R467+S467</x:f>
        <x:v>1050.7821577909567</x:v>
      </x:c>
      <x:c r="U467" s="27" t="n">
        <x:f>N467*'Fleet Engine'!H197</x:f>
        <x:v>0</x:v>
      </x:c>
      <x:c r="V467" s="28" t="n">
        <x:f>U467*T467</x:f>
        <x:v>0</x:v>
      </x:c>
      <x:c r="W467" s="28" t="n">
        <x:f>U467*O467</x:f>
        <x:v>0</x:v>
      </x:c>
    </x:row>
    <x:row r="468" ht="19" customHeight="1">
      <x:c r="A468" s="2"/>
      <x:c r="B468" s="2"/>
      <x:c r="C468" s="46" t="n">
        <x:v>2</x:v>
      </x:c>
      <x:c r="D468" s="46" t="n">
        <x:v>3</x:v>
      </x:c>
      <x:c r="E468" s="46" t="n">
        <x:v>0</x:v>
      </x:c>
      <x:c r="F468" s="46" t="n">
        <x:v>3</x:v>
      </x:c>
      <x:c r="G468" s="12" t="n">
        <x:v>0.3333333333333333</x:v>
      </x:c>
      <x:c r="H468" s="12" t="n">
        <x:v>0.4444444444444444</x:v>
      </x:c>
      <x:c r="I468" s="29" t="n">
        <x:f>'Assumptions'!$D$11+'Assumptions'!$D$12*(0.5-(G468+H468)/2)</x:f>
        <x:v>0.32222222222222224</x:v>
      </x:c>
      <x:c r="J468" s="27" t="n">
        <x:f>'Assumptions'!$D$8*EXP(-'Assumptions'!$D$9*('Fleet Engine'!E197-10))*'Assumptions'!E55*'Assumptions'!F36</x:f>
        <x:v>12214.027581601698</x:v>
      </x:c>
      <x:c r="K468" s="27" t="n">
        <x:f>'Source Data'!F220+LN('Assumptions'!D55)+LN('Assumptions'!F35)</x:f>
        <x:v>8.062717438528928</x:v>
      </x:c>
      <x:c r="L468" s="27" t="n">
        <x:f>J468*(1-I468*(1-'Carrier Engine'!E93))</x:f>
        <x:v>8435.821716359573</x:v>
      </x:c>
      <x:c r="M468" s="29" t="n">
        <x:f>NORM.S.DIST((LN(L468)-K468)/'Assumptions'!$D$10,TRUE)</x:f>
        <x:v>0.7332084499624358</x:v>
      </x:c>
      <x:c r="N468" s="30" t="n">
        <x:f>MAX(0,H468-MAX(G468,M468))</x:f>
        <x:v>0</x:v>
      </x:c>
      <x:c r="O468" s="28" t="n">
        <x:f>J468*I468</x:f>
        <x:v>3935.6311096272143</x:v>
      </x:c>
      <x:c r="P468" s="27" t="n">
        <x:f>(VLOOKUP(O468,'Fee Data'!$C$6:$G$50,2,TRUE)+O468*VLOOKUP(O468,'Fee Data'!$C$6:$G$50,3,TRUE)+VLOOKUP(O468,'Fee Data'!$I$6:$J$14,2,TRUE)+'Fee Data'!$J$20+'Fee Data'!$J$21)*'Assumptions'!F37</x:f>
        <x:v>915</x:v>
      </x:c>
      <x:c r="Q468" s="27" t="n">
        <x:f>(VLOOKUP(O468,'Fee Data'!$C$6:$G$50,4,TRUE)+O468*VLOOKUP(O468,'Fee Data'!$C$6:$G$50,5,TRUE)+VLOOKUP(O468,'Fee Data'!$I$6:$J$14,2,TRUE)+'Fee Data'!$J$20+'Fee Data'!$J$21)*'Assumptions'!F37</x:f>
        <x:v>765</x:v>
      </x:c>
      <x:c r="R468" s="27" t="n">
        <x:f>P468*(1-'Assumptions'!$D$14)+Q468*'Assumptions'!$D$14</x:f>
        <x:v>840</x:v>
      </x:c>
      <x:c r="S468" s="27" t="n">
        <x:f>O468*'Carrier Engine'!E93</x:f>
        <x:v>157.42524438508858</x:v>
      </x:c>
      <x:c r="T468" s="28" t="n">
        <x:f>R468+S468</x:f>
        <x:v>997.4252443850886</x:v>
      </x:c>
      <x:c r="U468" s="27" t="n">
        <x:f>N468*'Fleet Engine'!H197</x:f>
        <x:v>0</x:v>
      </x:c>
      <x:c r="V468" s="28" t="n">
        <x:f>U468*T468</x:f>
        <x:v>0</x:v>
      </x:c>
      <x:c r="W468" s="28" t="n">
        <x:f>U468*O468</x:f>
        <x:v>0</x:v>
      </x:c>
    </x:row>
    <x:row r="469" ht="19" customHeight="1">
      <x:c r="A469" s="2"/>
      <x:c r="B469" s="2"/>
      <x:c r="C469" s="46" t="n">
        <x:v>2</x:v>
      </x:c>
      <x:c r="D469" s="46" t="n">
        <x:v>3</x:v>
      </x:c>
      <x:c r="E469" s="46" t="n">
        <x:v>0</x:v>
      </x:c>
      <x:c r="F469" s="46" t="n">
        <x:v>3</x:v>
      </x:c>
      <x:c r="G469" s="12" t="n">
        <x:v>0.4444444444444444</x:v>
      </x:c>
      <x:c r="H469" s="12" t="n">
        <x:v>0.5555555555555556</x:v>
      </x:c>
      <x:c r="I469" s="29" t="n">
        <x:f>'Assumptions'!$D$11+'Assumptions'!$D$12*(0.5-(G469+H469)/2)</x:f>
        <x:v>0.3</x:v>
      </x:c>
      <x:c r="J469" s="27" t="n">
        <x:f>'Assumptions'!$D$8*EXP(-'Assumptions'!$D$9*('Fleet Engine'!E197-10))*'Assumptions'!E55*'Assumptions'!F36</x:f>
        <x:v>12214.027581601698</x:v>
      </x:c>
      <x:c r="K469" s="27" t="n">
        <x:f>'Source Data'!F220+LN('Assumptions'!D55)+LN('Assumptions'!F35)</x:f>
        <x:v>8.062717438528928</x:v>
      </x:c>
      <x:c r="L469" s="27" t="n">
        <x:f>J469*(1-I469*(1-'Carrier Engine'!E93))</x:f>
        <x:v>8696.387638100408</x:v>
      </x:c>
      <x:c r="M469" s="29" t="n">
        <x:f>NORM.S.DIST((LN(L469)-K469)/'Assumptions'!$D$10,TRUE)</x:f>
        <x:v>0.7395372219077186</x:v>
      </x:c>
      <x:c r="N469" s="30" t="n">
        <x:f>MAX(0,H469-MAX(G469,M469))</x:f>
        <x:v>0</x:v>
      </x:c>
      <x:c r="O469" s="28" t="n">
        <x:f>J469*I469</x:f>
        <x:v>3664.2082744805093</x:v>
      </x:c>
      <x:c r="P469" s="27" t="n">
        <x:f>(VLOOKUP(O469,'Fee Data'!$C$6:$G$50,2,TRUE)+O469*VLOOKUP(O469,'Fee Data'!$C$6:$G$50,3,TRUE)+VLOOKUP(O469,'Fee Data'!$I$6:$J$14,2,TRUE)+'Fee Data'!$J$20+'Fee Data'!$J$21)*'Assumptions'!F37</x:f>
        <x:v>915</x:v>
      </x:c>
      <x:c r="Q469" s="27" t="n">
        <x:f>(VLOOKUP(O469,'Fee Data'!$C$6:$G$50,4,TRUE)+O469*VLOOKUP(O469,'Fee Data'!$C$6:$G$50,5,TRUE)+VLOOKUP(O469,'Fee Data'!$I$6:$J$14,2,TRUE)+'Fee Data'!$J$20+'Fee Data'!$J$21)*'Assumptions'!F37</x:f>
        <x:v>765</x:v>
      </x:c>
      <x:c r="R469" s="27" t="n">
        <x:f>P469*(1-'Assumptions'!$D$14)+Q469*'Assumptions'!$D$14</x:f>
        <x:v>840</x:v>
      </x:c>
      <x:c r="S469" s="27" t="n">
        <x:f>O469*'Carrier Engine'!E93</x:f>
        <x:v>146.56833097922038</x:v>
      </x:c>
      <x:c r="T469" s="28" t="n">
        <x:f>R469+S469</x:f>
        <x:v>986.5683309792204</x:v>
      </x:c>
      <x:c r="U469" s="27" t="n">
        <x:f>N469*'Fleet Engine'!H197</x:f>
        <x:v>0</x:v>
      </x:c>
      <x:c r="V469" s="28" t="n">
        <x:f>U469*T469</x:f>
        <x:v>0</x:v>
      </x:c>
      <x:c r="W469" s="28" t="n">
        <x:f>U469*O469</x:f>
        <x:v>0</x:v>
      </x:c>
    </x:row>
    <x:row r="470" ht="19" customHeight="1">
      <x:c r="A470" s="2"/>
      <x:c r="B470" s="2"/>
      <x:c r="C470" s="46" t="n">
        <x:v>2</x:v>
      </x:c>
      <x:c r="D470" s="46" t="n">
        <x:v>3</x:v>
      </x:c>
      <x:c r="E470" s="46" t="n">
        <x:v>0</x:v>
      </x:c>
      <x:c r="F470" s="46" t="n">
        <x:v>3</x:v>
      </x:c>
      <x:c r="G470" s="12" t="n">
        <x:v>0.5555555555555556</x:v>
      </x:c>
      <x:c r="H470" s="12" t="n">
        <x:v>0.6666666666666666</x:v>
      </x:c>
      <x:c r="I470" s="29" t="n">
        <x:f>'Assumptions'!$D$11+'Assumptions'!$D$12*(0.5-(G470+H470)/2)</x:f>
        <x:v>0.27777777777777773</x:v>
      </x:c>
      <x:c r="J470" s="27" t="n">
        <x:f>'Assumptions'!$D$8*EXP(-'Assumptions'!$D$9*('Fleet Engine'!E197-10))*'Assumptions'!E55*'Assumptions'!F36</x:f>
        <x:v>12214.027581601698</x:v>
      </x:c>
      <x:c r="K470" s="27" t="n">
        <x:f>'Source Data'!F220+LN('Assumptions'!D55)+LN('Assumptions'!F35)</x:f>
        <x:v>8.062717438528928</x:v>
      </x:c>
      <x:c r="L470" s="27" t="n">
        <x:f>J470*(1-I470*(1-'Carrier Engine'!E93))</x:f>
        <x:v>8956.953559841246</x:v>
      </x:c>
      <x:c r="M470" s="29" t="n">
        <x:f>NORM.S.DIST((LN(L470)-K470)/'Assumptions'!$D$10,TRUE)</x:f>
        <x:v>0.7456043651066011</x:v>
      </x:c>
      <x:c r="N470" s="30" t="n">
        <x:f>MAX(0,H470-MAX(G470,M470))</x:f>
        <x:v>0</x:v>
      </x:c>
      <x:c r="O470" s="28" t="n">
        <x:f>J470*I470</x:f>
        <x:v>3392.785439333805</x:v>
      </x:c>
      <x:c r="P470" s="27" t="n">
        <x:f>(VLOOKUP(O470,'Fee Data'!$C$6:$G$50,2,TRUE)+O470*VLOOKUP(O470,'Fee Data'!$C$6:$G$50,3,TRUE)+VLOOKUP(O470,'Fee Data'!$I$6:$J$14,2,TRUE)+'Fee Data'!$J$20+'Fee Data'!$J$21)*'Assumptions'!F37</x:f>
        <x:v>865</x:v>
      </x:c>
      <x:c r="Q470" s="27" t="n">
        <x:f>(VLOOKUP(O470,'Fee Data'!$C$6:$G$50,4,TRUE)+O470*VLOOKUP(O470,'Fee Data'!$C$6:$G$50,5,TRUE)+VLOOKUP(O470,'Fee Data'!$I$6:$J$14,2,TRUE)+'Fee Data'!$J$20+'Fee Data'!$J$21)*'Assumptions'!F37</x:f>
        <x:v>715</x:v>
      </x:c>
      <x:c r="R470" s="27" t="n">
        <x:f>P470*(1-'Assumptions'!$D$14)+Q470*'Assumptions'!$D$14</x:f>
        <x:v>790</x:v>
      </x:c>
      <x:c r="S470" s="27" t="n">
        <x:f>O470*'Carrier Engine'!E93</x:f>
        <x:v>135.7114175733522</x:v>
      </x:c>
      <x:c r="T470" s="28" t="n">
        <x:f>R470+S470</x:f>
        <x:v>925.7114175733523</x:v>
      </x:c>
      <x:c r="U470" s="27" t="n">
        <x:f>N470*'Fleet Engine'!H197</x:f>
        <x:v>0</x:v>
      </x:c>
      <x:c r="V470" s="28" t="n">
        <x:f>U470*T470</x:f>
        <x:v>0</x:v>
      </x:c>
      <x:c r="W470" s="28" t="n">
        <x:f>U470*O470</x:f>
        <x:v>0</x:v>
      </x:c>
    </x:row>
    <x:row r="471" ht="19" customHeight="1">
      <x:c r="A471" s="2"/>
      <x:c r="B471" s="2"/>
      <x:c r="C471" s="46" t="n">
        <x:v>2</x:v>
      </x:c>
      <x:c r="D471" s="46" t="n">
        <x:v>3</x:v>
      </x:c>
      <x:c r="E471" s="46" t="n">
        <x:v>0</x:v>
      </x:c>
      <x:c r="F471" s="46" t="n">
        <x:v>3</x:v>
      </x:c>
      <x:c r="G471" s="12" t="n">
        <x:v>0.6666666666666666</x:v>
      </x:c>
      <x:c r="H471" s="12" t="n">
        <x:v>0.7777777777777778</x:v>
      </x:c>
      <x:c r="I471" s="29" t="n">
        <x:f>'Assumptions'!$D$11+'Assumptions'!$D$12*(0.5-(G471+H471)/2)</x:f>
        <x:v>0.25555555555555554</x:v>
      </x:c>
      <x:c r="J471" s="27" t="n">
        <x:f>'Assumptions'!$D$8*EXP(-'Assumptions'!$D$9*('Fleet Engine'!E197-10))*'Assumptions'!E55*'Assumptions'!F36</x:f>
        <x:v>12214.027581601698</x:v>
      </x:c>
      <x:c r="K471" s="27" t="n">
        <x:f>'Source Data'!F220+LN('Assumptions'!D55)+LN('Assumptions'!F35)</x:f>
        <x:v>8.062717438528928</x:v>
      </x:c>
      <x:c r="L471" s="27" t="n">
        <x:f>J471*(1-I471*(1-'Carrier Engine'!E93))</x:f>
        <x:v>9217.519481582081</x:v>
      </x:c>
      <x:c r="M471" s="29" t="n">
        <x:f>NORM.S.DIST((LN(L471)-K471)/'Assumptions'!$D$10,TRUE)</x:f>
        <x:v>0.7514258164078012</x:v>
      </x:c>
      <x:c r="N471" s="30" t="n">
        <x:f>MAX(0,H471-MAX(G471,M471))</x:f>
        <x:v>0.02635196136997664</x:v>
      </x:c>
      <x:c r="O471" s="28" t="n">
        <x:f>J471*I471</x:f>
        <x:v>3121.3626041871003</x:v>
      </x:c>
      <x:c r="P471" s="27" t="n">
        <x:f>(VLOOKUP(O471,'Fee Data'!$C$6:$G$50,2,TRUE)+O471*VLOOKUP(O471,'Fee Data'!$C$6:$G$50,3,TRUE)+VLOOKUP(O471,'Fee Data'!$I$6:$J$14,2,TRUE)+'Fee Data'!$J$20+'Fee Data'!$J$21)*'Assumptions'!F37</x:f>
        <x:v>865</x:v>
      </x:c>
      <x:c r="Q471" s="27" t="n">
        <x:f>(VLOOKUP(O471,'Fee Data'!$C$6:$G$50,4,TRUE)+O471*VLOOKUP(O471,'Fee Data'!$C$6:$G$50,5,TRUE)+VLOOKUP(O471,'Fee Data'!$I$6:$J$14,2,TRUE)+'Fee Data'!$J$20+'Fee Data'!$J$21)*'Assumptions'!F37</x:f>
        <x:v>715</x:v>
      </x:c>
      <x:c r="R471" s="27" t="n">
        <x:f>P471*(1-'Assumptions'!$D$14)+Q471*'Assumptions'!$D$14</x:f>
        <x:v>790</x:v>
      </x:c>
      <x:c r="S471" s="27" t="n">
        <x:f>O471*'Carrier Engine'!E93</x:f>
        <x:v>124.85450416748401</x:v>
      </x:c>
      <x:c r="T471" s="28" t="n">
        <x:f>R471+S471</x:f>
        <x:v>914.854504167484</x:v>
      </x:c>
      <x:c r="U471" s="27" t="n">
        <x:f>N471*'Fleet Engine'!H197</x:f>
        <x:v>372.31988274683533</x:v>
      </x:c>
      <x:c r="V471" s="28" t="n">
        <x:f>U471*T471</x:f>
        <x:v>340618.52172205184</x:v>
      </x:c>
      <x:c r="W471" s="28" t="n">
        <x:f>U471*O471</x:f>
        <x:v>1162145.3588012978</x:v>
      </x:c>
    </x:row>
    <x:row r="472" ht="19" customHeight="1">
      <x:c r="A472" s="2"/>
      <x:c r="B472" s="2"/>
      <x:c r="C472" s="46" t="n">
        <x:v>2</x:v>
      </x:c>
      <x:c r="D472" s="46" t="n">
        <x:v>3</x:v>
      </x:c>
      <x:c r="E472" s="46" t="n">
        <x:v>0</x:v>
      </x:c>
      <x:c r="F472" s="46" t="n">
        <x:v>3</x:v>
      </x:c>
      <x:c r="G472" s="12" t="n">
        <x:v>0.7777777777777778</x:v>
      </x:c>
      <x:c r="H472" s="12" t="n">
        <x:v>0.8888888888888888</x:v>
      </x:c>
      <x:c r="I472" s="29" t="n">
        <x:f>'Assumptions'!$D$11+'Assumptions'!$D$12*(0.5-(G472+H472)/2)</x:f>
        <x:v>0.23333333333333334</x:v>
      </x:c>
      <x:c r="J472" s="27" t="n">
        <x:f>'Assumptions'!$D$8*EXP(-'Assumptions'!$D$9*('Fleet Engine'!E197-10))*'Assumptions'!E55*'Assumptions'!F36</x:f>
        <x:v>12214.027581601698</x:v>
      </x:c>
      <x:c r="K472" s="27" t="n">
        <x:f>'Source Data'!F220+LN('Assumptions'!D55)+LN('Assumptions'!F35)</x:f>
        <x:v>8.062717438528928</x:v>
      </x:c>
      <x:c r="L472" s="27" t="n">
        <x:f>J472*(1-I472*(1-'Carrier Engine'!E93))</x:f>
        <x:v>9478.085403322919</x:v>
      </x:c>
      <x:c r="M472" s="29" t="n">
        <x:f>NORM.S.DIST((LN(L472)-K472)/'Assumptions'!$D$10,TRUE)</x:f>
        <x:v>0.7570162193907342</x:v>
      </x:c>
      <x:c r="N472" s="30" t="n">
        <x:f>MAX(0,H472-MAX(G472,M472))</x:f>
        <x:v>0.11111111111111105</x:v>
      </x:c>
      <x:c r="O472" s="28" t="n">
        <x:f>J472*I472</x:f>
        <x:v>2849.939769040396</x:v>
      </x:c>
      <x:c r="P472" s="27" t="n">
        <x:f>(VLOOKUP(O472,'Fee Data'!$C$6:$G$50,2,TRUE)+O472*VLOOKUP(O472,'Fee Data'!$C$6:$G$50,3,TRUE)+VLOOKUP(O472,'Fee Data'!$I$6:$J$14,2,TRUE)+'Fee Data'!$J$20+'Fee Data'!$J$21)*'Assumptions'!F37</x:f>
        <x:v>820</x:v>
      </x:c>
      <x:c r="Q472" s="27" t="n">
        <x:f>(VLOOKUP(O472,'Fee Data'!$C$6:$G$50,4,TRUE)+O472*VLOOKUP(O472,'Fee Data'!$C$6:$G$50,5,TRUE)+VLOOKUP(O472,'Fee Data'!$I$6:$J$14,2,TRUE)+'Fee Data'!$J$20+'Fee Data'!$J$21)*'Assumptions'!F37</x:f>
        <x:v>670</x:v>
      </x:c>
      <x:c r="R472" s="27" t="n">
        <x:f>P472*(1-'Assumptions'!$D$14)+Q472*'Assumptions'!$D$14</x:f>
        <x:v>745</x:v>
      </x:c>
      <x:c r="S472" s="27" t="n">
        <x:f>O472*'Carrier Engine'!E93</x:f>
        <x:v>113.99759076161585</x:v>
      </x:c>
      <x:c r="T472" s="28" t="n">
        <x:f>R472+S472</x:f>
        <x:v>858.9975907616158</x:v>
      </x:c>
      <x:c r="U472" s="27" t="n">
        <x:f>N472*'Fleet Engine'!H197</x:f>
        <x:v>1569.85946055203</x:v>
      </x:c>
      <x:c r="V472" s="28" t="n">
        <x:f>U472*T472</x:f>
        <x:v>1348505.4944485235</x:v>
      </x:c>
      <x:c r="W472" s="28" t="n">
        <x:f>U472*O472</x:f>
        <x:v>4474004.908431534</x:v>
      </x:c>
    </x:row>
    <x:row r="473" ht="19" customHeight="1">
      <x:c r="A473" s="2"/>
      <x:c r="B473" s="2"/>
      <x:c r="C473" s="46" t="n">
        <x:v>2</x:v>
      </x:c>
      <x:c r="D473" s="46" t="n">
        <x:v>3</x:v>
      </x:c>
      <x:c r="E473" s="46" t="n">
        <x:v>0</x:v>
      </x:c>
      <x:c r="F473" s="46" t="n">
        <x:v>3</x:v>
      </x:c>
      <x:c r="G473" s="12" t="n">
        <x:v>0.8888888888888888</x:v>
      </x:c>
      <x:c r="H473" s="12" t="n">
        <x:v>1</x:v>
      </x:c>
      <x:c r="I473" s="29" t="n">
        <x:f>'Assumptions'!$D$11+'Assumptions'!$D$12*(0.5-(G473+H473)/2)</x:f>
        <x:v>0.21111111111111108</x:v>
      </x:c>
      <x:c r="J473" s="27" t="n">
        <x:f>'Assumptions'!$D$8*EXP(-'Assumptions'!$D$9*('Fleet Engine'!E197-10))*'Assumptions'!E55*'Assumptions'!F36</x:f>
        <x:v>12214.027581601698</x:v>
      </x:c>
      <x:c r="K473" s="27" t="n">
        <x:f>'Source Data'!F220+LN('Assumptions'!D55)+LN('Assumptions'!F35)</x:f>
        <x:v>8.062717438528928</x:v>
      </x:c>
      <x:c r="L473" s="27" t="n">
        <x:f>J473*(1-I473*(1-'Carrier Engine'!E93))</x:f>
        <x:v>9738.651325063754</x:v>
      </x:c>
      <x:c r="M473" s="29" t="n">
        <x:f>NORM.S.DIST((LN(L473)-K473)/'Assumptions'!$D$10,TRUE)</x:f>
        <x:v>0.76238905546153</x:v>
      </x:c>
      <x:c r="N473" s="30" t="n">
        <x:f>MAX(0,H473-MAX(G473,M473))</x:f>
        <x:v>0.11111111111111116</x:v>
      </x:c>
      <x:c r="O473" s="28" t="n">
        <x:f>J473*I473</x:f>
        <x:v>2578.5169338936917</x:v>
      </x:c>
      <x:c r="P473" s="27" t="n">
        <x:f>(VLOOKUP(O473,'Fee Data'!$C$6:$G$50,2,TRUE)+O473*VLOOKUP(O473,'Fee Data'!$C$6:$G$50,3,TRUE)+VLOOKUP(O473,'Fee Data'!$I$6:$J$14,2,TRUE)+'Fee Data'!$J$20+'Fee Data'!$J$21)*'Assumptions'!F37</x:f>
        <x:v>820</x:v>
      </x:c>
      <x:c r="Q473" s="27" t="n">
        <x:f>(VLOOKUP(O473,'Fee Data'!$C$6:$G$50,4,TRUE)+O473*VLOOKUP(O473,'Fee Data'!$C$6:$G$50,5,TRUE)+VLOOKUP(O473,'Fee Data'!$I$6:$J$14,2,TRUE)+'Fee Data'!$J$20+'Fee Data'!$J$21)*'Assumptions'!F37</x:f>
        <x:v>670</x:v>
      </x:c>
      <x:c r="R473" s="27" t="n">
        <x:f>P473*(1-'Assumptions'!$D$14)+Q473*'Assumptions'!$D$14</x:f>
        <x:v>745</x:v>
      </x:c>
      <x:c r="S473" s="27" t="n">
        <x:f>O473*'Carrier Engine'!E93</x:f>
        <x:v>103.14067735574767</x:v>
      </x:c>
      <x:c r="T473" s="28" t="n">
        <x:f>R473+S473</x:f>
        <x:v>848.1406773557477</x:v>
      </x:c>
      <x:c r="U473" s="27" t="n">
        <x:f>N473*'Fleet Engine'!H197</x:f>
        <x:v>1569.8594605520316</x:v>
      </x:c>
      <x:c r="V473" s="28" t="n">
        <x:f>U473*T473</x:f>
        <x:v>1331461.6662259288</x:v>
      </x:c>
      <x:c r="W473" s="28" t="n">
        <x:f>U473*O473</x:f>
        <x:v>4047909.202866629</x:v>
      </x:c>
    </x:row>
    <x:row r="474" ht="19" customHeight="1">
      <x:c r="A474" s="2"/>
      <x:c r="B474" s="2"/>
      <x:c r="C474" s="46" t="n">
        <x:v>2</x:v>
      </x:c>
      <x:c r="D474" s="46" t="n">
        <x:v>4</x:v>
      </x:c>
      <x:c r="E474" s="46" t="n">
        <x:v>0</x:v>
      </x:c>
      <x:c r="F474" s="46" t="n">
        <x:v>4</x:v>
      </x:c>
      <x:c r="G474" s="12" t="n">
        <x:v>0</x:v>
      </x:c>
      <x:c r="H474" s="12" t="n">
        <x:v>0.1111111111111111</x:v>
      </x:c>
      <x:c r="I474" s="29" t="n">
        <x:f>'Assumptions'!$D$11+'Assumptions'!$D$12*(0.5-(G474+H474)/2)</x:f>
        <x:v>0.3888888888888889</x:v>
      </x:c>
      <x:c r="J474" s="27" t="n">
        <x:f>'Assumptions'!$D$8*EXP(-'Assumptions'!$D$9*('Fleet Engine'!E198-10))*'Assumptions'!E55*'Assumptions'!F36</x:f>
        <x:v>9048.374180359595</x:v>
      </x:c>
      <x:c r="K474" s="27" t="n">
        <x:f>'Source Data'!F221+LN('Assumptions'!D55)+LN('Assumptions'!F35)</x:f>
        <x:v>8.14856556744418</x:v>
      </x:c>
      <x:c r="L474" s="27" t="n">
        <x:f>J474*(1-I474*(1-'Carrier Engine'!E93))</x:f>
        <x:v>5670.3144863586795</x:v>
      </x:c>
      <x:c r="M474" s="29" t="n">
        <x:f>NORM.S.DIST((LN(L474)-K474)/'Assumptions'!$D$10,TRUE)</x:f>
        <x:v>0.6235755127669419</x:v>
      </x:c>
      <x:c r="N474" s="30" t="n">
        <x:f>MAX(0,H474-MAX(G474,M474))</x:f>
        <x:v>0</x:v>
      </x:c>
      <x:c r="O474" s="28" t="n">
        <x:f>J474*I474</x:f>
        <x:v>3518.8121812509535</x:v>
      </x:c>
      <x:c r="P474" s="27" t="n">
        <x:f>(VLOOKUP(O474,'Fee Data'!$C$6:$G$50,2,TRUE)+O474*VLOOKUP(O474,'Fee Data'!$C$6:$G$50,3,TRUE)+VLOOKUP(O474,'Fee Data'!$I$6:$J$14,2,TRUE)+'Fee Data'!$J$20+'Fee Data'!$J$21)*'Assumptions'!F37</x:f>
        <x:v>915</x:v>
      </x:c>
      <x:c r="Q474" s="27" t="n">
        <x:f>(VLOOKUP(O474,'Fee Data'!$C$6:$G$50,4,TRUE)+O474*VLOOKUP(O474,'Fee Data'!$C$6:$G$50,5,TRUE)+VLOOKUP(O474,'Fee Data'!$I$6:$J$14,2,TRUE)+'Fee Data'!$J$20+'Fee Data'!$J$21)*'Assumptions'!F37</x:f>
        <x:v>765</x:v>
      </x:c>
      <x:c r="R474" s="27" t="n">
        <x:f>P474*(1-'Assumptions'!$D$14)+Q474*'Assumptions'!$D$14</x:f>
        <x:v>840</x:v>
      </x:c>
      <x:c r="S474" s="27" t="n">
        <x:f>O474*'Carrier Engine'!E93</x:f>
        <x:v>140.75248725003814</x:v>
      </x:c>
      <x:c r="T474" s="28" t="n">
        <x:f>R474+S474</x:f>
        <x:v>980.7524872500381</x:v>
      </x:c>
      <x:c r="U474" s="27" t="n">
        <x:f>N474*'Fleet Engine'!H198</x:f>
        <x:v>0</x:v>
      </x:c>
      <x:c r="V474" s="28" t="n">
        <x:f>U474*T474</x:f>
        <x:v>0</x:v>
      </x:c>
      <x:c r="W474" s="28" t="n">
        <x:f>U474*O474</x:f>
        <x:v>0</x:v>
      </x:c>
    </x:row>
    <x:row r="475" ht="19" customHeight="1">
      <x:c r="A475" s="2"/>
      <x:c r="B475" s="2"/>
      <x:c r="C475" s="46" t="n">
        <x:v>2</x:v>
      </x:c>
      <x:c r="D475" s="46" t="n">
        <x:v>4</x:v>
      </x:c>
      <x:c r="E475" s="46" t="n">
        <x:v>0</x:v>
      </x:c>
      <x:c r="F475" s="46" t="n">
        <x:v>4</x:v>
      </x:c>
      <x:c r="G475" s="12" t="n">
        <x:v>0.1111111111111111</x:v>
      </x:c>
      <x:c r="H475" s="12" t="n">
        <x:v>0.2222222222222222</x:v>
      </x:c>
      <x:c r="I475" s="29" t="n">
        <x:f>'Assumptions'!$D$11+'Assumptions'!$D$12*(0.5-(G475+H475)/2)</x:f>
        <x:v>0.3666666666666667</x:v>
      </x:c>
      <x:c r="J475" s="27" t="n">
        <x:f>'Assumptions'!$D$8*EXP(-'Assumptions'!$D$9*('Fleet Engine'!E198-10))*'Assumptions'!E55*'Assumptions'!F36</x:f>
        <x:v>9048.374180359595</x:v>
      </x:c>
      <x:c r="K475" s="27" t="n">
        <x:f>'Source Data'!F221+LN('Assumptions'!D55)+LN('Assumptions'!F35)</x:f>
        <x:v>8.14856556744418</x:v>
      </x:c>
      <x:c r="L475" s="27" t="n">
        <x:f>J475*(1-I475*(1-'Carrier Engine'!E93))</x:f>
        <x:v>5863.346468873016</x:v>
      </x:c>
      <x:c r="M475" s="29" t="n">
        <x:f>NORM.S.DIST((LN(L475)-K475)/'Assumptions'!$D$10,TRUE)</x:f>
        <x:v>0.6316416500338942</x:v>
      </x:c>
      <x:c r="N475" s="30" t="n">
        <x:f>MAX(0,H475-MAX(G475,M475))</x:f>
        <x:v>0</x:v>
      </x:c>
      <x:c r="O475" s="28" t="n">
        <x:f>J475*I475</x:f>
        <x:v>3317.737199465185</x:v>
      </x:c>
      <x:c r="P475" s="27" t="n">
        <x:f>(VLOOKUP(O475,'Fee Data'!$C$6:$G$50,2,TRUE)+O475*VLOOKUP(O475,'Fee Data'!$C$6:$G$50,3,TRUE)+VLOOKUP(O475,'Fee Data'!$I$6:$J$14,2,TRUE)+'Fee Data'!$J$20+'Fee Data'!$J$21)*'Assumptions'!F37</x:f>
        <x:v>865</x:v>
      </x:c>
      <x:c r="Q475" s="27" t="n">
        <x:f>(VLOOKUP(O475,'Fee Data'!$C$6:$G$50,4,TRUE)+O475*VLOOKUP(O475,'Fee Data'!$C$6:$G$50,5,TRUE)+VLOOKUP(O475,'Fee Data'!$I$6:$J$14,2,TRUE)+'Fee Data'!$J$20+'Fee Data'!$J$21)*'Assumptions'!F37</x:f>
        <x:v>715</x:v>
      </x:c>
      <x:c r="R475" s="27" t="n">
        <x:f>P475*(1-'Assumptions'!$D$14)+Q475*'Assumptions'!$D$14</x:f>
        <x:v>790</x:v>
      </x:c>
      <x:c r="S475" s="27" t="n">
        <x:f>O475*'Carrier Engine'!E93</x:f>
        <x:v>132.7094879786074</x:v>
      </x:c>
      <x:c r="T475" s="28" t="n">
        <x:f>R475+S475</x:f>
        <x:v>922.7094879786074</x:v>
      </x:c>
      <x:c r="U475" s="27" t="n">
        <x:f>N475*'Fleet Engine'!H198</x:f>
        <x:v>0</x:v>
      </x:c>
      <x:c r="V475" s="28" t="n">
        <x:f>U475*T475</x:f>
        <x:v>0</x:v>
      </x:c>
      <x:c r="W475" s="28" t="n">
        <x:f>U475*O475</x:f>
        <x:v>0</x:v>
      </x:c>
    </x:row>
    <x:row r="476" ht="19" customHeight="1">
      <x:c r="A476" s="2"/>
      <x:c r="B476" s="2"/>
      <x:c r="C476" s="46" t="n">
        <x:v>2</x:v>
      </x:c>
      <x:c r="D476" s="46" t="n">
        <x:v>4</x:v>
      </x:c>
      <x:c r="E476" s="46" t="n">
        <x:v>0</x:v>
      </x:c>
      <x:c r="F476" s="46" t="n">
        <x:v>4</x:v>
      </x:c>
      <x:c r="G476" s="12" t="n">
        <x:v>0.2222222222222222</x:v>
      </x:c>
      <x:c r="H476" s="12" t="n">
        <x:v>0.3333333333333333</x:v>
      </x:c>
      <x:c r="I476" s="29" t="n">
        <x:f>'Assumptions'!$D$11+'Assumptions'!$D$12*(0.5-(G476+H476)/2)</x:f>
        <x:v>0.34444444444444444</x:v>
      </x:c>
      <x:c r="J476" s="27" t="n">
        <x:f>'Assumptions'!$D$8*EXP(-'Assumptions'!$D$9*('Fleet Engine'!E198-10))*'Assumptions'!E55*'Assumptions'!F36</x:f>
        <x:v>9048.374180359595</x:v>
      </x:c>
      <x:c r="K476" s="27" t="n">
        <x:f>'Source Data'!F221+LN('Assumptions'!D55)+LN('Assumptions'!F35)</x:f>
        <x:v>8.14856556744418</x:v>
      </x:c>
      <x:c r="L476" s="27" t="n">
        <x:f>J476*(1-I476*(1-'Carrier Engine'!E93))</x:f>
        <x:v>6056.378451387355</x:v>
      </x:c>
      <x:c r="M476" s="29" t="n">
        <x:f>NORM.S.DIST((LN(L476)-K476)/'Assumptions'!$D$10,TRUE)</x:f>
        <x:v>0.6393916848110384</x:v>
      </x:c>
      <x:c r="N476" s="30" t="n">
        <x:f>MAX(0,H476-MAX(G476,M476))</x:f>
        <x:v>0</x:v>
      </x:c>
      <x:c r="O476" s="28" t="n">
        <x:f>J476*I476</x:f>
        <x:v>3116.662217679416</x:v>
      </x:c>
      <x:c r="P476" s="27" t="n">
        <x:f>(VLOOKUP(O476,'Fee Data'!$C$6:$G$50,2,TRUE)+O476*VLOOKUP(O476,'Fee Data'!$C$6:$G$50,3,TRUE)+VLOOKUP(O476,'Fee Data'!$I$6:$J$14,2,TRUE)+'Fee Data'!$J$20+'Fee Data'!$J$21)*'Assumptions'!F37</x:f>
        <x:v>865</x:v>
      </x:c>
      <x:c r="Q476" s="27" t="n">
        <x:f>(VLOOKUP(O476,'Fee Data'!$C$6:$G$50,4,TRUE)+O476*VLOOKUP(O476,'Fee Data'!$C$6:$G$50,5,TRUE)+VLOOKUP(O476,'Fee Data'!$I$6:$J$14,2,TRUE)+'Fee Data'!$J$20+'Fee Data'!$J$21)*'Assumptions'!F37</x:f>
        <x:v>715</x:v>
      </x:c>
      <x:c r="R476" s="27" t="n">
        <x:f>P476*(1-'Assumptions'!$D$14)+Q476*'Assumptions'!$D$14</x:f>
        <x:v>790</x:v>
      </x:c>
      <x:c r="S476" s="27" t="n">
        <x:f>O476*'Carrier Engine'!E93</x:f>
        <x:v>124.66648870717664</x:v>
      </x:c>
      <x:c r="T476" s="28" t="n">
        <x:f>R476+S476</x:f>
        <x:v>914.6664887071767</x:v>
      </x:c>
      <x:c r="U476" s="27" t="n">
        <x:f>N476*'Fleet Engine'!H198</x:f>
        <x:v>0</x:v>
      </x:c>
      <x:c r="V476" s="28" t="n">
        <x:f>U476*T476</x:f>
        <x:v>0</x:v>
      </x:c>
      <x:c r="W476" s="28" t="n">
        <x:f>U476*O476</x:f>
        <x:v>0</x:v>
      </x:c>
    </x:row>
    <x:row r="477" ht="19" customHeight="1">
      <x:c r="A477" s="2"/>
      <x:c r="B477" s="2"/>
      <x:c r="C477" s="46" t="n">
        <x:v>2</x:v>
      </x:c>
      <x:c r="D477" s="46" t="n">
        <x:v>4</x:v>
      </x:c>
      <x:c r="E477" s="46" t="n">
        <x:v>0</x:v>
      </x:c>
      <x:c r="F477" s="46" t="n">
        <x:v>4</x:v>
      </x:c>
      <x:c r="G477" s="12" t="n">
        <x:v>0.3333333333333333</x:v>
      </x:c>
      <x:c r="H477" s="12" t="n">
        <x:v>0.4444444444444444</x:v>
      </x:c>
      <x:c r="I477" s="29" t="n">
        <x:f>'Assumptions'!$D$11+'Assumptions'!$D$12*(0.5-(G477+H477)/2)</x:f>
        <x:v>0.32222222222222224</x:v>
      </x:c>
      <x:c r="J477" s="27" t="n">
        <x:f>'Assumptions'!$D$8*EXP(-'Assumptions'!$D$9*('Fleet Engine'!E198-10))*'Assumptions'!E55*'Assumptions'!F36</x:f>
        <x:v>9048.374180359595</x:v>
      </x:c>
      <x:c r="K477" s="27" t="n">
        <x:f>'Source Data'!F221+LN('Assumptions'!D55)+LN('Assumptions'!F35)</x:f>
        <x:v>8.14856556744418</x:v>
      </x:c>
      <x:c r="L477" s="27" t="n">
        <x:f>J477*(1-I477*(1-'Carrier Engine'!E93))</x:f>
        <x:v>6249.410433901693</x:v>
      </x:c>
      <x:c r="M477" s="29" t="n">
        <x:f>NORM.S.DIST((LN(L477)-K477)/'Assumptions'!$D$10,TRUE)</x:f>
        <x:v>0.6468443793490292</x:v>
      </x:c>
      <x:c r="N477" s="30" t="n">
        <x:f>MAX(0,H477-MAX(G477,M477))</x:f>
        <x:v>0</x:v>
      </x:c>
      <x:c r="O477" s="28" t="n">
        <x:f>J477*I477</x:f>
        <x:v>2915.5872358936476</x:v>
      </x:c>
      <x:c r="P477" s="27" t="n">
        <x:f>(VLOOKUP(O477,'Fee Data'!$C$6:$G$50,2,TRUE)+O477*VLOOKUP(O477,'Fee Data'!$C$6:$G$50,3,TRUE)+VLOOKUP(O477,'Fee Data'!$I$6:$J$14,2,TRUE)+'Fee Data'!$J$20+'Fee Data'!$J$21)*'Assumptions'!F37</x:f>
        <x:v>820</x:v>
      </x:c>
      <x:c r="Q477" s="27" t="n">
        <x:f>(VLOOKUP(O477,'Fee Data'!$C$6:$G$50,4,TRUE)+O477*VLOOKUP(O477,'Fee Data'!$C$6:$G$50,5,TRUE)+VLOOKUP(O477,'Fee Data'!$I$6:$J$14,2,TRUE)+'Fee Data'!$J$20+'Fee Data'!$J$21)*'Assumptions'!F37</x:f>
        <x:v>670</x:v>
      </x:c>
      <x:c r="R477" s="27" t="n">
        <x:f>P477*(1-'Assumptions'!$D$14)+Q477*'Assumptions'!$D$14</x:f>
        <x:v>745</x:v>
      </x:c>
      <x:c r="S477" s="27" t="n">
        <x:f>O477*'Carrier Engine'!E93</x:f>
        <x:v>116.62348943574591</x:v>
      </x:c>
      <x:c r="T477" s="28" t="n">
        <x:f>R477+S477</x:f>
        <x:v>861.6234894357459</x:v>
      </x:c>
      <x:c r="U477" s="27" t="n">
        <x:f>N477*'Fleet Engine'!H198</x:f>
        <x:v>0</x:v>
      </x:c>
      <x:c r="V477" s="28" t="n">
        <x:f>U477*T477</x:f>
        <x:v>0</x:v>
      </x:c>
      <x:c r="W477" s="28" t="n">
        <x:f>U477*O477</x:f>
        <x:v>0</x:v>
      </x:c>
    </x:row>
    <x:row r="478" ht="19" customHeight="1">
      <x:c r="A478" s="2"/>
      <x:c r="B478" s="2"/>
      <x:c r="C478" s="46" t="n">
        <x:v>2</x:v>
      </x:c>
      <x:c r="D478" s="46" t="n">
        <x:v>4</x:v>
      </x:c>
      <x:c r="E478" s="46" t="n">
        <x:v>0</x:v>
      </x:c>
      <x:c r="F478" s="46" t="n">
        <x:v>4</x:v>
      </x:c>
      <x:c r="G478" s="12" t="n">
        <x:v>0.4444444444444444</x:v>
      </x:c>
      <x:c r="H478" s="12" t="n">
        <x:v>0.5555555555555556</x:v>
      </x:c>
      <x:c r="I478" s="29" t="n">
        <x:f>'Assumptions'!$D$11+'Assumptions'!$D$12*(0.5-(G478+H478)/2)</x:f>
        <x:v>0.3</x:v>
      </x:c>
      <x:c r="J478" s="27" t="n">
        <x:f>'Assumptions'!$D$8*EXP(-'Assumptions'!$D$9*('Fleet Engine'!E198-10))*'Assumptions'!E55*'Assumptions'!F36</x:f>
        <x:v>9048.374180359595</x:v>
      </x:c>
      <x:c r="K478" s="27" t="n">
        <x:f>'Source Data'!F221+LN('Assumptions'!D55)+LN('Assumptions'!F35)</x:f>
        <x:v>8.14856556744418</x:v>
      </x:c>
      <x:c r="L478" s="27" t="n">
        <x:f>J478*(1-I478*(1-'Carrier Engine'!E93))</x:f>
        <x:v>6442.442416416031</x:v>
      </x:c>
      <x:c r="M478" s="29" t="n">
        <x:f>NORM.S.DIST((LN(L478)-K478)/'Assumptions'!$D$10,TRUE)</x:f>
        <x:v>0.654016988796613</x:v>
      </x:c>
      <x:c r="N478" s="30" t="n">
        <x:f>MAX(0,H478-MAX(G478,M478))</x:f>
        <x:v>0</x:v>
      </x:c>
      <x:c r="O478" s="28" t="n">
        <x:f>J478*I478</x:f>
        <x:v>2714.5122541078786</x:v>
      </x:c>
      <x:c r="P478" s="27" t="n">
        <x:f>(VLOOKUP(O478,'Fee Data'!$C$6:$G$50,2,TRUE)+O478*VLOOKUP(O478,'Fee Data'!$C$6:$G$50,3,TRUE)+VLOOKUP(O478,'Fee Data'!$I$6:$J$14,2,TRUE)+'Fee Data'!$J$20+'Fee Data'!$J$21)*'Assumptions'!F37</x:f>
        <x:v>820</x:v>
      </x:c>
      <x:c r="Q478" s="27" t="n">
        <x:f>(VLOOKUP(O478,'Fee Data'!$C$6:$G$50,4,TRUE)+O478*VLOOKUP(O478,'Fee Data'!$C$6:$G$50,5,TRUE)+VLOOKUP(O478,'Fee Data'!$I$6:$J$14,2,TRUE)+'Fee Data'!$J$20+'Fee Data'!$J$21)*'Assumptions'!F37</x:f>
        <x:v>670</x:v>
      </x:c>
      <x:c r="R478" s="27" t="n">
        <x:f>P478*(1-'Assumptions'!$D$14)+Q478*'Assumptions'!$D$14</x:f>
        <x:v>745</x:v>
      </x:c>
      <x:c r="S478" s="27" t="n">
        <x:f>O478*'Carrier Engine'!E93</x:f>
        <x:v>108.58049016431515</x:v>
      </x:c>
      <x:c r="T478" s="28" t="n">
        <x:f>R478+S478</x:f>
        <x:v>853.5804901643152</x:v>
      </x:c>
      <x:c r="U478" s="27" t="n">
        <x:f>N478*'Fleet Engine'!H198</x:f>
        <x:v>0</x:v>
      </x:c>
      <x:c r="V478" s="28" t="n">
        <x:f>U478*T478</x:f>
        <x:v>0</x:v>
      </x:c>
      <x:c r="W478" s="28" t="n">
        <x:f>U478*O478</x:f>
        <x:v>0</x:v>
      </x:c>
    </x:row>
    <x:row r="479" ht="19" customHeight="1">
      <x:c r="A479" s="2"/>
      <x:c r="B479" s="2"/>
      <x:c r="C479" s="46" t="n">
        <x:v>2</x:v>
      </x:c>
      <x:c r="D479" s="46" t="n">
        <x:v>4</x:v>
      </x:c>
      <x:c r="E479" s="46" t="n">
        <x:v>0</x:v>
      </x:c>
      <x:c r="F479" s="46" t="n">
        <x:v>4</x:v>
      </x:c>
      <x:c r="G479" s="12" t="n">
        <x:v>0.5555555555555556</x:v>
      </x:c>
      <x:c r="H479" s="12" t="n">
        <x:v>0.6666666666666666</x:v>
      </x:c>
      <x:c r="I479" s="29" t="n">
        <x:f>'Assumptions'!$D$11+'Assumptions'!$D$12*(0.5-(G479+H479)/2)</x:f>
        <x:v>0.27777777777777773</x:v>
      </x:c>
      <x:c r="J479" s="27" t="n">
        <x:f>'Assumptions'!$D$8*EXP(-'Assumptions'!$D$9*('Fleet Engine'!E198-10))*'Assumptions'!E55*'Assumptions'!F36</x:f>
        <x:v>9048.374180359595</x:v>
      </x:c>
      <x:c r="K479" s="27" t="n">
        <x:f>'Source Data'!F221+LN('Assumptions'!D55)+LN('Assumptions'!F35)</x:f>
        <x:v>8.14856556744418</x:v>
      </x:c>
      <x:c r="L479" s="27" t="n">
        <x:f>J479*(1-I479*(1-'Carrier Engine'!E93))</x:f>
        <x:v>6635.47439893037</x:v>
      </x:c>
      <x:c r="M479" s="29" t="n">
        <x:f>NORM.S.DIST((LN(L479)-K479)/'Assumptions'!$D$10,TRUE)</x:f>
        <x:v>0.6609254137826943</x:v>
      </x:c>
      <x:c r="N479" s="30" t="n">
        <x:f>MAX(0,H479-MAX(G479,M479))</x:f>
        <x:v>0.005741252883972314</x:v>
      </x:c>
      <x:c r="O479" s="28" t="n">
        <x:f>J479*I479</x:f>
        <x:v>2513.4372723221095</x:v>
      </x:c>
      <x:c r="P479" s="27" t="n">
        <x:f>(VLOOKUP(O479,'Fee Data'!$C$6:$G$50,2,TRUE)+O479*VLOOKUP(O479,'Fee Data'!$C$6:$G$50,3,TRUE)+VLOOKUP(O479,'Fee Data'!$I$6:$J$14,2,TRUE)+'Fee Data'!$J$20+'Fee Data'!$J$21)*'Assumptions'!F37</x:f>
        <x:v>820</x:v>
      </x:c>
      <x:c r="Q479" s="27" t="n">
        <x:f>(VLOOKUP(O479,'Fee Data'!$C$6:$G$50,4,TRUE)+O479*VLOOKUP(O479,'Fee Data'!$C$6:$G$50,5,TRUE)+VLOOKUP(O479,'Fee Data'!$I$6:$J$14,2,TRUE)+'Fee Data'!$J$20+'Fee Data'!$J$21)*'Assumptions'!F37</x:f>
        <x:v>670</x:v>
      </x:c>
      <x:c r="R479" s="27" t="n">
        <x:f>P479*(1-'Assumptions'!$D$14)+Q479*'Assumptions'!$D$14</x:f>
        <x:v>745</x:v>
      </x:c>
      <x:c r="S479" s="27" t="n">
        <x:f>O479*'Carrier Engine'!E93</x:f>
        <x:v>100.53749089288438</x:v>
      </x:c>
      <x:c r="T479" s="28" t="n">
        <x:f>R479+S479</x:f>
        <x:v>845.5374908928844</x:v>
      </x:c>
      <x:c r="U479" s="27" t="n">
        <x:f>N479*'Fleet Engine'!H198</x:f>
        <x:v>74.94971576308365</x:v>
      </x:c>
      <x:c r="V479" s="28" t="n">
        <x:f>U479*T479</x:f>
        <x:v>63372.79460945261</x:v>
      </x:c>
      <x:c r="W479" s="28" t="n">
        <x:f>U479*O479</x:f>
        <x:v>188381.40914888238</x:v>
      </x:c>
    </x:row>
    <x:row r="480" ht="19" customHeight="1">
      <x:c r="A480" s="2"/>
      <x:c r="B480" s="2"/>
      <x:c r="C480" s="46" t="n">
        <x:v>2</x:v>
      </x:c>
      <x:c r="D480" s="46" t="n">
        <x:v>4</x:v>
      </x:c>
      <x:c r="E480" s="46" t="n">
        <x:v>0</x:v>
      </x:c>
      <x:c r="F480" s="46" t="n">
        <x:v>4</x:v>
      </x:c>
      <x:c r="G480" s="12" t="n">
        <x:v>0.6666666666666666</x:v>
      </x:c>
      <x:c r="H480" s="12" t="n">
        <x:v>0.7777777777777778</x:v>
      </x:c>
      <x:c r="I480" s="29" t="n">
        <x:f>'Assumptions'!$D$11+'Assumptions'!$D$12*(0.5-(G480+H480)/2)</x:f>
        <x:v>0.25555555555555554</x:v>
      </x:c>
      <x:c r="J480" s="27" t="n">
        <x:f>'Assumptions'!$D$8*EXP(-'Assumptions'!$D$9*('Fleet Engine'!E198-10))*'Assumptions'!E55*'Assumptions'!F36</x:f>
        <x:v>9048.374180359595</x:v>
      </x:c>
      <x:c r="K480" s="27" t="n">
        <x:f>'Source Data'!F221+LN('Assumptions'!D55)+LN('Assumptions'!F35)</x:f>
        <x:v>8.14856556744418</x:v>
      </x:c>
      <x:c r="L480" s="27" t="n">
        <x:f>J480*(1-I480*(1-'Carrier Engine'!E93))</x:f>
        <x:v>6828.506381444708</x:v>
      </x:c>
      <x:c r="M480" s="29" t="n">
        <x:f>NORM.S.DIST((LN(L480)-K480)/'Assumptions'!$D$10,TRUE)</x:f>
        <x:v>0.6675843344367494</x:v>
      </x:c>
      <x:c r="N480" s="30" t="n">
        <x:f>MAX(0,H480-MAX(G480,M480))</x:f>
        <x:v>0.11019344334102843</x:v>
      </x:c>
      <x:c r="O480" s="28" t="n">
        <x:f>J480*I480</x:f>
        <x:v>2312.362290536341</x:v>
      </x:c>
      <x:c r="P480" s="27" t="n">
        <x:f>(VLOOKUP(O480,'Fee Data'!$C$6:$G$50,2,TRUE)+O480*VLOOKUP(O480,'Fee Data'!$C$6:$G$50,3,TRUE)+VLOOKUP(O480,'Fee Data'!$I$6:$J$14,2,TRUE)+'Fee Data'!$J$20+'Fee Data'!$J$21)*'Assumptions'!F37</x:f>
        <x:v>745</x:v>
      </x:c>
      <x:c r="Q480" s="27" t="n">
        <x:f>(VLOOKUP(O480,'Fee Data'!$C$6:$G$50,4,TRUE)+O480*VLOOKUP(O480,'Fee Data'!$C$6:$G$50,5,TRUE)+VLOOKUP(O480,'Fee Data'!$I$6:$J$14,2,TRUE)+'Fee Data'!$J$20+'Fee Data'!$J$21)*'Assumptions'!F37</x:f>
        <x:v>600</x:v>
      </x:c>
      <x:c r="R480" s="27" t="n">
        <x:f>P480*(1-'Assumptions'!$D$14)+Q480*'Assumptions'!$D$14</x:f>
        <x:v>672.5</x:v>
      </x:c>
      <x:c r="S480" s="27" t="n">
        <x:f>O480*'Carrier Engine'!E93</x:f>
        <x:v>92.49449162145363</x:v>
      </x:c>
      <x:c r="T480" s="28" t="n">
        <x:f>R480+S480</x:f>
        <x:v>764.9944916214537</x:v>
      </x:c>
      <x:c r="U480" s="27" t="n">
        <x:f>N480*'Fleet Engine'!H198</x:f>
        <x:v>1438.530478325011</x:v>
      </x:c>
      <x:c r="V480" s="28" t="n">
        <x:f>U480*T480</x:f>
        <x:v>1100467.8919482084</x:v>
      </x:c>
      <x:c r="W480" s="28" t="n">
        <x:f>U480*O480</x:f>
        <x:v>3326403.6318659605</x:v>
      </x:c>
    </x:row>
    <x:row r="481" ht="19" customHeight="1">
      <x:c r="A481" s="2"/>
      <x:c r="B481" s="2"/>
      <x:c r="C481" s="46" t="n">
        <x:v>2</x:v>
      </x:c>
      <x:c r="D481" s="46" t="n">
        <x:v>4</x:v>
      </x:c>
      <x:c r="E481" s="46" t="n">
        <x:v>0</x:v>
      </x:c>
      <x:c r="F481" s="46" t="n">
        <x:v>4</x:v>
      </x:c>
      <x:c r="G481" s="12" t="n">
        <x:v>0.7777777777777778</x:v>
      </x:c>
      <x:c r="H481" s="12" t="n">
        <x:v>0.8888888888888888</x:v>
      </x:c>
      <x:c r="I481" s="29" t="n">
        <x:f>'Assumptions'!$D$11+'Assumptions'!$D$12*(0.5-(G481+H481)/2)</x:f>
        <x:v>0.23333333333333334</x:v>
      </x:c>
      <x:c r="J481" s="27" t="n">
        <x:f>'Assumptions'!$D$8*EXP(-'Assumptions'!$D$9*('Fleet Engine'!E198-10))*'Assumptions'!E55*'Assumptions'!F36</x:f>
        <x:v>9048.374180359595</x:v>
      </x:c>
      <x:c r="K481" s="27" t="n">
        <x:f>'Source Data'!F221+LN('Assumptions'!D55)+LN('Assumptions'!F35)</x:f>
        <x:v>8.14856556744418</x:v>
      </x:c>
      <x:c r="L481" s="27" t="n">
        <x:f>J481*(1-I481*(1-'Carrier Engine'!E93))</x:f>
        <x:v>7021.5383639590455</x:v>
      </x:c>
      <x:c r="M481" s="29" t="n">
        <x:f>NORM.S.DIST((LN(L481)-K481)/'Assumptions'!$D$10,TRUE)</x:f>
        <x:v>0.6740073284704973</x:v>
      </x:c>
      <x:c r="N481" s="30" t="n">
        <x:f>MAX(0,H481-MAX(G481,M481))</x:f>
        <x:v>0.11111111111111105</x:v>
      </x:c>
      <x:c r="O481" s="28" t="n">
        <x:f>J481*I481</x:f>
        <x:v>2111.2873087505723</x:v>
      </x:c>
      <x:c r="P481" s="27" t="n">
        <x:f>(VLOOKUP(O481,'Fee Data'!$C$6:$G$50,2,TRUE)+O481*VLOOKUP(O481,'Fee Data'!$C$6:$G$50,3,TRUE)+VLOOKUP(O481,'Fee Data'!$I$6:$J$14,2,TRUE)+'Fee Data'!$J$20+'Fee Data'!$J$21)*'Assumptions'!F37</x:f>
        <x:v>745</x:v>
      </x:c>
      <x:c r="Q481" s="27" t="n">
        <x:f>(VLOOKUP(O481,'Fee Data'!$C$6:$G$50,4,TRUE)+O481*VLOOKUP(O481,'Fee Data'!$C$6:$G$50,5,TRUE)+VLOOKUP(O481,'Fee Data'!$I$6:$J$14,2,TRUE)+'Fee Data'!$J$20+'Fee Data'!$J$21)*'Assumptions'!F37</x:f>
        <x:v>600</x:v>
      </x:c>
      <x:c r="R481" s="27" t="n">
        <x:f>P481*(1-'Assumptions'!$D$14)+Q481*'Assumptions'!$D$14</x:f>
        <x:v>672.5</x:v>
      </x:c>
      <x:c r="S481" s="27" t="n">
        <x:f>O481*'Carrier Engine'!E93</x:f>
        <x:v>84.45149235002289</x:v>
      </x:c>
      <x:c r="T481" s="28" t="n">
        <x:f>R481+S481</x:f>
        <x:v>756.9514923500229</x:v>
      </x:c>
      <x:c r="U481" s="27" t="n">
        <x:f>N481*'Fleet Engine'!H198</x:f>
        <x:v>1450.5102569417384</x:v>
      </x:c>
      <x:c r="V481" s="28" t="n">
        <x:f>U481*T481</x:f>
        <x:v>1097965.903661064</x:v>
      </x:c>
      <x:c r="W481" s="28" t="n">
        <x:f>U481*O481</x:f>
        <x:v>3062443.896693624</x:v>
      </x:c>
    </x:row>
    <x:row r="482" ht="19" customHeight="1">
      <x:c r="A482" s="2"/>
      <x:c r="B482" s="2"/>
      <x:c r="C482" s="46" t="n">
        <x:v>2</x:v>
      </x:c>
      <x:c r="D482" s="46" t="n">
        <x:v>4</x:v>
      </x:c>
      <x:c r="E482" s="46" t="n">
        <x:v>0</x:v>
      </x:c>
      <x:c r="F482" s="46" t="n">
        <x:v>4</x:v>
      </x:c>
      <x:c r="G482" s="12" t="n">
        <x:v>0.8888888888888888</x:v>
      </x:c>
      <x:c r="H482" s="12" t="n">
        <x:v>1</x:v>
      </x:c>
      <x:c r="I482" s="29" t="n">
        <x:f>'Assumptions'!$D$11+'Assumptions'!$D$12*(0.5-(G482+H482)/2)</x:f>
        <x:v>0.21111111111111108</x:v>
      </x:c>
      <x:c r="J482" s="27" t="n">
        <x:f>'Assumptions'!$D$8*EXP(-'Assumptions'!$D$9*('Fleet Engine'!E198-10))*'Assumptions'!E55*'Assumptions'!F36</x:f>
        <x:v>9048.374180359595</x:v>
      </x:c>
      <x:c r="K482" s="27" t="n">
        <x:f>'Source Data'!F221+LN('Assumptions'!D55)+LN('Assumptions'!F35)</x:f>
        <x:v>8.14856556744418</x:v>
      </x:c>
      <x:c r="L482" s="27" t="n">
        <x:f>J482*(1-I482*(1-'Carrier Engine'!E93))</x:f>
        <x:v>7214.570346473383</x:v>
      </x:c>
      <x:c r="M482" s="29" t="n">
        <x:f>NORM.S.DIST((LN(L482)-K482)/'Assumptions'!$D$10,TRUE)</x:f>
        <x:v>0.680206975523874</x:v>
      </x:c>
      <x:c r="N482" s="30" t="n">
        <x:f>MAX(0,H482-MAX(G482,M482))</x:f>
        <x:v>0.11111111111111116</x:v>
      </x:c>
      <x:c r="O482" s="28" t="n">
        <x:f>J482*I482</x:f>
        <x:v>1910.2123269648032</x:v>
      </x:c>
      <x:c r="P482" s="27" t="n">
        <x:f>(VLOOKUP(O482,'Fee Data'!$C$6:$G$50,2,TRUE)+O482*VLOOKUP(O482,'Fee Data'!$C$6:$G$50,3,TRUE)+VLOOKUP(O482,'Fee Data'!$I$6:$J$14,2,TRUE)+'Fee Data'!$J$20+'Fee Data'!$J$21)*'Assumptions'!F37</x:f>
        <x:v>705</x:v>
      </x:c>
      <x:c r="Q482" s="27" t="n">
        <x:f>(VLOOKUP(O482,'Fee Data'!$C$6:$G$50,4,TRUE)+O482*VLOOKUP(O482,'Fee Data'!$C$6:$G$50,5,TRUE)+VLOOKUP(O482,'Fee Data'!$I$6:$J$14,2,TRUE)+'Fee Data'!$J$20+'Fee Data'!$J$21)*'Assumptions'!F37</x:f>
        <x:v>565</x:v>
      </x:c>
      <x:c r="R482" s="27" t="n">
        <x:f>P482*(1-'Assumptions'!$D$14)+Q482*'Assumptions'!$D$14</x:f>
        <x:v>635</x:v>
      </x:c>
      <x:c r="S482" s="27" t="n">
        <x:f>O482*'Carrier Engine'!E93</x:f>
        <x:v>76.40849307859213</x:v>
      </x:c>
      <x:c r="T482" s="28" t="n">
        <x:f>R482+S482</x:f>
        <x:v>711.4084930785921</x:v>
      </x:c>
      <x:c r="U482" s="27" t="n">
        <x:f>N482*'Fleet Engine'!H198</x:f>
        <x:v>1450.5102569417397</x:v>
      </x:c>
      <x:c r="V482" s="28" t="n">
        <x:f>U482*T482</x:f>
        <x:v>1031905.3160859644</x:v>
      </x:c>
      <x:c r="W482" s="28" t="n">
        <x:f>U482*O482</x:f>
        <x:v>2770782.573198995</x:v>
      </x:c>
    </x:row>
    <x:row r="483" ht="19" customHeight="1">
      <x:c r="A483" s="2"/>
      <x:c r="B483" s="2"/>
      <x:c r="C483" s="46" t="n">
        <x:v>2</x:v>
      </x:c>
      <x:c r="D483" s="46" t="n">
        <x:v>5</x:v>
      </x:c>
      <x:c r="E483" s="46" t="n">
        <x:v>0</x:v>
      </x:c>
      <x:c r="F483" s="46" t="n">
        <x:v>5</x:v>
      </x:c>
      <x:c r="G483" s="12" t="n">
        <x:v>0</x:v>
      </x:c>
      <x:c r="H483" s="12" t="n">
        <x:v>0.1111111111111111</x:v>
      </x:c>
      <x:c r="I483" s="29" t="n">
        <x:f>'Assumptions'!$D$11+'Assumptions'!$D$12*(0.5-(G483+H483)/2)</x:f>
        <x:v>0.3888888888888889</x:v>
      </x:c>
      <x:c r="J483" s="27" t="n">
        <x:f>'Assumptions'!$D$8*EXP(-'Assumptions'!$D$9*('Fleet Engine'!E199-10))*'Assumptions'!E55*'Assumptions'!F36</x:f>
        <x:v>4965.853037914095</x:v>
      </x:c>
      <x:c r="K483" s="27" t="n">
        <x:f>'Source Data'!F222+LN('Assumptions'!D55)+LN('Assumptions'!F35)</x:f>
        <x:v>8.0496367177205</x:v>
      </x:c>
      <x:c r="L483" s="27" t="n">
        <x:f>J483*(1-I483*(1-'Carrier Engine'!E93))</x:f>
        <x:v>3111.9345704261664</x:v>
      </x:c>
      <x:c r="M483" s="29" t="n">
        <x:f>NORM.S.DIST((LN(L483)-K483)/'Assumptions'!$D$10,TRUE)</x:f>
        <x:v>0.4983137783845791</x:v>
      </x:c>
      <x:c r="N483" s="30" t="n">
        <x:f>MAX(0,H483-MAX(G483,M483))</x:f>
        <x:v>0</x:v>
      </x:c>
      <x:c r="O483" s="28" t="n">
        <x:f>J483*I483</x:f>
        <x:v>1931.1650702999257</x:v>
      </x:c>
      <x:c r="P483" s="27" t="n">
        <x:f>(VLOOKUP(O483,'Fee Data'!$C$6:$G$50,2,TRUE)+O483*VLOOKUP(O483,'Fee Data'!$C$6:$G$50,3,TRUE)+VLOOKUP(O483,'Fee Data'!$I$6:$J$14,2,TRUE)+'Fee Data'!$J$20+'Fee Data'!$J$21)*'Assumptions'!F37</x:f>
        <x:v>705</x:v>
      </x:c>
      <x:c r="Q483" s="27" t="n">
        <x:f>(VLOOKUP(O483,'Fee Data'!$C$6:$G$50,4,TRUE)+O483*VLOOKUP(O483,'Fee Data'!$C$6:$G$50,5,TRUE)+VLOOKUP(O483,'Fee Data'!$I$6:$J$14,2,TRUE)+'Fee Data'!$J$20+'Fee Data'!$J$21)*'Assumptions'!F37</x:f>
        <x:v>565</x:v>
      </x:c>
      <x:c r="R483" s="27" t="n">
        <x:f>P483*(1-'Assumptions'!$D$14)+Q483*'Assumptions'!$D$14</x:f>
        <x:v>635</x:v>
      </x:c>
      <x:c r="S483" s="27" t="n">
        <x:f>O483*'Carrier Engine'!E93</x:f>
        <x:v>77.24660281199702</x:v>
      </x:c>
      <x:c r="T483" s="28" t="n">
        <x:f>R483+S483</x:f>
        <x:v>712.246602811997</x:v>
      </x:c>
      <x:c r="U483" s="27" t="n">
        <x:f>N483*'Fleet Engine'!H199</x:f>
        <x:v>0</x:v>
      </x:c>
      <x:c r="V483" s="28" t="n">
        <x:f>U483*T483</x:f>
        <x:v>0</x:v>
      </x:c>
      <x:c r="W483" s="28" t="n">
        <x:f>U483*O483</x:f>
        <x:v>0</x:v>
      </x:c>
    </x:row>
    <x:row r="484" ht="19" customHeight="1">
      <x:c r="A484" s="2"/>
      <x:c r="B484" s="2"/>
      <x:c r="C484" s="46" t="n">
        <x:v>2</x:v>
      </x:c>
      <x:c r="D484" s="46" t="n">
        <x:v>5</x:v>
      </x:c>
      <x:c r="E484" s="46" t="n">
        <x:v>0</x:v>
      </x:c>
      <x:c r="F484" s="46" t="n">
        <x:v>5</x:v>
      </x:c>
      <x:c r="G484" s="12" t="n">
        <x:v>0.1111111111111111</x:v>
      </x:c>
      <x:c r="H484" s="12" t="n">
        <x:v>0.2222222222222222</x:v>
      </x:c>
      <x:c r="I484" s="29" t="n">
        <x:f>'Assumptions'!$D$11+'Assumptions'!$D$12*(0.5-(G484+H484)/2)</x:f>
        <x:v>0.3666666666666667</x:v>
      </x:c>
      <x:c r="J484" s="27" t="n">
        <x:f>'Assumptions'!$D$8*EXP(-'Assumptions'!$D$9*('Fleet Engine'!E199-10))*'Assumptions'!E55*'Assumptions'!F36</x:f>
        <x:v>4965.853037914095</x:v>
      </x:c>
      <x:c r="K484" s="27" t="n">
        <x:f>'Source Data'!F222+LN('Assumptions'!D55)+LN('Assumptions'!F35)</x:f>
        <x:v>8.0496367177205</x:v>
      </x:c>
      <x:c r="L484" s="27" t="n">
        <x:f>J484*(1-I484*(1-'Carrier Engine'!E93))</x:f>
        <x:v>3217.872768568333</x:v>
      </x:c>
      <x:c r="M484" s="29" t="n">
        <x:f>NORM.S.DIST((LN(L484)-K484)/'Assumptions'!$D$10,TRUE)</x:f>
        <x:v>0.5068186718451688</x:v>
      </x:c>
      <x:c r="N484" s="30" t="n">
        <x:f>MAX(0,H484-MAX(G484,M484))</x:f>
        <x:v>0</x:v>
      </x:c>
      <x:c r="O484" s="28" t="n">
        <x:f>J484*I484</x:f>
        <x:v>1820.8127805685015</x:v>
      </x:c>
      <x:c r="P484" s="27" t="n">
        <x:f>(VLOOKUP(O484,'Fee Data'!$C$6:$G$50,2,TRUE)+O484*VLOOKUP(O484,'Fee Data'!$C$6:$G$50,3,TRUE)+VLOOKUP(O484,'Fee Data'!$I$6:$J$14,2,TRUE)+'Fee Data'!$J$20+'Fee Data'!$J$21)*'Assumptions'!F37</x:f>
        <x:v>705</x:v>
      </x:c>
      <x:c r="Q484" s="27" t="n">
        <x:f>(VLOOKUP(O484,'Fee Data'!$C$6:$G$50,4,TRUE)+O484*VLOOKUP(O484,'Fee Data'!$C$6:$G$50,5,TRUE)+VLOOKUP(O484,'Fee Data'!$I$6:$J$14,2,TRUE)+'Fee Data'!$J$20+'Fee Data'!$J$21)*'Assumptions'!F37</x:f>
        <x:v>565</x:v>
      </x:c>
      <x:c r="R484" s="27" t="n">
        <x:f>P484*(1-'Assumptions'!$D$14)+Q484*'Assumptions'!$D$14</x:f>
        <x:v>635</x:v>
      </x:c>
      <x:c r="S484" s="27" t="n">
        <x:f>O484*'Carrier Engine'!E93</x:f>
        <x:v>72.83251122274007</x:v>
      </x:c>
      <x:c r="T484" s="28" t="n">
        <x:f>R484+S484</x:f>
        <x:v>707.8325112227401</x:v>
      </x:c>
      <x:c r="U484" s="27" t="n">
        <x:f>N484*'Fleet Engine'!H199</x:f>
        <x:v>0</x:v>
      </x:c>
      <x:c r="V484" s="28" t="n">
        <x:f>U484*T484</x:f>
        <x:v>0</x:v>
      </x:c>
      <x:c r="W484" s="28" t="n">
        <x:f>U484*O484</x:f>
        <x:v>0</x:v>
      </x:c>
    </x:row>
    <x:row r="485" ht="19" customHeight="1">
      <x:c r="A485" s="2"/>
      <x:c r="B485" s="2"/>
      <x:c r="C485" s="46" t="n">
        <x:v>2</x:v>
      </x:c>
      <x:c r="D485" s="46" t="n">
        <x:v>5</x:v>
      </x:c>
      <x:c r="E485" s="46" t="n">
        <x:v>0</x:v>
      </x:c>
      <x:c r="F485" s="46" t="n">
        <x:v>5</x:v>
      </x:c>
      <x:c r="G485" s="12" t="n">
        <x:v>0.2222222222222222</x:v>
      </x:c>
      <x:c r="H485" s="12" t="n">
        <x:v>0.3333333333333333</x:v>
      </x:c>
      <x:c r="I485" s="29" t="n">
        <x:f>'Assumptions'!$D$11+'Assumptions'!$D$12*(0.5-(G485+H485)/2)</x:f>
        <x:v>0.34444444444444444</x:v>
      </x:c>
      <x:c r="J485" s="27" t="n">
        <x:f>'Assumptions'!$D$8*EXP(-'Assumptions'!$D$9*('Fleet Engine'!E199-10))*'Assumptions'!E55*'Assumptions'!F36</x:f>
        <x:v>4965.853037914095</x:v>
      </x:c>
      <x:c r="K485" s="27" t="n">
        <x:f>'Source Data'!F222+LN('Assumptions'!D55)+LN('Assumptions'!F35)</x:f>
        <x:v>8.0496367177205</x:v>
      </x:c>
      <x:c r="L485" s="27" t="n">
        <x:f>J485*(1-I485*(1-'Carrier Engine'!E93))</x:f>
        <x:v>3323.810966710501</x:v>
      </x:c>
      <x:c r="M485" s="29" t="n">
        <x:f>NORM.S.DIST((LN(L485)-K485)/'Assumptions'!$D$10,TRUE)</x:f>
        <x:v>0.5150451442708714</x:v>
      </x:c>
      <x:c r="N485" s="30" t="n">
        <x:f>MAX(0,H485-MAX(G485,M485))</x:f>
        <x:v>0</x:v>
      </x:c>
      <x:c r="O485" s="28" t="n">
        <x:f>J485*I485</x:f>
        <x:v>1710.460490837077</x:v>
      </x:c>
      <x:c r="P485" s="27" t="n">
        <x:f>(VLOOKUP(O485,'Fee Data'!$C$6:$G$50,2,TRUE)+O485*VLOOKUP(O485,'Fee Data'!$C$6:$G$50,3,TRUE)+VLOOKUP(O485,'Fee Data'!$I$6:$J$14,2,TRUE)+'Fee Data'!$J$20+'Fee Data'!$J$21)*'Assumptions'!F37</x:f>
        <x:v>680</x:v>
      </x:c>
      <x:c r="Q485" s="27" t="n">
        <x:f>(VLOOKUP(O485,'Fee Data'!$C$6:$G$50,4,TRUE)+O485*VLOOKUP(O485,'Fee Data'!$C$6:$G$50,5,TRUE)+VLOOKUP(O485,'Fee Data'!$I$6:$J$14,2,TRUE)+'Fee Data'!$J$20+'Fee Data'!$J$21)*'Assumptions'!F37</x:f>
        <x:v>545</x:v>
      </x:c>
      <x:c r="R485" s="27" t="n">
        <x:f>P485*(1-'Assumptions'!$D$14)+Q485*'Assumptions'!$D$14</x:f>
        <x:v>612.5</x:v>
      </x:c>
      <x:c r="S485" s="27" t="n">
        <x:f>O485*'Carrier Engine'!E93</x:f>
        <x:v>68.41841963348308</x:v>
      </x:c>
      <x:c r="T485" s="28" t="n">
        <x:f>R485+S485</x:f>
        <x:v>680.918419633483</x:v>
      </x:c>
      <x:c r="U485" s="27" t="n">
        <x:f>N485*'Fleet Engine'!H199</x:f>
        <x:v>0</x:v>
      </x:c>
      <x:c r="V485" s="28" t="n">
        <x:f>U485*T485</x:f>
        <x:v>0</x:v>
      </x:c>
      <x:c r="W485" s="28" t="n">
        <x:f>U485*O485</x:f>
        <x:v>0</x:v>
      </x:c>
    </x:row>
    <x:row r="486" ht="19" customHeight="1">
      <x:c r="A486" s="2"/>
      <x:c r="B486" s="2"/>
      <x:c r="C486" s="46" t="n">
        <x:v>2</x:v>
      </x:c>
      <x:c r="D486" s="46" t="n">
        <x:v>5</x:v>
      </x:c>
      <x:c r="E486" s="46" t="n">
        <x:v>0</x:v>
      </x:c>
      <x:c r="F486" s="46" t="n">
        <x:v>5</x:v>
      </x:c>
      <x:c r="G486" s="12" t="n">
        <x:v>0.3333333333333333</x:v>
      </x:c>
      <x:c r="H486" s="12" t="n">
        <x:v>0.4444444444444444</x:v>
      </x:c>
      <x:c r="I486" s="29" t="n">
        <x:f>'Assumptions'!$D$11+'Assumptions'!$D$12*(0.5-(G486+H486)/2)</x:f>
        <x:v>0.32222222222222224</x:v>
      </x:c>
      <x:c r="J486" s="27" t="n">
        <x:f>'Assumptions'!$D$8*EXP(-'Assumptions'!$D$9*('Fleet Engine'!E199-10))*'Assumptions'!E55*'Assumptions'!F36</x:f>
        <x:v>4965.853037914095</x:v>
      </x:c>
      <x:c r="K486" s="27" t="n">
        <x:f>'Source Data'!F222+LN('Assumptions'!D55)+LN('Assumptions'!F35)</x:f>
        <x:v>8.0496367177205</x:v>
      </x:c>
      <x:c r="L486" s="27" t="n">
        <x:f>J486*(1-I486*(1-'Carrier Engine'!E93))</x:f>
        <x:v>3429.749164852668</x:v>
      </x:c>
      <x:c r="M486" s="29" t="n">
        <x:f>NORM.S.DIST((LN(L486)-K486)/'Assumptions'!$D$10,TRUE)</x:f>
        <x:v>0.5230074223798904</x:v>
      </x:c>
      <x:c r="N486" s="30" t="n">
        <x:f>MAX(0,H486-MAX(G486,M486))</x:f>
        <x:v>0</x:v>
      </x:c>
      <x:c r="O486" s="28" t="n">
        <x:f>J486*I486</x:f>
        <x:v>1600.1082011056528</x:v>
      </x:c>
      <x:c r="P486" s="27" t="n">
        <x:f>(VLOOKUP(O486,'Fee Data'!$C$6:$G$50,2,TRUE)+O486*VLOOKUP(O486,'Fee Data'!$C$6:$G$50,3,TRUE)+VLOOKUP(O486,'Fee Data'!$I$6:$J$14,2,TRUE)+'Fee Data'!$J$20+'Fee Data'!$J$21)*'Assumptions'!F37</x:f>
        <x:v>660</x:v>
      </x:c>
      <x:c r="Q486" s="27" t="n">
        <x:f>(VLOOKUP(O486,'Fee Data'!$C$6:$G$50,4,TRUE)+O486*VLOOKUP(O486,'Fee Data'!$C$6:$G$50,5,TRUE)+VLOOKUP(O486,'Fee Data'!$I$6:$J$14,2,TRUE)+'Fee Data'!$J$20+'Fee Data'!$J$21)*'Assumptions'!F37</x:f>
        <x:v>525</x:v>
      </x:c>
      <x:c r="R486" s="27" t="n">
        <x:f>P486*(1-'Assumptions'!$D$14)+Q486*'Assumptions'!$D$14</x:f>
        <x:v>592.5</x:v>
      </x:c>
      <x:c r="S486" s="27" t="n">
        <x:f>O486*'Carrier Engine'!E93</x:f>
        <x:v>64.00432804422611</x:v>
      </x:c>
      <x:c r="T486" s="28" t="n">
        <x:f>R486+S486</x:f>
        <x:v>656.5043280442261</x:v>
      </x:c>
      <x:c r="U486" s="27" t="n">
        <x:f>N486*'Fleet Engine'!H199</x:f>
        <x:v>0</x:v>
      </x:c>
      <x:c r="V486" s="28" t="n">
        <x:f>U486*T486</x:f>
        <x:v>0</x:v>
      </x:c>
      <x:c r="W486" s="28" t="n">
        <x:f>U486*O486</x:f>
        <x:v>0</x:v>
      </x:c>
    </x:row>
    <x:row r="487" ht="19" customHeight="1">
      <x:c r="A487" s="2"/>
      <x:c r="B487" s="2"/>
      <x:c r="C487" s="46" t="n">
        <x:v>2</x:v>
      </x:c>
      <x:c r="D487" s="46" t="n">
        <x:v>5</x:v>
      </x:c>
      <x:c r="E487" s="46" t="n">
        <x:v>0</x:v>
      </x:c>
      <x:c r="F487" s="46" t="n">
        <x:v>5</x:v>
      </x:c>
      <x:c r="G487" s="12" t="n">
        <x:v>0.4444444444444444</x:v>
      </x:c>
      <x:c r="H487" s="12" t="n">
        <x:v>0.5555555555555556</x:v>
      </x:c>
      <x:c r="I487" s="29" t="n">
        <x:f>'Assumptions'!$D$11+'Assumptions'!$D$12*(0.5-(G487+H487)/2)</x:f>
        <x:v>0.3</x:v>
      </x:c>
      <x:c r="J487" s="27" t="n">
        <x:f>'Assumptions'!$D$8*EXP(-'Assumptions'!$D$9*('Fleet Engine'!E199-10))*'Assumptions'!E55*'Assumptions'!F36</x:f>
        <x:v>4965.853037914095</x:v>
      </x:c>
      <x:c r="K487" s="27" t="n">
        <x:f>'Source Data'!F222+LN('Assumptions'!D55)+LN('Assumptions'!F35)</x:f>
        <x:v>8.0496367177205</x:v>
      </x:c>
      <x:c r="L487" s="27" t="n">
        <x:f>J487*(1-I487*(1-'Carrier Engine'!E93))</x:f>
        <x:v>3535.6873629948354</x:v>
      </x:c>
      <x:c r="M487" s="29" t="n">
        <x:f>NORM.S.DIST((LN(L487)-K487)/'Assumptions'!$D$10,TRUE)</x:f>
        <x:v>0.530718734175407</x:v>
      </x:c>
      <x:c r="N487" s="30" t="n">
        <x:f>MAX(0,H487-MAX(G487,M487))</x:f>
        <x:v>0.024836821380148533</x:v>
      </x:c>
      <x:c r="O487" s="28" t="n">
        <x:f>J487*I487</x:f>
        <x:v>1489.7559113742284</x:v>
      </x:c>
      <x:c r="P487" s="27" t="n">
        <x:f>(VLOOKUP(O487,'Fee Data'!$C$6:$G$50,2,TRUE)+O487*VLOOKUP(O487,'Fee Data'!$C$6:$G$50,3,TRUE)+VLOOKUP(O487,'Fee Data'!$I$6:$J$14,2,TRUE)+'Fee Data'!$J$20+'Fee Data'!$J$21)*'Assumptions'!F37</x:f>
        <x:v>615</x:v>
      </x:c>
      <x:c r="Q487" s="27" t="n">
        <x:f>(VLOOKUP(O487,'Fee Data'!$C$6:$G$50,4,TRUE)+O487*VLOOKUP(O487,'Fee Data'!$C$6:$G$50,5,TRUE)+VLOOKUP(O487,'Fee Data'!$I$6:$J$14,2,TRUE)+'Fee Data'!$J$20+'Fee Data'!$J$21)*'Assumptions'!F37</x:f>
        <x:v>485</x:v>
      </x:c>
      <x:c r="R487" s="27" t="n">
        <x:f>P487*(1-'Assumptions'!$D$14)+Q487*'Assumptions'!$D$14</x:f>
        <x:v>550</x:v>
      </x:c>
      <x:c r="S487" s="27" t="n">
        <x:f>O487*'Carrier Engine'!E93</x:f>
        <x:v>59.59023645496914</x:v>
      </x:c>
      <x:c r="T487" s="28" t="n">
        <x:f>R487+S487</x:f>
        <x:v>609.5902364549692</x:v>
      </x:c>
      <x:c r="U487" s="27" t="n">
        <x:f>N487*'Fleet Engine'!H199</x:f>
        <x:v>443.63416397459895</x:v>
      </x:c>
      <x:c r="V487" s="28" t="n">
        <x:f>U487*T487</x:f>
        <x:v>270435.05491677835</x:v>
      </x:c>
      <x:c r="W487" s="28" t="n">
        <x:f>U487*O487</x:f>
        <x:v>660906.6182687226</x:v>
      </x:c>
    </x:row>
    <x:row r="488" ht="19" customHeight="1">
      <x:c r="A488" s="2"/>
      <x:c r="B488" s="2"/>
      <x:c r="C488" s="46" t="n">
        <x:v>2</x:v>
      </x:c>
      <x:c r="D488" s="46" t="n">
        <x:v>5</x:v>
      </x:c>
      <x:c r="E488" s="46" t="n">
        <x:v>0</x:v>
      </x:c>
      <x:c r="F488" s="46" t="n">
        <x:v>5</x:v>
      </x:c>
      <x:c r="G488" s="12" t="n">
        <x:v>0.5555555555555556</x:v>
      </x:c>
      <x:c r="H488" s="12" t="n">
        <x:v>0.6666666666666666</x:v>
      </x:c>
      <x:c r="I488" s="29" t="n">
        <x:f>'Assumptions'!$D$11+'Assumptions'!$D$12*(0.5-(G488+H488)/2)</x:f>
        <x:v>0.27777777777777773</x:v>
      </x:c>
      <x:c r="J488" s="27" t="n">
        <x:f>'Assumptions'!$D$8*EXP(-'Assumptions'!$D$9*('Fleet Engine'!E199-10))*'Assumptions'!E55*'Assumptions'!F36</x:f>
        <x:v>4965.853037914095</x:v>
      </x:c>
      <x:c r="K488" s="27" t="n">
        <x:f>'Source Data'!F222+LN('Assumptions'!D55)+LN('Assumptions'!F35)</x:f>
        <x:v>8.0496367177205</x:v>
      </x:c>
      <x:c r="L488" s="27" t="n">
        <x:f>J488*(1-I488*(1-'Carrier Engine'!E93))</x:f>
        <x:v>3641.625561137003</x:v>
      </x:c>
      <x:c r="M488" s="29" t="n">
        <x:f>NORM.S.DIST((LN(L488)-K488)/'Assumptions'!$D$10,TRUE)</x:f>
        <x:v>0.5381913977645012</x:v>
      </x:c>
      <x:c r="N488" s="30" t="n">
        <x:f>MAX(0,H488-MAX(G488,M488))</x:f>
        <x:v>0.11111111111111105</x:v>
      </x:c>
      <x:c r="O488" s="28" t="n">
        <x:f>J488*I488</x:f>
        <x:v>1379.403621642804</x:v>
      </x:c>
      <x:c r="P488" s="27" t="n">
        <x:f>(VLOOKUP(O488,'Fee Data'!$C$6:$G$50,2,TRUE)+O488*VLOOKUP(O488,'Fee Data'!$C$6:$G$50,3,TRUE)+VLOOKUP(O488,'Fee Data'!$I$6:$J$14,2,TRUE)+'Fee Data'!$J$20+'Fee Data'!$J$21)*'Assumptions'!F37</x:f>
        <x:v>595</x:v>
      </x:c>
      <x:c r="Q488" s="27" t="n">
        <x:f>(VLOOKUP(O488,'Fee Data'!$C$6:$G$50,4,TRUE)+O488*VLOOKUP(O488,'Fee Data'!$C$6:$G$50,5,TRUE)+VLOOKUP(O488,'Fee Data'!$I$6:$J$14,2,TRUE)+'Fee Data'!$J$20+'Fee Data'!$J$21)*'Assumptions'!F37</x:f>
        <x:v>470</x:v>
      </x:c>
      <x:c r="R488" s="27" t="n">
        <x:f>P488*(1-'Assumptions'!$D$14)+Q488*'Assumptions'!$D$14</x:f>
        <x:v>532.5</x:v>
      </x:c>
      <x:c r="S488" s="27" t="n">
        <x:f>O488*'Carrier Engine'!E93</x:f>
        <x:v>55.17614486571216</x:v>
      </x:c>
      <x:c r="T488" s="28" t="n">
        <x:f>R488+S488</x:f>
        <x:v>587.6761448657121</x:v>
      </x:c>
      <x:c r="U488" s="27" t="n">
        <x:f>N488*'Fleet Engine'!H199</x:f>
        <x:v>1984.6615688698785</x:v>
      </x:c>
      <x:c r="V488" s="28" t="n">
        <x:f>U488*T488</x:f>
        <x:v>1166338.2596565862</x:v>
      </x:c>
      <x:c r="W488" s="28" t="n">
        <x:f>U488*O488</x:f>
        <x:v>2737649.3558343993</x:v>
      </x:c>
    </x:row>
    <x:row r="489" ht="19" customHeight="1">
      <x:c r="A489" s="2"/>
      <x:c r="B489" s="2"/>
      <x:c r="C489" s="46" t="n">
        <x:v>2</x:v>
      </x:c>
      <x:c r="D489" s="46" t="n">
        <x:v>5</x:v>
      </x:c>
      <x:c r="E489" s="46" t="n">
        <x:v>0</x:v>
      </x:c>
      <x:c r="F489" s="46" t="n">
        <x:v>5</x:v>
      </x:c>
      <x:c r="G489" s="12" t="n">
        <x:v>0.6666666666666666</x:v>
      </x:c>
      <x:c r="H489" s="12" t="n">
        <x:v>0.7777777777777778</x:v>
      </x:c>
      <x:c r="I489" s="29" t="n">
        <x:f>'Assumptions'!$D$11+'Assumptions'!$D$12*(0.5-(G489+H489)/2)</x:f>
        <x:v>0.25555555555555554</x:v>
      </x:c>
      <x:c r="J489" s="27" t="n">
        <x:f>'Assumptions'!$D$8*EXP(-'Assumptions'!$D$9*('Fleet Engine'!E199-10))*'Assumptions'!E55*'Assumptions'!F36</x:f>
        <x:v>4965.853037914095</x:v>
      </x:c>
      <x:c r="K489" s="27" t="n">
        <x:f>'Source Data'!F222+LN('Assumptions'!D55)+LN('Assumptions'!F35)</x:f>
        <x:v>8.0496367177205</x:v>
      </x:c>
      <x:c r="L489" s="27" t="n">
        <x:f>J489*(1-I489*(1-'Carrier Engine'!E93))</x:f>
        <x:v>3747.5637592791704</x:v>
      </x:c>
      <x:c r="M489" s="29" t="n">
        <x:f>NORM.S.DIST((LN(L489)-K489)/'Assumptions'!$D$10,TRUE)</x:f>
        <x:v>0.5454369007114661</x:v>
      </x:c>
      <x:c r="N489" s="30" t="n">
        <x:f>MAX(0,H489-MAX(G489,M489))</x:f>
        <x:v>0.11111111111111116</x:v>
      </x:c>
      <x:c r="O489" s="28" t="n">
        <x:f>J489*I489</x:f>
        <x:v>1269.0513319113797</x:v>
      </x:c>
      <x:c r="P489" s="27" t="n">
        <x:f>(VLOOKUP(O489,'Fee Data'!$C$6:$G$50,2,TRUE)+O489*VLOOKUP(O489,'Fee Data'!$C$6:$G$50,3,TRUE)+VLOOKUP(O489,'Fee Data'!$I$6:$J$14,2,TRUE)+'Fee Data'!$J$20+'Fee Data'!$J$21)*'Assumptions'!F37</x:f>
        <x:v>580</x:v>
      </x:c>
      <x:c r="Q489" s="27" t="n">
        <x:f>(VLOOKUP(O489,'Fee Data'!$C$6:$G$50,4,TRUE)+O489*VLOOKUP(O489,'Fee Data'!$C$6:$G$50,5,TRUE)+VLOOKUP(O489,'Fee Data'!$I$6:$J$14,2,TRUE)+'Fee Data'!$J$20+'Fee Data'!$J$21)*'Assumptions'!F37</x:f>
        <x:v>455</x:v>
      </x:c>
      <x:c r="R489" s="27" t="n">
        <x:f>P489*(1-'Assumptions'!$D$14)+Q489*'Assumptions'!$D$14</x:f>
        <x:v>517.5</x:v>
      </x:c>
      <x:c r="S489" s="27" t="n">
        <x:f>O489*'Carrier Engine'!E93</x:f>
        <x:v>50.76205327645519</x:v>
      </x:c>
      <x:c r="T489" s="28" t="n">
        <x:f>R489+S489</x:f>
        <x:v>568.2620532764552</x:v>
      </x:c>
      <x:c r="U489" s="27" t="n">
        <x:f>N489*'Fleet Engine'!H199</x:f>
        <x:v>1984.6615688698803</x:v>
      </x:c>
      <x:c r="V489" s="28" t="n">
        <x:f>U489*T489</x:f>
        <x:v>1127807.858184869</x:v>
      </x:c>
      <x:c r="W489" s="28" t="n">
        <x:f>U489*O489</x:f>
        <x:v>2518637.40736765</x:v>
      </x:c>
    </x:row>
    <x:row r="490" ht="19" customHeight="1">
      <x:c r="A490" s="2"/>
      <x:c r="B490" s="2"/>
      <x:c r="C490" s="46" t="n">
        <x:v>2</x:v>
      </x:c>
      <x:c r="D490" s="46" t="n">
        <x:v>5</x:v>
      </x:c>
      <x:c r="E490" s="46" t="n">
        <x:v>0</x:v>
      </x:c>
      <x:c r="F490" s="46" t="n">
        <x:v>5</x:v>
      </x:c>
      <x:c r="G490" s="12" t="n">
        <x:v>0.7777777777777778</x:v>
      </x:c>
      <x:c r="H490" s="12" t="n">
        <x:v>0.8888888888888888</x:v>
      </x:c>
      <x:c r="I490" s="29" t="n">
        <x:f>'Assumptions'!$D$11+'Assumptions'!$D$12*(0.5-(G490+H490)/2)</x:f>
        <x:v>0.23333333333333334</x:v>
      </x:c>
      <x:c r="J490" s="27" t="n">
        <x:f>'Assumptions'!$D$8*EXP(-'Assumptions'!$D$9*('Fleet Engine'!E199-10))*'Assumptions'!E55*'Assumptions'!F36</x:f>
        <x:v>4965.853037914095</x:v>
      </x:c>
      <x:c r="K490" s="27" t="n">
        <x:f>'Source Data'!F222+LN('Assumptions'!D55)+LN('Assumptions'!F35)</x:f>
        <x:v>8.0496367177205</x:v>
      </x:c>
      <x:c r="L490" s="27" t="n">
        <x:f>J490*(1-I490*(1-'Carrier Engine'!E93))</x:f>
        <x:v>3853.5019574213375</x:v>
      </x:c>
      <x:c r="M490" s="29" t="n">
        <x:f>NORM.S.DIST((LN(L490)-K490)/'Assumptions'!$D$10,TRUE)</x:f>
        <x:v>0.5524659710850595</x:v>
      </x:c>
      <x:c r="N490" s="30" t="n">
        <x:f>MAX(0,H490-MAX(G490,M490))</x:f>
        <x:v>0.11111111111111105</x:v>
      </x:c>
      <x:c r="O490" s="28" t="n">
        <x:f>J490*I490</x:f>
        <x:v>1158.6990421799555</x:v>
      </x:c>
      <x:c r="P490" s="27" t="n">
        <x:f>(VLOOKUP(O490,'Fee Data'!$C$6:$G$50,2,TRUE)+O490*VLOOKUP(O490,'Fee Data'!$C$6:$G$50,3,TRUE)+VLOOKUP(O490,'Fee Data'!$I$6:$J$14,2,TRUE)+'Fee Data'!$J$20+'Fee Data'!$J$21)*'Assumptions'!F37</x:f>
        <x:v>560</x:v>
      </x:c>
      <x:c r="Q490" s="27" t="n">
        <x:f>(VLOOKUP(O490,'Fee Data'!$C$6:$G$50,4,TRUE)+O490*VLOOKUP(O490,'Fee Data'!$C$6:$G$50,5,TRUE)+VLOOKUP(O490,'Fee Data'!$I$6:$J$14,2,TRUE)+'Fee Data'!$J$20+'Fee Data'!$J$21)*'Assumptions'!F37</x:f>
        <x:v>435</x:v>
      </x:c>
      <x:c r="R490" s="27" t="n">
        <x:f>P490*(1-'Assumptions'!$D$14)+Q490*'Assumptions'!$D$14</x:f>
        <x:v>497.5</x:v>
      </x:c>
      <x:c r="S490" s="27" t="n">
        <x:f>O490*'Carrier Engine'!E93</x:f>
        <x:v>46.34796168719822</x:v>
      </x:c>
      <x:c r="T490" s="28" t="n">
        <x:f>R490+S490</x:f>
        <x:v>543.8479616871982</x:v>
      </x:c>
      <x:c r="U490" s="27" t="n">
        <x:f>N490*'Fleet Engine'!H199</x:f>
        <x:v>1984.6615688698785</x:v>
      </x:c>
      <x:c r="V490" s="28" t="n">
        <x:f>U490*T490</x:f>
        <x:v>1079354.1488688004</x:v>
      </x:c>
      <x:c r="W490" s="28" t="n">
        <x:f>U490*O490</x:f>
        <x:v>2299625.458900896</x:v>
      </x:c>
    </x:row>
    <x:row r="491" ht="19" customHeight="1">
      <x:c r="A491" s="2"/>
      <x:c r="B491" s="2"/>
      <x:c r="C491" s="46" t="n">
        <x:v>2</x:v>
      </x:c>
      <x:c r="D491" s="46" t="n">
        <x:v>5</x:v>
      </x:c>
      <x:c r="E491" s="46" t="n">
        <x:v>0</x:v>
      </x:c>
      <x:c r="F491" s="46" t="n">
        <x:v>5</x:v>
      </x:c>
      <x:c r="G491" s="12" t="n">
        <x:v>0.8888888888888888</x:v>
      </x:c>
      <x:c r="H491" s="12" t="n">
        <x:v>1</x:v>
      </x:c>
      <x:c r="I491" s="29" t="n">
        <x:f>'Assumptions'!$D$11+'Assumptions'!$D$12*(0.5-(G491+H491)/2)</x:f>
        <x:v>0.21111111111111108</x:v>
      </x:c>
      <x:c r="J491" s="27" t="n">
        <x:f>'Assumptions'!$D$8*EXP(-'Assumptions'!$D$9*('Fleet Engine'!E199-10))*'Assumptions'!E55*'Assumptions'!F36</x:f>
        <x:v>4965.853037914095</x:v>
      </x:c>
      <x:c r="K491" s="27" t="n">
        <x:f>'Source Data'!F222+LN('Assumptions'!D55)+LN('Assumptions'!F35)</x:f>
        <x:v>8.0496367177205</x:v>
      </x:c>
      <x:c r="L491" s="27" t="n">
        <x:f>J491*(1-I491*(1-'Carrier Engine'!E93))</x:f>
        <x:v>3959.440155563505</x:v>
      </x:c>
      <x:c r="M491" s="29" t="n">
        <x:f>NORM.S.DIST((LN(L491)-K491)/'Assumptions'!$D$10,TRUE)</x:f>
        <x:v>0.5592886412015461</x:v>
      </x:c>
      <x:c r="N491" s="30" t="n">
        <x:f>MAX(0,H491-MAX(G491,M491))</x:f>
        <x:v>0.11111111111111116</x:v>
      </x:c>
      <x:c r="O491" s="28" t="n">
        <x:f>J491*I491</x:f>
        <x:v>1048.3467524485309</x:v>
      </x:c>
      <x:c r="P491" s="27" t="n">
        <x:f>(VLOOKUP(O491,'Fee Data'!$C$6:$G$50,2,TRUE)+O491*VLOOKUP(O491,'Fee Data'!$C$6:$G$50,3,TRUE)+VLOOKUP(O491,'Fee Data'!$I$6:$J$14,2,TRUE)+'Fee Data'!$J$20+'Fee Data'!$J$21)*'Assumptions'!F37</x:f>
        <x:v>560</x:v>
      </x:c>
      <x:c r="Q491" s="27" t="n">
        <x:f>(VLOOKUP(O491,'Fee Data'!$C$6:$G$50,4,TRUE)+O491*VLOOKUP(O491,'Fee Data'!$C$6:$G$50,5,TRUE)+VLOOKUP(O491,'Fee Data'!$I$6:$J$14,2,TRUE)+'Fee Data'!$J$20+'Fee Data'!$J$21)*'Assumptions'!F37</x:f>
        <x:v>435</x:v>
      </x:c>
      <x:c r="R491" s="27" t="n">
        <x:f>P491*(1-'Assumptions'!$D$14)+Q491*'Assumptions'!$D$14</x:f>
        <x:v>497.5</x:v>
      </x:c>
      <x:c r="S491" s="27" t="n">
        <x:f>O491*'Carrier Engine'!E93</x:f>
        <x:v>41.93387009794124</x:v>
      </x:c>
      <x:c r="T491" s="28" t="n">
        <x:f>R491+S491</x:f>
        <x:v>539.4338700979413</x:v>
      </x:c>
      <x:c r="U491" s="27" t="n">
        <x:f>N491*'Fleet Engine'!H199</x:f>
        <x:v>1984.6615688698803</x:v>
      </x:c>
      <x:c r="V491" s="28" t="n">
        <x:f>U491*T491</x:f>
        <x:v>1070593.6709301313</x:v>
      </x:c>
      <x:c r="W491" s="28" t="n">
        <x:f>U491*O491</x:f>
        <x:v>2080613.5104341453</x:v>
      </x:c>
    </x:row>
    <x:row r="492" ht="19" customHeight="1">
      <x:c r="A492" s="2"/>
      <x:c r="B492" s="2"/>
      <x:c r="C492" s="46" t="n">
        <x:v>2</x:v>
      </x:c>
      <x:c r="D492" s="46" t="n">
        <x:v>6</x:v>
      </x:c>
      <x:c r="E492" s="46" t="n">
        <x:v>1</x:v>
      </x:c>
      <x:c r="F492" s="46" t="n">
        <x:v>0</x:v>
      </x:c>
      <x:c r="G492" s="12" t="n">
        <x:v>0</x:v>
      </x:c>
      <x:c r="H492" s="12" t="n">
        <x:v>0.1111111111111111</x:v>
      </x:c>
      <x:c r="I492" s="29" t="n">
        <x:f>'Assumptions'!$D$11+'Assumptions'!$D$12*(0.5-(G492+H492)/2)</x:f>
        <x:v>0.3888888888888889</x:v>
      </x:c>
      <x:c r="J492" s="27" t="n">
        <x:f>'Assumptions'!$D$8*EXP(-'Assumptions'!$D$9*('Fleet Engine'!E200-10))*'Assumptions'!E56*'Assumptions'!F36</x:f>
        <x:v>30662.21902501803</x:v>
      </x:c>
      <x:c r="K492" s="27" t="n">
        <x:f>'Source Data'!F217+LN('Assumptions'!D56)+LN('Assumptions'!F35)</x:f>
        <x:v>8.031104662881733</x:v>
      </x:c>
      <x:c r="L492" s="27" t="n">
        <x:f>J492*(1-I492*(1-'Carrier Engine'!E93))</x:f>
        <x:v>19214.9905890113</x:v>
      </x:c>
      <x:c r="M492" s="29" t="n">
        <x:f>NORM.S.DIST((LN(L492)-K492)/'Assumptions'!$D$10,TRUE)</x:f>
        <x:v>0.8783833710855731</x:v>
      </x:c>
      <x:c r="N492" s="30" t="n">
        <x:f>MAX(0,H492-MAX(G492,M492))</x:f>
        <x:v>0</x:v>
      </x:c>
      <x:c r="O492" s="28" t="n">
        <x:f>J492*I492</x:f>
        <x:v>11924.196287507011</x:v>
      </x:c>
      <x:c r="P492" s="27" t="n">
        <x:f>(VLOOKUP(O492,'Fee Data'!$C$6:$G$50,2,TRUE)+O492*VLOOKUP(O492,'Fee Data'!$C$6:$G$50,3,TRUE)+VLOOKUP(O492,'Fee Data'!$I$6:$J$14,2,TRUE)+'Fee Data'!$J$20+'Fee Data'!$J$21)*'Assumptions'!F37</x:f>
        <x:v>1250</x:v>
      </x:c>
      <x:c r="Q492" s="27" t="n">
        <x:f>(VLOOKUP(O492,'Fee Data'!$C$6:$G$50,4,TRUE)+O492*VLOOKUP(O492,'Fee Data'!$C$6:$G$50,5,TRUE)+VLOOKUP(O492,'Fee Data'!$I$6:$J$14,2,TRUE)+'Fee Data'!$J$20+'Fee Data'!$J$21)*'Assumptions'!F37</x:f>
        <x:v>1110</x:v>
      </x:c>
      <x:c r="R492" s="27" t="n">
        <x:f>P492*(1-'Assumptions'!$D$14)+Q492*'Assumptions'!$D$14</x:f>
        <x:v>1180</x:v>
      </x:c>
      <x:c r="S492" s="27" t="n">
        <x:f>O492*'Carrier Engine'!E93</x:f>
        <x:v>476.96785150028046</x:v>
      </x:c>
      <x:c r="T492" s="28" t="n">
        <x:f>R492+S492</x:f>
        <x:v>1656.9678515002804</x:v>
      </x:c>
      <x:c r="U492" s="27" t="n">
        <x:f>N492*'Fleet Engine'!H200</x:f>
        <x:v>0</x:v>
      </x:c>
      <x:c r="V492" s="28" t="n">
        <x:f>U492*T492</x:f>
        <x:v>0</x:v>
      </x:c>
      <x:c r="W492" s="28" t="n">
        <x:f>U492*O492</x:f>
        <x:v>0</x:v>
      </x:c>
    </x:row>
    <x:row r="493" ht="19" customHeight="1">
      <x:c r="A493" s="2"/>
      <x:c r="B493" s="2"/>
      <x:c r="C493" s="46" t="n">
        <x:v>2</x:v>
      </x:c>
      <x:c r="D493" s="46" t="n">
        <x:v>6</x:v>
      </x:c>
      <x:c r="E493" s="46" t="n">
        <x:v>1</x:v>
      </x:c>
      <x:c r="F493" s="46" t="n">
        <x:v>0</x:v>
      </x:c>
      <x:c r="G493" s="12" t="n">
        <x:v>0.1111111111111111</x:v>
      </x:c>
      <x:c r="H493" s="12" t="n">
        <x:v>0.2222222222222222</x:v>
      </x:c>
      <x:c r="I493" s="29" t="n">
        <x:f>'Assumptions'!$D$11+'Assumptions'!$D$12*(0.5-(G493+H493)/2)</x:f>
        <x:v>0.3666666666666667</x:v>
      </x:c>
      <x:c r="J493" s="27" t="n">
        <x:f>'Assumptions'!$D$8*EXP(-'Assumptions'!$D$9*('Fleet Engine'!E200-10))*'Assumptions'!E56*'Assumptions'!F36</x:f>
        <x:v>30662.21902501803</x:v>
      </x:c>
      <x:c r="K493" s="27" t="n">
        <x:f>'Source Data'!F217+LN('Assumptions'!D56)+LN('Assumptions'!F35)</x:f>
        <x:v>8.031104662881733</x:v>
      </x:c>
      <x:c r="L493" s="27" t="n">
        <x:f>J493*(1-I493*(1-'Carrier Engine'!E93))</x:f>
        <x:v>19869.11792821168</x:v>
      </x:c>
      <x:c r="M493" s="29" t="n">
        <x:f>NORM.S.DIST((LN(L493)-K493)/'Assumptions'!$D$10,TRUE)</x:f>
        <x:v>0.8826350510019572</x:v>
      </x:c>
      <x:c r="N493" s="30" t="n">
        <x:f>MAX(0,H493-MAX(G493,M493))</x:f>
        <x:v>0</x:v>
      </x:c>
      <x:c r="O493" s="28" t="n">
        <x:f>J493*I493</x:f>
        <x:v>11242.813642506611</x:v>
      </x:c>
      <x:c r="P493" s="27" t="n">
        <x:f>(VLOOKUP(O493,'Fee Data'!$C$6:$G$50,2,TRUE)+O493*VLOOKUP(O493,'Fee Data'!$C$6:$G$50,3,TRUE)+VLOOKUP(O493,'Fee Data'!$I$6:$J$14,2,TRUE)+'Fee Data'!$J$20+'Fee Data'!$J$21)*'Assumptions'!F37</x:f>
        <x:v>1250</x:v>
      </x:c>
      <x:c r="Q493" s="27" t="n">
        <x:f>(VLOOKUP(O493,'Fee Data'!$C$6:$G$50,4,TRUE)+O493*VLOOKUP(O493,'Fee Data'!$C$6:$G$50,5,TRUE)+VLOOKUP(O493,'Fee Data'!$I$6:$J$14,2,TRUE)+'Fee Data'!$J$20+'Fee Data'!$J$21)*'Assumptions'!F37</x:f>
        <x:v>1100</x:v>
      </x:c>
      <x:c r="R493" s="27" t="n">
        <x:f>P493*(1-'Assumptions'!$D$14)+Q493*'Assumptions'!$D$14</x:f>
        <x:v>1175</x:v>
      </x:c>
      <x:c r="S493" s="27" t="n">
        <x:f>O493*'Carrier Engine'!E93</x:f>
        <x:v>449.71254570026446</x:v>
      </x:c>
      <x:c r="T493" s="28" t="n">
        <x:f>R493+S493</x:f>
        <x:v>1624.7125457002644</x:v>
      </x:c>
      <x:c r="U493" s="27" t="n">
        <x:f>N493*'Fleet Engine'!H200</x:f>
        <x:v>0</x:v>
      </x:c>
      <x:c r="V493" s="28" t="n">
        <x:f>U493*T493</x:f>
        <x:v>0</x:v>
      </x:c>
      <x:c r="W493" s="28" t="n">
        <x:f>U493*O493</x:f>
        <x:v>0</x:v>
      </x:c>
    </x:row>
    <x:row r="494" ht="19" customHeight="1">
      <x:c r="A494" s="2"/>
      <x:c r="B494" s="2"/>
      <x:c r="C494" s="46" t="n">
        <x:v>2</x:v>
      </x:c>
      <x:c r="D494" s="46" t="n">
        <x:v>6</x:v>
      </x:c>
      <x:c r="E494" s="46" t="n">
        <x:v>1</x:v>
      </x:c>
      <x:c r="F494" s="46" t="n">
        <x:v>0</x:v>
      </x:c>
      <x:c r="G494" s="12" t="n">
        <x:v>0.2222222222222222</x:v>
      </x:c>
      <x:c r="H494" s="12" t="n">
        <x:v>0.3333333333333333</x:v>
      </x:c>
      <x:c r="I494" s="29" t="n">
        <x:f>'Assumptions'!$D$11+'Assumptions'!$D$12*(0.5-(G494+H494)/2)</x:f>
        <x:v>0.34444444444444444</x:v>
      </x:c>
      <x:c r="J494" s="27" t="n">
        <x:f>'Assumptions'!$D$8*EXP(-'Assumptions'!$D$9*('Fleet Engine'!E200-10))*'Assumptions'!E56*'Assumptions'!F36</x:f>
        <x:v>30662.21902501803</x:v>
      </x:c>
      <x:c r="K494" s="27" t="n">
        <x:f>'Source Data'!F217+LN('Assumptions'!D56)+LN('Assumptions'!F35)</x:f>
        <x:v>8.031104662881733</x:v>
      </x:c>
      <x:c r="L494" s="27" t="n">
        <x:f>J494*(1-I494*(1-'Carrier Engine'!E93))</x:f>
        <x:v>20523.24526741207</x:v>
      </x:c>
      <x:c r="M494" s="29" t="n">
        <x:f>NORM.S.DIST((LN(L494)-K494)/'Assumptions'!$D$10,TRUE)</x:f>
        <x:v>0.8866477524669126</x:v>
      </x:c>
      <x:c r="N494" s="30" t="n">
        <x:f>MAX(0,H494-MAX(G494,M494))</x:f>
        <x:v>0</x:v>
      </x:c>
      <x:c r="O494" s="28" t="n">
        <x:f>J494*I494</x:f>
        <x:v>10561.43099750621</x:v>
      </x:c>
      <x:c r="P494" s="27" t="n">
        <x:f>(VLOOKUP(O494,'Fee Data'!$C$6:$G$50,2,TRUE)+O494*VLOOKUP(O494,'Fee Data'!$C$6:$G$50,3,TRUE)+VLOOKUP(O494,'Fee Data'!$I$6:$J$14,2,TRUE)+'Fee Data'!$J$20+'Fee Data'!$J$21)*'Assumptions'!F37</x:f>
        <x:v>1250</x:v>
      </x:c>
      <x:c r="Q494" s="27" t="n">
        <x:f>(VLOOKUP(O494,'Fee Data'!$C$6:$G$50,4,TRUE)+O494*VLOOKUP(O494,'Fee Data'!$C$6:$G$50,5,TRUE)+VLOOKUP(O494,'Fee Data'!$I$6:$J$14,2,TRUE)+'Fee Data'!$J$20+'Fee Data'!$J$21)*'Assumptions'!F37</x:f>
        <x:v>1100</x:v>
      </x:c>
      <x:c r="R494" s="27" t="n">
        <x:f>P494*(1-'Assumptions'!$D$14)+Q494*'Assumptions'!$D$14</x:f>
        <x:v>1175</x:v>
      </x:c>
      <x:c r="S494" s="27" t="n">
        <x:f>O494*'Carrier Engine'!E93</x:f>
        <x:v>422.4572399002484</x:v>
      </x:c>
      <x:c r="T494" s="28" t="n">
        <x:f>R494+S494</x:f>
        <x:v>1597.4572399002484</x:v>
      </x:c>
      <x:c r="U494" s="27" t="n">
        <x:f>N494*'Fleet Engine'!H200</x:f>
        <x:v>0</x:v>
      </x:c>
      <x:c r="V494" s="28" t="n">
        <x:f>U494*T494</x:f>
        <x:v>0</x:v>
      </x:c>
      <x:c r="W494" s="28" t="n">
        <x:f>U494*O494</x:f>
        <x:v>0</x:v>
      </x:c>
    </x:row>
    <x:row r="495" ht="19" customHeight="1">
      <x:c r="A495" s="2"/>
      <x:c r="B495" s="2"/>
      <x:c r="C495" s="46" t="n">
        <x:v>2</x:v>
      </x:c>
      <x:c r="D495" s="46" t="n">
        <x:v>6</x:v>
      </x:c>
      <x:c r="E495" s="46" t="n">
        <x:v>1</x:v>
      </x:c>
      <x:c r="F495" s="46" t="n">
        <x:v>0</x:v>
      </x:c>
      <x:c r="G495" s="12" t="n">
        <x:v>0.3333333333333333</x:v>
      </x:c>
      <x:c r="H495" s="12" t="n">
        <x:v>0.4444444444444444</x:v>
      </x:c>
      <x:c r="I495" s="29" t="n">
        <x:f>'Assumptions'!$D$11+'Assumptions'!$D$12*(0.5-(G495+H495)/2)</x:f>
        <x:v>0.32222222222222224</x:v>
      </x:c>
      <x:c r="J495" s="27" t="n">
        <x:f>'Assumptions'!$D$8*EXP(-'Assumptions'!$D$9*('Fleet Engine'!E200-10))*'Assumptions'!E56*'Assumptions'!F36</x:f>
        <x:v>30662.21902501803</x:v>
      </x:c>
      <x:c r="K495" s="27" t="n">
        <x:f>'Source Data'!F217+LN('Assumptions'!D56)+LN('Assumptions'!F35)</x:f>
        <x:v>8.031104662881733</x:v>
      </x:c>
      <x:c r="L495" s="27" t="n">
        <x:f>J495*(1-I495*(1-'Carrier Engine'!E93))</x:f>
        <x:v>21177.37260661245</x:v>
      </x:c>
      <x:c r="M495" s="29" t="n">
        <x:f>NORM.S.DIST((LN(L495)-K495)/'Assumptions'!$D$10,TRUE)</x:f>
        <x:v>0.8904403113358262</x:v>
      </x:c>
      <x:c r="N495" s="30" t="n">
        <x:f>MAX(0,H495-MAX(G495,M495))</x:f>
        <x:v>0</x:v>
      </x:c>
      <x:c r="O495" s="28" t="n">
        <x:f>J495*I495</x:f>
        <x:v>9880.04835250581</x:v>
      </x:c>
      <x:c r="P495" s="27" t="n">
        <x:f>(VLOOKUP(O495,'Fee Data'!$C$6:$G$50,2,TRUE)+O495*VLOOKUP(O495,'Fee Data'!$C$6:$G$50,3,TRUE)+VLOOKUP(O495,'Fee Data'!$I$6:$J$14,2,TRUE)+'Fee Data'!$J$20+'Fee Data'!$J$21)*'Assumptions'!F37</x:f>
        <x:v>1195</x:v>
      </x:c>
      <x:c r="Q495" s="27" t="n">
        <x:f>(VLOOKUP(O495,'Fee Data'!$C$6:$G$50,4,TRUE)+O495*VLOOKUP(O495,'Fee Data'!$C$6:$G$50,5,TRUE)+VLOOKUP(O495,'Fee Data'!$I$6:$J$14,2,TRUE)+'Fee Data'!$J$20+'Fee Data'!$J$21)*'Assumptions'!F37</x:f>
        <x:v>1070</x:v>
      </x:c>
      <x:c r="R495" s="27" t="n">
        <x:f>P495*(1-'Assumptions'!$D$14)+Q495*'Assumptions'!$D$14</x:f>
        <x:v>1132.5</x:v>
      </x:c>
      <x:c r="S495" s="27" t="n">
        <x:f>O495*'Carrier Engine'!E93</x:f>
        <x:v>395.2019341002324</x:v>
      </x:c>
      <x:c r="T495" s="28" t="n">
        <x:f>R495+S495</x:f>
        <x:v>1527.7019341002324</x:v>
      </x:c>
      <x:c r="U495" s="27" t="n">
        <x:f>N495*'Fleet Engine'!H200</x:f>
        <x:v>0</x:v>
      </x:c>
      <x:c r="V495" s="28" t="n">
        <x:f>U495*T495</x:f>
        <x:v>0</x:v>
      </x:c>
      <x:c r="W495" s="28" t="n">
        <x:f>U495*O495</x:f>
        <x:v>0</x:v>
      </x:c>
    </x:row>
    <x:row r="496" ht="19" customHeight="1">
      <x:c r="A496" s="2"/>
      <x:c r="B496" s="2"/>
      <x:c r="C496" s="46" t="n">
        <x:v>2</x:v>
      </x:c>
      <x:c r="D496" s="46" t="n">
        <x:v>6</x:v>
      </x:c>
      <x:c r="E496" s="46" t="n">
        <x:v>1</x:v>
      </x:c>
      <x:c r="F496" s="46" t="n">
        <x:v>0</x:v>
      </x:c>
      <x:c r="G496" s="12" t="n">
        <x:v>0.4444444444444444</x:v>
      </x:c>
      <x:c r="H496" s="12" t="n">
        <x:v>0.5555555555555556</x:v>
      </x:c>
      <x:c r="I496" s="29" t="n">
        <x:f>'Assumptions'!$D$11+'Assumptions'!$D$12*(0.5-(G496+H496)/2)</x:f>
        <x:v>0.3</x:v>
      </x:c>
      <x:c r="J496" s="27" t="n">
        <x:f>'Assumptions'!$D$8*EXP(-'Assumptions'!$D$9*('Fleet Engine'!E200-10))*'Assumptions'!E56*'Assumptions'!F36</x:f>
        <x:v>30662.21902501803</x:v>
      </x:c>
      <x:c r="K496" s="27" t="n">
        <x:f>'Source Data'!F217+LN('Assumptions'!D56)+LN('Assumptions'!F35)</x:f>
        <x:v>8.031104662881733</x:v>
      </x:c>
      <x:c r="L496" s="27" t="n">
        <x:f>J496*(1-I496*(1-'Carrier Engine'!E93))</x:f>
        <x:v>21831.499945812837</x:v>
      </x:c>
      <x:c r="M496" s="29" t="n">
        <x:f>NORM.S.DIST((LN(L496)-K496)/'Assumptions'!$D$10,TRUE)</x:f>
        <x:v>0.8940296485335917</x:v>
      </x:c>
      <x:c r="N496" s="30" t="n">
        <x:f>MAX(0,H496-MAX(G496,M496))</x:f>
        <x:v>0</x:v>
      </x:c>
      <x:c r="O496" s="28" t="n">
        <x:f>J496*I496</x:f>
        <x:v>9198.665707505408</x:v>
      </x:c>
      <x:c r="P496" s="27" t="n">
        <x:f>(VLOOKUP(O496,'Fee Data'!$C$6:$G$50,2,TRUE)+O496*VLOOKUP(O496,'Fee Data'!$C$6:$G$50,3,TRUE)+VLOOKUP(O496,'Fee Data'!$I$6:$J$14,2,TRUE)+'Fee Data'!$J$20+'Fee Data'!$J$21)*'Assumptions'!F37</x:f>
        <x:v>1195</x:v>
      </x:c>
      <x:c r="Q496" s="27" t="n">
        <x:f>(VLOOKUP(O496,'Fee Data'!$C$6:$G$50,4,TRUE)+O496*VLOOKUP(O496,'Fee Data'!$C$6:$G$50,5,TRUE)+VLOOKUP(O496,'Fee Data'!$I$6:$J$14,2,TRUE)+'Fee Data'!$J$20+'Fee Data'!$J$21)*'Assumptions'!F37</x:f>
        <x:v>1070</x:v>
      </x:c>
      <x:c r="R496" s="27" t="n">
        <x:f>P496*(1-'Assumptions'!$D$14)+Q496*'Assumptions'!$D$14</x:f>
        <x:v>1132.5</x:v>
      </x:c>
      <x:c r="S496" s="27" t="n">
        <x:f>O496*'Carrier Engine'!E93</x:f>
        <x:v>367.94662830021633</x:v>
      </x:c>
      <x:c r="T496" s="28" t="n">
        <x:f>R496+S496</x:f>
        <x:v>1500.4466283002164</x:v>
      </x:c>
      <x:c r="U496" s="27" t="n">
        <x:f>N496*'Fleet Engine'!H200</x:f>
        <x:v>0</x:v>
      </x:c>
      <x:c r="V496" s="28" t="n">
        <x:f>U496*T496</x:f>
        <x:v>0</x:v>
      </x:c>
      <x:c r="W496" s="28" t="n">
        <x:f>U496*O496</x:f>
        <x:v>0</x:v>
      </x:c>
    </x:row>
    <x:row r="497" ht="19" customHeight="1">
      <x:c r="A497" s="2"/>
      <x:c r="B497" s="2"/>
      <x:c r="C497" s="46" t="n">
        <x:v>2</x:v>
      </x:c>
      <x:c r="D497" s="46" t="n">
        <x:v>6</x:v>
      </x:c>
      <x:c r="E497" s="46" t="n">
        <x:v>1</x:v>
      </x:c>
      <x:c r="F497" s="46" t="n">
        <x:v>0</x:v>
      </x:c>
      <x:c r="G497" s="12" t="n">
        <x:v>0.5555555555555556</x:v>
      </x:c>
      <x:c r="H497" s="12" t="n">
        <x:v>0.6666666666666666</x:v>
      </x:c>
      <x:c r="I497" s="29" t="n">
        <x:f>'Assumptions'!$D$11+'Assumptions'!$D$12*(0.5-(G497+H497)/2)</x:f>
        <x:v>0.27777777777777773</x:v>
      </x:c>
      <x:c r="J497" s="27" t="n">
        <x:f>'Assumptions'!$D$8*EXP(-'Assumptions'!$D$9*('Fleet Engine'!E200-10))*'Assumptions'!E56*'Assumptions'!F36</x:f>
        <x:v>30662.21902501803</x:v>
      </x:c>
      <x:c r="K497" s="27" t="n">
        <x:f>'Source Data'!F217+LN('Assumptions'!D56)+LN('Assumptions'!F35)</x:f>
        <x:v>8.031104662881733</x:v>
      </x:c>
      <x:c r="L497" s="27" t="n">
        <x:f>J497*(1-I497*(1-'Carrier Engine'!E93))</x:f>
        <x:v>22485.627285013223</x:v>
      </x:c>
      <x:c r="M497" s="29" t="n">
        <x:f>NORM.S.DIST((LN(L497)-K497)/'Assumptions'!$D$10,TRUE)</x:f>
        <x:v>0.8974310078578442</x:v>
      </x:c>
      <x:c r="N497" s="30" t="n">
        <x:f>MAX(0,H497-MAX(G497,M497))</x:f>
        <x:v>0</x:v>
      </x:c>
      <x:c r="O497" s="28" t="n">
        <x:f>J497*I497</x:f>
        <x:v>8517.283062505006</x:v>
      </x:c>
      <x:c r="P497" s="27" t="n">
        <x:f>(VLOOKUP(O497,'Fee Data'!$C$6:$G$50,2,TRUE)+O497*VLOOKUP(O497,'Fee Data'!$C$6:$G$50,3,TRUE)+VLOOKUP(O497,'Fee Data'!$I$6:$J$14,2,TRUE)+'Fee Data'!$J$20+'Fee Data'!$J$21)*'Assumptions'!F37</x:f>
        <x:v>1195</x:v>
      </x:c>
      <x:c r="Q497" s="27" t="n">
        <x:f>(VLOOKUP(O497,'Fee Data'!$C$6:$G$50,4,TRUE)+O497*VLOOKUP(O497,'Fee Data'!$C$6:$G$50,5,TRUE)+VLOOKUP(O497,'Fee Data'!$I$6:$J$14,2,TRUE)+'Fee Data'!$J$20+'Fee Data'!$J$21)*'Assumptions'!F37</x:f>
        <x:v>1070</x:v>
      </x:c>
      <x:c r="R497" s="27" t="n">
        <x:f>P497*(1-'Assumptions'!$D$14)+Q497*'Assumptions'!$D$14</x:f>
        <x:v>1132.5</x:v>
      </x:c>
      <x:c r="S497" s="27" t="n">
        <x:f>O497*'Carrier Engine'!E93</x:f>
        <x:v>340.6913225002003</x:v>
      </x:c>
      <x:c r="T497" s="28" t="n">
        <x:f>R497+S497</x:f>
        <x:v>1473.1913225002004</x:v>
      </x:c>
      <x:c r="U497" s="27" t="n">
        <x:f>N497*'Fleet Engine'!H200</x:f>
        <x:v>0</x:v>
      </x:c>
      <x:c r="V497" s="28" t="n">
        <x:f>U497*T497</x:f>
        <x:v>0</x:v>
      </x:c>
      <x:c r="W497" s="28" t="n">
        <x:f>U497*O497</x:f>
        <x:v>0</x:v>
      </x:c>
    </x:row>
    <x:row r="498" ht="19" customHeight="1">
      <x:c r="A498" s="2"/>
      <x:c r="B498" s="2"/>
      <x:c r="C498" s="46" t="n">
        <x:v>2</x:v>
      </x:c>
      <x:c r="D498" s="46" t="n">
        <x:v>6</x:v>
      </x:c>
      <x:c r="E498" s="46" t="n">
        <x:v>1</x:v>
      </x:c>
      <x:c r="F498" s="46" t="n">
        <x:v>0</x:v>
      </x:c>
      <x:c r="G498" s="12" t="n">
        <x:v>0.6666666666666666</x:v>
      </x:c>
      <x:c r="H498" s="12" t="n">
        <x:v>0.7777777777777778</x:v>
      </x:c>
      <x:c r="I498" s="29" t="n">
        <x:f>'Assumptions'!$D$11+'Assumptions'!$D$12*(0.5-(G498+H498)/2)</x:f>
        <x:v>0.25555555555555554</x:v>
      </x:c>
      <x:c r="J498" s="27" t="n">
        <x:f>'Assumptions'!$D$8*EXP(-'Assumptions'!$D$9*('Fleet Engine'!E200-10))*'Assumptions'!E56*'Assumptions'!F36</x:f>
        <x:v>30662.21902501803</x:v>
      </x:c>
      <x:c r="K498" s="27" t="n">
        <x:f>'Source Data'!F217+LN('Assumptions'!D56)+LN('Assumptions'!F35)</x:f>
        <x:v>8.031104662881733</x:v>
      </x:c>
      <x:c r="L498" s="27" t="n">
        <x:f>J498*(1-I498*(1-'Carrier Engine'!E93))</x:f>
        <x:v>23139.754624213605</x:v>
      </x:c>
      <x:c r="M498" s="29" t="n">
        <x:f>NORM.S.DIST((LN(L498)-K498)/'Assumptions'!$D$10,TRUE)</x:f>
        <x:v>0.9006581590391973</x:v>
      </x:c>
      <x:c r="N498" s="30" t="n">
        <x:f>MAX(0,H498-MAX(G498,M498))</x:f>
        <x:v>0</x:v>
      </x:c>
      <x:c r="O498" s="28" t="n">
        <x:f>J498*I498</x:f>
        <x:v>7835.900417504607</x:v>
      </x:c>
      <x:c r="P498" s="27" t="n">
        <x:f>(VLOOKUP(O498,'Fee Data'!$C$6:$G$50,2,TRUE)+O498*VLOOKUP(O498,'Fee Data'!$C$6:$G$50,3,TRUE)+VLOOKUP(O498,'Fee Data'!$I$6:$J$14,2,TRUE)+'Fee Data'!$J$20+'Fee Data'!$J$21)*'Assumptions'!F37</x:f>
        <x:v>1135</x:v>
      </x:c>
      <x:c r="Q498" s="27" t="n">
        <x:f>(VLOOKUP(O498,'Fee Data'!$C$6:$G$50,4,TRUE)+O498*VLOOKUP(O498,'Fee Data'!$C$6:$G$50,5,TRUE)+VLOOKUP(O498,'Fee Data'!$I$6:$J$14,2,TRUE)+'Fee Data'!$J$20+'Fee Data'!$J$21)*'Assumptions'!F37</x:f>
        <x:v>1010</x:v>
      </x:c>
      <x:c r="R498" s="27" t="n">
        <x:f>P498*(1-'Assumptions'!$D$14)+Q498*'Assumptions'!$D$14</x:f>
        <x:v>1072.5</x:v>
      </x:c>
      <x:c r="S498" s="27" t="n">
        <x:f>O498*'Carrier Engine'!E93</x:f>
        <x:v>313.43601670018427</x:v>
      </x:c>
      <x:c r="T498" s="28" t="n">
        <x:f>R498+S498</x:f>
        <x:v>1385.9360167001842</x:v>
      </x:c>
      <x:c r="U498" s="27" t="n">
        <x:f>N498*'Fleet Engine'!H200</x:f>
        <x:v>0</x:v>
      </x:c>
      <x:c r="V498" s="28" t="n">
        <x:f>U498*T498</x:f>
        <x:v>0</x:v>
      </x:c>
      <x:c r="W498" s="28" t="n">
        <x:f>U498*O498</x:f>
        <x:v>0</x:v>
      </x:c>
    </x:row>
    <x:row r="499" ht="19" customHeight="1">
      <x:c r="A499" s="2"/>
      <x:c r="B499" s="2"/>
      <x:c r="C499" s="46" t="n">
        <x:v>2</x:v>
      </x:c>
      <x:c r="D499" s="46" t="n">
        <x:v>6</x:v>
      </x:c>
      <x:c r="E499" s="46" t="n">
        <x:v>1</x:v>
      </x:c>
      <x:c r="F499" s="46" t="n">
        <x:v>0</x:v>
      </x:c>
      <x:c r="G499" s="12" t="n">
        <x:v>0.7777777777777778</x:v>
      </x:c>
      <x:c r="H499" s="12" t="n">
        <x:v>0.8888888888888888</x:v>
      </x:c>
      <x:c r="I499" s="29" t="n">
        <x:f>'Assumptions'!$D$11+'Assumptions'!$D$12*(0.5-(G499+H499)/2)</x:f>
        <x:v>0.23333333333333334</x:v>
      </x:c>
      <x:c r="J499" s="27" t="n">
        <x:f>'Assumptions'!$D$8*EXP(-'Assumptions'!$D$9*('Fleet Engine'!E200-10))*'Assumptions'!E56*'Assumptions'!F36</x:f>
        <x:v>30662.21902501803</x:v>
      </x:c>
      <x:c r="K499" s="27" t="n">
        <x:f>'Source Data'!F217+LN('Assumptions'!D56)+LN('Assumptions'!F35)</x:f>
        <x:v>8.031104662881733</x:v>
      </x:c>
      <x:c r="L499" s="27" t="n">
        <x:f>J499*(1-I499*(1-'Carrier Engine'!E93))</x:f>
        <x:v>23793.88196341399</x:v>
      </x:c>
      <x:c r="M499" s="29" t="n">
        <x:f>NORM.S.DIST((LN(L499)-K499)/'Assumptions'!$D$10,TRUE)</x:f>
        <x:v>0.9037235718702767</x:v>
      </x:c>
      <x:c r="N499" s="30" t="n">
        <x:f>MAX(0,H499-MAX(G499,M499))</x:f>
        <x:v>0</x:v>
      </x:c>
      <x:c r="O499" s="28" t="n">
        <x:f>J499*I499</x:f>
        <x:v>7154.517772504207</x:v>
      </x:c>
      <x:c r="P499" s="27" t="n">
        <x:f>(VLOOKUP(O499,'Fee Data'!$C$6:$G$50,2,TRUE)+O499*VLOOKUP(O499,'Fee Data'!$C$6:$G$50,3,TRUE)+VLOOKUP(O499,'Fee Data'!$I$6:$J$14,2,TRUE)+'Fee Data'!$J$20+'Fee Data'!$J$21)*'Assumptions'!F37</x:f>
        <x:v>1115</x:v>
      </x:c>
      <x:c r="Q499" s="27" t="n">
        <x:f>(VLOOKUP(O499,'Fee Data'!$C$6:$G$50,4,TRUE)+O499*VLOOKUP(O499,'Fee Data'!$C$6:$G$50,5,TRUE)+VLOOKUP(O499,'Fee Data'!$I$6:$J$14,2,TRUE)+'Fee Data'!$J$20+'Fee Data'!$J$21)*'Assumptions'!F37</x:f>
        <x:v>990</x:v>
      </x:c>
      <x:c r="R499" s="27" t="n">
        <x:f>P499*(1-'Assumptions'!$D$14)+Q499*'Assumptions'!$D$14</x:f>
        <x:v>1052.5</x:v>
      </x:c>
      <x:c r="S499" s="27" t="n">
        <x:f>O499*'Carrier Engine'!E93</x:f>
        <x:v>286.18071090016826</x:v>
      </x:c>
      <x:c r="T499" s="28" t="n">
        <x:f>R499+S499</x:f>
        <x:v>1338.6807109001684</x:v>
      </x:c>
      <x:c r="U499" s="27" t="n">
        <x:f>N499*'Fleet Engine'!H200</x:f>
        <x:v>0</x:v>
      </x:c>
      <x:c r="V499" s="28" t="n">
        <x:f>U499*T499</x:f>
        <x:v>0</x:v>
      </x:c>
      <x:c r="W499" s="28" t="n">
        <x:f>U499*O499</x:f>
        <x:v>0</x:v>
      </x:c>
    </x:row>
    <x:row r="500" ht="19" customHeight="1">
      <x:c r="A500" s="2"/>
      <x:c r="B500" s="2"/>
      <x:c r="C500" s="46" t="n">
        <x:v>2</x:v>
      </x:c>
      <x:c r="D500" s="46" t="n">
        <x:v>6</x:v>
      </x:c>
      <x:c r="E500" s="46" t="n">
        <x:v>1</x:v>
      </x:c>
      <x:c r="F500" s="46" t="n">
        <x:v>0</x:v>
      </x:c>
      <x:c r="G500" s="12" t="n">
        <x:v>0.8888888888888888</x:v>
      </x:c>
      <x:c r="H500" s="12" t="n">
        <x:v>1</x:v>
      </x:c>
      <x:c r="I500" s="29" t="n">
        <x:f>'Assumptions'!$D$11+'Assumptions'!$D$12*(0.5-(G500+H500)/2)</x:f>
        <x:v>0.21111111111111108</x:v>
      </x:c>
      <x:c r="J500" s="27" t="n">
        <x:f>'Assumptions'!$D$8*EXP(-'Assumptions'!$D$9*('Fleet Engine'!E200-10))*'Assumptions'!E56*'Assumptions'!F36</x:f>
        <x:v>30662.21902501803</x:v>
      </x:c>
      <x:c r="K500" s="27" t="n">
        <x:f>'Source Data'!F217+LN('Assumptions'!D56)+LN('Assumptions'!F35)</x:f>
        <x:v>8.031104662881733</x:v>
      </x:c>
      <x:c r="L500" s="27" t="n">
        <x:f>J500*(1-I500*(1-'Carrier Engine'!E93))</x:f>
        <x:v>24448.009302614373</x:v>
      </x:c>
      <x:c r="M500" s="29" t="n">
        <x:f>NORM.S.DIST((LN(L500)-K500)/'Assumptions'!$D$10,TRUE)</x:f>
        <x:v>0.9066385661246656</x:v>
      </x:c>
      <x:c r="N500" s="30" t="n">
        <x:f>MAX(0,H500-MAX(G500,M500))</x:f>
        <x:v>0.09336143387533435</x:v>
      </x:c>
      <x:c r="O500" s="28" t="n">
        <x:f>J500*I500</x:f>
        <x:v>6473.135127503805</x:v>
      </x:c>
      <x:c r="P500" s="27" t="n">
        <x:f>(VLOOKUP(O500,'Fee Data'!$C$6:$G$50,2,TRUE)+O500*VLOOKUP(O500,'Fee Data'!$C$6:$G$50,3,TRUE)+VLOOKUP(O500,'Fee Data'!$I$6:$J$14,2,TRUE)+'Fee Data'!$J$20+'Fee Data'!$J$21)*'Assumptions'!F37</x:f>
        <x:v>1060</x:v>
      </x:c>
      <x:c r="Q500" s="27" t="n">
        <x:f>(VLOOKUP(O500,'Fee Data'!$C$6:$G$50,4,TRUE)+O500*VLOOKUP(O500,'Fee Data'!$C$6:$G$50,5,TRUE)+VLOOKUP(O500,'Fee Data'!$I$6:$J$14,2,TRUE)+'Fee Data'!$J$20+'Fee Data'!$J$21)*'Assumptions'!F37</x:f>
        <x:v>935</x:v>
      </x:c>
      <x:c r="R500" s="27" t="n">
        <x:f>P500*(1-'Assumptions'!$D$14)+Q500*'Assumptions'!$D$14</x:f>
        <x:v>997.5</x:v>
      </x:c>
      <x:c r="S500" s="27" t="n">
        <x:f>O500*'Carrier Engine'!E93</x:f>
        <x:v>258.9254051001522</x:v>
      </x:c>
      <x:c r="T500" s="28" t="n">
        <x:f>R500+S500</x:f>
        <x:v>1256.4254051001521</x:v>
      </x:c>
      <x:c r="U500" s="27" t="n">
        <x:f>N500*'Fleet Engine'!H200</x:f>
        <x:v>442.3526289463109</x:v>
      </x:c>
      <x:c r="V500" s="28" t="n">
        <x:f>U500*T500</x:f>
        <x:v>555783.081020986</x:v>
      </x:c>
      <x:c r="W500" s="28" t="n">
        <x:f>U500*O500</x:f>
        <x:v>2863408.341176022</x:v>
      </x:c>
    </x:row>
    <x:row r="501" ht="19" customHeight="1">
      <x:c r="A501" s="2"/>
      <x:c r="B501" s="2"/>
      <x:c r="C501" s="46" t="n">
        <x:v>2</x:v>
      </x:c>
      <x:c r="D501" s="46" t="n">
        <x:v>7</x:v>
      </x:c>
      <x:c r="E501" s="46" t="n">
        <x:v>1</x:v>
      </x:c>
      <x:c r="F501" s="46" t="n">
        <x:v>1</x:v>
      </x:c>
      <x:c r="G501" s="12" t="n">
        <x:v>0</x:v>
      </x:c>
      <x:c r="H501" s="12" t="n">
        <x:v>0.1111111111111111</x:v>
      </x:c>
      <x:c r="I501" s="29" t="n">
        <x:f>'Assumptions'!$D$11+'Assumptions'!$D$12*(0.5-(G501+H501)/2)</x:f>
        <x:v>0.3888888888888889</x:v>
      </x:c>
      <x:c r="J501" s="27" t="n">
        <x:f>'Assumptions'!$D$8*EXP(-'Assumptions'!$D$9*('Fleet Engine'!E201-10))*'Assumptions'!E56*'Assumptions'!F36</x:f>
        <x:v>25104.101673395035</x:v>
      </x:c>
      <x:c r="K501" s="27" t="n">
        <x:f>'Source Data'!F218+LN('Assumptions'!D56)+LN('Assumptions'!F35)</x:f>
        <x:v>7.916663861337495</x:v>
      </x:c>
      <x:c r="L501" s="27" t="n">
        <x:f>J501*(1-I501*(1-'Carrier Engine'!E93))</x:f>
        <x:v>15731.903715327557</x:v>
      </x:c>
      <x:c r="M501" s="29" t="n">
        <x:f>NORM.S.DIST((LN(L501)-K501)/'Assumptions'!$D$10,TRUE)</x:f>
        <x:v>0.867028537246276</x:v>
      </x:c>
      <x:c r="N501" s="30" t="n">
        <x:f>MAX(0,H501-MAX(G501,M501))</x:f>
        <x:v>0</x:v>
      </x:c>
      <x:c r="O501" s="28" t="n">
        <x:f>J501*I501</x:f>
        <x:v>9762.706206320292</x:v>
      </x:c>
      <x:c r="P501" s="27" t="n">
        <x:f>(VLOOKUP(O501,'Fee Data'!$C$6:$G$50,2,TRUE)+O501*VLOOKUP(O501,'Fee Data'!$C$6:$G$50,3,TRUE)+VLOOKUP(O501,'Fee Data'!$I$6:$J$14,2,TRUE)+'Fee Data'!$J$20+'Fee Data'!$J$21)*'Assumptions'!F37</x:f>
        <x:v>1195</x:v>
      </x:c>
      <x:c r="Q501" s="27" t="n">
        <x:f>(VLOOKUP(O501,'Fee Data'!$C$6:$G$50,4,TRUE)+O501*VLOOKUP(O501,'Fee Data'!$C$6:$G$50,5,TRUE)+VLOOKUP(O501,'Fee Data'!$I$6:$J$14,2,TRUE)+'Fee Data'!$J$20+'Fee Data'!$J$21)*'Assumptions'!F37</x:f>
        <x:v>1070</x:v>
      </x:c>
      <x:c r="R501" s="27" t="n">
        <x:f>P501*(1-'Assumptions'!$D$14)+Q501*'Assumptions'!$D$14</x:f>
        <x:v>1132.5</x:v>
      </x:c>
      <x:c r="S501" s="27" t="n">
        <x:f>O501*'Carrier Engine'!E93</x:f>
        <x:v>390.5082482528117</x:v>
      </x:c>
      <x:c r="T501" s="28" t="n">
        <x:f>R501+S501</x:f>
        <x:v>1523.0082482528117</x:v>
      </x:c>
      <x:c r="U501" s="27" t="n">
        <x:f>N501*'Fleet Engine'!H201</x:f>
        <x:v>0</x:v>
      </x:c>
      <x:c r="V501" s="28" t="n">
        <x:f>U501*T501</x:f>
        <x:v>0</x:v>
      </x:c>
      <x:c r="W501" s="28" t="n">
        <x:f>U501*O501</x:f>
        <x:v>0</x:v>
      </x:c>
    </x:row>
    <x:row r="502" ht="19" customHeight="1">
      <x:c r="A502" s="2"/>
      <x:c r="B502" s="2"/>
      <x:c r="C502" s="46" t="n">
        <x:v>2</x:v>
      </x:c>
      <x:c r="D502" s="46" t="n">
        <x:v>7</x:v>
      </x:c>
      <x:c r="E502" s="46" t="n">
        <x:v>1</x:v>
      </x:c>
      <x:c r="F502" s="46" t="n">
        <x:v>1</x:v>
      </x:c>
      <x:c r="G502" s="12" t="n">
        <x:v>0.1111111111111111</x:v>
      </x:c>
      <x:c r="H502" s="12" t="n">
        <x:v>0.2222222222222222</x:v>
      </x:c>
      <x:c r="I502" s="29" t="n">
        <x:f>'Assumptions'!$D$11+'Assumptions'!$D$12*(0.5-(G502+H502)/2)</x:f>
        <x:v>0.3666666666666667</x:v>
      </x:c>
      <x:c r="J502" s="27" t="n">
        <x:f>'Assumptions'!$D$8*EXP(-'Assumptions'!$D$9*('Fleet Engine'!E201-10))*'Assumptions'!E56*'Assumptions'!F36</x:f>
        <x:v>25104.101673395035</x:v>
      </x:c>
      <x:c r="K502" s="27" t="n">
        <x:f>'Source Data'!F218+LN('Assumptions'!D56)+LN('Assumptions'!F35)</x:f>
        <x:v>7.916663861337495</x:v>
      </x:c>
      <x:c r="L502" s="27" t="n">
        <x:f>J502*(1-I502*(1-'Carrier Engine'!E93))</x:f>
        <x:v>16267.45788435998</x:v>
      </x:c>
      <x:c r="M502" s="29" t="n">
        <x:f>NORM.S.DIST((LN(L502)-K502)/'Assumptions'!$D$10,TRUE)</x:f>
        <x:v>0.8715552402854367</x:v>
      </x:c>
      <x:c r="N502" s="30" t="n">
        <x:f>MAX(0,H502-MAX(G502,M502))</x:f>
        <x:v>0</x:v>
      </x:c>
      <x:c r="O502" s="28" t="n">
        <x:f>J502*I502</x:f>
        <x:v>9204.837280244847</x:v>
      </x:c>
      <x:c r="P502" s="27" t="n">
        <x:f>(VLOOKUP(O502,'Fee Data'!$C$6:$G$50,2,TRUE)+O502*VLOOKUP(O502,'Fee Data'!$C$6:$G$50,3,TRUE)+VLOOKUP(O502,'Fee Data'!$I$6:$J$14,2,TRUE)+'Fee Data'!$J$20+'Fee Data'!$J$21)*'Assumptions'!F37</x:f>
        <x:v>1195</x:v>
      </x:c>
      <x:c r="Q502" s="27" t="n">
        <x:f>(VLOOKUP(O502,'Fee Data'!$C$6:$G$50,4,TRUE)+O502*VLOOKUP(O502,'Fee Data'!$C$6:$G$50,5,TRUE)+VLOOKUP(O502,'Fee Data'!$I$6:$J$14,2,TRUE)+'Fee Data'!$J$20+'Fee Data'!$J$21)*'Assumptions'!F37</x:f>
        <x:v>1070</x:v>
      </x:c>
      <x:c r="R502" s="27" t="n">
        <x:f>P502*(1-'Assumptions'!$D$14)+Q502*'Assumptions'!$D$14</x:f>
        <x:v>1132.5</x:v>
      </x:c>
      <x:c r="S502" s="27" t="n">
        <x:f>O502*'Carrier Engine'!E93</x:f>
        <x:v>368.1934912097939</x:v>
      </x:c>
      <x:c r="T502" s="28" t="n">
        <x:f>R502+S502</x:f>
        <x:v>1500.6934912097938</x:v>
      </x:c>
      <x:c r="U502" s="27" t="n">
        <x:f>N502*'Fleet Engine'!H201</x:f>
        <x:v>0</x:v>
      </x:c>
      <x:c r="V502" s="28" t="n">
        <x:f>U502*T502</x:f>
        <x:v>0</x:v>
      </x:c>
      <x:c r="W502" s="28" t="n">
        <x:f>U502*O502</x:f>
        <x:v>0</x:v>
      </x:c>
    </x:row>
    <x:row r="503" ht="19" customHeight="1">
      <x:c r="A503" s="2"/>
      <x:c r="B503" s="2"/>
      <x:c r="C503" s="46" t="n">
        <x:v>2</x:v>
      </x:c>
      <x:c r="D503" s="46" t="n">
        <x:v>7</x:v>
      </x:c>
      <x:c r="E503" s="46" t="n">
        <x:v>1</x:v>
      </x:c>
      <x:c r="F503" s="46" t="n">
        <x:v>1</x:v>
      </x:c>
      <x:c r="G503" s="12" t="n">
        <x:v>0.2222222222222222</x:v>
      </x:c>
      <x:c r="H503" s="12" t="n">
        <x:v>0.3333333333333333</x:v>
      </x:c>
      <x:c r="I503" s="29" t="n">
        <x:f>'Assumptions'!$D$11+'Assumptions'!$D$12*(0.5-(G503+H503)/2)</x:f>
        <x:v>0.34444444444444444</x:v>
      </x:c>
      <x:c r="J503" s="27" t="n">
        <x:f>'Assumptions'!$D$8*EXP(-'Assumptions'!$D$9*('Fleet Engine'!E201-10))*'Assumptions'!E56*'Assumptions'!F36</x:f>
        <x:v>25104.101673395035</x:v>
      </x:c>
      <x:c r="K503" s="27" t="n">
        <x:f>'Source Data'!F218+LN('Assumptions'!D56)+LN('Assumptions'!F35)</x:f>
        <x:v>7.916663861337495</x:v>
      </x:c>
      <x:c r="L503" s="27" t="n">
        <x:f>J503*(1-I503*(1-'Carrier Engine'!E93))</x:f>
        <x:v>16803.01205339241</x:v>
      </x:c>
      <x:c r="M503" s="29" t="n">
        <x:f>NORM.S.DIST((LN(L503)-K503)/'Assumptions'!$D$10,TRUE)</x:f>
        <x:v>0.8758323922514895</x:v>
      </x:c>
      <x:c r="N503" s="30" t="n">
        <x:f>MAX(0,H503-MAX(G503,M503))</x:f>
        <x:v>0</x:v>
      </x:c>
      <x:c r="O503" s="28" t="n">
        <x:f>J503*I503</x:f>
        <x:v>8646.968354169401</x:v>
      </x:c>
      <x:c r="P503" s="27" t="n">
        <x:f>(VLOOKUP(O503,'Fee Data'!$C$6:$G$50,2,TRUE)+O503*VLOOKUP(O503,'Fee Data'!$C$6:$G$50,3,TRUE)+VLOOKUP(O503,'Fee Data'!$I$6:$J$14,2,TRUE)+'Fee Data'!$J$20+'Fee Data'!$J$21)*'Assumptions'!F37</x:f>
        <x:v>1195</x:v>
      </x:c>
      <x:c r="Q503" s="27" t="n">
        <x:f>(VLOOKUP(O503,'Fee Data'!$C$6:$G$50,4,TRUE)+O503*VLOOKUP(O503,'Fee Data'!$C$6:$G$50,5,TRUE)+VLOOKUP(O503,'Fee Data'!$I$6:$J$14,2,TRUE)+'Fee Data'!$J$20+'Fee Data'!$J$21)*'Assumptions'!F37</x:f>
        <x:v>1070</x:v>
      </x:c>
      <x:c r="R503" s="27" t="n">
        <x:f>P503*(1-'Assumptions'!$D$14)+Q503*'Assumptions'!$D$14</x:f>
        <x:v>1132.5</x:v>
      </x:c>
      <x:c r="S503" s="27" t="n">
        <x:f>O503*'Carrier Engine'!E93</x:f>
        <x:v>345.87873416677604</x:v>
      </x:c>
      <x:c r="T503" s="28" t="n">
        <x:f>R503+S503</x:f>
        <x:v>1478.378734166776</x:v>
      </x:c>
      <x:c r="U503" s="27" t="n">
        <x:f>N503*'Fleet Engine'!H201</x:f>
        <x:v>0</x:v>
      </x:c>
      <x:c r="V503" s="28" t="n">
        <x:f>U503*T503</x:f>
        <x:v>0</x:v>
      </x:c>
      <x:c r="W503" s="28" t="n">
        <x:f>U503*O503</x:f>
        <x:v>0</x:v>
      </x:c>
    </x:row>
    <x:row r="504" ht="19" customHeight="1">
      <x:c r="A504" s="2"/>
      <x:c r="B504" s="2"/>
      <x:c r="C504" s="46" t="n">
        <x:v>2</x:v>
      </x:c>
      <x:c r="D504" s="46" t="n">
        <x:v>7</x:v>
      </x:c>
      <x:c r="E504" s="46" t="n">
        <x:v>1</x:v>
      </x:c>
      <x:c r="F504" s="46" t="n">
        <x:v>1</x:v>
      </x:c>
      <x:c r="G504" s="12" t="n">
        <x:v>0.3333333333333333</x:v>
      </x:c>
      <x:c r="H504" s="12" t="n">
        <x:v>0.4444444444444444</x:v>
      </x:c>
      <x:c r="I504" s="29" t="n">
        <x:f>'Assumptions'!$D$11+'Assumptions'!$D$12*(0.5-(G504+H504)/2)</x:f>
        <x:v>0.32222222222222224</x:v>
      </x:c>
      <x:c r="J504" s="27" t="n">
        <x:f>'Assumptions'!$D$8*EXP(-'Assumptions'!$D$9*('Fleet Engine'!E201-10))*'Assumptions'!E56*'Assumptions'!F36</x:f>
        <x:v>25104.101673395035</x:v>
      </x:c>
      <x:c r="K504" s="27" t="n">
        <x:f>'Source Data'!F218+LN('Assumptions'!D56)+LN('Assumptions'!F35)</x:f>
        <x:v>7.916663861337495</x:v>
      </x:c>
      <x:c r="L504" s="27" t="n">
        <x:f>J504*(1-I504*(1-'Carrier Engine'!E93))</x:f>
        <x:v>17338.566222424837</x:v>
      </x:c>
      <x:c r="M504" s="29" t="n">
        <x:f>NORM.S.DIST((LN(L504)-K504)/'Assumptions'!$D$10,TRUE)</x:f>
        <x:v>0.8798793690489362</x:v>
      </x:c>
      <x:c r="N504" s="30" t="n">
        <x:f>MAX(0,H504-MAX(G504,M504))</x:f>
        <x:v>0</x:v>
      </x:c>
      <x:c r="O504" s="28" t="n">
        <x:f>J504*I504</x:f>
        <x:v>8089.099428093956</x:v>
      </x:c>
      <x:c r="P504" s="27" t="n">
        <x:f>(VLOOKUP(O504,'Fee Data'!$C$6:$G$50,2,TRUE)+O504*VLOOKUP(O504,'Fee Data'!$C$6:$G$50,3,TRUE)+VLOOKUP(O504,'Fee Data'!$I$6:$J$14,2,TRUE)+'Fee Data'!$J$20+'Fee Data'!$J$21)*'Assumptions'!F37</x:f>
        <x:v>1175</x:v>
      </x:c>
      <x:c r="Q504" s="27" t="n">
        <x:f>(VLOOKUP(O504,'Fee Data'!$C$6:$G$50,4,TRUE)+O504*VLOOKUP(O504,'Fee Data'!$C$6:$G$50,5,TRUE)+VLOOKUP(O504,'Fee Data'!$I$6:$J$14,2,TRUE)+'Fee Data'!$J$20+'Fee Data'!$J$21)*'Assumptions'!F37</x:f>
        <x:v>1050</x:v>
      </x:c>
      <x:c r="R504" s="27" t="n">
        <x:f>P504*(1-'Assumptions'!$D$14)+Q504*'Assumptions'!$D$14</x:f>
        <x:v>1112.5</x:v>
      </x:c>
      <x:c r="S504" s="27" t="n">
        <x:f>O504*'Carrier Engine'!E93</x:f>
        <x:v>323.56397712375826</x:v>
      </x:c>
      <x:c r="T504" s="28" t="n">
        <x:f>R504+S504</x:f>
        <x:v>1436.0639771237584</x:v>
      </x:c>
      <x:c r="U504" s="27" t="n">
        <x:f>N504*'Fleet Engine'!H201</x:f>
        <x:v>0</x:v>
      </x:c>
      <x:c r="V504" s="28" t="n">
        <x:f>U504*T504</x:f>
        <x:v>0</x:v>
      </x:c>
      <x:c r="W504" s="28" t="n">
        <x:f>U504*O504</x:f>
        <x:v>0</x:v>
      </x:c>
    </x:row>
    <x:row r="505" ht="19" customHeight="1">
      <x:c r="A505" s="2"/>
      <x:c r="B505" s="2"/>
      <x:c r="C505" s="46" t="n">
        <x:v>2</x:v>
      </x:c>
      <x:c r="D505" s="46" t="n">
        <x:v>7</x:v>
      </x:c>
      <x:c r="E505" s="46" t="n">
        <x:v>1</x:v>
      </x:c>
      <x:c r="F505" s="46" t="n">
        <x:v>1</x:v>
      </x:c>
      <x:c r="G505" s="12" t="n">
        <x:v>0.4444444444444444</x:v>
      </x:c>
      <x:c r="H505" s="12" t="n">
        <x:v>0.5555555555555556</x:v>
      </x:c>
      <x:c r="I505" s="29" t="n">
        <x:f>'Assumptions'!$D$11+'Assumptions'!$D$12*(0.5-(G505+H505)/2)</x:f>
        <x:v>0.3</x:v>
      </x:c>
      <x:c r="J505" s="27" t="n">
        <x:f>'Assumptions'!$D$8*EXP(-'Assumptions'!$D$9*('Fleet Engine'!E201-10))*'Assumptions'!E56*'Assumptions'!F36</x:f>
        <x:v>25104.101673395035</x:v>
      </x:c>
      <x:c r="K505" s="27" t="n">
        <x:f>'Source Data'!F218+LN('Assumptions'!D56)+LN('Assumptions'!F35)</x:f>
        <x:v>7.916663861337495</x:v>
      </x:c>
      <x:c r="L505" s="27" t="n">
        <x:f>J505*(1-I505*(1-'Carrier Engine'!E93))</x:f>
        <x:v>17874.120391457265</x:v>
      </x:c>
      <x:c r="M505" s="29" t="n">
        <x:f>NORM.S.DIST((LN(L505)-K505)/'Assumptions'!$D$10,TRUE)</x:f>
        <x:v>0.883713600649329</x:v>
      </x:c>
      <x:c r="N505" s="30" t="n">
        <x:f>MAX(0,H505-MAX(G505,M505))</x:f>
        <x:v>0</x:v>
      </x:c>
      <x:c r="O505" s="28" t="n">
        <x:f>J505*I505</x:f>
        <x:v>7531.23050201851</x:v>
      </x:c>
      <x:c r="P505" s="27" t="n">
        <x:f>(VLOOKUP(O505,'Fee Data'!$C$6:$G$50,2,TRUE)+O505*VLOOKUP(O505,'Fee Data'!$C$6:$G$50,3,TRUE)+VLOOKUP(O505,'Fee Data'!$I$6:$J$14,2,TRUE)+'Fee Data'!$J$20+'Fee Data'!$J$21)*'Assumptions'!F37</x:f>
        <x:v>1135</x:v>
      </x:c>
      <x:c r="Q505" s="27" t="n">
        <x:f>(VLOOKUP(O505,'Fee Data'!$C$6:$G$50,4,TRUE)+O505*VLOOKUP(O505,'Fee Data'!$C$6:$G$50,5,TRUE)+VLOOKUP(O505,'Fee Data'!$I$6:$J$14,2,TRUE)+'Fee Data'!$J$20+'Fee Data'!$J$21)*'Assumptions'!F37</x:f>
        <x:v>1010</x:v>
      </x:c>
      <x:c r="R505" s="27" t="n">
        <x:f>P505*(1-'Assumptions'!$D$14)+Q505*'Assumptions'!$D$14</x:f>
        <x:v>1072.5</x:v>
      </x:c>
      <x:c r="S505" s="27" t="n">
        <x:f>O505*'Carrier Engine'!E93</x:f>
        <x:v>301.24922008074043</x:v>
      </x:c>
      <x:c r="T505" s="28" t="n">
        <x:f>R505+S505</x:f>
        <x:v>1373.7492200807405</x:v>
      </x:c>
      <x:c r="U505" s="27" t="n">
        <x:f>N505*'Fleet Engine'!H201</x:f>
        <x:v>0</x:v>
      </x:c>
      <x:c r="V505" s="28" t="n">
        <x:f>U505*T505</x:f>
        <x:v>0</x:v>
      </x:c>
      <x:c r="W505" s="28" t="n">
        <x:f>U505*O505</x:f>
        <x:v>0</x:v>
      </x:c>
    </x:row>
    <x:row r="506" ht="19" customHeight="1">
      <x:c r="A506" s="2"/>
      <x:c r="B506" s="2"/>
      <x:c r="C506" s="46" t="n">
        <x:v>2</x:v>
      </x:c>
      <x:c r="D506" s="46" t="n">
        <x:v>7</x:v>
      </x:c>
      <x:c r="E506" s="46" t="n">
        <x:v>1</x:v>
      </x:c>
      <x:c r="F506" s="46" t="n">
        <x:v>1</x:v>
      </x:c>
      <x:c r="G506" s="12" t="n">
        <x:v>0.5555555555555556</x:v>
      </x:c>
      <x:c r="H506" s="12" t="n">
        <x:v>0.6666666666666666</x:v>
      </x:c>
      <x:c r="I506" s="29" t="n">
        <x:f>'Assumptions'!$D$11+'Assumptions'!$D$12*(0.5-(G506+H506)/2)</x:f>
        <x:v>0.27777777777777773</x:v>
      </x:c>
      <x:c r="J506" s="27" t="n">
        <x:f>'Assumptions'!$D$8*EXP(-'Assumptions'!$D$9*('Fleet Engine'!E201-10))*'Assumptions'!E56*'Assumptions'!F36</x:f>
        <x:v>25104.101673395035</x:v>
      </x:c>
      <x:c r="K506" s="27" t="n">
        <x:f>'Source Data'!F218+LN('Assumptions'!D56)+LN('Assumptions'!F35)</x:f>
        <x:v>7.916663861337495</x:v>
      </x:c>
      <x:c r="L506" s="27" t="n">
        <x:f>J506*(1-I506*(1-'Carrier Engine'!E93))</x:f>
        <x:v>18409.674560489693</x:v>
      </x:c>
      <x:c r="M506" s="29" t="n">
        <x:f>NORM.S.DIST((LN(L506)-K506)/'Assumptions'!$D$10,TRUE)</x:f>
        <x:v>0.8873508102719798</x:v>
      </x:c>
      <x:c r="N506" s="30" t="n">
        <x:f>MAX(0,H506-MAX(G506,M506))</x:f>
        <x:v>0</x:v>
      </x:c>
      <x:c r="O506" s="28" t="n">
        <x:f>J506*I506</x:f>
        <x:v>6973.361575943064</x:v>
      </x:c>
      <x:c r="P506" s="27" t="n">
        <x:f>(VLOOKUP(O506,'Fee Data'!$C$6:$G$50,2,TRUE)+O506*VLOOKUP(O506,'Fee Data'!$C$6:$G$50,3,TRUE)+VLOOKUP(O506,'Fee Data'!$I$6:$J$14,2,TRUE)+'Fee Data'!$J$20+'Fee Data'!$J$21)*'Assumptions'!F37</x:f>
        <x:v>1080</x:v>
      </x:c>
      <x:c r="Q506" s="27" t="n">
        <x:f>(VLOOKUP(O506,'Fee Data'!$C$6:$G$50,4,TRUE)+O506*VLOOKUP(O506,'Fee Data'!$C$6:$G$50,5,TRUE)+VLOOKUP(O506,'Fee Data'!$I$6:$J$14,2,TRUE)+'Fee Data'!$J$20+'Fee Data'!$J$21)*'Assumptions'!F37</x:f>
        <x:v>955</x:v>
      </x:c>
      <x:c r="R506" s="27" t="n">
        <x:f>P506*(1-'Assumptions'!$D$14)+Q506*'Assumptions'!$D$14</x:f>
        <x:v>1017.5</x:v>
      </x:c>
      <x:c r="S506" s="27" t="n">
        <x:f>O506*'Carrier Engine'!E93</x:f>
        <x:v>278.9344630377226</x:v>
      </x:c>
      <x:c r="T506" s="28" t="n">
        <x:f>R506+S506</x:f>
        <x:v>1296.4344630377227</x:v>
      </x:c>
      <x:c r="U506" s="27" t="n">
        <x:f>N506*'Fleet Engine'!H201</x:f>
        <x:v>0</x:v>
      </x:c>
      <x:c r="V506" s="28" t="n">
        <x:f>U506*T506</x:f>
        <x:v>0</x:v>
      </x:c>
      <x:c r="W506" s="28" t="n">
        <x:f>U506*O506</x:f>
        <x:v>0</x:v>
      </x:c>
    </x:row>
    <x:row r="507" ht="19" customHeight="1">
      <x:c r="A507" s="2"/>
      <x:c r="B507" s="2"/>
      <x:c r="C507" s="46" t="n">
        <x:v>2</x:v>
      </x:c>
      <x:c r="D507" s="46" t="n">
        <x:v>7</x:v>
      </x:c>
      <x:c r="E507" s="46" t="n">
        <x:v>1</x:v>
      </x:c>
      <x:c r="F507" s="46" t="n">
        <x:v>1</x:v>
      </x:c>
      <x:c r="G507" s="12" t="n">
        <x:v>0.6666666666666666</x:v>
      </x:c>
      <x:c r="H507" s="12" t="n">
        <x:v>0.7777777777777778</x:v>
      </x:c>
      <x:c r="I507" s="29" t="n">
        <x:f>'Assumptions'!$D$11+'Assumptions'!$D$12*(0.5-(G507+H507)/2)</x:f>
        <x:v>0.25555555555555554</x:v>
      </x:c>
      <x:c r="J507" s="27" t="n">
        <x:f>'Assumptions'!$D$8*EXP(-'Assumptions'!$D$9*('Fleet Engine'!E201-10))*'Assumptions'!E56*'Assumptions'!F36</x:f>
        <x:v>25104.101673395035</x:v>
      </x:c>
      <x:c r="K507" s="27" t="n">
        <x:f>'Source Data'!F218+LN('Assumptions'!D56)+LN('Assumptions'!F35)</x:f>
        <x:v>7.916663861337495</x:v>
      </x:c>
      <x:c r="L507" s="27" t="n">
        <x:f>J507*(1-I507*(1-'Carrier Engine'!E93))</x:f>
        <x:v>18945.22872952212</x:v>
      </x:c>
      <x:c r="M507" s="29" t="n">
        <x:f>NORM.S.DIST((LN(L507)-K507)/'Assumptions'!$D$10,TRUE)</x:f>
        <x:v>0.8908052189301703</x:v>
      </x:c>
      <x:c r="N507" s="30" t="n">
        <x:f>MAX(0,H507-MAX(G507,M507))</x:f>
        <x:v>0</x:v>
      </x:c>
      <x:c r="O507" s="28" t="n">
        <x:f>J507*I507</x:f>
        <x:v>6415.49264986762</x:v>
      </x:c>
      <x:c r="P507" s="27" t="n">
        <x:f>(VLOOKUP(O507,'Fee Data'!$C$6:$G$50,2,TRUE)+O507*VLOOKUP(O507,'Fee Data'!$C$6:$G$50,3,TRUE)+VLOOKUP(O507,'Fee Data'!$I$6:$J$14,2,TRUE)+'Fee Data'!$J$20+'Fee Data'!$J$21)*'Assumptions'!F37</x:f>
        <x:v>1060</x:v>
      </x:c>
      <x:c r="Q507" s="27" t="n">
        <x:f>(VLOOKUP(O507,'Fee Data'!$C$6:$G$50,4,TRUE)+O507*VLOOKUP(O507,'Fee Data'!$C$6:$G$50,5,TRUE)+VLOOKUP(O507,'Fee Data'!$I$6:$J$14,2,TRUE)+'Fee Data'!$J$20+'Fee Data'!$J$21)*'Assumptions'!F37</x:f>
        <x:v>935</x:v>
      </x:c>
      <x:c r="R507" s="27" t="n">
        <x:f>P507*(1-'Assumptions'!$D$14)+Q507*'Assumptions'!$D$14</x:f>
        <x:v>997.5</x:v>
      </x:c>
      <x:c r="S507" s="27" t="n">
        <x:f>O507*'Carrier Engine'!E93</x:f>
        <x:v>256.61970599470476</x:v>
      </x:c>
      <x:c r="T507" s="28" t="n">
        <x:f>R507+S507</x:f>
        <x:v>1254.1197059947049</x:v>
      </x:c>
      <x:c r="U507" s="27" t="n">
        <x:f>N507*'Fleet Engine'!H201</x:f>
        <x:v>0</x:v>
      </x:c>
      <x:c r="V507" s="28" t="n">
        <x:f>U507*T507</x:f>
        <x:v>0</x:v>
      </x:c>
      <x:c r="W507" s="28" t="n">
        <x:f>U507*O507</x:f>
        <x:v>0</x:v>
      </x:c>
    </x:row>
    <x:row r="508" ht="19" customHeight="1">
      <x:c r="A508" s="2"/>
      <x:c r="B508" s="2"/>
      <x:c r="C508" s="46" t="n">
        <x:v>2</x:v>
      </x:c>
      <x:c r="D508" s="46" t="n">
        <x:v>7</x:v>
      </x:c>
      <x:c r="E508" s="46" t="n">
        <x:v>1</x:v>
      </x:c>
      <x:c r="F508" s="46" t="n">
        <x:v>1</x:v>
      </x:c>
      <x:c r="G508" s="12" t="n">
        <x:v>0.7777777777777778</x:v>
      </x:c>
      <x:c r="H508" s="12" t="n">
        <x:v>0.8888888888888888</x:v>
      </x:c>
      <x:c r="I508" s="29" t="n">
        <x:f>'Assumptions'!$D$11+'Assumptions'!$D$12*(0.5-(G508+H508)/2)</x:f>
        <x:v>0.23333333333333334</x:v>
      </x:c>
      <x:c r="J508" s="27" t="n">
        <x:f>'Assumptions'!$D$8*EXP(-'Assumptions'!$D$9*('Fleet Engine'!E201-10))*'Assumptions'!E56*'Assumptions'!F36</x:f>
        <x:v>25104.101673395035</x:v>
      </x:c>
      <x:c r="K508" s="27" t="n">
        <x:f>'Source Data'!F218+LN('Assumptions'!D56)+LN('Assumptions'!F35)</x:f>
        <x:v>7.916663861337495</x:v>
      </x:c>
      <x:c r="L508" s="27" t="n">
        <x:f>J508*(1-I508*(1-'Carrier Engine'!E93))</x:f>
        <x:v>19480.782898554546</x:v>
      </x:c>
      <x:c r="M508" s="29" t="n">
        <x:f>NORM.S.DIST((LN(L508)-K508)/'Assumptions'!$D$10,TRUE)</x:f>
        <x:v>0.8940897210910779</x:v>
      </x:c>
      <x:c r="N508" s="30" t="n">
        <x:f>MAX(0,H508-MAX(G508,M508))</x:f>
        <x:v>0</x:v>
      </x:c>
      <x:c r="O508" s="28" t="n">
        <x:f>J508*I508</x:f>
        <x:v>5857.623723792175</x:v>
      </x:c>
      <x:c r="P508" s="27" t="n">
        <x:f>(VLOOKUP(O508,'Fee Data'!$C$6:$G$50,2,TRUE)+O508*VLOOKUP(O508,'Fee Data'!$C$6:$G$50,3,TRUE)+VLOOKUP(O508,'Fee Data'!$I$6:$J$14,2,TRUE)+'Fee Data'!$J$20+'Fee Data'!$J$21)*'Assumptions'!F37</x:f>
        <x:v>1020</x:v>
      </x:c>
      <x:c r="Q508" s="27" t="n">
        <x:f>(VLOOKUP(O508,'Fee Data'!$C$6:$G$50,4,TRUE)+O508*VLOOKUP(O508,'Fee Data'!$C$6:$G$50,5,TRUE)+VLOOKUP(O508,'Fee Data'!$I$6:$J$14,2,TRUE)+'Fee Data'!$J$20+'Fee Data'!$J$21)*'Assumptions'!F37</x:f>
        <x:v>895</x:v>
      </x:c>
      <x:c r="R508" s="27" t="n">
        <x:f>P508*(1-'Assumptions'!$D$14)+Q508*'Assumptions'!$D$14</x:f>
        <x:v>957.5</x:v>
      </x:c>
      <x:c r="S508" s="27" t="n">
        <x:f>O508*'Carrier Engine'!E93</x:f>
        <x:v>234.304948951687</x:v>
      </x:c>
      <x:c r="T508" s="28" t="n">
        <x:f>R508+S508</x:f>
        <x:v>1191.804948951687</x:v>
      </x:c>
      <x:c r="U508" s="27" t="n">
        <x:f>N508*'Fleet Engine'!H201</x:f>
        <x:v>0</x:v>
      </x:c>
      <x:c r="V508" s="28" t="n">
        <x:f>U508*T508</x:f>
        <x:v>0</x:v>
      </x:c>
      <x:c r="W508" s="28" t="n">
        <x:f>U508*O508</x:f>
        <x:v>0</x:v>
      </x:c>
    </x:row>
    <x:row r="509" ht="19" customHeight="1">
      <x:c r="A509" s="2"/>
      <x:c r="B509" s="2"/>
      <x:c r="C509" s="46" t="n">
        <x:v>2</x:v>
      </x:c>
      <x:c r="D509" s="46" t="n">
        <x:v>7</x:v>
      </x:c>
      <x:c r="E509" s="46" t="n">
        <x:v>1</x:v>
      </x:c>
      <x:c r="F509" s="46" t="n">
        <x:v>1</x:v>
      </x:c>
      <x:c r="G509" s="12" t="n">
        <x:v>0.8888888888888888</x:v>
      </x:c>
      <x:c r="H509" s="12" t="n">
        <x:v>1</x:v>
      </x:c>
      <x:c r="I509" s="29" t="n">
        <x:f>'Assumptions'!$D$11+'Assumptions'!$D$12*(0.5-(G509+H509)/2)</x:f>
        <x:v>0.21111111111111108</x:v>
      </x:c>
      <x:c r="J509" s="27" t="n">
        <x:f>'Assumptions'!$D$8*EXP(-'Assumptions'!$D$9*('Fleet Engine'!E201-10))*'Assumptions'!E56*'Assumptions'!F36</x:f>
        <x:v>25104.101673395035</x:v>
      </x:c>
      <x:c r="K509" s="27" t="n">
        <x:f>'Source Data'!F218+LN('Assumptions'!D56)+LN('Assumptions'!F35)</x:f>
        <x:v>7.916663861337495</x:v>
      </x:c>
      <x:c r="L509" s="27" t="n">
        <x:f>J509*(1-I509*(1-'Carrier Engine'!E93))</x:f>
        <x:v>20016.337067586974</x:v>
      </x:c>
      <x:c r="M509" s="29" t="n">
        <x:f>NORM.S.DIST((LN(L509)-K509)/'Assumptions'!$D$10,TRUE)</x:f>
        <x:v>0.897216036126494</x:v>
      </x:c>
      <x:c r="N509" s="30" t="n">
        <x:f>MAX(0,H509-MAX(G509,M509))</x:f>
        <x:v>0.10278396387350597</x:v>
      </x:c>
      <x:c r="O509" s="28" t="n">
        <x:f>J509*I509</x:f>
        <x:v>5299.754797716729</x:v>
      </x:c>
      <x:c r="P509" s="27" t="n">
        <x:f>(VLOOKUP(O509,'Fee Data'!$C$6:$G$50,2,TRUE)+O509*VLOOKUP(O509,'Fee Data'!$C$6:$G$50,3,TRUE)+VLOOKUP(O509,'Fee Data'!$I$6:$J$14,2,TRUE)+'Fee Data'!$J$20+'Fee Data'!$J$21)*'Assumptions'!F37</x:f>
        <x:v>995</x:v>
      </x:c>
      <x:c r="Q509" s="27" t="n">
        <x:f>(VLOOKUP(O509,'Fee Data'!$C$6:$G$50,4,TRUE)+O509*VLOOKUP(O509,'Fee Data'!$C$6:$G$50,5,TRUE)+VLOOKUP(O509,'Fee Data'!$I$6:$J$14,2,TRUE)+'Fee Data'!$J$20+'Fee Data'!$J$21)*'Assumptions'!F37</x:f>
        <x:v>870</x:v>
      </x:c>
      <x:c r="R509" s="27" t="n">
        <x:f>P509*(1-'Assumptions'!$D$14)+Q509*'Assumptions'!$D$14</x:f>
        <x:v>932.5</x:v>
      </x:c>
      <x:c r="S509" s="27" t="n">
        <x:f>O509*'Carrier Engine'!E93</x:f>
        <x:v>211.99019190866915</x:v>
      </x:c>
      <x:c r="T509" s="28" t="n">
        <x:f>R509+S509</x:f>
        <x:v>1144.4901919086692</x:v>
      </x:c>
      <x:c r="U509" s="27" t="n">
        <x:f>N509*'Fleet Engine'!H201</x:f>
        <x:v>2600.031675776758</x:v>
      </x:c>
      <x:c r="V509" s="28" t="n">
        <x:f>U509*T509</x:f>
        <x:v>2975710.751578361</x:v>
      </x:c>
      <x:c r="W509" s="28" t="n">
        <x:f>U509*O509</x:f>
        <x:v>13779530.34791334</x:v>
      </x:c>
    </x:row>
    <x:row r="510" ht="19" customHeight="1">
      <x:c r="A510" s="2"/>
      <x:c r="B510" s="2"/>
      <x:c r="C510" s="46" t="n">
        <x:v>2</x:v>
      </x:c>
      <x:c r="D510" s="46" t="n">
        <x:v>8</x:v>
      </x:c>
      <x:c r="E510" s="46" t="n">
        <x:v>1</x:v>
      </x:c>
      <x:c r="F510" s="46" t="n">
        <x:v>2</x:v>
      </x:c>
      <x:c r="G510" s="12" t="n">
        <x:v>0</x:v>
      </x:c>
      <x:c r="H510" s="12" t="n">
        <x:v>0.1111111111111111</x:v>
      </x:c>
      <x:c r="I510" s="29" t="n">
        <x:f>'Assumptions'!$D$11+'Assumptions'!$D$12*(0.5-(G510+H510)/2)</x:f>
        <x:v>0.3888888888888889</x:v>
      </x:c>
      <x:c r="J510" s="27" t="n">
        <x:f>'Assumptions'!$D$8*EXP(-'Assumptions'!$D$9*('Fleet Engine'!E202-10))*'Assumptions'!E56*'Assumptions'!F36</x:f>
        <x:v>18597.575933497446</x:v>
      </x:c>
      <x:c r="K510" s="27" t="n">
        <x:f>'Source Data'!F219+LN('Assumptions'!D56)+LN('Assumptions'!F35)</x:f>
        <x:v>7.962345702623303</x:v>
      </x:c>
      <x:c r="L510" s="27" t="n">
        <x:f>J510*(1-I510*(1-'Carrier Engine'!E93))</x:f>
        <x:v>11654.480918325067</x:v>
      </x:c>
      <x:c r="M510" s="29" t="n">
        <x:f>NORM.S.DIST((LN(L510)-K510)/'Assumptions'!$D$10,TRUE)</x:f>
        <x:v>0.8138848687134156</x:v>
      </x:c>
      <x:c r="N510" s="30" t="n">
        <x:f>MAX(0,H510-MAX(G510,M510))</x:f>
        <x:v>0</x:v>
      </x:c>
      <x:c r="O510" s="28" t="n">
        <x:f>J510*I510</x:f>
        <x:v>7232.390640804562</x:v>
      </x:c>
      <x:c r="P510" s="27" t="n">
        <x:f>(VLOOKUP(O510,'Fee Data'!$C$6:$G$50,2,TRUE)+O510*VLOOKUP(O510,'Fee Data'!$C$6:$G$50,3,TRUE)+VLOOKUP(O510,'Fee Data'!$I$6:$J$14,2,TRUE)+'Fee Data'!$J$20+'Fee Data'!$J$21)*'Assumptions'!F37</x:f>
        <x:v>1115</x:v>
      </x:c>
      <x:c r="Q510" s="27" t="n">
        <x:f>(VLOOKUP(O510,'Fee Data'!$C$6:$G$50,4,TRUE)+O510*VLOOKUP(O510,'Fee Data'!$C$6:$G$50,5,TRUE)+VLOOKUP(O510,'Fee Data'!$I$6:$J$14,2,TRUE)+'Fee Data'!$J$20+'Fee Data'!$J$21)*'Assumptions'!F37</x:f>
        <x:v>990</x:v>
      </x:c>
      <x:c r="R510" s="27" t="n">
        <x:f>P510*(1-'Assumptions'!$D$14)+Q510*'Assumptions'!$D$14</x:f>
        <x:v>1052.5</x:v>
      </x:c>
      <x:c r="S510" s="27" t="n">
        <x:f>O510*'Carrier Engine'!E93</x:f>
        <x:v>289.2956256321825</x:v>
      </x:c>
      <x:c r="T510" s="28" t="n">
        <x:f>R510+S510</x:f>
        <x:v>1341.7956256321825</x:v>
      </x:c>
      <x:c r="U510" s="27" t="n">
        <x:f>N510*'Fleet Engine'!H202</x:f>
        <x:v>0</x:v>
      </x:c>
      <x:c r="V510" s="28" t="n">
        <x:f>U510*T510</x:f>
        <x:v>0</x:v>
      </x:c>
      <x:c r="W510" s="28" t="n">
        <x:f>U510*O510</x:f>
        <x:v>0</x:v>
      </x:c>
    </x:row>
    <x:row r="511" ht="19" customHeight="1">
      <x:c r="A511" s="2"/>
      <x:c r="B511" s="2"/>
      <x:c r="C511" s="46" t="n">
        <x:v>2</x:v>
      </x:c>
      <x:c r="D511" s="46" t="n">
        <x:v>8</x:v>
      </x:c>
      <x:c r="E511" s="46" t="n">
        <x:v>1</x:v>
      </x:c>
      <x:c r="F511" s="46" t="n">
        <x:v>2</x:v>
      </x:c>
      <x:c r="G511" s="12" t="n">
        <x:v>0.1111111111111111</x:v>
      </x:c>
      <x:c r="H511" s="12" t="n">
        <x:v>0.2222222222222222</x:v>
      </x:c>
      <x:c r="I511" s="29" t="n">
        <x:f>'Assumptions'!$D$11+'Assumptions'!$D$12*(0.5-(G511+H511)/2)</x:f>
        <x:v>0.3666666666666667</x:v>
      </x:c>
      <x:c r="J511" s="27" t="n">
        <x:f>'Assumptions'!$D$8*EXP(-'Assumptions'!$D$9*('Fleet Engine'!E202-10))*'Assumptions'!E56*'Assumptions'!F36</x:f>
        <x:v>18597.575933497446</x:v>
      </x:c>
      <x:c r="K511" s="27" t="n">
        <x:f>'Source Data'!F219+LN('Assumptions'!D56)+LN('Assumptions'!F35)</x:f>
        <x:v>7.962345702623303</x:v>
      </x:c>
      <x:c r="L511" s="27" t="n">
        <x:f>J511*(1-I511*(1-'Carrier Engine'!E93))</x:f>
        <x:v>12051.229204906344</x:v>
      </x:c>
      <x:c r="M511" s="29" t="n">
        <x:f>NORM.S.DIST((LN(L511)-K511)/'Assumptions'!$D$10,TRUE)</x:f>
        <x:v>0.8195425068236845</x:v>
      </x:c>
      <x:c r="N511" s="30" t="n">
        <x:f>MAX(0,H511-MAX(G511,M511))</x:f>
        <x:v>0</x:v>
      </x:c>
      <x:c r="O511" s="28" t="n">
        <x:f>J511*I511</x:f>
        <x:v>6819.111175615731</x:v>
      </x:c>
      <x:c r="P511" s="27" t="n">
        <x:f>(VLOOKUP(O511,'Fee Data'!$C$6:$G$50,2,TRUE)+O511*VLOOKUP(O511,'Fee Data'!$C$6:$G$50,3,TRUE)+VLOOKUP(O511,'Fee Data'!$I$6:$J$14,2,TRUE)+'Fee Data'!$J$20+'Fee Data'!$J$21)*'Assumptions'!F37</x:f>
        <x:v>1080</x:v>
      </x:c>
      <x:c r="Q511" s="27" t="n">
        <x:f>(VLOOKUP(O511,'Fee Data'!$C$6:$G$50,4,TRUE)+O511*VLOOKUP(O511,'Fee Data'!$C$6:$G$50,5,TRUE)+VLOOKUP(O511,'Fee Data'!$I$6:$J$14,2,TRUE)+'Fee Data'!$J$20+'Fee Data'!$J$21)*'Assumptions'!F37</x:f>
        <x:v>955</x:v>
      </x:c>
      <x:c r="R511" s="27" t="n">
        <x:f>P511*(1-'Assumptions'!$D$14)+Q511*'Assumptions'!$D$14</x:f>
        <x:v>1017.5</x:v>
      </x:c>
      <x:c r="S511" s="27" t="n">
        <x:f>O511*'Carrier Engine'!E93</x:f>
        <x:v>272.76444702462925</x:v>
      </x:c>
      <x:c r="T511" s="28" t="n">
        <x:f>R511+S511</x:f>
        <x:v>1290.2644470246291</x:v>
      </x:c>
      <x:c r="U511" s="27" t="n">
        <x:f>N511*'Fleet Engine'!H202</x:f>
        <x:v>0</x:v>
      </x:c>
      <x:c r="V511" s="28" t="n">
        <x:f>U511*T511</x:f>
        <x:v>0</x:v>
      </x:c>
      <x:c r="W511" s="28" t="n">
        <x:f>U511*O511</x:f>
        <x:v>0</x:v>
      </x:c>
    </x:row>
    <x:row r="512" ht="19" customHeight="1">
      <x:c r="A512" s="2"/>
      <x:c r="B512" s="2"/>
      <x:c r="C512" s="46" t="n">
        <x:v>2</x:v>
      </x:c>
      <x:c r="D512" s="46" t="n">
        <x:v>8</x:v>
      </x:c>
      <x:c r="E512" s="46" t="n">
        <x:v>1</x:v>
      </x:c>
      <x:c r="F512" s="46" t="n">
        <x:v>2</x:v>
      </x:c>
      <x:c r="G512" s="12" t="n">
        <x:v>0.2222222222222222</x:v>
      </x:c>
      <x:c r="H512" s="12" t="n">
        <x:v>0.3333333333333333</x:v>
      </x:c>
      <x:c r="I512" s="29" t="n">
        <x:f>'Assumptions'!$D$11+'Assumptions'!$D$12*(0.5-(G512+H512)/2)</x:f>
        <x:v>0.34444444444444444</x:v>
      </x:c>
      <x:c r="J512" s="27" t="n">
        <x:f>'Assumptions'!$D$8*EXP(-'Assumptions'!$D$9*('Fleet Engine'!E202-10))*'Assumptions'!E56*'Assumptions'!F36</x:f>
        <x:v>18597.575933497446</x:v>
      </x:c>
      <x:c r="K512" s="27" t="n">
        <x:f>'Source Data'!F219+LN('Assumptions'!D56)+LN('Assumptions'!F35)</x:f>
        <x:v>7.962345702623303</x:v>
      </x:c>
      <x:c r="L512" s="27" t="n">
        <x:f>J512*(1-I512*(1-'Carrier Engine'!E93))</x:f>
        <x:v>12447.977491487623</x:v>
      </x:c>
      <x:c r="M512" s="29" t="n">
        <x:f>NORM.S.DIST((LN(L512)-K512)/'Assumptions'!$D$10,TRUE)</x:f>
        <x:v>0.8249129898049964</x:v>
      </x:c>
      <x:c r="N512" s="30" t="n">
        <x:f>MAX(0,H512-MAX(G512,M512))</x:f>
        <x:v>0</x:v>
      </x:c>
      <x:c r="O512" s="28" t="n">
        <x:f>J512*I512</x:f>
        <x:v>6405.831710426898</x:v>
      </x:c>
      <x:c r="P512" s="27" t="n">
        <x:f>(VLOOKUP(O512,'Fee Data'!$C$6:$G$50,2,TRUE)+O512*VLOOKUP(O512,'Fee Data'!$C$6:$G$50,3,TRUE)+VLOOKUP(O512,'Fee Data'!$I$6:$J$14,2,TRUE)+'Fee Data'!$J$20+'Fee Data'!$J$21)*'Assumptions'!F37</x:f>
        <x:v>1060</x:v>
      </x:c>
      <x:c r="Q512" s="27" t="n">
        <x:f>(VLOOKUP(O512,'Fee Data'!$C$6:$G$50,4,TRUE)+O512*VLOOKUP(O512,'Fee Data'!$C$6:$G$50,5,TRUE)+VLOOKUP(O512,'Fee Data'!$I$6:$J$14,2,TRUE)+'Fee Data'!$J$20+'Fee Data'!$J$21)*'Assumptions'!F37</x:f>
        <x:v>935</x:v>
      </x:c>
      <x:c r="R512" s="27" t="n">
        <x:f>P512*(1-'Assumptions'!$D$14)+Q512*'Assumptions'!$D$14</x:f>
        <x:v>997.5</x:v>
      </x:c>
      <x:c r="S512" s="27" t="n">
        <x:f>O512*'Carrier Engine'!E93</x:f>
        <x:v>256.2332684170759</x:v>
      </x:c>
      <x:c r="T512" s="28" t="n">
        <x:f>R512+S512</x:f>
        <x:v>1253.733268417076</x:v>
      </x:c>
      <x:c r="U512" s="27" t="n">
        <x:f>N512*'Fleet Engine'!H202</x:f>
        <x:v>0</x:v>
      </x:c>
      <x:c r="V512" s="28" t="n">
        <x:f>U512*T512</x:f>
        <x:v>0</x:v>
      </x:c>
      <x:c r="W512" s="28" t="n">
        <x:f>U512*O512</x:f>
        <x:v>0</x:v>
      </x:c>
    </x:row>
    <x:row r="513" ht="19" customHeight="1">
      <x:c r="A513" s="2"/>
      <x:c r="B513" s="2"/>
      <x:c r="C513" s="46" t="n">
        <x:v>2</x:v>
      </x:c>
      <x:c r="D513" s="46" t="n">
        <x:v>8</x:v>
      </x:c>
      <x:c r="E513" s="46" t="n">
        <x:v>1</x:v>
      </x:c>
      <x:c r="F513" s="46" t="n">
        <x:v>2</x:v>
      </x:c>
      <x:c r="G513" s="12" t="n">
        <x:v>0.3333333333333333</x:v>
      </x:c>
      <x:c r="H513" s="12" t="n">
        <x:v>0.4444444444444444</x:v>
      </x:c>
      <x:c r="I513" s="29" t="n">
        <x:f>'Assumptions'!$D$11+'Assumptions'!$D$12*(0.5-(G513+H513)/2)</x:f>
        <x:v>0.32222222222222224</x:v>
      </x:c>
      <x:c r="J513" s="27" t="n">
        <x:f>'Assumptions'!$D$8*EXP(-'Assumptions'!$D$9*('Fleet Engine'!E202-10))*'Assumptions'!E56*'Assumptions'!F36</x:f>
        <x:v>18597.575933497446</x:v>
      </x:c>
      <x:c r="K513" s="27" t="n">
        <x:f>'Source Data'!F219+LN('Assumptions'!D56)+LN('Assumptions'!F35)</x:f>
        <x:v>7.962345702623303</x:v>
      </x:c>
      <x:c r="L513" s="27" t="n">
        <x:f>J513*(1-I513*(1-'Carrier Engine'!E93))</x:f>
        <x:v>12844.725778068903</x:v>
      </x:c>
      <x:c r="M513" s="29" t="n">
        <x:f>NORM.S.DIST((LN(L513)-K513)/'Assumptions'!$D$10,TRUE)</x:f>
        <x:v>0.8300172277569353</x:v>
      </x:c>
      <x:c r="N513" s="30" t="n">
        <x:f>MAX(0,H513-MAX(G513,M513))</x:f>
        <x:v>0</x:v>
      </x:c>
      <x:c r="O513" s="28" t="n">
        <x:f>J513*I513</x:f>
        <x:v>5992.5522452380665</x:v>
      </x:c>
      <x:c r="P513" s="27" t="n">
        <x:f>(VLOOKUP(O513,'Fee Data'!$C$6:$G$50,2,TRUE)+O513*VLOOKUP(O513,'Fee Data'!$C$6:$G$50,3,TRUE)+VLOOKUP(O513,'Fee Data'!$I$6:$J$14,2,TRUE)+'Fee Data'!$J$20+'Fee Data'!$J$21)*'Assumptions'!F37</x:f>
        <x:v>1020</x:v>
      </x:c>
      <x:c r="Q513" s="27" t="n">
        <x:f>(VLOOKUP(O513,'Fee Data'!$C$6:$G$50,4,TRUE)+O513*VLOOKUP(O513,'Fee Data'!$C$6:$G$50,5,TRUE)+VLOOKUP(O513,'Fee Data'!$I$6:$J$14,2,TRUE)+'Fee Data'!$J$20+'Fee Data'!$J$21)*'Assumptions'!F37</x:f>
        <x:v>895</x:v>
      </x:c>
      <x:c r="R513" s="27" t="n">
        <x:f>P513*(1-'Assumptions'!$D$14)+Q513*'Assumptions'!$D$14</x:f>
        <x:v>957.5</x:v>
      </x:c>
      <x:c r="S513" s="27" t="n">
        <x:f>O513*'Carrier Engine'!E93</x:f>
        <x:v>239.70208980952268</x:v>
      </x:c>
      <x:c r="T513" s="28" t="n">
        <x:f>R513+S513</x:f>
        <x:v>1197.2020898095227</x:v>
      </x:c>
      <x:c r="U513" s="27" t="n">
        <x:f>N513*'Fleet Engine'!H202</x:f>
        <x:v>0</x:v>
      </x:c>
      <x:c r="V513" s="28" t="n">
        <x:f>U513*T513</x:f>
        <x:v>0</x:v>
      </x:c>
      <x:c r="W513" s="28" t="n">
        <x:f>U513*O513</x:f>
        <x:v>0</x:v>
      </x:c>
    </x:row>
    <x:row r="514" ht="19" customHeight="1">
      <x:c r="A514" s="2"/>
      <x:c r="B514" s="2"/>
      <x:c r="C514" s="46" t="n">
        <x:v>2</x:v>
      </x:c>
      <x:c r="D514" s="46" t="n">
        <x:v>8</x:v>
      </x:c>
      <x:c r="E514" s="46" t="n">
        <x:v>1</x:v>
      </x:c>
      <x:c r="F514" s="46" t="n">
        <x:v>2</x:v>
      </x:c>
      <x:c r="G514" s="12" t="n">
        <x:v>0.4444444444444444</x:v>
      </x:c>
      <x:c r="H514" s="12" t="n">
        <x:v>0.5555555555555556</x:v>
      </x:c>
      <x:c r="I514" s="29" t="n">
        <x:f>'Assumptions'!$D$11+'Assumptions'!$D$12*(0.5-(G514+H514)/2)</x:f>
        <x:v>0.3</x:v>
      </x:c>
      <x:c r="J514" s="27" t="n">
        <x:f>'Assumptions'!$D$8*EXP(-'Assumptions'!$D$9*('Fleet Engine'!E202-10))*'Assumptions'!E56*'Assumptions'!F36</x:f>
        <x:v>18597.575933497446</x:v>
      </x:c>
      <x:c r="K514" s="27" t="n">
        <x:f>'Source Data'!F219+LN('Assumptions'!D56)+LN('Assumptions'!F35)</x:f>
        <x:v>7.962345702623303</x:v>
      </x:c>
      <x:c r="L514" s="27" t="n">
        <x:f>J514*(1-I514*(1-'Carrier Engine'!E93))</x:f>
        <x:v>13241.474064650181</x:v>
      </x:c>
      <x:c r="M514" s="29" t="n">
        <x:f>NORM.S.DIST((LN(L514)-K514)/'Assumptions'!$D$10,TRUE)</x:f>
        <x:v>0.8348741378031481</x:v>
      </x:c>
      <x:c r="N514" s="30" t="n">
        <x:f>MAX(0,H514-MAX(G514,M514))</x:f>
        <x:v>0</x:v>
      </x:c>
      <x:c r="O514" s="28" t="n">
        <x:f>J514*I514</x:f>
        <x:v>5579.272780049234</x:v>
      </x:c>
      <x:c r="P514" s="27" t="n">
        <x:f>(VLOOKUP(O514,'Fee Data'!$C$6:$G$50,2,TRUE)+O514*VLOOKUP(O514,'Fee Data'!$C$6:$G$50,3,TRUE)+VLOOKUP(O514,'Fee Data'!$I$6:$J$14,2,TRUE)+'Fee Data'!$J$20+'Fee Data'!$J$21)*'Assumptions'!F37</x:f>
        <x:v>1020</x:v>
      </x:c>
      <x:c r="Q514" s="27" t="n">
        <x:f>(VLOOKUP(O514,'Fee Data'!$C$6:$G$50,4,TRUE)+O514*VLOOKUP(O514,'Fee Data'!$C$6:$G$50,5,TRUE)+VLOOKUP(O514,'Fee Data'!$I$6:$J$14,2,TRUE)+'Fee Data'!$J$20+'Fee Data'!$J$21)*'Assumptions'!F37</x:f>
        <x:v>895</x:v>
      </x:c>
      <x:c r="R514" s="27" t="n">
        <x:f>P514*(1-'Assumptions'!$D$14)+Q514*'Assumptions'!$D$14</x:f>
        <x:v>957.5</x:v>
      </x:c>
      <x:c r="S514" s="27" t="n">
        <x:f>O514*'Carrier Engine'!E93</x:f>
        <x:v>223.17091120196937</x:v>
      </x:c>
      <x:c r="T514" s="28" t="n">
        <x:f>R514+S514</x:f>
        <x:v>1180.6709112019694</x:v>
      </x:c>
      <x:c r="U514" s="27" t="n">
        <x:f>N514*'Fleet Engine'!H202</x:f>
        <x:v>0</x:v>
      </x:c>
      <x:c r="V514" s="28" t="n">
        <x:f>U514*T514</x:f>
        <x:v>0</x:v>
      </x:c>
      <x:c r="W514" s="28" t="n">
        <x:f>U514*O514</x:f>
        <x:v>0</x:v>
      </x:c>
    </x:row>
    <x:row r="515" ht="19" customHeight="1">
      <x:c r="A515" s="2"/>
      <x:c r="B515" s="2"/>
      <x:c r="C515" s="46" t="n">
        <x:v>2</x:v>
      </x:c>
      <x:c r="D515" s="46" t="n">
        <x:v>8</x:v>
      </x:c>
      <x:c r="E515" s="46" t="n">
        <x:v>1</x:v>
      </x:c>
      <x:c r="F515" s="46" t="n">
        <x:v>2</x:v>
      </x:c>
      <x:c r="G515" s="12" t="n">
        <x:v>0.5555555555555556</x:v>
      </x:c>
      <x:c r="H515" s="12" t="n">
        <x:v>0.6666666666666666</x:v>
      </x:c>
      <x:c r="I515" s="29" t="n">
        <x:f>'Assumptions'!$D$11+'Assumptions'!$D$12*(0.5-(G515+H515)/2)</x:f>
        <x:v>0.27777777777777773</x:v>
      </x:c>
      <x:c r="J515" s="27" t="n">
        <x:f>'Assumptions'!$D$8*EXP(-'Assumptions'!$D$9*('Fleet Engine'!E202-10))*'Assumptions'!E56*'Assumptions'!F36</x:f>
        <x:v>18597.575933497446</x:v>
      </x:c>
      <x:c r="K515" s="27" t="n">
        <x:f>'Source Data'!F219+LN('Assumptions'!D56)+LN('Assumptions'!F35)</x:f>
        <x:v>7.962345702623303</x:v>
      </x:c>
      <x:c r="L515" s="27" t="n">
        <x:f>J515*(1-I515*(1-'Carrier Engine'!E93))</x:f>
        <x:v>13638.222351231461</x:v>
      </x:c>
      <x:c r="M515" s="29" t="n">
        <x:f>NORM.S.DIST((LN(L515)-K515)/'Assumptions'!$D$10,TRUE)</x:f>
        <x:v>0.839500878443892</x:v>
      </x:c>
      <x:c r="N515" s="30" t="n">
        <x:f>MAX(0,H515-MAX(G515,M515))</x:f>
        <x:v>0</x:v>
      </x:c>
      <x:c r="O515" s="28" t="n">
        <x:f>J515*I515</x:f>
        <x:v>5165.993314860401</x:v>
      </x:c>
      <x:c r="P515" s="27" t="n">
        <x:f>(VLOOKUP(O515,'Fee Data'!$C$6:$G$50,2,TRUE)+O515*VLOOKUP(O515,'Fee Data'!$C$6:$G$50,3,TRUE)+VLOOKUP(O515,'Fee Data'!$I$6:$J$14,2,TRUE)+'Fee Data'!$J$20+'Fee Data'!$J$21)*'Assumptions'!F37</x:f>
        <x:v>995</x:v>
      </x:c>
      <x:c r="Q515" s="27" t="n">
        <x:f>(VLOOKUP(O515,'Fee Data'!$C$6:$G$50,4,TRUE)+O515*VLOOKUP(O515,'Fee Data'!$C$6:$G$50,5,TRUE)+VLOOKUP(O515,'Fee Data'!$I$6:$J$14,2,TRUE)+'Fee Data'!$J$20+'Fee Data'!$J$21)*'Assumptions'!F37</x:f>
        <x:v>870</x:v>
      </x:c>
      <x:c r="R515" s="27" t="n">
        <x:f>P515*(1-'Assumptions'!$D$14)+Q515*'Assumptions'!$D$14</x:f>
        <x:v>932.5</x:v>
      </x:c>
      <x:c r="S515" s="27" t="n">
        <x:f>O515*'Carrier Engine'!E93</x:f>
        <x:v>206.63973259441605</x:v>
      </x:c>
      <x:c r="T515" s="28" t="n">
        <x:f>R515+S515</x:f>
        <x:v>1139.139732594416</x:v>
      </x:c>
      <x:c r="U515" s="27" t="n">
        <x:f>N515*'Fleet Engine'!H202</x:f>
        <x:v>0</x:v>
      </x:c>
      <x:c r="V515" s="28" t="n">
        <x:f>U515*T515</x:f>
        <x:v>0</x:v>
      </x:c>
      <x:c r="W515" s="28" t="n">
        <x:f>U515*O515</x:f>
        <x:v>0</x:v>
      </x:c>
    </x:row>
    <x:row r="516" ht="19" customHeight="1">
      <x:c r="A516" s="2"/>
      <x:c r="B516" s="2"/>
      <x:c r="C516" s="46" t="n">
        <x:v>2</x:v>
      </x:c>
      <x:c r="D516" s="46" t="n">
        <x:v>8</x:v>
      </x:c>
      <x:c r="E516" s="46" t="n">
        <x:v>1</x:v>
      </x:c>
      <x:c r="F516" s="46" t="n">
        <x:v>2</x:v>
      </x:c>
      <x:c r="G516" s="12" t="n">
        <x:v>0.6666666666666666</x:v>
      </x:c>
      <x:c r="H516" s="12" t="n">
        <x:v>0.7777777777777778</x:v>
      </x:c>
      <x:c r="I516" s="29" t="n">
        <x:f>'Assumptions'!$D$11+'Assumptions'!$D$12*(0.5-(G516+H516)/2)</x:f>
        <x:v>0.25555555555555554</x:v>
      </x:c>
      <x:c r="J516" s="27" t="n">
        <x:f>'Assumptions'!$D$8*EXP(-'Assumptions'!$D$9*('Fleet Engine'!E202-10))*'Assumptions'!E56*'Assumptions'!F36</x:f>
        <x:v>18597.575933497446</x:v>
      </x:c>
      <x:c r="K516" s="27" t="n">
        <x:f>'Source Data'!F219+LN('Assumptions'!D56)+LN('Assumptions'!F35)</x:f>
        <x:v>7.962345702623303</x:v>
      </x:c>
      <x:c r="L516" s="27" t="n">
        <x:f>J516*(1-I516*(1-'Carrier Engine'!E93))</x:f>
        <x:v>14034.970637812741</x:v>
      </x:c>
      <x:c r="M516" s="29" t="n">
        <x:f>NORM.S.DIST((LN(L516)-K516)/'Assumptions'!$D$10,TRUE)</x:f>
        <x:v>0.8439130512567272</x:v>
      </x:c>
      <x:c r="N516" s="30" t="n">
        <x:f>MAX(0,H516-MAX(G516,M516))</x:f>
        <x:v>0</x:v>
      </x:c>
      <x:c r="O516" s="28" t="n">
        <x:f>J516*I516</x:f>
        <x:v>4752.713849671569</x:v>
      </x:c>
      <x:c r="P516" s="27" t="n">
        <x:f>(VLOOKUP(O516,'Fee Data'!$C$6:$G$50,2,TRUE)+O516*VLOOKUP(O516,'Fee Data'!$C$6:$G$50,3,TRUE)+VLOOKUP(O516,'Fee Data'!$I$6:$J$14,2,TRUE)+'Fee Data'!$J$20+'Fee Data'!$J$21)*'Assumptions'!F37</x:f>
        <x:v>970</x:v>
      </x:c>
      <x:c r="Q516" s="27" t="n">
        <x:f>(VLOOKUP(O516,'Fee Data'!$C$6:$G$50,4,TRUE)+O516*VLOOKUP(O516,'Fee Data'!$C$6:$G$50,5,TRUE)+VLOOKUP(O516,'Fee Data'!$I$6:$J$14,2,TRUE)+'Fee Data'!$J$20+'Fee Data'!$J$21)*'Assumptions'!F37</x:f>
        <x:v>845</x:v>
      </x:c>
      <x:c r="R516" s="27" t="n">
        <x:f>P516*(1-'Assumptions'!$D$14)+Q516*'Assumptions'!$D$14</x:f>
        <x:v>907.5</x:v>
      </x:c>
      <x:c r="S516" s="27" t="n">
        <x:f>O516*'Carrier Engine'!E93</x:f>
        <x:v>190.10855398686274</x:v>
      </x:c>
      <x:c r="T516" s="28" t="n">
        <x:f>R516+S516</x:f>
        <x:v>1097.6085539868627</x:v>
      </x:c>
      <x:c r="U516" s="27" t="n">
        <x:f>N516*'Fleet Engine'!H202</x:f>
        <x:v>0</x:v>
      </x:c>
      <x:c r="V516" s="28" t="n">
        <x:f>U516*T516</x:f>
        <x:v>0</x:v>
      </x:c>
      <x:c r="W516" s="28" t="n">
        <x:f>U516*O516</x:f>
        <x:v>0</x:v>
      </x:c>
    </x:row>
    <x:row r="517" ht="19" customHeight="1">
      <x:c r="A517" s="2"/>
      <x:c r="B517" s="2"/>
      <x:c r="C517" s="46" t="n">
        <x:v>2</x:v>
      </x:c>
      <x:c r="D517" s="46" t="n">
        <x:v>8</x:v>
      </x:c>
      <x:c r="E517" s="46" t="n">
        <x:v>1</x:v>
      </x:c>
      <x:c r="F517" s="46" t="n">
        <x:v>2</x:v>
      </x:c>
      <x:c r="G517" s="12" t="n">
        <x:v>0.7777777777777778</x:v>
      </x:c>
      <x:c r="H517" s="12" t="n">
        <x:v>0.8888888888888888</x:v>
      </x:c>
      <x:c r="I517" s="29" t="n">
        <x:f>'Assumptions'!$D$11+'Assumptions'!$D$12*(0.5-(G517+H517)/2)</x:f>
        <x:v>0.23333333333333334</x:v>
      </x:c>
      <x:c r="J517" s="27" t="n">
        <x:f>'Assumptions'!$D$8*EXP(-'Assumptions'!$D$9*('Fleet Engine'!E202-10))*'Assumptions'!E56*'Assumptions'!F36</x:f>
        <x:v>18597.575933497446</x:v>
      </x:c>
      <x:c r="K517" s="27" t="n">
        <x:f>'Source Data'!F219+LN('Assumptions'!D56)+LN('Assumptions'!F35)</x:f>
        <x:v>7.962345702623303</x:v>
      </x:c>
      <x:c r="L517" s="27" t="n">
        <x:f>J517*(1-I517*(1-'Carrier Engine'!E93))</x:f>
        <x:v>14431.71892439402</x:v>
      </x:c>
      <x:c r="M517" s="29" t="n">
        <x:f>NORM.S.DIST((LN(L517)-K517)/'Assumptions'!$D$10,TRUE)</x:f>
        <x:v>0.8481248751817181</x:v>
      </x:c>
      <x:c r="N517" s="30" t="n">
        <x:f>MAX(0,H517-MAX(G517,M517))</x:f>
        <x:v>0.040764013707170754</x:v>
      </x:c>
      <x:c r="O517" s="28" t="n">
        <x:f>J517*I517</x:f>
        <x:v>4339.434384482737</x:v>
      </x:c>
      <x:c r="P517" s="27" t="n">
        <x:f>(VLOOKUP(O517,'Fee Data'!$C$6:$G$50,2,TRUE)+O517*VLOOKUP(O517,'Fee Data'!$C$6:$G$50,3,TRUE)+VLOOKUP(O517,'Fee Data'!$I$6:$J$14,2,TRUE)+'Fee Data'!$J$20+'Fee Data'!$J$21)*'Assumptions'!F37</x:f>
        <x:v>945</x:v>
      </x:c>
      <x:c r="Q517" s="27" t="n">
        <x:f>(VLOOKUP(O517,'Fee Data'!$C$6:$G$50,4,TRUE)+O517*VLOOKUP(O517,'Fee Data'!$C$6:$G$50,5,TRUE)+VLOOKUP(O517,'Fee Data'!$I$6:$J$14,2,TRUE)+'Fee Data'!$J$20+'Fee Data'!$J$21)*'Assumptions'!F37</x:f>
        <x:v>820</x:v>
      </x:c>
      <x:c r="R517" s="27" t="n">
        <x:f>P517*(1-'Assumptions'!$D$14)+Q517*'Assumptions'!$D$14</x:f>
        <x:v>882.5</x:v>
      </x:c>
      <x:c r="S517" s="27" t="n">
        <x:f>O517*'Carrier Engine'!E93</x:f>
        <x:v>173.5773753793095</x:v>
      </x:c>
      <x:c r="T517" s="28" t="n">
        <x:f>R517+S517</x:f>
        <x:v>1056.0773753793096</x:v>
      </x:c>
      <x:c r="U517" s="27" t="n">
        <x:f>N517*'Fleet Engine'!H202</x:f>
        <x:v>939.068902085099</x:v>
      </x:c>
      <x:c r="V517" s="28" t="n">
        <x:f>U517*T517</x:f>
        <x:v>991729.4214143612</x:v>
      </x:c>
      <x:c r="W517" s="28" t="n">
        <x:f>U517*O517</x:f>
        <x:v>4075027.8831065316</x:v>
      </x:c>
    </x:row>
    <x:row r="518" ht="19" customHeight="1">
      <x:c r="A518" s="2"/>
      <x:c r="B518" s="2"/>
      <x:c r="C518" s="46" t="n">
        <x:v>2</x:v>
      </x:c>
      <x:c r="D518" s="46" t="n">
        <x:v>8</x:v>
      </x:c>
      <x:c r="E518" s="46" t="n">
        <x:v>1</x:v>
      </x:c>
      <x:c r="F518" s="46" t="n">
        <x:v>2</x:v>
      </x:c>
      <x:c r="G518" s="12" t="n">
        <x:v>0.8888888888888888</x:v>
      </x:c>
      <x:c r="H518" s="12" t="n">
        <x:v>1</x:v>
      </x:c>
      <x:c r="I518" s="29" t="n">
        <x:f>'Assumptions'!$D$11+'Assumptions'!$D$12*(0.5-(G518+H518)/2)</x:f>
        <x:v>0.21111111111111108</x:v>
      </x:c>
      <x:c r="J518" s="27" t="n">
        <x:f>'Assumptions'!$D$8*EXP(-'Assumptions'!$D$9*('Fleet Engine'!E202-10))*'Assumptions'!E56*'Assumptions'!F36</x:f>
        <x:v>18597.575933497446</x:v>
      </x:c>
      <x:c r="K518" s="27" t="n">
        <x:f>'Source Data'!F219+LN('Assumptions'!D56)+LN('Assumptions'!F35)</x:f>
        <x:v>7.962345702623303</x:v>
      </x:c>
      <x:c r="L518" s="27" t="n">
        <x:f>J518*(1-I518*(1-'Carrier Engine'!E93))</x:f>
        <x:v>14828.467210975297</x:v>
      </x:c>
      <x:c r="M518" s="29" t="n">
        <x:f>NORM.S.DIST((LN(L518)-K518)/'Assumptions'!$D$10,TRUE)</x:f>
        <x:v>0.8521493376815981</x:v>
      </x:c>
      <x:c r="N518" s="30" t="n">
        <x:f>MAX(0,H518-MAX(G518,M518))</x:f>
        <x:v>0.11111111111111116</x:v>
      </x:c>
      <x:c r="O518" s="28" t="n">
        <x:f>J518*I518</x:f>
        <x:v>3926.1549192939046</x:v>
      </x:c>
      <x:c r="P518" s="27" t="n">
        <x:f>(VLOOKUP(O518,'Fee Data'!$C$6:$G$50,2,TRUE)+O518*VLOOKUP(O518,'Fee Data'!$C$6:$G$50,3,TRUE)+VLOOKUP(O518,'Fee Data'!$I$6:$J$14,2,TRUE)+'Fee Data'!$J$20+'Fee Data'!$J$21)*'Assumptions'!F37</x:f>
        <x:v>915</x:v>
      </x:c>
      <x:c r="Q518" s="27" t="n">
        <x:f>(VLOOKUP(O518,'Fee Data'!$C$6:$G$50,4,TRUE)+O518*VLOOKUP(O518,'Fee Data'!$C$6:$G$50,5,TRUE)+VLOOKUP(O518,'Fee Data'!$I$6:$J$14,2,TRUE)+'Fee Data'!$J$20+'Fee Data'!$J$21)*'Assumptions'!F37</x:f>
        <x:v>765</x:v>
      </x:c>
      <x:c r="R518" s="27" t="n">
        <x:f>P518*(1-'Assumptions'!$D$14)+Q518*'Assumptions'!$D$14</x:f>
        <x:v>840</x:v>
      </x:c>
      <x:c r="S518" s="27" t="n">
        <x:f>O518*'Carrier Engine'!E93</x:f>
        <x:v>157.0461967717562</x:v>
      </x:c>
      <x:c r="T518" s="28" t="n">
        <x:f>R518+S518</x:f>
        <x:v>997.0461967717562</x:v>
      </x:c>
      <x:c r="U518" s="27" t="n">
        <x:f>N518*'Fleet Engine'!H202</x:f>
        <x:v>2559.6348257093264</x:v>
      </x:c>
      <x:c r="V518" s="28" t="n">
        <x:f>U518*T518</x:f>
        <x:v>2552074.168098021</x:v>
      </x:c>
      <x:c r="W518" s="28" t="n">
        <x:f>U518*O518</x:f>
        <x:v>10049522.862554668</x:v>
      </x:c>
    </x:row>
    <x:row r="519" ht="19" customHeight="1">
      <x:c r="A519" s="2"/>
      <x:c r="B519" s="2"/>
      <x:c r="C519" s="46" t="n">
        <x:v>2</x:v>
      </x:c>
      <x:c r="D519" s="46" t="n">
        <x:v>9</x:v>
      </x:c>
      <x:c r="E519" s="46" t="n">
        <x:v>1</x:v>
      </x:c>
      <x:c r="F519" s="46" t="n">
        <x:v>3</x:v>
      </x:c>
      <x:c r="G519" s="12" t="n">
        <x:v>0</x:v>
      </x:c>
      <x:c r="H519" s="12" t="n">
        <x:v>0.1111111111111111</x:v>
      </x:c>
      <x:c r="I519" s="29" t="n">
        <x:f>'Assumptions'!$D$11+'Assumptions'!$D$12*(0.5-(G519+H519)/2)</x:f>
        <x:v>0.3888888888888889</x:v>
      </x:c>
      <x:c r="J519" s="27" t="n">
        <x:f>'Assumptions'!$D$8*EXP(-'Assumptions'!$D$9*('Fleet Engine'!E203-10))*'Assumptions'!E56*'Assumptions'!F36</x:f>
        <x:v>13777.423112046714</x:v>
      </x:c>
      <x:c r="K519" s="27" t="n">
        <x:f>'Source Data'!F220+LN('Assumptions'!D56)+LN('Assumptions'!F35)</x:f>
        <x:v>8.069478273890956</x:v>
      </x:c>
      <x:c r="L519" s="27" t="n">
        <x:f>J519*(1-I519*(1-'Carrier Engine'!E93))</x:f>
        <x:v>8633.851816882609</x:v>
      </x:c>
      <x:c r="M519" s="29" t="n">
        <x:f>NORM.S.DIST((LN(L519)-K519)/'Assumptions'!$D$10,TRUE)</x:f>
        <x:v>0.7366388707689671</x:v>
      </x:c>
      <x:c r="N519" s="30" t="n">
        <x:f>MAX(0,H519-MAX(G519,M519))</x:f>
        <x:v>0</x:v>
      </x:c>
      <x:c r="O519" s="28" t="n">
        <x:f>J519*I519</x:f>
        <x:v>5357.8867657959445</x:v>
      </x:c>
      <x:c r="P519" s="27" t="n">
        <x:f>(VLOOKUP(O519,'Fee Data'!$C$6:$G$50,2,TRUE)+O519*VLOOKUP(O519,'Fee Data'!$C$6:$G$50,3,TRUE)+VLOOKUP(O519,'Fee Data'!$I$6:$J$14,2,TRUE)+'Fee Data'!$J$20+'Fee Data'!$J$21)*'Assumptions'!F37</x:f>
        <x:v>995</x:v>
      </x:c>
      <x:c r="Q519" s="27" t="n">
        <x:f>(VLOOKUP(O519,'Fee Data'!$C$6:$G$50,4,TRUE)+O519*VLOOKUP(O519,'Fee Data'!$C$6:$G$50,5,TRUE)+VLOOKUP(O519,'Fee Data'!$I$6:$J$14,2,TRUE)+'Fee Data'!$J$20+'Fee Data'!$J$21)*'Assumptions'!F37</x:f>
        <x:v>870</x:v>
      </x:c>
      <x:c r="R519" s="27" t="n">
        <x:f>P519*(1-'Assumptions'!$D$14)+Q519*'Assumptions'!$D$14</x:f>
        <x:v>932.5</x:v>
      </x:c>
      <x:c r="S519" s="27" t="n">
        <x:f>O519*'Carrier Engine'!E93</x:f>
        <x:v>214.3154706318378</x:v>
      </x:c>
      <x:c r="T519" s="28" t="n">
        <x:f>R519+S519</x:f>
        <x:v>1146.8154706318378</x:v>
      </x:c>
      <x:c r="U519" s="27" t="n">
        <x:f>N519*'Fleet Engine'!H203</x:f>
        <x:v>0</x:v>
      </x:c>
      <x:c r="V519" s="28" t="n">
        <x:f>U519*T519</x:f>
        <x:v>0</x:v>
      </x:c>
      <x:c r="W519" s="28" t="n">
        <x:f>U519*O519</x:f>
        <x:v>0</x:v>
      </x:c>
    </x:row>
    <x:row r="520" ht="19" customHeight="1">
      <x:c r="A520" s="2"/>
      <x:c r="B520" s="2"/>
      <x:c r="C520" s="46" t="n">
        <x:v>2</x:v>
      </x:c>
      <x:c r="D520" s="46" t="n">
        <x:v>9</x:v>
      </x:c>
      <x:c r="E520" s="46" t="n">
        <x:v>1</x:v>
      </x:c>
      <x:c r="F520" s="46" t="n">
        <x:v>3</x:v>
      </x:c>
      <x:c r="G520" s="12" t="n">
        <x:v>0.1111111111111111</x:v>
      </x:c>
      <x:c r="H520" s="12" t="n">
        <x:v>0.2222222222222222</x:v>
      </x:c>
      <x:c r="I520" s="29" t="n">
        <x:f>'Assumptions'!$D$11+'Assumptions'!$D$12*(0.5-(G520+H520)/2)</x:f>
        <x:v>0.3666666666666667</x:v>
      </x:c>
      <x:c r="J520" s="27" t="n">
        <x:f>'Assumptions'!$D$8*EXP(-'Assumptions'!$D$9*('Fleet Engine'!E203-10))*'Assumptions'!E56*'Assumptions'!F36</x:f>
        <x:v>13777.423112046714</x:v>
      </x:c>
      <x:c r="K520" s="27" t="n">
        <x:f>'Source Data'!F220+LN('Assumptions'!D56)+LN('Assumptions'!F35)</x:f>
        <x:v>8.069478273890956</x:v>
      </x:c>
      <x:c r="L520" s="27" t="n">
        <x:f>J520*(1-I520*(1-'Carrier Engine'!E93))</x:f>
        <x:v>8927.77017660627</x:v>
      </x:c>
      <x:c r="M520" s="29" t="n">
        <x:f>NORM.S.DIST((LN(L520)-K520)/'Assumptions'!$D$10,TRUE)</x:f>
        <x:v>0.7435526063287266</x:v>
      </x:c>
      <x:c r="N520" s="30" t="n">
        <x:f>MAX(0,H520-MAX(G520,M520))</x:f>
        <x:v>0</x:v>
      </x:c>
      <x:c r="O520" s="28" t="n">
        <x:f>J520*I520</x:f>
        <x:v>5051.721807750462</x:v>
      </x:c>
      <x:c r="P520" s="27" t="n">
        <x:f>(VLOOKUP(O520,'Fee Data'!$C$6:$G$50,2,TRUE)+O520*VLOOKUP(O520,'Fee Data'!$C$6:$G$50,3,TRUE)+VLOOKUP(O520,'Fee Data'!$I$6:$J$14,2,TRUE)+'Fee Data'!$J$20+'Fee Data'!$J$21)*'Assumptions'!F37</x:f>
        <x:v>995</x:v>
      </x:c>
      <x:c r="Q520" s="27" t="n">
        <x:f>(VLOOKUP(O520,'Fee Data'!$C$6:$G$50,4,TRUE)+O520*VLOOKUP(O520,'Fee Data'!$C$6:$G$50,5,TRUE)+VLOOKUP(O520,'Fee Data'!$I$6:$J$14,2,TRUE)+'Fee Data'!$J$20+'Fee Data'!$J$21)*'Assumptions'!F37</x:f>
        <x:v>870</x:v>
      </x:c>
      <x:c r="R520" s="27" t="n">
        <x:f>P520*(1-'Assumptions'!$D$14)+Q520*'Assumptions'!$D$14</x:f>
        <x:v>932.5</x:v>
      </x:c>
      <x:c r="S520" s="27" t="n">
        <x:f>O520*'Carrier Engine'!E93</x:f>
        <x:v>202.0688723100185</x:v>
      </x:c>
      <x:c r="T520" s="28" t="n">
        <x:f>R520+S520</x:f>
        <x:v>1134.5688723100184</x:v>
      </x:c>
      <x:c r="U520" s="27" t="n">
        <x:f>N520*'Fleet Engine'!H203</x:f>
        <x:v>0</x:v>
      </x:c>
      <x:c r="V520" s="28" t="n">
        <x:f>U520*T520</x:f>
        <x:v>0</x:v>
      </x:c>
      <x:c r="W520" s="28" t="n">
        <x:f>U520*O520</x:f>
        <x:v>0</x:v>
      </x:c>
    </x:row>
    <x:row r="521" ht="19" customHeight="1">
      <x:c r="A521" s="2"/>
      <x:c r="B521" s="2"/>
      <x:c r="C521" s="46" t="n">
        <x:v>2</x:v>
      </x:c>
      <x:c r="D521" s="46" t="n">
        <x:v>9</x:v>
      </x:c>
      <x:c r="E521" s="46" t="n">
        <x:v>1</x:v>
      </x:c>
      <x:c r="F521" s="46" t="n">
        <x:v>3</x:v>
      </x:c>
      <x:c r="G521" s="12" t="n">
        <x:v>0.2222222222222222</x:v>
      </x:c>
      <x:c r="H521" s="12" t="n">
        <x:v>0.3333333333333333</x:v>
      </x:c>
      <x:c r="I521" s="29" t="n">
        <x:f>'Assumptions'!$D$11+'Assumptions'!$D$12*(0.5-(G521+H521)/2)</x:f>
        <x:v>0.34444444444444444</x:v>
      </x:c>
      <x:c r="J521" s="27" t="n">
        <x:f>'Assumptions'!$D$8*EXP(-'Assumptions'!$D$9*('Fleet Engine'!E203-10))*'Assumptions'!E56*'Assumptions'!F36</x:f>
        <x:v>13777.423112046714</x:v>
      </x:c>
      <x:c r="K521" s="27" t="n">
        <x:f>'Source Data'!F220+LN('Assumptions'!D56)+LN('Assumptions'!F35)</x:f>
        <x:v>8.069478273890956</x:v>
      </x:c>
      <x:c r="L521" s="27" t="n">
        <x:f>J521*(1-I521*(1-'Carrier Engine'!E93))</x:f>
        <x:v>9221.688536329933</x:v>
      </x:c>
      <x:c r="M521" s="29" t="n">
        <x:f>NORM.S.DIST((LN(L521)-K521)/'Assumptions'!$D$10,TRUE)</x:f>
        <x:v>0.7501512229331906</x:v>
      </x:c>
      <x:c r="N521" s="30" t="n">
        <x:f>MAX(0,H521-MAX(G521,M521))</x:f>
        <x:v>0</x:v>
      </x:c>
      <x:c r="O521" s="28" t="n">
        <x:f>J521*I521</x:f>
        <x:v>4745.556849704979</x:v>
      </x:c>
      <x:c r="P521" s="27" t="n">
        <x:f>(VLOOKUP(O521,'Fee Data'!$C$6:$G$50,2,TRUE)+O521*VLOOKUP(O521,'Fee Data'!$C$6:$G$50,3,TRUE)+VLOOKUP(O521,'Fee Data'!$I$6:$J$14,2,TRUE)+'Fee Data'!$J$20+'Fee Data'!$J$21)*'Assumptions'!F37</x:f>
        <x:v>970</x:v>
      </x:c>
      <x:c r="Q521" s="27" t="n">
        <x:f>(VLOOKUP(O521,'Fee Data'!$C$6:$G$50,4,TRUE)+O521*VLOOKUP(O521,'Fee Data'!$C$6:$G$50,5,TRUE)+VLOOKUP(O521,'Fee Data'!$I$6:$J$14,2,TRUE)+'Fee Data'!$J$20+'Fee Data'!$J$21)*'Assumptions'!F37</x:f>
        <x:v>845</x:v>
      </x:c>
      <x:c r="R521" s="27" t="n">
        <x:f>P521*(1-'Assumptions'!$D$14)+Q521*'Assumptions'!$D$14</x:f>
        <x:v>907.5</x:v>
      </x:c>
      <x:c r="S521" s="27" t="n">
        <x:f>O521*'Carrier Engine'!E93</x:f>
        <x:v>189.82227398819916</x:v>
      </x:c>
      <x:c r="T521" s="28" t="n">
        <x:f>R521+S521</x:f>
        <x:v>1097.3222739881992</x:v>
      </x:c>
      <x:c r="U521" s="27" t="n">
        <x:f>N521*'Fleet Engine'!H203</x:f>
        <x:v>0</x:v>
      </x:c>
      <x:c r="V521" s="28" t="n">
        <x:f>U521*T521</x:f>
        <x:v>0</x:v>
      </x:c>
      <x:c r="W521" s="28" t="n">
        <x:f>U521*O521</x:f>
        <x:v>0</x:v>
      </x:c>
    </x:row>
    <x:row r="522" ht="19" customHeight="1">
      <x:c r="A522" s="2"/>
      <x:c r="B522" s="2"/>
      <x:c r="C522" s="46" t="n">
        <x:v>2</x:v>
      </x:c>
      <x:c r="D522" s="46" t="n">
        <x:v>9</x:v>
      </x:c>
      <x:c r="E522" s="46" t="n">
        <x:v>1</x:v>
      </x:c>
      <x:c r="F522" s="46" t="n">
        <x:v>3</x:v>
      </x:c>
      <x:c r="G522" s="12" t="n">
        <x:v>0.3333333333333333</x:v>
      </x:c>
      <x:c r="H522" s="12" t="n">
        <x:v>0.4444444444444444</x:v>
      </x:c>
      <x:c r="I522" s="29" t="n">
        <x:f>'Assumptions'!$D$11+'Assumptions'!$D$12*(0.5-(G522+H522)/2)</x:f>
        <x:v>0.32222222222222224</x:v>
      </x:c>
      <x:c r="J522" s="27" t="n">
        <x:f>'Assumptions'!$D$8*EXP(-'Assumptions'!$D$9*('Fleet Engine'!E203-10))*'Assumptions'!E56*'Assumptions'!F36</x:f>
        <x:v>13777.423112046714</x:v>
      </x:c>
      <x:c r="K522" s="27" t="n">
        <x:f>'Source Data'!F220+LN('Assumptions'!D56)+LN('Assumptions'!F35)</x:f>
        <x:v>8.069478273890956</x:v>
      </x:c>
      <x:c r="L522" s="27" t="n">
        <x:f>J522*(1-I522*(1-'Carrier Engine'!E93))</x:f>
        <x:v>9515.606896053598</x:v>
      </x:c>
      <x:c r="M522" s="29" t="n">
        <x:f>NORM.S.DIST((LN(L522)-K522)/'Assumptions'!$D$10,TRUE)</x:f>
        <x:v>0.7564558162657599</x:v>
      </x:c>
      <x:c r="N522" s="30" t="n">
        <x:f>MAX(0,H522-MAX(G522,M522))</x:f>
        <x:v>0</x:v>
      </x:c>
      <x:c r="O522" s="28" t="n">
        <x:f>J522*I522</x:f>
        <x:v>4439.391891659497</x:v>
      </x:c>
      <x:c r="P522" s="27" t="n">
        <x:f>(VLOOKUP(O522,'Fee Data'!$C$6:$G$50,2,TRUE)+O522*VLOOKUP(O522,'Fee Data'!$C$6:$G$50,3,TRUE)+VLOOKUP(O522,'Fee Data'!$I$6:$J$14,2,TRUE)+'Fee Data'!$J$20+'Fee Data'!$J$21)*'Assumptions'!F37</x:f>
        <x:v>945</x:v>
      </x:c>
      <x:c r="Q522" s="27" t="n">
        <x:f>(VLOOKUP(O522,'Fee Data'!$C$6:$G$50,4,TRUE)+O522*VLOOKUP(O522,'Fee Data'!$C$6:$G$50,5,TRUE)+VLOOKUP(O522,'Fee Data'!$I$6:$J$14,2,TRUE)+'Fee Data'!$J$20+'Fee Data'!$J$21)*'Assumptions'!F37</x:f>
        <x:v>820</x:v>
      </x:c>
      <x:c r="R522" s="27" t="n">
        <x:f>P522*(1-'Assumptions'!$D$14)+Q522*'Assumptions'!$D$14</x:f>
        <x:v>882.5</x:v>
      </x:c>
      <x:c r="S522" s="27" t="n">
        <x:f>O522*'Carrier Engine'!E93</x:f>
        <x:v>177.57567566637988</x:v>
      </x:c>
      <x:c r="T522" s="28" t="n">
        <x:f>R522+S522</x:f>
        <x:v>1060.07567566638</x:v>
      </x:c>
      <x:c r="U522" s="27" t="n">
        <x:f>N522*'Fleet Engine'!H203</x:f>
        <x:v>0</x:v>
      </x:c>
      <x:c r="V522" s="28" t="n">
        <x:f>U522*T522</x:f>
        <x:v>0</x:v>
      </x:c>
      <x:c r="W522" s="28" t="n">
        <x:f>U522*O522</x:f>
        <x:v>0</x:v>
      </x:c>
    </x:row>
    <x:row r="523" ht="19" customHeight="1">
      <x:c r="A523" s="2"/>
      <x:c r="B523" s="2"/>
      <x:c r="C523" s="46" t="n">
        <x:v>2</x:v>
      </x:c>
      <x:c r="D523" s="46" t="n">
        <x:v>9</x:v>
      </x:c>
      <x:c r="E523" s="46" t="n">
        <x:v>1</x:v>
      </x:c>
      <x:c r="F523" s="46" t="n">
        <x:v>3</x:v>
      </x:c>
      <x:c r="G523" s="12" t="n">
        <x:v>0.4444444444444444</x:v>
      </x:c>
      <x:c r="H523" s="12" t="n">
        <x:v>0.5555555555555556</x:v>
      </x:c>
      <x:c r="I523" s="29" t="n">
        <x:f>'Assumptions'!$D$11+'Assumptions'!$D$12*(0.5-(G523+H523)/2)</x:f>
        <x:v>0.3</x:v>
      </x:c>
      <x:c r="J523" s="27" t="n">
        <x:f>'Assumptions'!$D$8*EXP(-'Assumptions'!$D$9*('Fleet Engine'!E203-10))*'Assumptions'!E56*'Assumptions'!F36</x:f>
        <x:v>13777.423112046714</x:v>
      </x:c>
      <x:c r="K523" s="27" t="n">
        <x:f>'Source Data'!F220+LN('Assumptions'!D56)+LN('Assumptions'!F35)</x:f>
        <x:v>8.069478273890956</x:v>
      </x:c>
      <x:c r="L523" s="27" t="n">
        <x:f>J523*(1-I523*(1-'Carrier Engine'!E93))</x:f>
        <x:v>9809.52525577726</x:v>
      </x:c>
      <x:c r="M523" s="29" t="n">
        <x:f>NORM.S.DIST((LN(L523)-K523)/'Assumptions'!$D$10,TRUE)</x:f>
        <x:v>0.7624856059429846</x:v>
      </x:c>
      <x:c r="N523" s="30" t="n">
        <x:f>MAX(0,H523-MAX(G523,M523))</x:f>
        <x:v>0</x:v>
      </x:c>
      <x:c r="O523" s="28" t="n">
        <x:f>J523*I523</x:f>
        <x:v>4133.226933614014</x:v>
      </x:c>
      <x:c r="P523" s="27" t="n">
        <x:f>(VLOOKUP(O523,'Fee Data'!$C$6:$G$50,2,TRUE)+O523*VLOOKUP(O523,'Fee Data'!$C$6:$G$50,3,TRUE)+VLOOKUP(O523,'Fee Data'!$I$6:$J$14,2,TRUE)+'Fee Data'!$J$20+'Fee Data'!$J$21)*'Assumptions'!F37</x:f>
        <x:v>945</x:v>
      </x:c>
      <x:c r="Q523" s="27" t="n">
        <x:f>(VLOOKUP(O523,'Fee Data'!$C$6:$G$50,4,TRUE)+O523*VLOOKUP(O523,'Fee Data'!$C$6:$G$50,5,TRUE)+VLOOKUP(O523,'Fee Data'!$I$6:$J$14,2,TRUE)+'Fee Data'!$J$20+'Fee Data'!$J$21)*'Assumptions'!F37</x:f>
        <x:v>820</x:v>
      </x:c>
      <x:c r="R523" s="27" t="n">
        <x:f>P523*(1-'Assumptions'!$D$14)+Q523*'Assumptions'!$D$14</x:f>
        <x:v>882.5</x:v>
      </x:c>
      <x:c r="S523" s="27" t="n">
        <x:f>O523*'Carrier Engine'!E93</x:f>
        <x:v>165.32907734456057</x:v>
      </x:c>
      <x:c r="T523" s="28" t="n">
        <x:f>R523+S523</x:f>
        <x:v>1047.8290773445606</x:v>
      </x:c>
      <x:c r="U523" s="27" t="n">
        <x:f>N523*'Fleet Engine'!H203</x:f>
        <x:v>0</x:v>
      </x:c>
      <x:c r="V523" s="28" t="n">
        <x:f>U523*T523</x:f>
        <x:v>0</x:v>
      </x:c>
      <x:c r="W523" s="28" t="n">
        <x:f>U523*O523</x:f>
        <x:v>0</x:v>
      </x:c>
    </x:row>
    <x:row r="524" ht="19" customHeight="1">
      <x:c r="A524" s="2"/>
      <x:c r="B524" s="2"/>
      <x:c r="C524" s="46" t="n">
        <x:v>2</x:v>
      </x:c>
      <x:c r="D524" s="46" t="n">
        <x:v>9</x:v>
      </x:c>
      <x:c r="E524" s="46" t="n">
        <x:v>1</x:v>
      </x:c>
      <x:c r="F524" s="46" t="n">
        <x:v>3</x:v>
      </x:c>
      <x:c r="G524" s="12" t="n">
        <x:v>0.5555555555555556</x:v>
      </x:c>
      <x:c r="H524" s="12" t="n">
        <x:v>0.6666666666666666</x:v>
      </x:c>
      <x:c r="I524" s="29" t="n">
        <x:f>'Assumptions'!$D$11+'Assumptions'!$D$12*(0.5-(G524+H524)/2)</x:f>
        <x:v>0.27777777777777773</x:v>
      </x:c>
      <x:c r="J524" s="27" t="n">
        <x:f>'Assumptions'!$D$8*EXP(-'Assumptions'!$D$9*('Fleet Engine'!E203-10))*'Assumptions'!E56*'Assumptions'!F36</x:f>
        <x:v>13777.423112046714</x:v>
      </x:c>
      <x:c r="K524" s="27" t="n">
        <x:f>'Source Data'!F220+LN('Assumptions'!D56)+LN('Assumptions'!F35)</x:f>
        <x:v>8.069478273890956</x:v>
      </x:c>
      <x:c r="L524" s="27" t="n">
        <x:f>J524*(1-I524*(1-'Carrier Engine'!E93))</x:f>
        <x:v>10103.443615500924</x:v>
      </x:c>
      <x:c r="M524" s="29" t="n">
        <x:f>NORM.S.DIST((LN(L524)-K524)/'Assumptions'!$D$10,TRUE)</x:f>
        <x:v>0.7682581433884235</x:v>
      </x:c>
      <x:c r="N524" s="30" t="n">
        <x:f>MAX(0,H524-MAX(G524,M524))</x:f>
        <x:v>0</x:v>
      </x:c>
      <x:c r="O524" s="28" t="n">
        <x:f>J524*I524</x:f>
        <x:v>3827.061975568531</x:v>
      </x:c>
      <x:c r="P524" s="27" t="n">
        <x:f>(VLOOKUP(O524,'Fee Data'!$C$6:$G$50,2,TRUE)+O524*VLOOKUP(O524,'Fee Data'!$C$6:$G$50,3,TRUE)+VLOOKUP(O524,'Fee Data'!$I$6:$J$14,2,TRUE)+'Fee Data'!$J$20+'Fee Data'!$J$21)*'Assumptions'!F37</x:f>
        <x:v>915</x:v>
      </x:c>
      <x:c r="Q524" s="27" t="n">
        <x:f>(VLOOKUP(O524,'Fee Data'!$C$6:$G$50,4,TRUE)+O524*VLOOKUP(O524,'Fee Data'!$C$6:$G$50,5,TRUE)+VLOOKUP(O524,'Fee Data'!$I$6:$J$14,2,TRUE)+'Fee Data'!$J$20+'Fee Data'!$J$21)*'Assumptions'!F37</x:f>
        <x:v>765</x:v>
      </x:c>
      <x:c r="R524" s="27" t="n">
        <x:f>P524*(1-'Assumptions'!$D$14)+Q524*'Assumptions'!$D$14</x:f>
        <x:v>840</x:v>
      </x:c>
      <x:c r="S524" s="27" t="n">
        <x:f>O524*'Carrier Engine'!E93</x:f>
        <x:v>153.08247902274124</x:v>
      </x:c>
      <x:c r="T524" s="28" t="n">
        <x:f>R524+S524</x:f>
        <x:v>993.0824790227413</x:v>
      </x:c>
      <x:c r="U524" s="27" t="n">
        <x:f>N524*'Fleet Engine'!H203</x:f>
        <x:v>0</x:v>
      </x:c>
      <x:c r="V524" s="28" t="n">
        <x:f>U524*T524</x:f>
        <x:v>0</x:v>
      </x:c>
      <x:c r="W524" s="28" t="n">
        <x:f>U524*O524</x:f>
        <x:v>0</x:v>
      </x:c>
    </x:row>
    <x:row r="525" ht="19" customHeight="1">
      <x:c r="A525" s="2"/>
      <x:c r="B525" s="2"/>
      <x:c r="C525" s="46" t="n">
        <x:v>2</x:v>
      </x:c>
      <x:c r="D525" s="46" t="n">
        <x:v>9</x:v>
      </x:c>
      <x:c r="E525" s="46" t="n">
        <x:v>1</x:v>
      </x:c>
      <x:c r="F525" s="46" t="n">
        <x:v>3</x:v>
      </x:c>
      <x:c r="G525" s="12" t="n">
        <x:v>0.6666666666666666</x:v>
      </x:c>
      <x:c r="H525" s="12" t="n">
        <x:v>0.7777777777777778</x:v>
      </x:c>
      <x:c r="I525" s="29" t="n">
        <x:f>'Assumptions'!$D$11+'Assumptions'!$D$12*(0.5-(G525+H525)/2)</x:f>
        <x:v>0.25555555555555554</x:v>
      </x:c>
      <x:c r="J525" s="27" t="n">
        <x:f>'Assumptions'!$D$8*EXP(-'Assumptions'!$D$9*('Fleet Engine'!E203-10))*'Assumptions'!E56*'Assumptions'!F36</x:f>
        <x:v>13777.423112046714</x:v>
      </x:c>
      <x:c r="K525" s="27" t="n">
        <x:f>'Source Data'!F220+LN('Assumptions'!D56)+LN('Assumptions'!F35)</x:f>
        <x:v>8.069478273890956</x:v>
      </x:c>
      <x:c r="L525" s="27" t="n">
        <x:f>J525*(1-I525*(1-'Carrier Engine'!E93))</x:f>
        <x:v>10397.361975224587</x:v>
      </x:c>
      <x:c r="M525" s="29" t="n">
        <x:f>NORM.S.DIST((LN(L525)-K525)/'Assumptions'!$D$10,TRUE)</x:f>
        <x:v>0.7737894922279166</x:v>
      </x:c>
      <x:c r="N525" s="30" t="n">
        <x:f>MAX(0,H525-MAX(G525,M525))</x:f>
        <x:v>0.0039882855498611924</x:v>
      </x:c>
      <x:c r="O525" s="28" t="n">
        <x:f>J525*I525</x:f>
        <x:v>3520.897017523049</x:v>
      </x:c>
      <x:c r="P525" s="27" t="n">
        <x:f>(VLOOKUP(O525,'Fee Data'!$C$6:$G$50,2,TRUE)+O525*VLOOKUP(O525,'Fee Data'!$C$6:$G$50,3,TRUE)+VLOOKUP(O525,'Fee Data'!$I$6:$J$14,2,TRUE)+'Fee Data'!$J$20+'Fee Data'!$J$21)*'Assumptions'!F37</x:f>
        <x:v>915</x:v>
      </x:c>
      <x:c r="Q525" s="27" t="n">
        <x:f>(VLOOKUP(O525,'Fee Data'!$C$6:$G$50,4,TRUE)+O525*VLOOKUP(O525,'Fee Data'!$C$6:$G$50,5,TRUE)+VLOOKUP(O525,'Fee Data'!$I$6:$J$14,2,TRUE)+'Fee Data'!$J$20+'Fee Data'!$J$21)*'Assumptions'!F37</x:f>
        <x:v>765</x:v>
      </x:c>
      <x:c r="R525" s="27" t="n">
        <x:f>P525*(1-'Assumptions'!$D$14)+Q525*'Assumptions'!$D$14</x:f>
        <x:v>840</x:v>
      </x:c>
      <x:c r="S525" s="27" t="n">
        <x:f>O525*'Carrier Engine'!E93</x:f>
        <x:v>140.83588070092196</x:v>
      </x:c>
      <x:c r="T525" s="28" t="n">
        <x:f>R525+S525</x:f>
        <x:v>980.835880700922</x:v>
      </x:c>
      <x:c r="U525" s="27" t="n">
        <x:f>N525*'Fleet Engine'!H203</x:f>
        <x:v>70.68610991067058</x:v>
      </x:c>
      <x:c r="V525" s="28" t="n">
        <x:f>U525*T525</x:f>
        <x:v>69331.47286755475</x:v>
      </x:c>
      <x:c r="W525" s="28" t="n">
        <x:f>U525*O525</x:f>
        <x:v>248878.51356478647</x:v>
      </x:c>
    </x:row>
    <x:row r="526" ht="19" customHeight="1">
      <x:c r="A526" s="2"/>
      <x:c r="B526" s="2"/>
      <x:c r="C526" s="46" t="n">
        <x:v>2</x:v>
      </x:c>
      <x:c r="D526" s="46" t="n">
        <x:v>9</x:v>
      </x:c>
      <x:c r="E526" s="46" t="n">
        <x:v>1</x:v>
      </x:c>
      <x:c r="F526" s="46" t="n">
        <x:v>3</x:v>
      </x:c>
      <x:c r="G526" s="12" t="n">
        <x:v>0.7777777777777778</x:v>
      </x:c>
      <x:c r="H526" s="12" t="n">
        <x:v>0.8888888888888888</x:v>
      </x:c>
      <x:c r="I526" s="29" t="n">
        <x:f>'Assumptions'!$D$11+'Assumptions'!$D$12*(0.5-(G526+H526)/2)</x:f>
        <x:v>0.23333333333333334</x:v>
      </x:c>
      <x:c r="J526" s="27" t="n">
        <x:f>'Assumptions'!$D$8*EXP(-'Assumptions'!$D$9*('Fleet Engine'!E203-10))*'Assumptions'!E56*'Assumptions'!F36</x:f>
        <x:v>13777.423112046714</x:v>
      </x:c>
      <x:c r="K526" s="27" t="n">
        <x:f>'Source Data'!F220+LN('Assumptions'!D56)+LN('Assumptions'!F35)</x:f>
        <x:v>8.069478273890956</x:v>
      </x:c>
      <x:c r="L526" s="27" t="n">
        <x:f>J526*(1-I526*(1-'Carrier Engine'!E93))</x:f>
        <x:v>10691.280334948251</x:v>
      </x:c>
      <x:c r="M526" s="29" t="n">
        <x:f>NORM.S.DIST((LN(L526)-K526)/'Assumptions'!$D$10,TRUE)</x:f>
        <x:v>0.7790943854078269</x:v>
      </x:c>
      <x:c r="N526" s="30" t="n">
        <x:f>MAX(0,H526-MAX(G526,M526))</x:f>
        <x:v>0.1097945034810619</x:v>
      </x:c>
      <x:c r="O526" s="28" t="n">
        <x:f>J526*I526</x:f>
        <x:v>3214.7320594775665</x:v>
      </x:c>
      <x:c r="P526" s="27" t="n">
        <x:f>(VLOOKUP(O526,'Fee Data'!$C$6:$G$50,2,TRUE)+O526*VLOOKUP(O526,'Fee Data'!$C$6:$G$50,3,TRUE)+VLOOKUP(O526,'Fee Data'!$I$6:$J$14,2,TRUE)+'Fee Data'!$J$20+'Fee Data'!$J$21)*'Assumptions'!F37</x:f>
        <x:v>865</x:v>
      </x:c>
      <x:c r="Q526" s="27" t="n">
        <x:f>(VLOOKUP(O526,'Fee Data'!$C$6:$G$50,4,TRUE)+O526*VLOOKUP(O526,'Fee Data'!$C$6:$G$50,5,TRUE)+VLOOKUP(O526,'Fee Data'!$I$6:$J$14,2,TRUE)+'Fee Data'!$J$20+'Fee Data'!$J$21)*'Assumptions'!F37</x:f>
        <x:v>715</x:v>
      </x:c>
      <x:c r="R526" s="27" t="n">
        <x:f>P526*(1-'Assumptions'!$D$14)+Q526*'Assumptions'!$D$14</x:f>
        <x:v>790</x:v>
      </x:c>
      <x:c r="S526" s="27" t="n">
        <x:f>O526*'Carrier Engine'!E93</x:f>
        <x:v>128.58928237910266</x:v>
      </x:c>
      <x:c r="T526" s="28" t="n">
        <x:f>R526+S526</x:f>
        <x:v>918.5892823791027</x:v>
      </x:c>
      <x:c r="U526" s="27" t="n">
        <x:f>N526*'Fleet Engine'!H203</x:f>
        <x:v>1945.9354761897519</x:v>
      </x:c>
      <x:c r="V526" s="28" t="n">
        <x:f>U526*T526</x:f>
        <x:v>1787515.4726291816</x:v>
      </x:c>
      <x:c r="W526" s="28" t="n">
        <x:f>U526*O526</x:f>
        <x:v>6255661.16098194</x:v>
      </x:c>
    </x:row>
    <x:row r="527" ht="19" customHeight="1">
      <x:c r="A527" s="2"/>
      <x:c r="B527" s="2"/>
      <x:c r="C527" s="46" t="n">
        <x:v>2</x:v>
      </x:c>
      <x:c r="D527" s="46" t="n">
        <x:v>9</x:v>
      </x:c>
      <x:c r="E527" s="46" t="n">
        <x:v>1</x:v>
      </x:c>
      <x:c r="F527" s="46" t="n">
        <x:v>3</x:v>
      </x:c>
      <x:c r="G527" s="12" t="n">
        <x:v>0.8888888888888888</x:v>
      </x:c>
      <x:c r="H527" s="12" t="n">
        <x:v>1</x:v>
      </x:c>
      <x:c r="I527" s="29" t="n">
        <x:f>'Assumptions'!$D$11+'Assumptions'!$D$12*(0.5-(G527+H527)/2)</x:f>
        <x:v>0.21111111111111108</x:v>
      </x:c>
      <x:c r="J527" s="27" t="n">
        <x:f>'Assumptions'!$D$8*EXP(-'Assumptions'!$D$9*('Fleet Engine'!E203-10))*'Assumptions'!E56*'Assumptions'!F36</x:f>
        <x:v>13777.423112046714</x:v>
      </x:c>
      <x:c r="K527" s="27" t="n">
        <x:f>'Source Data'!F220+LN('Assumptions'!D56)+LN('Assumptions'!F35)</x:f>
        <x:v>8.069478273890956</x:v>
      </x:c>
      <x:c r="L527" s="27" t="n">
        <x:f>J527*(1-I527*(1-'Carrier Engine'!E93))</x:f>
        <x:v>10985.198694671913</x:v>
      </x:c>
      <x:c r="M527" s="29" t="n">
        <x:f>NORM.S.DIST((LN(L527)-K527)/'Assumptions'!$D$10,TRUE)</x:f>
        <x:v>0.7841863625115301</x:v>
      </x:c>
      <x:c r="N527" s="30" t="n">
        <x:f>MAX(0,H527-MAX(G527,M527))</x:f>
        <x:v>0.11111111111111116</x:v>
      </x:c>
      <x:c r="O527" s="28" t="n">
        <x:f>J527*I527</x:f>
        <x:v>2908.5671014320837</x:v>
      </x:c>
      <x:c r="P527" s="27" t="n">
        <x:f>(VLOOKUP(O527,'Fee Data'!$C$6:$G$50,2,TRUE)+O527*VLOOKUP(O527,'Fee Data'!$C$6:$G$50,3,TRUE)+VLOOKUP(O527,'Fee Data'!$I$6:$J$14,2,TRUE)+'Fee Data'!$J$20+'Fee Data'!$J$21)*'Assumptions'!F37</x:f>
        <x:v>820</x:v>
      </x:c>
      <x:c r="Q527" s="27" t="n">
        <x:f>(VLOOKUP(O527,'Fee Data'!$C$6:$G$50,4,TRUE)+O527*VLOOKUP(O527,'Fee Data'!$C$6:$G$50,5,TRUE)+VLOOKUP(O527,'Fee Data'!$I$6:$J$14,2,TRUE)+'Fee Data'!$J$20+'Fee Data'!$J$21)*'Assumptions'!F37</x:f>
        <x:v>670</x:v>
      </x:c>
      <x:c r="R527" s="27" t="n">
        <x:f>P527*(1-'Assumptions'!$D$14)+Q527*'Assumptions'!$D$14</x:f>
        <x:v>745</x:v>
      </x:c>
      <x:c r="S527" s="27" t="n">
        <x:f>O527*'Carrier Engine'!E93</x:f>
        <x:v>116.34268405728335</x:v>
      </x:c>
      <x:c r="T527" s="28" t="n">
        <x:f>R527+S527</x:f>
        <x:v>861.3426840572833</x:v>
      </x:c>
      <x:c r="U527" s="27" t="n">
        <x:f>N527*'Fleet Engine'!H203</x:f>
        <x:v>1969.2702827083392</x:v>
      </x:c>
      <x:c r="V527" s="28" t="n">
        <x:f>U527*T527</x:f>
        <x:v>1696216.550942246</x:v>
      </x:c>
      <x:c r="W527" s="28" t="n">
        <x:f>U527*O527</x:f>
        <x:v>5727754.758113334</x:v>
      </x:c>
    </x:row>
    <x:row r="528" ht="19" customHeight="1">
      <x:c r="A528" s="2"/>
      <x:c r="B528" s="2"/>
      <x:c r="C528" s="46" t="n">
        <x:v>2</x:v>
      </x:c>
      <x:c r="D528" s="46" t="n">
        <x:v>10</x:v>
      </x:c>
      <x:c r="E528" s="46" t="n">
        <x:v>1</x:v>
      </x:c>
      <x:c r="F528" s="46" t="n">
        <x:v>4</x:v>
      </x:c>
      <x:c r="G528" s="12" t="n">
        <x:v>0</x:v>
      </x:c>
      <x:c r="H528" s="12" t="n">
        <x:v>0.1111111111111111</x:v>
      </x:c>
      <x:c r="I528" s="29" t="n">
        <x:f>'Assumptions'!$D$11+'Assumptions'!$D$12*(0.5-(G528+H528)/2)</x:f>
        <x:v>0.3888888888888889</x:v>
      </x:c>
      <x:c r="J528" s="27" t="n">
        <x:f>'Assumptions'!$D$8*EXP(-'Assumptions'!$D$9*('Fleet Engine'!E204-10))*'Assumptions'!E56*'Assumptions'!F36</x:f>
        <x:v>10206.566075445622</x:v>
      </x:c>
      <x:c r="K528" s="27" t="n">
        <x:f>'Source Data'!F221+LN('Assumptions'!D56)+LN('Assumptions'!F35)</x:f>
        <x:v>8.155326402806208</x:v>
      </x:c>
      <x:c r="L528" s="27" t="n">
        <x:f>J528*(1-I528*(1-'Carrier Engine'!E93))</x:f>
        <x:v>6396.11474061259</x:v>
      </x:c>
      <x:c r="M528" s="29" t="n">
        <x:f>NORM.S.DIST((LN(L528)-K528)/'Assumptions'!$D$10,TRUE)</x:f>
        <x:v>0.6507279511537387</x:v>
      </x:c>
      <x:c r="N528" s="30" t="n">
        <x:f>MAX(0,H528-MAX(G528,M528))</x:f>
        <x:v>0</x:v>
      </x:c>
      <x:c r="O528" s="28" t="n">
        <x:f>J528*I528</x:f>
        <x:v>3969.220140451075</x:v>
      </x:c>
      <x:c r="P528" s="27" t="n">
        <x:f>(VLOOKUP(O528,'Fee Data'!$C$6:$G$50,2,TRUE)+O528*VLOOKUP(O528,'Fee Data'!$C$6:$G$50,3,TRUE)+VLOOKUP(O528,'Fee Data'!$I$6:$J$14,2,TRUE)+'Fee Data'!$J$20+'Fee Data'!$J$21)*'Assumptions'!F37</x:f>
        <x:v>915</x:v>
      </x:c>
      <x:c r="Q528" s="27" t="n">
        <x:f>(VLOOKUP(O528,'Fee Data'!$C$6:$G$50,4,TRUE)+O528*VLOOKUP(O528,'Fee Data'!$C$6:$G$50,5,TRUE)+VLOOKUP(O528,'Fee Data'!$I$6:$J$14,2,TRUE)+'Fee Data'!$J$20+'Fee Data'!$J$21)*'Assumptions'!F37</x:f>
        <x:v>765</x:v>
      </x:c>
      <x:c r="R528" s="27" t="n">
        <x:f>P528*(1-'Assumptions'!$D$14)+Q528*'Assumptions'!$D$14</x:f>
        <x:v>840</x:v>
      </x:c>
      <x:c r="S528" s="27" t="n">
        <x:f>O528*'Carrier Engine'!E93</x:f>
        <x:v>158.76880561804302</x:v>
      </x:c>
      <x:c r="T528" s="28" t="n">
        <x:f>R528+S528</x:f>
        <x:v>998.768805618043</x:v>
      </x:c>
      <x:c r="U528" s="27" t="n">
        <x:f>N528*'Fleet Engine'!H204</x:f>
        <x:v>0</x:v>
      </x:c>
      <x:c r="V528" s="28" t="n">
        <x:f>U528*T528</x:f>
        <x:v>0</x:v>
      </x:c>
      <x:c r="W528" s="28" t="n">
        <x:f>U528*O528</x:f>
        <x:v>0</x:v>
      </x:c>
    </x:row>
    <x:row r="529" ht="19" customHeight="1">
      <x:c r="A529" s="2"/>
      <x:c r="B529" s="2"/>
      <x:c r="C529" s="46" t="n">
        <x:v>2</x:v>
      </x:c>
      <x:c r="D529" s="46" t="n">
        <x:v>10</x:v>
      </x:c>
      <x:c r="E529" s="46" t="n">
        <x:v>1</x:v>
      </x:c>
      <x:c r="F529" s="46" t="n">
        <x:v>4</x:v>
      </x:c>
      <x:c r="G529" s="12" t="n">
        <x:v>0.1111111111111111</x:v>
      </x:c>
      <x:c r="H529" s="12" t="n">
        <x:v>0.2222222222222222</x:v>
      </x:c>
      <x:c r="I529" s="29" t="n">
        <x:f>'Assumptions'!$D$11+'Assumptions'!$D$12*(0.5-(G529+H529)/2)</x:f>
        <x:v>0.3666666666666667</x:v>
      </x:c>
      <x:c r="J529" s="27" t="n">
        <x:f>'Assumptions'!$D$8*EXP(-'Assumptions'!$D$9*('Fleet Engine'!E204-10))*'Assumptions'!E56*'Assumptions'!F36</x:f>
        <x:v>10206.566075445622</x:v>
      </x:c>
      <x:c r="K529" s="27" t="n">
        <x:f>'Source Data'!F221+LN('Assumptions'!D56)+LN('Assumptions'!F35)</x:f>
        <x:v>8.155326402806208</x:v>
      </x:c>
      <x:c r="L529" s="27" t="n">
        <x:f>J529*(1-I529*(1-'Carrier Engine'!E93))</x:f>
        <x:v>6613.854816888762</x:v>
      </x:c>
      <x:c r="M529" s="29" t="n">
        <x:f>NORM.S.DIST((LN(L529)-K529)/'Assumptions'!$D$10,TRUE)</x:f>
        <x:v>0.658585579143658</x:v>
      </x:c>
      <x:c r="N529" s="30" t="n">
        <x:f>MAX(0,H529-MAX(G529,M529))</x:f>
        <x:v>0</x:v>
      </x:c>
      <x:c r="O529" s="28" t="n">
        <x:f>J529*I529</x:f>
        <x:v>3742.4075609967285</x:v>
      </x:c>
      <x:c r="P529" s="27" t="n">
        <x:f>(VLOOKUP(O529,'Fee Data'!$C$6:$G$50,2,TRUE)+O529*VLOOKUP(O529,'Fee Data'!$C$6:$G$50,3,TRUE)+VLOOKUP(O529,'Fee Data'!$I$6:$J$14,2,TRUE)+'Fee Data'!$J$20+'Fee Data'!$J$21)*'Assumptions'!F37</x:f>
        <x:v>915</x:v>
      </x:c>
      <x:c r="Q529" s="27" t="n">
        <x:f>(VLOOKUP(O529,'Fee Data'!$C$6:$G$50,4,TRUE)+O529*VLOOKUP(O529,'Fee Data'!$C$6:$G$50,5,TRUE)+VLOOKUP(O529,'Fee Data'!$I$6:$J$14,2,TRUE)+'Fee Data'!$J$20+'Fee Data'!$J$21)*'Assumptions'!F37</x:f>
        <x:v>765</x:v>
      </x:c>
      <x:c r="R529" s="27" t="n">
        <x:f>P529*(1-'Assumptions'!$D$14)+Q529*'Assumptions'!$D$14</x:f>
        <x:v>840</x:v>
      </x:c>
      <x:c r="S529" s="27" t="n">
        <x:f>O529*'Carrier Engine'!E93</x:f>
        <x:v>149.69630243986916</x:v>
      </x:c>
      <x:c r="T529" s="28" t="n">
        <x:f>R529+S529</x:f>
        <x:v>989.6963024398692</x:v>
      </x:c>
      <x:c r="U529" s="27" t="n">
        <x:f>N529*'Fleet Engine'!H204</x:f>
        <x:v>0</x:v>
      </x:c>
      <x:c r="V529" s="28" t="n">
        <x:f>U529*T529</x:f>
        <x:v>0</x:v>
      </x:c>
      <x:c r="W529" s="28" t="n">
        <x:f>U529*O529</x:f>
        <x:v>0</x:v>
      </x:c>
    </x:row>
    <x:row r="530" ht="19" customHeight="1">
      <x:c r="A530" s="2"/>
      <x:c r="B530" s="2"/>
      <x:c r="C530" s="46" t="n">
        <x:v>2</x:v>
      </x:c>
      <x:c r="D530" s="46" t="n">
        <x:v>10</x:v>
      </x:c>
      <x:c r="E530" s="46" t="n">
        <x:v>1</x:v>
      </x:c>
      <x:c r="F530" s="46" t="n">
        <x:v>4</x:v>
      </x:c>
      <x:c r="G530" s="12" t="n">
        <x:v>0.2222222222222222</x:v>
      </x:c>
      <x:c r="H530" s="12" t="n">
        <x:v>0.3333333333333333</x:v>
      </x:c>
      <x:c r="I530" s="29" t="n">
        <x:f>'Assumptions'!$D$11+'Assumptions'!$D$12*(0.5-(G530+H530)/2)</x:f>
        <x:v>0.34444444444444444</x:v>
      </x:c>
      <x:c r="J530" s="27" t="n">
        <x:f>'Assumptions'!$D$8*EXP(-'Assumptions'!$D$9*('Fleet Engine'!E204-10))*'Assumptions'!E56*'Assumptions'!F36</x:f>
        <x:v>10206.566075445622</x:v>
      </x:c>
      <x:c r="K530" s="27" t="n">
        <x:f>'Source Data'!F221+LN('Assumptions'!D56)+LN('Assumptions'!F35)</x:f>
        <x:v>8.155326402806208</x:v>
      </x:c>
      <x:c r="L530" s="27" t="n">
        <x:f>J530*(1-I530*(1-'Carrier Engine'!E93))</x:f>
        <x:v>6831.594893164936</x:v>
      </x:c>
      <x:c r="M530" s="29" t="n">
        <x:f>NORM.S.DIST((LN(L530)-K530)/'Assumptions'!$D$10,TRUE)</x:f>
        <x:v>0.6661238198441306</x:v>
      </x:c>
      <x:c r="N530" s="30" t="n">
        <x:f>MAX(0,H530-MAX(G530,M530))</x:f>
        <x:v>0</x:v>
      </x:c>
      <x:c r="O530" s="28" t="n">
        <x:f>J530*I530</x:f>
        <x:v>3515.594981542381</x:v>
      </x:c>
      <x:c r="P530" s="27" t="n">
        <x:f>(VLOOKUP(O530,'Fee Data'!$C$6:$G$50,2,TRUE)+O530*VLOOKUP(O530,'Fee Data'!$C$6:$G$50,3,TRUE)+VLOOKUP(O530,'Fee Data'!$I$6:$J$14,2,TRUE)+'Fee Data'!$J$20+'Fee Data'!$J$21)*'Assumptions'!F37</x:f>
        <x:v>915</x:v>
      </x:c>
      <x:c r="Q530" s="27" t="n">
        <x:f>(VLOOKUP(O530,'Fee Data'!$C$6:$G$50,4,TRUE)+O530*VLOOKUP(O530,'Fee Data'!$C$6:$G$50,5,TRUE)+VLOOKUP(O530,'Fee Data'!$I$6:$J$14,2,TRUE)+'Fee Data'!$J$20+'Fee Data'!$J$21)*'Assumptions'!F37</x:f>
        <x:v>765</x:v>
      </x:c>
      <x:c r="R530" s="27" t="n">
        <x:f>P530*(1-'Assumptions'!$D$14)+Q530*'Assumptions'!$D$14</x:f>
        <x:v>840</x:v>
      </x:c>
      <x:c r="S530" s="27" t="n">
        <x:f>O530*'Carrier Engine'!E93</x:f>
        <x:v>140.62379926169524</x:v>
      </x:c>
      <x:c r="T530" s="28" t="n">
        <x:f>R530+S530</x:f>
        <x:v>980.6237992616952</x:v>
      </x:c>
      <x:c r="U530" s="27" t="n">
        <x:f>N530*'Fleet Engine'!H204</x:f>
        <x:v>0</x:v>
      </x:c>
      <x:c r="V530" s="28" t="n">
        <x:f>U530*T530</x:f>
        <x:v>0</x:v>
      </x:c>
      <x:c r="W530" s="28" t="n">
        <x:f>U530*O530</x:f>
        <x:v>0</x:v>
      </x:c>
    </x:row>
    <x:row r="531" ht="19" customHeight="1">
      <x:c r="A531" s="2"/>
      <x:c r="B531" s="2"/>
      <x:c r="C531" s="46" t="n">
        <x:v>2</x:v>
      </x:c>
      <x:c r="D531" s="46" t="n">
        <x:v>10</x:v>
      </x:c>
      <x:c r="E531" s="46" t="n">
        <x:v>1</x:v>
      </x:c>
      <x:c r="F531" s="46" t="n">
        <x:v>4</x:v>
      </x:c>
      <x:c r="G531" s="12" t="n">
        <x:v>0.3333333333333333</x:v>
      </x:c>
      <x:c r="H531" s="12" t="n">
        <x:v>0.4444444444444444</x:v>
      </x:c>
      <x:c r="I531" s="29" t="n">
        <x:f>'Assumptions'!$D$11+'Assumptions'!$D$12*(0.5-(G531+H531)/2)</x:f>
        <x:v>0.32222222222222224</x:v>
      </x:c>
      <x:c r="J531" s="27" t="n">
        <x:f>'Assumptions'!$D$8*EXP(-'Assumptions'!$D$9*('Fleet Engine'!E204-10))*'Assumptions'!E56*'Assumptions'!F36</x:f>
        <x:v>10206.566075445622</x:v>
      </x:c>
      <x:c r="K531" s="27" t="n">
        <x:f>'Source Data'!F221+LN('Assumptions'!D56)+LN('Assumptions'!F35)</x:f>
        <x:v>8.155326402806208</x:v>
      </x:c>
      <x:c r="L531" s="27" t="n">
        <x:f>J531*(1-I531*(1-'Carrier Engine'!E93))</x:f>
        <x:v>7049.33496944111</x:v>
      </x:c>
      <x:c r="M531" s="29" t="n">
        <x:f>NORM.S.DIST((LN(L531)-K531)/'Assumptions'!$D$10,TRUE)</x:f>
        <x:v>0.6733621968258094</x:v>
      </x:c>
      <x:c r="N531" s="30" t="n">
        <x:f>MAX(0,H531-MAX(G531,M531))</x:f>
        <x:v>0</x:v>
      </x:c>
      <x:c r="O531" s="28" t="n">
        <x:f>J531*I531</x:f>
        <x:v>3288.782402088034</x:v>
      </x:c>
      <x:c r="P531" s="27" t="n">
        <x:f>(VLOOKUP(O531,'Fee Data'!$C$6:$G$50,2,TRUE)+O531*VLOOKUP(O531,'Fee Data'!$C$6:$G$50,3,TRUE)+VLOOKUP(O531,'Fee Data'!$I$6:$J$14,2,TRUE)+'Fee Data'!$J$20+'Fee Data'!$J$21)*'Assumptions'!F37</x:f>
        <x:v>865</x:v>
      </x:c>
      <x:c r="Q531" s="27" t="n">
        <x:f>(VLOOKUP(O531,'Fee Data'!$C$6:$G$50,4,TRUE)+O531*VLOOKUP(O531,'Fee Data'!$C$6:$G$50,5,TRUE)+VLOOKUP(O531,'Fee Data'!$I$6:$J$14,2,TRUE)+'Fee Data'!$J$20+'Fee Data'!$J$21)*'Assumptions'!F37</x:f>
        <x:v>715</x:v>
      </x:c>
      <x:c r="R531" s="27" t="n">
        <x:f>P531*(1-'Assumptions'!$D$14)+Q531*'Assumptions'!$D$14</x:f>
        <x:v>790</x:v>
      </x:c>
      <x:c r="S531" s="27" t="n">
        <x:f>O531*'Carrier Engine'!E93</x:f>
        <x:v>131.55129608352135</x:v>
      </x:c>
      <x:c r="T531" s="28" t="n">
        <x:f>R531+S531</x:f>
        <x:v>921.5512960835214</x:v>
      </x:c>
      <x:c r="U531" s="27" t="n">
        <x:f>N531*'Fleet Engine'!H204</x:f>
        <x:v>0</x:v>
      </x:c>
      <x:c r="V531" s="28" t="n">
        <x:f>U531*T531</x:f>
        <x:v>0</x:v>
      </x:c>
      <x:c r="W531" s="28" t="n">
        <x:f>U531*O531</x:f>
        <x:v>0</x:v>
      </x:c>
    </x:row>
    <x:row r="532" ht="19" customHeight="1">
      <x:c r="A532" s="2"/>
      <x:c r="B532" s="2"/>
      <x:c r="C532" s="46" t="n">
        <x:v>2</x:v>
      </x:c>
      <x:c r="D532" s="46" t="n">
        <x:v>10</x:v>
      </x:c>
      <x:c r="E532" s="46" t="n">
        <x:v>1</x:v>
      </x:c>
      <x:c r="F532" s="46" t="n">
        <x:v>4</x:v>
      </x:c>
      <x:c r="G532" s="12" t="n">
        <x:v>0.4444444444444444</x:v>
      </x:c>
      <x:c r="H532" s="12" t="n">
        <x:v>0.5555555555555556</x:v>
      </x:c>
      <x:c r="I532" s="29" t="n">
        <x:f>'Assumptions'!$D$11+'Assumptions'!$D$12*(0.5-(G532+H532)/2)</x:f>
        <x:v>0.3</x:v>
      </x:c>
      <x:c r="J532" s="27" t="n">
        <x:f>'Assumptions'!$D$8*EXP(-'Assumptions'!$D$9*('Fleet Engine'!E204-10))*'Assumptions'!E56*'Assumptions'!F36</x:f>
        <x:v>10206.566075445622</x:v>
      </x:c>
      <x:c r="K532" s="27" t="n">
        <x:f>'Source Data'!F221+LN('Assumptions'!D56)+LN('Assumptions'!F35)</x:f>
        <x:v>8.155326402806208</x:v>
      </x:c>
      <x:c r="L532" s="27" t="n">
        <x:f>J532*(1-I532*(1-'Carrier Engine'!E93))</x:f>
        <x:v>7267.075045717283</x:v>
      </x:c>
      <x:c r="M532" s="29" t="n">
        <x:f>NORM.S.DIST((LN(L532)-K532)/'Assumptions'!$D$10,TRUE)</x:f>
        <x:v>0.680318625246847</x:v>
      </x:c>
      <x:c r="N532" s="30" t="n">
        <x:f>MAX(0,H532-MAX(G532,M532))</x:f>
        <x:v>0</x:v>
      </x:c>
      <x:c r="O532" s="28" t="n">
        <x:f>J532*I532</x:f>
        <x:v>3061.9698226336864</x:v>
      </x:c>
      <x:c r="P532" s="27" t="n">
        <x:f>(VLOOKUP(O532,'Fee Data'!$C$6:$G$50,2,TRUE)+O532*VLOOKUP(O532,'Fee Data'!$C$6:$G$50,3,TRUE)+VLOOKUP(O532,'Fee Data'!$I$6:$J$14,2,TRUE)+'Fee Data'!$J$20+'Fee Data'!$J$21)*'Assumptions'!F37</x:f>
        <x:v>865</x:v>
      </x:c>
      <x:c r="Q532" s="27" t="n">
        <x:f>(VLOOKUP(O532,'Fee Data'!$C$6:$G$50,4,TRUE)+O532*VLOOKUP(O532,'Fee Data'!$C$6:$G$50,5,TRUE)+VLOOKUP(O532,'Fee Data'!$I$6:$J$14,2,TRUE)+'Fee Data'!$J$20+'Fee Data'!$J$21)*'Assumptions'!F37</x:f>
        <x:v>715</x:v>
      </x:c>
      <x:c r="R532" s="27" t="n">
        <x:f>P532*(1-'Assumptions'!$D$14)+Q532*'Assumptions'!$D$14</x:f>
        <x:v>790</x:v>
      </x:c>
      <x:c r="S532" s="27" t="n">
        <x:f>O532*'Carrier Engine'!E93</x:f>
        <x:v>122.47879290534746</x:v>
      </x:c>
      <x:c r="T532" s="28" t="n">
        <x:f>R532+S532</x:f>
        <x:v>912.4787929053475</x:v>
      </x:c>
      <x:c r="U532" s="27" t="n">
        <x:f>N532*'Fleet Engine'!H204</x:f>
        <x:v>0</x:v>
      </x:c>
      <x:c r="V532" s="28" t="n">
        <x:f>U532*T532</x:f>
        <x:v>0</x:v>
      </x:c>
      <x:c r="W532" s="28" t="n">
        <x:f>U532*O532</x:f>
        <x:v>0</x:v>
      </x:c>
    </x:row>
    <x:row r="533" ht="19" customHeight="1">
      <x:c r="A533" s="2"/>
      <x:c r="B533" s="2"/>
      <x:c r="C533" s="46" t="n">
        <x:v>2</x:v>
      </x:c>
      <x:c r="D533" s="46" t="n">
        <x:v>10</x:v>
      </x:c>
      <x:c r="E533" s="46" t="n">
        <x:v>1</x:v>
      </x:c>
      <x:c r="F533" s="46" t="n">
        <x:v>4</x:v>
      </x:c>
      <x:c r="G533" s="12" t="n">
        <x:v>0.5555555555555556</x:v>
      </x:c>
      <x:c r="H533" s="12" t="n">
        <x:v>0.6666666666666666</x:v>
      </x:c>
      <x:c r="I533" s="29" t="n">
        <x:f>'Assumptions'!$D$11+'Assumptions'!$D$12*(0.5-(G533+H533)/2)</x:f>
        <x:v>0.27777777777777773</x:v>
      </x:c>
      <x:c r="J533" s="27" t="n">
        <x:f>'Assumptions'!$D$8*EXP(-'Assumptions'!$D$9*('Fleet Engine'!E204-10))*'Assumptions'!E56*'Assumptions'!F36</x:f>
        <x:v>10206.566075445622</x:v>
      </x:c>
      <x:c r="K533" s="27" t="n">
        <x:f>'Source Data'!F221+LN('Assumptions'!D56)+LN('Assumptions'!F35)</x:f>
        <x:v>8.155326402806208</x:v>
      </x:c>
      <x:c r="L533" s="27" t="n">
        <x:f>J533*(1-I533*(1-'Carrier Engine'!E93))</x:f>
        <x:v>7484.815121993457</x:v>
      </x:c>
      <x:c r="M533" s="29" t="n">
        <x:f>NORM.S.DIST((LN(L533)-K533)/'Assumptions'!$D$10,TRUE)</x:f>
        <x:v>0.687009578457402</x:v>
      </x:c>
      <x:c r="N533" s="30" t="n">
        <x:f>MAX(0,H533-MAX(G533,M533))</x:f>
        <x:v>0</x:v>
      </x:c>
      <x:c r="O533" s="28" t="n">
        <x:f>J533*I533</x:f>
        <x:v>2835.157243179339</x:v>
      </x:c>
      <x:c r="P533" s="27" t="n">
        <x:f>(VLOOKUP(O533,'Fee Data'!$C$6:$G$50,2,TRUE)+O533*VLOOKUP(O533,'Fee Data'!$C$6:$G$50,3,TRUE)+VLOOKUP(O533,'Fee Data'!$I$6:$J$14,2,TRUE)+'Fee Data'!$J$20+'Fee Data'!$J$21)*'Assumptions'!F37</x:f>
        <x:v>820</x:v>
      </x:c>
      <x:c r="Q533" s="27" t="n">
        <x:f>(VLOOKUP(O533,'Fee Data'!$C$6:$G$50,4,TRUE)+O533*VLOOKUP(O533,'Fee Data'!$C$6:$G$50,5,TRUE)+VLOOKUP(O533,'Fee Data'!$I$6:$J$14,2,TRUE)+'Fee Data'!$J$20+'Fee Data'!$J$21)*'Assumptions'!F37</x:f>
        <x:v>670</x:v>
      </x:c>
      <x:c r="R533" s="27" t="n">
        <x:f>P533*(1-'Assumptions'!$D$14)+Q533*'Assumptions'!$D$14</x:f>
        <x:v>745</x:v>
      </x:c>
      <x:c r="S533" s="27" t="n">
        <x:f>O533*'Carrier Engine'!E93</x:f>
        <x:v>113.40628972717356</x:v>
      </x:c>
      <x:c r="T533" s="28" t="n">
        <x:f>R533+S533</x:f>
        <x:v>858.4062897271735</x:v>
      </x:c>
      <x:c r="U533" s="27" t="n">
        <x:f>N533*'Fleet Engine'!H204</x:f>
        <x:v>0</x:v>
      </x:c>
      <x:c r="V533" s="28" t="n">
        <x:f>U533*T533</x:f>
        <x:v>0</x:v>
      </x:c>
      <x:c r="W533" s="28" t="n">
        <x:f>U533*O533</x:f>
        <x:v>0</x:v>
      </x:c>
    </x:row>
    <x:row r="534" ht="19" customHeight="1">
      <x:c r="A534" s="2"/>
      <x:c r="B534" s="2"/>
      <x:c r="C534" s="46" t="n">
        <x:v>2</x:v>
      </x:c>
      <x:c r="D534" s="46" t="n">
        <x:v>10</x:v>
      </x:c>
      <x:c r="E534" s="46" t="n">
        <x:v>1</x:v>
      </x:c>
      <x:c r="F534" s="46" t="n">
        <x:v>4</x:v>
      </x:c>
      <x:c r="G534" s="12" t="n">
        <x:v>0.6666666666666666</x:v>
      </x:c>
      <x:c r="H534" s="12" t="n">
        <x:v>0.7777777777777778</x:v>
      </x:c>
      <x:c r="I534" s="29" t="n">
        <x:f>'Assumptions'!$D$11+'Assumptions'!$D$12*(0.5-(G534+H534)/2)</x:f>
        <x:v>0.25555555555555554</x:v>
      </x:c>
      <x:c r="J534" s="27" t="n">
        <x:f>'Assumptions'!$D$8*EXP(-'Assumptions'!$D$9*('Fleet Engine'!E204-10))*'Assumptions'!E56*'Assumptions'!F36</x:f>
        <x:v>10206.566075445622</x:v>
      </x:c>
      <x:c r="K534" s="27" t="n">
        <x:f>'Source Data'!F221+LN('Assumptions'!D56)+LN('Assumptions'!F35)</x:f>
        <x:v>8.155326402806208</x:v>
      </x:c>
      <x:c r="L534" s="27" t="n">
        <x:f>J534*(1-I534*(1-'Carrier Engine'!E93))</x:f>
        <x:v>7702.55519826963</x:v>
      </x:c>
      <x:c r="M534" s="29" t="n">
        <x:f>NORM.S.DIST((LN(L534)-K534)/'Assumptions'!$D$10,TRUE)</x:f>
        <x:v>0.6934502338952844</x:v>
      </x:c>
      <x:c r="N534" s="30" t="n">
        <x:f>MAX(0,H534-MAX(G534,M534))</x:f>
        <x:v>0.08432754388249342</x:v>
      </x:c>
      <x:c r="O534" s="28" t="n">
        <x:f>J534*I534</x:f>
        <x:v>2608.344663724992</x:v>
      </x:c>
      <x:c r="P534" s="27" t="n">
        <x:f>(VLOOKUP(O534,'Fee Data'!$C$6:$G$50,2,TRUE)+O534*VLOOKUP(O534,'Fee Data'!$C$6:$G$50,3,TRUE)+VLOOKUP(O534,'Fee Data'!$I$6:$J$14,2,TRUE)+'Fee Data'!$J$20+'Fee Data'!$J$21)*'Assumptions'!F37</x:f>
        <x:v>820</x:v>
      </x:c>
      <x:c r="Q534" s="27" t="n">
        <x:f>(VLOOKUP(O534,'Fee Data'!$C$6:$G$50,4,TRUE)+O534*VLOOKUP(O534,'Fee Data'!$C$6:$G$50,5,TRUE)+VLOOKUP(O534,'Fee Data'!$I$6:$J$14,2,TRUE)+'Fee Data'!$J$20+'Fee Data'!$J$21)*'Assumptions'!F37</x:f>
        <x:v>670</x:v>
      </x:c>
      <x:c r="R534" s="27" t="n">
        <x:f>P534*(1-'Assumptions'!$D$14)+Q534*'Assumptions'!$D$14</x:f>
        <x:v>745</x:v>
      </x:c>
      <x:c r="S534" s="27" t="n">
        <x:f>O534*'Carrier Engine'!E93</x:f>
        <x:v>104.33378654899968</x:v>
      </x:c>
      <x:c r="T534" s="28" t="n">
        <x:f>R534+S534</x:f>
        <x:v>849.3337865489997</x:v>
      </x:c>
      <x:c r="U534" s="27" t="n">
        <x:f>N534*'Fleet Engine'!H204</x:f>
        <x:v>812.1190649912213</x:v>
      </x:c>
      <x:c r="V534" s="28" t="n">
        <x:f>U534*T534</x:f>
        <x:v>689760.1605976272</x:v>
      </x:c>
      <x:c r="W534" s="28" t="n">
        <x:f>U534*O534</x:f>
        <x:v>2118286.429479182</x:v>
      </x:c>
    </x:row>
    <x:row r="535" ht="19" customHeight="1">
      <x:c r="A535" s="2"/>
      <x:c r="B535" s="2"/>
      <x:c r="C535" s="46" t="n">
        <x:v>2</x:v>
      </x:c>
      <x:c r="D535" s="46" t="n">
        <x:v>10</x:v>
      </x:c>
      <x:c r="E535" s="46" t="n">
        <x:v>1</x:v>
      </x:c>
      <x:c r="F535" s="46" t="n">
        <x:v>4</x:v>
      </x:c>
      <x:c r="G535" s="12" t="n">
        <x:v>0.7777777777777778</x:v>
      </x:c>
      <x:c r="H535" s="12" t="n">
        <x:v>0.8888888888888888</x:v>
      </x:c>
      <x:c r="I535" s="29" t="n">
        <x:f>'Assumptions'!$D$11+'Assumptions'!$D$12*(0.5-(G535+H535)/2)</x:f>
        <x:v>0.23333333333333334</x:v>
      </x:c>
      <x:c r="J535" s="27" t="n">
        <x:f>'Assumptions'!$D$8*EXP(-'Assumptions'!$D$9*('Fleet Engine'!E204-10))*'Assumptions'!E56*'Assumptions'!F36</x:f>
        <x:v>10206.566075445622</x:v>
      </x:c>
      <x:c r="K535" s="27" t="n">
        <x:f>'Source Data'!F221+LN('Assumptions'!D56)+LN('Assumptions'!F35)</x:f>
        <x:v>8.155326402806208</x:v>
      </x:c>
      <x:c r="L535" s="27" t="n">
        <x:f>J535*(1-I535*(1-'Carrier Engine'!E93))</x:f>
        <x:v>7920.295274545803</x:v>
      </x:c>
      <x:c r="M535" s="29" t="n">
        <x:f>NORM.S.DIST((LN(L535)-K535)/'Assumptions'!$D$10,TRUE)</x:f>
        <x:v>0.699654601261197</x:v>
      </x:c>
      <x:c r="N535" s="30" t="n">
        <x:f>MAX(0,H535-MAX(G535,M535))</x:f>
        <x:v>0.11111111111111105</x:v>
      </x:c>
      <x:c r="O535" s="28" t="n">
        <x:f>J535*I535</x:f>
        <x:v>2381.532084270645</x:v>
      </x:c>
      <x:c r="P535" s="27" t="n">
        <x:f>(VLOOKUP(O535,'Fee Data'!$C$6:$G$50,2,TRUE)+O535*VLOOKUP(O535,'Fee Data'!$C$6:$G$50,3,TRUE)+VLOOKUP(O535,'Fee Data'!$I$6:$J$14,2,TRUE)+'Fee Data'!$J$20+'Fee Data'!$J$21)*'Assumptions'!F37</x:f>
        <x:v>745</x:v>
      </x:c>
      <x:c r="Q535" s="27" t="n">
        <x:f>(VLOOKUP(O535,'Fee Data'!$C$6:$G$50,4,TRUE)+O535*VLOOKUP(O535,'Fee Data'!$C$6:$G$50,5,TRUE)+VLOOKUP(O535,'Fee Data'!$I$6:$J$14,2,TRUE)+'Fee Data'!$J$20+'Fee Data'!$J$21)*'Assumptions'!F37</x:f>
        <x:v>600</x:v>
      </x:c>
      <x:c r="R535" s="27" t="n">
        <x:f>P535*(1-'Assumptions'!$D$14)+Q535*'Assumptions'!$D$14</x:f>
        <x:v>672.5</x:v>
      </x:c>
      <x:c r="S535" s="27" t="n">
        <x:f>O535*'Carrier Engine'!E93</x:f>
        <x:v>95.26128337082581</x:v>
      </x:c>
      <x:c r="T535" s="28" t="n">
        <x:f>R535+S535</x:f>
        <x:v>767.7612833708258</x:v>
      </x:c>
      <x:c r="U535" s="27" t="n">
        <x:f>N535*'Fleet Engine'!H204</x:f>
        <x:v>1070.0590520154387</x:v>
      </x:c>
      <x:c r="V535" s="28" t="n">
        <x:f>U535*T535</x:f>
        <x:v>821549.9110579425</x:v>
      </x:c>
      <x:c r="W535" s="28" t="n">
        <x:f>U535*O535</x:f>
        <x:v>2548379.9644389986</x:v>
      </x:c>
    </x:row>
    <x:row r="536" ht="19" customHeight="1">
      <x:c r="A536" s="2"/>
      <x:c r="B536" s="2"/>
      <x:c r="C536" s="46" t="n">
        <x:v>2</x:v>
      </x:c>
      <x:c r="D536" s="46" t="n">
        <x:v>10</x:v>
      </x:c>
      <x:c r="E536" s="46" t="n">
        <x:v>1</x:v>
      </x:c>
      <x:c r="F536" s="46" t="n">
        <x:v>4</x:v>
      </x:c>
      <x:c r="G536" s="12" t="n">
        <x:v>0.8888888888888888</x:v>
      </x:c>
      <x:c r="H536" s="12" t="n">
        <x:v>1</x:v>
      </x:c>
      <x:c r="I536" s="29" t="n">
        <x:f>'Assumptions'!$D$11+'Assumptions'!$D$12*(0.5-(G536+H536)/2)</x:f>
        <x:v>0.21111111111111108</x:v>
      </x:c>
      <x:c r="J536" s="27" t="n">
        <x:f>'Assumptions'!$D$8*EXP(-'Assumptions'!$D$9*('Fleet Engine'!E204-10))*'Assumptions'!E56*'Assumptions'!F36</x:f>
        <x:v>10206.566075445622</x:v>
      </x:c>
      <x:c r="K536" s="27" t="n">
        <x:f>'Source Data'!F221+LN('Assumptions'!D56)+LN('Assumptions'!F35)</x:f>
        <x:v>8.155326402806208</x:v>
      </x:c>
      <x:c r="L536" s="27" t="n">
        <x:f>J536*(1-I536*(1-'Carrier Engine'!E93))</x:f>
        <x:v>8138.035350821976</x:v>
      </x:c>
      <x:c r="M536" s="29" t="n">
        <x:f>NORM.S.DIST((LN(L536)-K536)/'Assumptions'!$D$10,TRUE)</x:f>
        <x:v>0.7056356354734394</x:v>
      </x:c>
      <x:c r="N536" s="30" t="n">
        <x:f>MAX(0,H536-MAX(G536,M536))</x:f>
        <x:v>0.11111111111111116</x:v>
      </x:c>
      <x:c r="O536" s="28" t="n">
        <x:f>J536*I536</x:f>
        <x:v>2154.7195048162976</x:v>
      </x:c>
      <x:c r="P536" s="27" t="n">
        <x:f>(VLOOKUP(O536,'Fee Data'!$C$6:$G$50,2,TRUE)+O536*VLOOKUP(O536,'Fee Data'!$C$6:$G$50,3,TRUE)+VLOOKUP(O536,'Fee Data'!$I$6:$J$14,2,TRUE)+'Fee Data'!$J$20+'Fee Data'!$J$21)*'Assumptions'!F37</x:f>
        <x:v>745</x:v>
      </x:c>
      <x:c r="Q536" s="27" t="n">
        <x:f>(VLOOKUP(O536,'Fee Data'!$C$6:$G$50,4,TRUE)+O536*VLOOKUP(O536,'Fee Data'!$C$6:$G$50,5,TRUE)+VLOOKUP(O536,'Fee Data'!$I$6:$J$14,2,TRUE)+'Fee Data'!$J$20+'Fee Data'!$J$21)*'Assumptions'!F37</x:f>
        <x:v>600</x:v>
      </x:c>
      <x:c r="R536" s="27" t="n">
        <x:f>P536*(1-'Assumptions'!$D$14)+Q536*'Assumptions'!$D$14</x:f>
        <x:v>672.5</x:v>
      </x:c>
      <x:c r="S536" s="27" t="n">
        <x:f>O536*'Carrier Engine'!E93</x:f>
        <x:v>86.1887801926519</x:v>
      </x:c>
      <x:c r="T536" s="28" t="n">
        <x:f>R536+S536</x:f>
        <x:v>758.6887801926518</x:v>
      </x:c>
      <x:c r="U536" s="27" t="n">
        <x:f>N536*'Fleet Engine'!H204</x:f>
        <x:v>1070.0590520154399</x:v>
      </x:c>
      <x:c r="V536" s="28" t="n">
        <x:f>U536*T536</x:f>
        <x:v>811841.7969076994</x:v>
      </x:c>
      <x:c r="W536" s="28" t="n">
        <x:f>U536*O536</x:f>
        <x:v>2305677.110682905</x:v>
      </x:c>
    </x:row>
    <x:row r="537" ht="19" customHeight="1">
      <x:c r="A537" s="2"/>
      <x:c r="B537" s="2"/>
      <x:c r="C537" s="46" t="n">
        <x:v>2</x:v>
      </x:c>
      <x:c r="D537" s="46" t="n">
        <x:v>11</x:v>
      </x:c>
      <x:c r="E537" s="46" t="n">
        <x:v>1</x:v>
      </x:c>
      <x:c r="F537" s="46" t="n">
        <x:v>5</x:v>
      </x:c>
      <x:c r="G537" s="12" t="n">
        <x:v>0</x:v>
      </x:c>
      <x:c r="H537" s="12" t="n">
        <x:v>0.1111111111111111</x:v>
      </x:c>
      <x:c r="I537" s="29" t="n">
        <x:f>'Assumptions'!$D$11+'Assumptions'!$D$12*(0.5-(G537+H537)/2)</x:f>
        <x:v>0.3888888888888889</x:v>
      </x:c>
      <x:c r="J537" s="27" t="n">
        <x:f>'Assumptions'!$D$8*EXP(-'Assumptions'!$D$9*('Fleet Engine'!E205-10))*'Assumptions'!E56*'Assumptions'!F36</x:f>
        <x:v>5601.482226767098</x:v>
      </x:c>
      <x:c r="K537" s="27" t="n">
        <x:f>'Source Data'!F222+LN('Assumptions'!D56)+LN('Assumptions'!F35)</x:f>
        <x:v>8.056397553082528</x:v>
      </x:c>
      <x:c r="L537" s="27" t="n">
        <x:f>J537*(1-I537*(1-'Carrier Engine'!E93))</x:f>
        <x:v>3510.262195440715</x:v>
      </x:c>
      <x:c r="M537" s="29" t="n">
        <x:f>NORM.S.DIST((LN(L537)-K537)/'Assumptions'!$D$10,TRUE)</x:f>
        <x:v>0.5271767523756574</x:v>
      </x:c>
      <x:c r="N537" s="30" t="n">
        <x:f>MAX(0,H537-MAX(G537,M537))</x:f>
        <x:v>0</x:v>
      </x:c>
      <x:c r="O537" s="28" t="n">
        <x:f>J537*I537</x:f>
        <x:v>2178.354199298316</x:v>
      </x:c>
      <x:c r="P537" s="27" t="n">
        <x:f>(VLOOKUP(O537,'Fee Data'!$C$6:$G$50,2,TRUE)+O537*VLOOKUP(O537,'Fee Data'!$C$6:$G$50,3,TRUE)+VLOOKUP(O537,'Fee Data'!$I$6:$J$14,2,TRUE)+'Fee Data'!$J$20+'Fee Data'!$J$21)*'Assumptions'!F37</x:f>
        <x:v>745</x:v>
      </x:c>
      <x:c r="Q537" s="27" t="n">
        <x:f>(VLOOKUP(O537,'Fee Data'!$C$6:$G$50,4,TRUE)+O537*VLOOKUP(O537,'Fee Data'!$C$6:$G$50,5,TRUE)+VLOOKUP(O537,'Fee Data'!$I$6:$J$14,2,TRUE)+'Fee Data'!$J$20+'Fee Data'!$J$21)*'Assumptions'!F37</x:f>
        <x:v>600</x:v>
      </x:c>
      <x:c r="R537" s="27" t="n">
        <x:f>P537*(1-'Assumptions'!$D$14)+Q537*'Assumptions'!$D$14</x:f>
        <x:v>672.5</x:v>
      </x:c>
      <x:c r="S537" s="27" t="n">
        <x:f>O537*'Carrier Engine'!E93</x:f>
        <x:v>87.13416797193264</x:v>
      </x:c>
      <x:c r="T537" s="28" t="n">
        <x:f>R537+S537</x:f>
        <x:v>759.6341679719326</x:v>
      </x:c>
      <x:c r="U537" s="27" t="n">
        <x:f>N537*'Fleet Engine'!H205</x:f>
        <x:v>0</x:v>
      </x:c>
      <x:c r="V537" s="28" t="n">
        <x:f>U537*T537</x:f>
        <x:v>0</x:v>
      </x:c>
      <x:c r="W537" s="28" t="n">
        <x:f>U537*O537</x:f>
        <x:v>0</x:v>
      </x:c>
    </x:row>
    <x:row r="538" ht="19" customHeight="1">
      <x:c r="A538" s="2"/>
      <x:c r="B538" s="2"/>
      <x:c r="C538" s="46" t="n">
        <x:v>2</x:v>
      </x:c>
      <x:c r="D538" s="46" t="n">
        <x:v>11</x:v>
      </x:c>
      <x:c r="E538" s="46" t="n">
        <x:v>1</x:v>
      </x:c>
      <x:c r="F538" s="46" t="n">
        <x:v>5</x:v>
      </x:c>
      <x:c r="G538" s="12" t="n">
        <x:v>0.1111111111111111</x:v>
      </x:c>
      <x:c r="H538" s="12" t="n">
        <x:v>0.2222222222222222</x:v>
      </x:c>
      <x:c r="I538" s="29" t="n">
        <x:f>'Assumptions'!$D$11+'Assumptions'!$D$12*(0.5-(G538+H538)/2)</x:f>
        <x:v>0.3666666666666667</x:v>
      </x:c>
      <x:c r="J538" s="27" t="n">
        <x:f>'Assumptions'!$D$8*EXP(-'Assumptions'!$D$9*('Fleet Engine'!E205-10))*'Assumptions'!E56*'Assumptions'!F36</x:f>
        <x:v>5601.482226767098</x:v>
      </x:c>
      <x:c r="K538" s="27" t="n">
        <x:f>'Source Data'!F222+LN('Assumptions'!D56)+LN('Assumptions'!F35)</x:f>
        <x:v>8.056397553082528</x:v>
      </x:c>
      <x:c r="L538" s="27" t="n">
        <x:f>J538*(1-I538*(1-'Carrier Engine'!E93))</x:f>
        <x:v>3629.760482945079</x:v>
      </x:c>
      <x:c r="M538" s="29" t="n">
        <x:f>NORM.S.DIST((LN(L538)-K538)/'Assumptions'!$D$10,TRUE)</x:f>
        <x:v>0.5356554348338565</x:v>
      </x:c>
      <x:c r="N538" s="30" t="n">
        <x:f>MAX(0,H538-MAX(G538,M538))</x:f>
        <x:v>0</x:v>
      </x:c>
      <x:c r="O538" s="28" t="n">
        <x:f>J538*I538</x:f>
        <x:v>2053.8768164812695</x:v>
      </x:c>
      <x:c r="P538" s="27" t="n">
        <x:f>(VLOOKUP(O538,'Fee Data'!$C$6:$G$50,2,TRUE)+O538*VLOOKUP(O538,'Fee Data'!$C$6:$G$50,3,TRUE)+VLOOKUP(O538,'Fee Data'!$I$6:$J$14,2,TRUE)+'Fee Data'!$J$20+'Fee Data'!$J$21)*'Assumptions'!F37</x:f>
        <x:v>745</x:v>
      </x:c>
      <x:c r="Q538" s="27" t="n">
        <x:f>(VLOOKUP(O538,'Fee Data'!$C$6:$G$50,4,TRUE)+O538*VLOOKUP(O538,'Fee Data'!$C$6:$G$50,5,TRUE)+VLOOKUP(O538,'Fee Data'!$I$6:$J$14,2,TRUE)+'Fee Data'!$J$20+'Fee Data'!$J$21)*'Assumptions'!F37</x:f>
        <x:v>600</x:v>
      </x:c>
      <x:c r="R538" s="27" t="n">
        <x:f>P538*(1-'Assumptions'!$D$14)+Q538*'Assumptions'!$D$14</x:f>
        <x:v>672.5</x:v>
      </x:c>
      <x:c r="S538" s="27" t="n">
        <x:f>O538*'Carrier Engine'!E93</x:f>
        <x:v>82.15507265925078</x:v>
      </x:c>
      <x:c r="T538" s="28" t="n">
        <x:f>R538+S538</x:f>
        <x:v>754.6550726592508</x:v>
      </x:c>
      <x:c r="U538" s="27" t="n">
        <x:f>N538*'Fleet Engine'!H205</x:f>
        <x:v>0</x:v>
      </x:c>
      <x:c r="V538" s="28" t="n">
        <x:f>U538*T538</x:f>
        <x:v>0</x:v>
      </x:c>
      <x:c r="W538" s="28" t="n">
        <x:f>U538*O538</x:f>
        <x:v>0</x:v>
      </x:c>
    </x:row>
    <x:row r="539" ht="19" customHeight="1">
      <x:c r="A539" s="2"/>
      <x:c r="B539" s="2"/>
      <x:c r="C539" s="46" t="n">
        <x:v>2</x:v>
      </x:c>
      <x:c r="D539" s="46" t="n">
        <x:v>11</x:v>
      </x:c>
      <x:c r="E539" s="46" t="n">
        <x:v>1</x:v>
      </x:c>
      <x:c r="F539" s="46" t="n">
        <x:v>5</x:v>
      </x:c>
      <x:c r="G539" s="12" t="n">
        <x:v>0.2222222222222222</x:v>
      </x:c>
      <x:c r="H539" s="12" t="n">
        <x:v>0.3333333333333333</x:v>
      </x:c>
      <x:c r="I539" s="29" t="n">
        <x:f>'Assumptions'!$D$11+'Assumptions'!$D$12*(0.5-(G539+H539)/2)</x:f>
        <x:v>0.34444444444444444</x:v>
      </x:c>
      <x:c r="J539" s="27" t="n">
        <x:f>'Assumptions'!$D$8*EXP(-'Assumptions'!$D$9*('Fleet Engine'!E205-10))*'Assumptions'!E56*'Assumptions'!F36</x:f>
        <x:v>5601.482226767098</x:v>
      </x:c>
      <x:c r="K539" s="27" t="n">
        <x:f>'Source Data'!F222+LN('Assumptions'!D56)+LN('Assumptions'!F35)</x:f>
        <x:v>8.056397553082528</x:v>
      </x:c>
      <x:c r="L539" s="27" t="n">
        <x:f>J539*(1-I539*(1-'Carrier Engine'!E93))</x:f>
        <x:v>3749.258770449444</x:v>
      </x:c>
      <x:c r="M539" s="29" t="n">
        <x:f>NORM.S.DIST((LN(L539)-K539)/'Assumptions'!$D$10,TRUE)</x:f>
        <x:v>0.5438441102581311</x:v>
      </x:c>
      <x:c r="N539" s="30" t="n">
        <x:f>MAX(0,H539-MAX(G539,M539))</x:f>
        <x:v>0</x:v>
      </x:c>
      <x:c r="O539" s="28" t="n">
        <x:f>J539*I539</x:f>
        <x:v>1929.3994336642227</x:v>
      </x:c>
      <x:c r="P539" s="27" t="n">
        <x:f>(VLOOKUP(O539,'Fee Data'!$C$6:$G$50,2,TRUE)+O539*VLOOKUP(O539,'Fee Data'!$C$6:$G$50,3,TRUE)+VLOOKUP(O539,'Fee Data'!$I$6:$J$14,2,TRUE)+'Fee Data'!$J$20+'Fee Data'!$J$21)*'Assumptions'!F37</x:f>
        <x:v>705</x:v>
      </x:c>
      <x:c r="Q539" s="27" t="n">
        <x:f>(VLOOKUP(O539,'Fee Data'!$C$6:$G$50,4,TRUE)+O539*VLOOKUP(O539,'Fee Data'!$C$6:$G$50,5,TRUE)+VLOOKUP(O539,'Fee Data'!$I$6:$J$14,2,TRUE)+'Fee Data'!$J$20+'Fee Data'!$J$21)*'Assumptions'!F37</x:f>
        <x:v>565</x:v>
      </x:c>
      <x:c r="R539" s="27" t="n">
        <x:f>P539*(1-'Assumptions'!$D$14)+Q539*'Assumptions'!$D$14</x:f>
        <x:v>635</x:v>
      </x:c>
      <x:c r="S539" s="27" t="n">
        <x:f>O539*'Carrier Engine'!E93</x:f>
        <x:v>77.17597734656891</x:v>
      </x:c>
      <x:c r="T539" s="28" t="n">
        <x:f>R539+S539</x:f>
        <x:v>712.175977346569</x:v>
      </x:c>
      <x:c r="U539" s="27" t="n">
        <x:f>N539*'Fleet Engine'!H205</x:f>
        <x:v>0</x:v>
      </x:c>
      <x:c r="V539" s="28" t="n">
        <x:f>U539*T539</x:f>
        <x:v>0</x:v>
      </x:c>
      <x:c r="W539" s="28" t="n">
        <x:f>U539*O539</x:f>
        <x:v>0</x:v>
      </x:c>
    </x:row>
    <x:row r="540" ht="19" customHeight="1">
      <x:c r="A540" s="2"/>
      <x:c r="B540" s="2"/>
      <x:c r="C540" s="46" t="n">
        <x:v>2</x:v>
      </x:c>
      <x:c r="D540" s="46" t="n">
        <x:v>11</x:v>
      </x:c>
      <x:c r="E540" s="46" t="n">
        <x:v>1</x:v>
      </x:c>
      <x:c r="F540" s="46" t="n">
        <x:v>5</x:v>
      </x:c>
      <x:c r="G540" s="12" t="n">
        <x:v>0.3333333333333333</x:v>
      </x:c>
      <x:c r="H540" s="12" t="n">
        <x:v>0.4444444444444444</x:v>
      </x:c>
      <x:c r="I540" s="29" t="n">
        <x:f>'Assumptions'!$D$11+'Assumptions'!$D$12*(0.5-(G540+H540)/2)</x:f>
        <x:v>0.32222222222222224</x:v>
      </x:c>
      <x:c r="J540" s="27" t="n">
        <x:f>'Assumptions'!$D$8*EXP(-'Assumptions'!$D$9*('Fleet Engine'!E205-10))*'Assumptions'!E56*'Assumptions'!F36</x:f>
        <x:v>5601.482226767098</x:v>
      </x:c>
      <x:c r="K540" s="27" t="n">
        <x:f>'Source Data'!F222+LN('Assumptions'!D56)+LN('Assumptions'!F35)</x:f>
        <x:v>8.056397553082528</x:v>
      </x:c>
      <x:c r="L540" s="27" t="n">
        <x:f>J540*(1-I540*(1-'Carrier Engine'!E93))</x:f>
        <x:v>3868.7570579538087</x:v>
      </x:c>
      <x:c r="M540" s="29" t="n">
        <x:f>NORM.S.DIST((LN(L540)-K540)/'Assumptions'!$D$10,TRUE)</x:f>
        <x:v>0.5517581623199981</x:v>
      </x:c>
      <x:c r="N540" s="30" t="n">
        <x:f>MAX(0,H540-MAX(G540,M540))</x:f>
        <x:v>0</x:v>
      </x:c>
      <x:c r="O540" s="28" t="n">
        <x:f>J540*I540</x:f>
        <x:v>1804.922050847176</x:v>
      </x:c>
      <x:c r="P540" s="27" t="n">
        <x:f>(VLOOKUP(O540,'Fee Data'!$C$6:$G$50,2,TRUE)+O540*VLOOKUP(O540,'Fee Data'!$C$6:$G$50,3,TRUE)+VLOOKUP(O540,'Fee Data'!$I$6:$J$14,2,TRUE)+'Fee Data'!$J$20+'Fee Data'!$J$21)*'Assumptions'!F37</x:f>
        <x:v>705</x:v>
      </x:c>
      <x:c r="Q540" s="27" t="n">
        <x:f>(VLOOKUP(O540,'Fee Data'!$C$6:$G$50,4,TRUE)+O540*VLOOKUP(O540,'Fee Data'!$C$6:$G$50,5,TRUE)+VLOOKUP(O540,'Fee Data'!$I$6:$J$14,2,TRUE)+'Fee Data'!$J$20+'Fee Data'!$J$21)*'Assumptions'!F37</x:f>
        <x:v>565</x:v>
      </x:c>
      <x:c r="R540" s="27" t="n">
        <x:f>P540*(1-'Assumptions'!$D$14)+Q540*'Assumptions'!$D$14</x:f>
        <x:v>635</x:v>
      </x:c>
      <x:c r="S540" s="27" t="n">
        <x:f>O540*'Carrier Engine'!E93</x:f>
        <x:v>72.19688203388704</x:v>
      </x:c>
      <x:c r="T540" s="28" t="n">
        <x:f>R540+S540</x:f>
        <x:v>707.196882033887</x:v>
      </x:c>
      <x:c r="U540" s="27" t="n">
        <x:f>N540*'Fleet Engine'!H205</x:f>
        <x:v>0</x:v>
      </x:c>
      <x:c r="V540" s="28" t="n">
        <x:f>U540*T540</x:f>
        <x:v>0</x:v>
      </x:c>
      <x:c r="W540" s="28" t="n">
        <x:f>U540*O540</x:f>
        <x:v>0</x:v>
      </x:c>
    </x:row>
    <x:row r="541" ht="19" customHeight="1">
      <x:c r="A541" s="2"/>
      <x:c r="B541" s="2"/>
      <x:c r="C541" s="46" t="n">
        <x:v>2</x:v>
      </x:c>
      <x:c r="D541" s="46" t="n">
        <x:v>11</x:v>
      </x:c>
      <x:c r="E541" s="46" t="n">
        <x:v>1</x:v>
      </x:c>
      <x:c r="F541" s="46" t="n">
        <x:v>5</x:v>
      </x:c>
      <x:c r="G541" s="12" t="n">
        <x:v>0.4444444444444444</x:v>
      </x:c>
      <x:c r="H541" s="12" t="n">
        <x:v>0.5555555555555556</x:v>
      </x:c>
      <x:c r="I541" s="29" t="n">
        <x:f>'Assumptions'!$D$11+'Assumptions'!$D$12*(0.5-(G541+H541)/2)</x:f>
        <x:v>0.3</x:v>
      </x:c>
      <x:c r="J541" s="27" t="n">
        <x:f>'Assumptions'!$D$8*EXP(-'Assumptions'!$D$9*('Fleet Engine'!E205-10))*'Assumptions'!E56*'Assumptions'!F36</x:f>
        <x:v>5601.482226767098</x:v>
      </x:c>
      <x:c r="K541" s="27" t="n">
        <x:f>'Source Data'!F222+LN('Assumptions'!D56)+LN('Assumptions'!F35)</x:f>
        <x:v>8.056397553082528</x:v>
      </x:c>
      <x:c r="L541" s="27" t="n">
        <x:f>J541*(1-I541*(1-'Carrier Engine'!E93))</x:f>
        <x:v>3988.2553454581735</x:v>
      </x:c>
      <x:c r="M541" s="29" t="n">
        <x:f>NORM.S.DIST((LN(L541)-K541)/'Assumptions'!$D$10,TRUE)</x:f>
        <x:v>0.559411856481953</x:v>
      </x:c>
      <x:c r="N541" s="30" t="n">
        <x:f>MAX(0,H541-MAX(G541,M541))</x:f>
        <x:v>0</x:v>
      </x:c>
      <x:c r="O541" s="28" t="n">
        <x:f>J541*I541</x:f>
        <x:v>1680.4446680301294</x:v>
      </x:c>
      <x:c r="P541" s="27" t="n">
        <x:f>(VLOOKUP(O541,'Fee Data'!$C$6:$G$50,2,TRUE)+O541*VLOOKUP(O541,'Fee Data'!$C$6:$G$50,3,TRUE)+VLOOKUP(O541,'Fee Data'!$I$6:$J$14,2,TRUE)+'Fee Data'!$J$20+'Fee Data'!$J$21)*'Assumptions'!F37</x:f>
        <x:v>660</x:v>
      </x:c>
      <x:c r="Q541" s="27" t="n">
        <x:f>(VLOOKUP(O541,'Fee Data'!$C$6:$G$50,4,TRUE)+O541*VLOOKUP(O541,'Fee Data'!$C$6:$G$50,5,TRUE)+VLOOKUP(O541,'Fee Data'!$I$6:$J$14,2,TRUE)+'Fee Data'!$J$20+'Fee Data'!$J$21)*'Assumptions'!F37</x:f>
        <x:v>525</x:v>
      </x:c>
      <x:c r="R541" s="27" t="n">
        <x:f>P541*(1-'Assumptions'!$D$14)+Q541*'Assumptions'!$D$14</x:f>
        <x:v>592.5</x:v>
      </x:c>
      <x:c r="S541" s="27" t="n">
        <x:f>O541*'Carrier Engine'!E93</x:f>
        <x:v>67.21778672120517</x:v>
      </x:c>
      <x:c r="T541" s="28" t="n">
        <x:f>R541+S541</x:f>
        <x:v>659.7177867212051</x:v>
      </x:c>
      <x:c r="U541" s="27" t="n">
        <x:f>N541*'Fleet Engine'!H205</x:f>
        <x:v>0</x:v>
      </x:c>
      <x:c r="V541" s="28" t="n">
        <x:f>U541*T541</x:f>
        <x:v>0</x:v>
      </x:c>
      <x:c r="W541" s="28" t="n">
        <x:f>U541*O541</x:f>
        <x:v>0</x:v>
      </x:c>
    </x:row>
    <x:row r="542" ht="19" customHeight="1">
      <x:c r="A542" s="2"/>
      <x:c r="B542" s="2"/>
      <x:c r="C542" s="46" t="n">
        <x:v>2</x:v>
      </x:c>
      <x:c r="D542" s="46" t="n">
        <x:v>11</x:v>
      </x:c>
      <x:c r="E542" s="46" t="n">
        <x:v>1</x:v>
      </x:c>
      <x:c r="F542" s="46" t="n">
        <x:v>5</x:v>
      </x:c>
      <x:c r="G542" s="12" t="n">
        <x:v>0.5555555555555556</x:v>
      </x:c>
      <x:c r="H542" s="12" t="n">
        <x:v>0.6666666666666666</x:v>
      </x:c>
      <x:c r="I542" s="29" t="n">
        <x:f>'Assumptions'!$D$11+'Assumptions'!$D$12*(0.5-(G542+H542)/2)</x:f>
        <x:v>0.27777777777777773</x:v>
      </x:c>
      <x:c r="J542" s="27" t="n">
        <x:f>'Assumptions'!$D$8*EXP(-'Assumptions'!$D$9*('Fleet Engine'!E205-10))*'Assumptions'!E56*'Assumptions'!F36</x:f>
        <x:v>5601.482226767098</x:v>
      </x:c>
      <x:c r="K542" s="27" t="n">
        <x:f>'Source Data'!F222+LN('Assumptions'!D56)+LN('Assumptions'!F35)</x:f>
        <x:v>8.056397553082528</x:v>
      </x:c>
      <x:c r="L542" s="27" t="n">
        <x:f>J542*(1-I542*(1-'Carrier Engine'!E93))</x:f>
        <x:v>4107.753632962539</x:v>
      </x:c>
      <x:c r="M542" s="29" t="n">
        <x:f>NORM.S.DIST((LN(L542)-K542)/'Assumptions'!$D$10,TRUE)</x:f>
        <x:v>0.5668184429915024</x:v>
      </x:c>
      <x:c r="N542" s="30" t="n">
        <x:f>MAX(0,H542-MAX(G542,M542))</x:f>
        <x:v>0.09984822367516422</x:v>
      </x:c>
      <x:c r="O542" s="28" t="n">
        <x:f>J542*I542</x:f>
        <x:v>1555.9672852130825</x:v>
      </x:c>
      <x:c r="P542" s="27" t="n">
        <x:f>(VLOOKUP(O542,'Fee Data'!$C$6:$G$50,2,TRUE)+O542*VLOOKUP(O542,'Fee Data'!$C$6:$G$50,3,TRUE)+VLOOKUP(O542,'Fee Data'!$I$6:$J$14,2,TRUE)+'Fee Data'!$J$20+'Fee Data'!$J$21)*'Assumptions'!F37</x:f>
        <x:v>640</x:v>
      </x:c>
      <x:c r="Q542" s="27" t="n">
        <x:f>(VLOOKUP(O542,'Fee Data'!$C$6:$G$50,4,TRUE)+O542*VLOOKUP(O542,'Fee Data'!$C$6:$G$50,5,TRUE)+VLOOKUP(O542,'Fee Data'!$I$6:$J$14,2,TRUE)+'Fee Data'!$J$20+'Fee Data'!$J$21)*'Assumptions'!F37</x:f>
        <x:v>510</x:v>
      </x:c>
      <x:c r="R542" s="27" t="n">
        <x:f>P542*(1-'Assumptions'!$D$14)+Q542*'Assumptions'!$D$14</x:f>
        <x:v>575</x:v>
      </x:c>
      <x:c r="S542" s="27" t="n">
        <x:f>O542*'Carrier Engine'!E93</x:f>
        <x:v>62.2386914085233</x:v>
      </x:c>
      <x:c r="T542" s="28" t="n">
        <x:f>R542+S542</x:f>
        <x:v>637.2386914085233</x:v>
      </x:c>
      <x:c r="U542" s="27" t="n">
        <x:f>N542*'Fleet Engine'!H205</x:f>
        <x:v>1164.5499636908753</x:v>
      </x:c>
      <x:c r="V542" s="28" t="n">
        <x:f>U542*T542</x:f>
        <x:v>742096.2949422167</x:v>
      </x:c>
      <x:c r="W542" s="28" t="n">
        <x:f>U542*O542</x:f>
        <x:v>1812001.645499085</x:v>
      </x:c>
    </x:row>
    <x:row r="543" ht="19" customHeight="1">
      <x:c r="A543" s="2"/>
      <x:c r="B543" s="2"/>
      <x:c r="C543" s="46" t="n">
        <x:v>2</x:v>
      </x:c>
      <x:c r="D543" s="46" t="n">
        <x:v>11</x:v>
      </x:c>
      <x:c r="E543" s="46" t="n">
        <x:v>1</x:v>
      </x:c>
      <x:c r="F543" s="46" t="n">
        <x:v>5</x:v>
      </x:c>
      <x:c r="G543" s="12" t="n">
        <x:v>0.6666666666666666</x:v>
      </x:c>
      <x:c r="H543" s="12" t="n">
        <x:v>0.7777777777777778</x:v>
      </x:c>
      <x:c r="I543" s="29" t="n">
        <x:f>'Assumptions'!$D$11+'Assumptions'!$D$12*(0.5-(G543+H543)/2)</x:f>
        <x:v>0.25555555555555554</x:v>
      </x:c>
      <x:c r="J543" s="27" t="n">
        <x:f>'Assumptions'!$D$8*EXP(-'Assumptions'!$D$9*('Fleet Engine'!E205-10))*'Assumptions'!E56*'Assumptions'!F36</x:f>
        <x:v>5601.482226767098</x:v>
      </x:c>
      <x:c r="K543" s="27" t="n">
        <x:f>'Source Data'!F222+LN('Assumptions'!D56)+LN('Assumptions'!F35)</x:f>
        <x:v>8.056397553082528</x:v>
      </x:c>
      <x:c r="L543" s="27" t="n">
        <x:f>J543*(1-I543*(1-'Carrier Engine'!E93))</x:f>
        <x:v>4227.251920466903</x:v>
      </x:c>
      <x:c r="M543" s="29" t="n">
        <x:f>NORM.S.DIST((LN(L543)-K543)/'Assumptions'!$D$10,TRUE)</x:f>
        <x:v>0.5739902484750252</x:v>
      </x:c>
      <x:c r="N543" s="30" t="n">
        <x:f>MAX(0,H543-MAX(G543,M543))</x:f>
        <x:v>0.11111111111111116</x:v>
      </x:c>
      <x:c r="O543" s="28" t="n">
        <x:f>J543*I543</x:f>
        <x:v>1431.489902396036</x:v>
      </x:c>
      <x:c r="P543" s="27" t="n">
        <x:f>(VLOOKUP(O543,'Fee Data'!$C$6:$G$50,2,TRUE)+O543*VLOOKUP(O543,'Fee Data'!$C$6:$G$50,3,TRUE)+VLOOKUP(O543,'Fee Data'!$I$6:$J$14,2,TRUE)+'Fee Data'!$J$20+'Fee Data'!$J$21)*'Assumptions'!F37</x:f>
        <x:v>615</x:v>
      </x:c>
      <x:c r="Q543" s="27" t="n">
        <x:f>(VLOOKUP(O543,'Fee Data'!$C$6:$G$50,4,TRUE)+O543*VLOOKUP(O543,'Fee Data'!$C$6:$G$50,5,TRUE)+VLOOKUP(O543,'Fee Data'!$I$6:$J$14,2,TRUE)+'Fee Data'!$J$20+'Fee Data'!$J$21)*'Assumptions'!F37</x:f>
        <x:v>485</x:v>
      </x:c>
      <x:c r="R543" s="27" t="n">
        <x:f>P543*(1-'Assumptions'!$D$14)+Q543*'Assumptions'!$D$14</x:f>
        <x:v>550</x:v>
      </x:c>
      <x:c r="S543" s="27" t="n">
        <x:f>O543*'Carrier Engine'!E93</x:f>
        <x:v>57.259596095841445</x:v>
      </x:c>
      <x:c r="T543" s="28" t="n">
        <x:f>R543+S543</x:f>
        <x:v>607.2595960958414</x:v>
      </x:c>
      <x:c r="U543" s="27" t="n">
        <x:f>N543*'Fleet Engine'!H205</x:f>
        <x:v>1295.911290631025</x:v>
      </x:c>
      <x:c r="V543" s="28" t="n">
        <x:f>U543*T543</x:f>
        <x:v>786954.5669246367</x:v>
      </x:c>
      <x:c r="W543" s="28" t="n">
        <x:f>U543*O543</x:f>
        <x:v>1855083.926939327</x:v>
      </x:c>
    </x:row>
    <x:row r="544" ht="19" customHeight="1">
      <x:c r="A544" s="2"/>
      <x:c r="B544" s="2"/>
      <x:c r="C544" s="46" t="n">
        <x:v>2</x:v>
      </x:c>
      <x:c r="D544" s="46" t="n">
        <x:v>11</x:v>
      </x:c>
      <x:c r="E544" s="46" t="n">
        <x:v>1</x:v>
      </x:c>
      <x:c r="F544" s="46" t="n">
        <x:v>5</x:v>
      </x:c>
      <x:c r="G544" s="12" t="n">
        <x:v>0.7777777777777778</x:v>
      </x:c>
      <x:c r="H544" s="12" t="n">
        <x:v>0.8888888888888888</x:v>
      </x:c>
      <x:c r="I544" s="29" t="n">
        <x:f>'Assumptions'!$D$11+'Assumptions'!$D$12*(0.5-(G544+H544)/2)</x:f>
        <x:v>0.23333333333333334</x:v>
      </x:c>
      <x:c r="J544" s="27" t="n">
        <x:f>'Assumptions'!$D$8*EXP(-'Assumptions'!$D$9*('Fleet Engine'!E205-10))*'Assumptions'!E56*'Assumptions'!F36</x:f>
        <x:v>5601.482226767098</x:v>
      </x:c>
      <x:c r="K544" s="27" t="n">
        <x:f>'Source Data'!F222+LN('Assumptions'!D56)+LN('Assumptions'!F35)</x:f>
        <x:v>8.056397553082528</x:v>
      </x:c>
      <x:c r="L544" s="27" t="n">
        <x:f>J544*(1-I544*(1-'Carrier Engine'!E93))</x:f>
        <x:v>4346.7502079712685</x:v>
      </x:c>
      <x:c r="M544" s="29" t="n">
        <x:f>NORM.S.DIST((LN(L544)-K544)/'Assumptions'!$D$10,TRUE)</x:f>
        <x:v>0.5809387575906335</x:v>
      </x:c>
      <x:c r="N544" s="30" t="n">
        <x:f>MAX(0,H544-MAX(G544,M544))</x:f>
        <x:v>0.11111111111111105</x:v>
      </x:c>
      <x:c r="O544" s="28" t="n">
        <x:f>J544*I544</x:f>
        <x:v>1307.0125195789894</x:v>
      </x:c>
      <x:c r="P544" s="27" t="n">
        <x:f>(VLOOKUP(O544,'Fee Data'!$C$6:$G$50,2,TRUE)+O544*VLOOKUP(O544,'Fee Data'!$C$6:$G$50,3,TRUE)+VLOOKUP(O544,'Fee Data'!$I$6:$J$14,2,TRUE)+'Fee Data'!$J$20+'Fee Data'!$J$21)*'Assumptions'!F37</x:f>
        <x:v>595</x:v>
      </x:c>
      <x:c r="Q544" s="27" t="n">
        <x:f>(VLOOKUP(O544,'Fee Data'!$C$6:$G$50,4,TRUE)+O544*VLOOKUP(O544,'Fee Data'!$C$6:$G$50,5,TRUE)+VLOOKUP(O544,'Fee Data'!$I$6:$J$14,2,TRUE)+'Fee Data'!$J$20+'Fee Data'!$J$21)*'Assumptions'!F37</x:f>
        <x:v>470</x:v>
      </x:c>
      <x:c r="R544" s="27" t="n">
        <x:f>P544*(1-'Assumptions'!$D$14)+Q544*'Assumptions'!$D$14</x:f>
        <x:v>532.5</x:v>
      </x:c>
      <x:c r="S544" s="27" t="n">
        <x:f>O544*'Carrier Engine'!E93</x:f>
        <x:v>52.28050078315958</x:v>
      </x:c>
      <x:c r="T544" s="28" t="n">
        <x:f>R544+S544</x:f>
        <x:v>584.7805007831596</x:v>
      </x:c>
      <x:c r="U544" s="27" t="n">
        <x:f>N544*'Fleet Engine'!H205</x:f>
        <x:v>1295.9112906310238</x:v>
      </x:c>
      <x:c r="V544" s="28" t="n">
        <x:f>U544*T544</x:f>
        <x:v>757823.6535057608</x:v>
      </x:c>
      <x:c r="W544" s="28" t="n">
        <x:f>U544*O544</x:f>
        <x:v>1693772.2811185145</x:v>
      </x:c>
    </x:row>
    <x:row r="545" ht="19" customHeight="1">
      <x:c r="A545" s="2"/>
      <x:c r="B545" s="2"/>
      <x:c r="C545" s="46" t="n">
        <x:v>2</x:v>
      </x:c>
      <x:c r="D545" s="46" t="n">
        <x:v>11</x:v>
      </x:c>
      <x:c r="E545" s="46" t="n">
        <x:v>1</x:v>
      </x:c>
      <x:c r="F545" s="46" t="n">
        <x:v>5</x:v>
      </x:c>
      <x:c r="G545" s="12" t="n">
        <x:v>0.8888888888888888</x:v>
      </x:c>
      <x:c r="H545" s="12" t="n">
        <x:v>1</x:v>
      </x:c>
      <x:c r="I545" s="29" t="n">
        <x:f>'Assumptions'!$D$11+'Assumptions'!$D$12*(0.5-(G545+H545)/2)</x:f>
        <x:v>0.21111111111111108</x:v>
      </x:c>
      <x:c r="J545" s="27" t="n">
        <x:f>'Assumptions'!$D$8*EXP(-'Assumptions'!$D$9*('Fleet Engine'!E205-10))*'Assumptions'!E56*'Assumptions'!F36</x:f>
        <x:v>5601.482226767098</x:v>
      </x:c>
      <x:c r="K545" s="27" t="n">
        <x:f>'Source Data'!F222+LN('Assumptions'!D56)+LN('Assumptions'!F35)</x:f>
        <x:v>8.056397553082528</x:v>
      </x:c>
      <x:c r="L545" s="27" t="n">
        <x:f>J545*(1-I545*(1-'Carrier Engine'!E93))</x:f>
        <x:v>4466.248495475633</x:v>
      </x:c>
      <x:c r="M545" s="29" t="n">
        <x:f>NORM.S.DIST((LN(L545)-K545)/'Assumptions'!$D$10,TRUE)</x:f>
        <x:v>0.5876746859896276</x:v>
      </x:c>
      <x:c r="N545" s="30" t="n">
        <x:f>MAX(0,H545-MAX(G545,M545))</x:f>
        <x:v>0.11111111111111116</x:v>
      </x:c>
      <x:c r="O545" s="28" t="n">
        <x:f>J545*I545</x:f>
        <x:v>1182.5351367619428</x:v>
      </x:c>
      <x:c r="P545" s="27" t="n">
        <x:f>(VLOOKUP(O545,'Fee Data'!$C$6:$G$50,2,TRUE)+O545*VLOOKUP(O545,'Fee Data'!$C$6:$G$50,3,TRUE)+VLOOKUP(O545,'Fee Data'!$I$6:$J$14,2,TRUE)+'Fee Data'!$J$20+'Fee Data'!$J$21)*'Assumptions'!F37</x:f>
        <x:v>560</x:v>
      </x:c>
      <x:c r="Q545" s="27" t="n">
        <x:f>(VLOOKUP(O545,'Fee Data'!$C$6:$G$50,4,TRUE)+O545*VLOOKUP(O545,'Fee Data'!$C$6:$G$50,5,TRUE)+VLOOKUP(O545,'Fee Data'!$I$6:$J$14,2,TRUE)+'Fee Data'!$J$20+'Fee Data'!$J$21)*'Assumptions'!F37</x:f>
        <x:v>435</x:v>
      </x:c>
      <x:c r="R545" s="27" t="n">
        <x:f>P545*(1-'Assumptions'!$D$14)+Q545*'Assumptions'!$D$14</x:f>
        <x:v>497.5</x:v>
      </x:c>
      <x:c r="S545" s="27" t="n">
        <x:f>O545*'Carrier Engine'!E93</x:f>
        <x:v>47.30140547047771</x:v>
      </x:c>
      <x:c r="T545" s="28" t="n">
        <x:f>R545+S545</x:f>
        <x:v>544.8014054704777</x:v>
      </x:c>
      <x:c r="U545" s="27" t="n">
        <x:f>N545*'Fleet Engine'!H205</x:f>
        <x:v>1295.911290631025</x:v>
      </x:c>
      <x:c r="V545" s="28" t="n">
        <x:f>U545*T545</x:f>
        <x:v>706014.2925008431</x:v>
      </x:c>
      <x:c r="W545" s="28" t="n">
        <x:f>U545*O545</x:f>
        <x:v>1532460.635297705</x:v>
      </x:c>
    </x:row>
    <x:row r="546" ht="19" customHeight="1">
      <x:c r="A546" s="2"/>
      <x:c r="B546" s="2"/>
      <x:c r="C546" s="46" t="n">
        <x:v>2</x:v>
      </x:c>
      <x:c r="D546" s="46" t="n">
        <x:v>12</x:v>
      </x:c>
      <x:c r="E546" s="46" t="n">
        <x:v>2</x:v>
      </x:c>
      <x:c r="F546" s="46" t="n">
        <x:v>0</x:v>
      </x:c>
      <x:c r="G546" s="12" t="n">
        <x:v>0</x:v>
      </x:c>
      <x:c r="H546" s="12" t="n">
        <x:v>0.1111111111111111</x:v>
      </x:c>
      <x:c r="I546" s="29" t="n">
        <x:f>'Assumptions'!$D$11+'Assumptions'!$D$12*(0.5-(G546+H546)/2)</x:f>
        <x:v>0.3888888888888889</x:v>
      </x:c>
      <x:c r="J546" s="27" t="n">
        <x:f>'Assumptions'!$D$8*EXP(-'Assumptions'!$D$9*('Fleet Engine'!E206-10))*'Assumptions'!E57*'Assumptions'!F36</x:f>
        <x:v>40583.94769889355</x:v>
      </x:c>
      <x:c r="K546" s="27" t="n">
        <x:f>'Source Data'!F217+LN('Assumptions'!D57)+LN('Assumptions'!F35)</x:f>
        <x:v>8.2942644758604</x:v>
      </x:c>
      <x:c r="L546" s="27" t="n">
        <x:f>J546*(1-I546*(1-'Carrier Engine'!E93))</x:f>
        <x:v>25432.60722463996</x:v>
      </x:c>
      <x:c r="M546" s="29" t="n">
        <x:f>NORM.S.DIST((LN(L546)-K546)/'Assumptions'!$D$10,TRUE)</x:f>
        <x:v>0.8805788825170106</x:v>
      </x:c>
      <x:c r="N546" s="30" t="n">
        <x:f>MAX(0,H546-MAX(G546,M546))</x:f>
        <x:v>0</x:v>
      </x:c>
      <x:c r="O546" s="28" t="n">
        <x:f>J546*I546</x:f>
        <x:v>15782.646327347491</x:v>
      </x:c>
      <x:c r="P546" s="27" t="n">
        <x:f>(VLOOKUP(O546,'Fee Data'!$C$6:$G$50,2,TRUE)+O546*VLOOKUP(O546,'Fee Data'!$C$6:$G$50,3,TRUE)+VLOOKUP(O546,'Fee Data'!$I$6:$J$14,2,TRUE)+'Fee Data'!$J$20+'Fee Data'!$J$21)*'Assumptions'!F37</x:f>
        <x:v>1433.6984745510617</x:v>
      </x:c>
      <x:c r="Q546" s="27" t="n">
        <x:f>(VLOOKUP(O546,'Fee Data'!$C$6:$G$50,4,TRUE)+O546*VLOOKUP(O546,'Fee Data'!$C$6:$G$50,5,TRUE)+VLOOKUP(O546,'Fee Data'!$I$6:$J$14,2,TRUE)+'Fee Data'!$J$20+'Fee Data'!$J$21)*'Assumptions'!F37</x:f>
        <x:v>1196.9587796408496</x:v>
      </x:c>
      <x:c r="R546" s="27" t="n">
        <x:f>P546*(1-'Assumptions'!$D$14)+Q546*'Assumptions'!$D$14</x:f>
        <x:v>1315.3286270959557</x:v>
      </x:c>
      <x:c r="S546" s="27" t="n">
        <x:f>O546*'Carrier Engine'!E93</x:f>
        <x:v>631.3058530938996</x:v>
      </x:c>
      <x:c r="T546" s="28" t="n">
        <x:f>R546+S546</x:f>
        <x:v>1946.6344801898554</x:v>
      </x:c>
      <x:c r="U546" s="27" t="n">
        <x:f>N546*'Fleet Engine'!H206</x:f>
        <x:v>0</x:v>
      </x:c>
      <x:c r="V546" s="28" t="n">
        <x:f>U546*T546</x:f>
        <x:v>0</x:v>
      </x:c>
      <x:c r="W546" s="28" t="n">
        <x:f>U546*O546</x:f>
        <x:v>0</x:v>
      </x:c>
    </x:row>
    <x:row r="547" ht="19" customHeight="1">
      <x:c r="A547" s="2"/>
      <x:c r="B547" s="2"/>
      <x:c r="C547" s="46" t="n">
        <x:v>2</x:v>
      </x:c>
      <x:c r="D547" s="46" t="n">
        <x:v>12</x:v>
      </x:c>
      <x:c r="E547" s="46" t="n">
        <x:v>2</x:v>
      </x:c>
      <x:c r="F547" s="46" t="n">
        <x:v>0</x:v>
      </x:c>
      <x:c r="G547" s="12" t="n">
        <x:v>0.1111111111111111</x:v>
      </x:c>
      <x:c r="H547" s="12" t="n">
        <x:v>0.2222222222222222</x:v>
      </x:c>
      <x:c r="I547" s="29" t="n">
        <x:f>'Assumptions'!$D$11+'Assumptions'!$D$12*(0.5-(G547+H547)/2)</x:f>
        <x:v>0.3666666666666667</x:v>
      </x:c>
      <x:c r="J547" s="27" t="n">
        <x:f>'Assumptions'!$D$8*EXP(-'Assumptions'!$D$9*('Fleet Engine'!E206-10))*'Assumptions'!E57*'Assumptions'!F36</x:f>
        <x:v>40583.94769889355</x:v>
      </x:c>
      <x:c r="K547" s="27" t="n">
        <x:f>'Source Data'!F217+LN('Assumptions'!D57)+LN('Assumptions'!F35)</x:f>
        <x:v>8.2942644758604</x:v>
      </x:c>
      <x:c r="L547" s="27" t="n">
        <x:f>J547*(1-I547*(1-'Carrier Engine'!E93))</x:f>
        <x:v>26298.398108883015</x:v>
      </x:c>
      <x:c r="M547" s="29" t="n">
        <x:f>NORM.S.DIST((LN(L547)-K547)/'Assumptions'!$D$10,TRUE)</x:f>
        <x:v>0.8847758792317063</x:v>
      </x:c>
      <x:c r="N547" s="30" t="n">
        <x:f>MAX(0,H547-MAX(G547,M547))</x:f>
        <x:v>0</x:v>
      </x:c>
      <x:c r="O547" s="28" t="n">
        <x:f>J547*I547</x:f>
        <x:v>14880.780822927636</x:v>
      </x:c>
      <x:c r="P547" s="27" t="n">
        <x:f>(VLOOKUP(O547,'Fee Data'!$C$6:$G$50,2,TRUE)+O547*VLOOKUP(O547,'Fee Data'!$C$6:$G$50,3,TRUE)+VLOOKUP(O547,'Fee Data'!$I$6:$J$14,2,TRUE)+'Fee Data'!$J$20+'Fee Data'!$J$21)*'Assumptions'!F37</x:f>
        <x:v>1250</x:v>
      </x:c>
      <x:c r="Q547" s="27" t="n">
        <x:f>(VLOOKUP(O547,'Fee Data'!$C$6:$G$50,4,TRUE)+O547*VLOOKUP(O547,'Fee Data'!$C$6:$G$50,5,TRUE)+VLOOKUP(O547,'Fee Data'!$I$6:$J$14,2,TRUE)+'Fee Data'!$J$20+'Fee Data'!$J$21)*'Assumptions'!F37</x:f>
        <x:v>1140</x:v>
      </x:c>
      <x:c r="R547" s="27" t="n">
        <x:f>P547*(1-'Assumptions'!$D$14)+Q547*'Assumptions'!$D$14</x:f>
        <x:v>1195</x:v>
      </x:c>
      <x:c r="S547" s="27" t="n">
        <x:f>O547*'Carrier Engine'!E93</x:f>
        <x:v>595.2312329171054</x:v>
      </x:c>
      <x:c r="T547" s="28" t="n">
        <x:f>R547+S547</x:f>
        <x:v>1790.2312329171054</x:v>
      </x:c>
      <x:c r="U547" s="27" t="n">
        <x:f>N547*'Fleet Engine'!H206</x:f>
        <x:v>0</x:v>
      </x:c>
      <x:c r="V547" s="28" t="n">
        <x:f>U547*T547</x:f>
        <x:v>0</x:v>
      </x:c>
      <x:c r="W547" s="28" t="n">
        <x:f>U547*O547</x:f>
        <x:v>0</x:v>
      </x:c>
    </x:row>
    <x:row r="548" ht="19" customHeight="1">
      <x:c r="A548" s="2"/>
      <x:c r="B548" s="2"/>
      <x:c r="C548" s="46" t="n">
        <x:v>2</x:v>
      </x:c>
      <x:c r="D548" s="46" t="n">
        <x:v>12</x:v>
      </x:c>
      <x:c r="E548" s="46" t="n">
        <x:v>2</x:v>
      </x:c>
      <x:c r="F548" s="46" t="n">
        <x:v>0</x:v>
      </x:c>
      <x:c r="G548" s="12" t="n">
        <x:v>0.2222222222222222</x:v>
      </x:c>
      <x:c r="H548" s="12" t="n">
        <x:v>0.3333333333333333</x:v>
      </x:c>
      <x:c r="I548" s="29" t="n">
        <x:f>'Assumptions'!$D$11+'Assumptions'!$D$12*(0.5-(G548+H548)/2)</x:f>
        <x:v>0.34444444444444444</x:v>
      </x:c>
      <x:c r="J548" s="27" t="n">
        <x:f>'Assumptions'!$D$8*EXP(-'Assumptions'!$D$9*('Fleet Engine'!E206-10))*'Assumptions'!E57*'Assumptions'!F36</x:f>
        <x:v>40583.94769889355</x:v>
      </x:c>
      <x:c r="K548" s="27" t="n">
        <x:f>'Source Data'!F217+LN('Assumptions'!D57)+LN('Assumptions'!F35)</x:f>
        <x:v>8.2942644758604</x:v>
      </x:c>
      <x:c r="L548" s="27" t="n">
        <x:f>J548*(1-I548*(1-'Carrier Engine'!E93))</x:f>
        <x:v>27164.18899312608</x:v>
      </x:c>
      <x:c r="M548" s="29" t="n">
        <x:f>NORM.S.DIST((LN(L548)-K548)/'Assumptions'!$D$10,TRUE)</x:f>
        <x:v>0.888736062055902</x:v>
      </x:c>
      <x:c r="N548" s="30" t="n">
        <x:f>MAX(0,H548-MAX(G548,M548))</x:f>
        <x:v>0</x:v>
      </x:c>
      <x:c r="O548" s="28" t="n">
        <x:f>J548*I548</x:f>
        <x:v>13978.915318507778</x:v>
      </x:c>
      <x:c r="P548" s="27" t="n">
        <x:f>(VLOOKUP(O548,'Fee Data'!$C$6:$G$50,2,TRUE)+O548*VLOOKUP(O548,'Fee Data'!$C$6:$G$50,3,TRUE)+VLOOKUP(O548,'Fee Data'!$I$6:$J$14,2,TRUE)+'Fee Data'!$J$20+'Fee Data'!$J$21)*'Assumptions'!F37</x:f>
        <x:v>1250</x:v>
      </x:c>
      <x:c r="Q548" s="27" t="n">
        <x:f>(VLOOKUP(O548,'Fee Data'!$C$6:$G$50,4,TRUE)+O548*VLOOKUP(O548,'Fee Data'!$C$6:$G$50,5,TRUE)+VLOOKUP(O548,'Fee Data'!$I$6:$J$14,2,TRUE)+'Fee Data'!$J$20+'Fee Data'!$J$21)*'Assumptions'!F37</x:f>
        <x:v>1140</x:v>
      </x:c>
      <x:c r="R548" s="27" t="n">
        <x:f>P548*(1-'Assumptions'!$D$14)+Q548*'Assumptions'!$D$14</x:f>
        <x:v>1195</x:v>
      </x:c>
      <x:c r="S548" s="27" t="n">
        <x:f>O548*'Carrier Engine'!E93</x:f>
        <x:v>559.1566127403111</x:v>
      </x:c>
      <x:c r="T548" s="28" t="n">
        <x:f>R548+S548</x:f>
        <x:v>1754.1566127403112</x:v>
      </x:c>
      <x:c r="U548" s="27" t="n">
        <x:f>N548*'Fleet Engine'!H206</x:f>
        <x:v>0</x:v>
      </x:c>
      <x:c r="V548" s="28" t="n">
        <x:f>U548*T548</x:f>
        <x:v>0</x:v>
      </x:c>
      <x:c r="W548" s="28" t="n">
        <x:f>U548*O548</x:f>
        <x:v>0</x:v>
      </x:c>
    </x:row>
    <x:row r="549" ht="19" customHeight="1">
      <x:c r="A549" s="2"/>
      <x:c r="B549" s="2"/>
      <x:c r="C549" s="46" t="n">
        <x:v>2</x:v>
      </x:c>
      <x:c r="D549" s="46" t="n">
        <x:v>12</x:v>
      </x:c>
      <x:c r="E549" s="46" t="n">
        <x:v>2</x:v>
      </x:c>
      <x:c r="F549" s="46" t="n">
        <x:v>0</x:v>
      </x:c>
      <x:c r="G549" s="12" t="n">
        <x:v>0.3333333333333333</x:v>
      </x:c>
      <x:c r="H549" s="12" t="n">
        <x:v>0.4444444444444444</x:v>
      </x:c>
      <x:c r="I549" s="29" t="n">
        <x:f>'Assumptions'!$D$11+'Assumptions'!$D$12*(0.5-(G549+H549)/2)</x:f>
        <x:v>0.32222222222222224</x:v>
      </x:c>
      <x:c r="J549" s="27" t="n">
        <x:f>'Assumptions'!$D$8*EXP(-'Assumptions'!$D$9*('Fleet Engine'!E206-10))*'Assumptions'!E57*'Assumptions'!F36</x:f>
        <x:v>40583.94769889355</x:v>
      </x:c>
      <x:c r="K549" s="27" t="n">
        <x:f>'Source Data'!F217+LN('Assumptions'!D57)+LN('Assumptions'!F35)</x:f>
        <x:v>8.2942644758604</x:v>
      </x:c>
      <x:c r="L549" s="27" t="n">
        <x:f>J549*(1-I549*(1-'Carrier Engine'!E93))</x:f>
        <x:v>28029.979877369144</x:v>
      </x:c>
      <x:c r="M549" s="29" t="n">
        <x:f>NORM.S.DIST((LN(L549)-K549)/'Assumptions'!$D$10,TRUE)</x:f>
        <x:v>0.8924781519277265</x:v>
      </x:c>
      <x:c r="N549" s="30" t="n">
        <x:f>MAX(0,H549-MAX(G549,M549))</x:f>
        <x:v>0</x:v>
      </x:c>
      <x:c r="O549" s="28" t="n">
        <x:f>J549*I549</x:f>
        <x:v>13077.049814087923</x:v>
      </x:c>
      <x:c r="P549" s="27" t="n">
        <x:f>(VLOOKUP(O549,'Fee Data'!$C$6:$G$50,2,TRUE)+O549*VLOOKUP(O549,'Fee Data'!$C$6:$G$50,3,TRUE)+VLOOKUP(O549,'Fee Data'!$I$6:$J$14,2,TRUE)+'Fee Data'!$J$20+'Fee Data'!$J$21)*'Assumptions'!F37</x:f>
        <x:v>1250</x:v>
      </x:c>
      <x:c r="Q549" s="27" t="n">
        <x:f>(VLOOKUP(O549,'Fee Data'!$C$6:$G$50,4,TRUE)+O549*VLOOKUP(O549,'Fee Data'!$C$6:$G$50,5,TRUE)+VLOOKUP(O549,'Fee Data'!$I$6:$J$14,2,TRUE)+'Fee Data'!$J$20+'Fee Data'!$J$21)*'Assumptions'!F37</x:f>
        <x:v>1140</x:v>
      </x:c>
      <x:c r="R549" s="27" t="n">
        <x:f>P549*(1-'Assumptions'!$D$14)+Q549*'Assumptions'!$D$14</x:f>
        <x:v>1195</x:v>
      </x:c>
      <x:c r="S549" s="27" t="n">
        <x:f>O549*'Carrier Engine'!E93</x:f>
        <x:v>523.0819925635169</x:v>
      </x:c>
      <x:c r="T549" s="28" t="n">
        <x:f>R549+S549</x:f>
        <x:v>1718.081992563517</x:v>
      </x:c>
      <x:c r="U549" s="27" t="n">
        <x:f>N549*'Fleet Engine'!H206</x:f>
        <x:v>0</x:v>
      </x:c>
      <x:c r="V549" s="28" t="n">
        <x:f>U549*T549</x:f>
        <x:v>0</x:v>
      </x:c>
      <x:c r="W549" s="28" t="n">
        <x:f>U549*O549</x:f>
        <x:v>0</x:v>
      </x:c>
    </x:row>
    <x:row r="550" ht="19" customHeight="1">
      <x:c r="A550" s="2"/>
      <x:c r="B550" s="2"/>
      <x:c r="C550" s="46" t="n">
        <x:v>2</x:v>
      </x:c>
      <x:c r="D550" s="46" t="n">
        <x:v>12</x:v>
      </x:c>
      <x:c r="E550" s="46" t="n">
        <x:v>2</x:v>
      </x:c>
      <x:c r="F550" s="46" t="n">
        <x:v>0</x:v>
      </x:c>
      <x:c r="G550" s="12" t="n">
        <x:v>0.4444444444444444</x:v>
      </x:c>
      <x:c r="H550" s="12" t="n">
        <x:v>0.5555555555555556</x:v>
      </x:c>
      <x:c r="I550" s="29" t="n">
        <x:f>'Assumptions'!$D$11+'Assumptions'!$D$12*(0.5-(G550+H550)/2)</x:f>
        <x:v>0.3</x:v>
      </x:c>
      <x:c r="J550" s="27" t="n">
        <x:f>'Assumptions'!$D$8*EXP(-'Assumptions'!$D$9*('Fleet Engine'!E206-10))*'Assumptions'!E57*'Assumptions'!F36</x:f>
        <x:v>40583.94769889355</x:v>
      </x:c>
      <x:c r="K550" s="27" t="n">
        <x:f>'Source Data'!F217+LN('Assumptions'!D57)+LN('Assumptions'!F35)</x:f>
        <x:v>8.2942644758604</x:v>
      </x:c>
      <x:c r="L550" s="27" t="n">
        <x:f>J550*(1-I550*(1-'Carrier Engine'!E93))</x:f>
        <x:v>28895.770761612206</x:v>
      </x:c>
      <x:c r="M550" s="29" t="n">
        <x:f>NORM.S.DIST((LN(L550)-K550)/'Assumptions'!$D$10,TRUE)</x:f>
        <x:v>0.8960189619269877</x:v>
      </x:c>
      <x:c r="N550" s="30" t="n">
        <x:f>MAX(0,H550-MAX(G550,M550))</x:f>
        <x:v>0</x:v>
      </x:c>
      <x:c r="O550" s="28" t="n">
        <x:f>J550*I550</x:f>
        <x:v>12175.184309668064</x:v>
      </x:c>
      <x:c r="P550" s="27" t="n">
        <x:f>(VLOOKUP(O550,'Fee Data'!$C$6:$G$50,2,TRUE)+O550*VLOOKUP(O550,'Fee Data'!$C$6:$G$50,3,TRUE)+VLOOKUP(O550,'Fee Data'!$I$6:$J$14,2,TRUE)+'Fee Data'!$J$20+'Fee Data'!$J$21)*'Assumptions'!F37</x:f>
        <x:v>1250</x:v>
      </x:c>
      <x:c r="Q550" s="27" t="n">
        <x:f>(VLOOKUP(O550,'Fee Data'!$C$6:$G$50,4,TRUE)+O550*VLOOKUP(O550,'Fee Data'!$C$6:$G$50,5,TRUE)+VLOOKUP(O550,'Fee Data'!$I$6:$J$14,2,TRUE)+'Fee Data'!$J$20+'Fee Data'!$J$21)*'Assumptions'!F37</x:f>
        <x:v>1125</x:v>
      </x:c>
      <x:c r="R550" s="27" t="n">
        <x:f>P550*(1-'Assumptions'!$D$14)+Q550*'Assumptions'!$D$14</x:f>
        <x:v>1187.5</x:v>
      </x:c>
      <x:c r="S550" s="27" t="n">
        <x:f>O550*'Carrier Engine'!E93</x:f>
        <x:v>487.0073723867226</x:v>
      </x:c>
      <x:c r="T550" s="28" t="n">
        <x:f>R550+S550</x:f>
        <x:v>1674.5073723867226</x:v>
      </x:c>
      <x:c r="U550" s="27" t="n">
        <x:f>N550*'Fleet Engine'!H206</x:f>
        <x:v>0</x:v>
      </x:c>
      <x:c r="V550" s="28" t="n">
        <x:f>U550*T550</x:f>
        <x:v>0</x:v>
      </x:c>
      <x:c r="W550" s="28" t="n">
        <x:f>U550*O550</x:f>
        <x:v>0</x:v>
      </x:c>
    </x:row>
    <x:row r="551" ht="19" customHeight="1">
      <x:c r="A551" s="2"/>
      <x:c r="B551" s="2"/>
      <x:c r="C551" s="46" t="n">
        <x:v>2</x:v>
      </x:c>
      <x:c r="D551" s="46" t="n">
        <x:v>12</x:v>
      </x:c>
      <x:c r="E551" s="46" t="n">
        <x:v>2</x:v>
      </x:c>
      <x:c r="F551" s="46" t="n">
        <x:v>0</x:v>
      </x:c>
      <x:c r="G551" s="12" t="n">
        <x:v>0.5555555555555556</x:v>
      </x:c>
      <x:c r="H551" s="12" t="n">
        <x:v>0.6666666666666666</x:v>
      </x:c>
      <x:c r="I551" s="29" t="n">
        <x:f>'Assumptions'!$D$11+'Assumptions'!$D$12*(0.5-(G551+H551)/2)</x:f>
        <x:v>0.27777777777777773</x:v>
      </x:c>
      <x:c r="J551" s="27" t="n">
        <x:f>'Assumptions'!$D$8*EXP(-'Assumptions'!$D$9*('Fleet Engine'!E206-10))*'Assumptions'!E57*'Assumptions'!F36</x:f>
        <x:v>40583.94769889355</x:v>
      </x:c>
      <x:c r="K551" s="27" t="n">
        <x:f>'Source Data'!F217+LN('Assumptions'!D57)+LN('Assumptions'!F35)</x:f>
        <x:v>8.2942644758604</x:v>
      </x:c>
      <x:c r="L551" s="27" t="n">
        <x:f>J551*(1-I551*(1-'Carrier Engine'!E93))</x:f>
        <x:v>29761.561645855272</x:v>
      </x:c>
      <x:c r="M551" s="29" t="n">
        <x:f>NORM.S.DIST((LN(L551)-K551)/'Assumptions'!$D$10,TRUE)</x:f>
        <x:v>0.899373634683205</x:v>
      </x:c>
      <x:c r="N551" s="30" t="n">
        <x:f>MAX(0,H551-MAX(G551,M551))</x:f>
        <x:v>0</x:v>
      </x:c>
      <x:c r="O551" s="28" t="n">
        <x:f>J551*I551</x:f>
        <x:v>11273.318805248206</x:v>
      </x:c>
      <x:c r="P551" s="27" t="n">
        <x:f>(VLOOKUP(O551,'Fee Data'!$C$6:$G$50,2,TRUE)+O551*VLOOKUP(O551,'Fee Data'!$C$6:$G$50,3,TRUE)+VLOOKUP(O551,'Fee Data'!$I$6:$J$14,2,TRUE)+'Fee Data'!$J$20+'Fee Data'!$J$21)*'Assumptions'!F37</x:f>
        <x:v>1250</x:v>
      </x:c>
      <x:c r="Q551" s="27" t="n">
        <x:f>(VLOOKUP(O551,'Fee Data'!$C$6:$G$50,4,TRUE)+O551*VLOOKUP(O551,'Fee Data'!$C$6:$G$50,5,TRUE)+VLOOKUP(O551,'Fee Data'!$I$6:$J$14,2,TRUE)+'Fee Data'!$J$20+'Fee Data'!$J$21)*'Assumptions'!F37</x:f>
        <x:v>1100</x:v>
      </x:c>
      <x:c r="R551" s="27" t="n">
        <x:f>P551*(1-'Assumptions'!$D$14)+Q551*'Assumptions'!$D$14</x:f>
        <x:v>1175</x:v>
      </x:c>
      <x:c r="S551" s="27" t="n">
        <x:f>O551*'Carrier Engine'!E93</x:f>
        <x:v>450.93275220992825</x:v>
      </x:c>
      <x:c r="T551" s="28" t="n">
        <x:f>R551+S551</x:f>
        <x:v>1625.9327522099284</x:v>
      </x:c>
      <x:c r="U551" s="27" t="n">
        <x:f>N551*'Fleet Engine'!H206</x:f>
        <x:v>0</x:v>
      </x:c>
      <x:c r="V551" s="28" t="n">
        <x:f>U551*T551</x:f>
        <x:v>0</x:v>
      </x:c>
      <x:c r="W551" s="28" t="n">
        <x:f>U551*O551</x:f>
        <x:v>0</x:v>
      </x:c>
    </x:row>
    <x:row r="552" ht="19" customHeight="1">
      <x:c r="A552" s="2"/>
      <x:c r="B552" s="2"/>
      <x:c r="C552" s="46" t="n">
        <x:v>2</x:v>
      </x:c>
      <x:c r="D552" s="46" t="n">
        <x:v>12</x:v>
      </x:c>
      <x:c r="E552" s="46" t="n">
        <x:v>2</x:v>
      </x:c>
      <x:c r="F552" s="46" t="n">
        <x:v>0</x:v>
      </x:c>
      <x:c r="G552" s="12" t="n">
        <x:v>0.6666666666666666</x:v>
      </x:c>
      <x:c r="H552" s="12" t="n">
        <x:v>0.7777777777777778</x:v>
      </x:c>
      <x:c r="I552" s="29" t="n">
        <x:f>'Assumptions'!$D$11+'Assumptions'!$D$12*(0.5-(G552+H552)/2)</x:f>
        <x:v>0.25555555555555554</x:v>
      </x:c>
      <x:c r="J552" s="27" t="n">
        <x:f>'Assumptions'!$D$8*EXP(-'Assumptions'!$D$9*('Fleet Engine'!E206-10))*'Assumptions'!E57*'Assumptions'!F36</x:f>
        <x:v>40583.94769889355</x:v>
      </x:c>
      <x:c r="K552" s="27" t="n">
        <x:f>'Source Data'!F217+LN('Assumptions'!D57)+LN('Assumptions'!F35)</x:f>
        <x:v>8.2942644758604</x:v>
      </x:c>
      <x:c r="L552" s="27" t="n">
        <x:f>J552*(1-I552*(1-'Carrier Engine'!E93))</x:f>
        <x:v>30627.352530098335</x:v>
      </x:c>
      <x:c r="M552" s="29" t="n">
        <x:f>NORM.S.DIST((LN(L552)-K552)/'Assumptions'!$D$10,TRUE)</x:f>
        <x:v>0.9025558450372322</x:v>
      </x:c>
      <x:c r="N552" s="30" t="n">
        <x:f>MAX(0,H552-MAX(G552,M552))</x:f>
        <x:v>0</x:v>
      </x:c>
      <x:c r="O552" s="28" t="n">
        <x:f>J552*I552</x:f>
        <x:v>10371.45330082835</x:v>
      </x:c>
      <x:c r="P552" s="27" t="n">
        <x:f>(VLOOKUP(O552,'Fee Data'!$C$6:$G$50,2,TRUE)+O552*VLOOKUP(O552,'Fee Data'!$C$6:$G$50,3,TRUE)+VLOOKUP(O552,'Fee Data'!$I$6:$J$14,2,TRUE)+'Fee Data'!$J$20+'Fee Data'!$J$21)*'Assumptions'!F37</x:f>
        <x:v>1250</x:v>
      </x:c>
      <x:c r="Q552" s="27" t="n">
        <x:f>(VLOOKUP(O552,'Fee Data'!$C$6:$G$50,4,TRUE)+O552*VLOOKUP(O552,'Fee Data'!$C$6:$G$50,5,TRUE)+VLOOKUP(O552,'Fee Data'!$I$6:$J$14,2,TRUE)+'Fee Data'!$J$20+'Fee Data'!$J$21)*'Assumptions'!F37</x:f>
        <x:v>1100</x:v>
      </x:c>
      <x:c r="R552" s="27" t="n">
        <x:f>P552*(1-'Assumptions'!$D$14)+Q552*'Assumptions'!$D$14</x:f>
        <x:v>1175</x:v>
      </x:c>
      <x:c r="S552" s="27" t="n">
        <x:f>O552*'Carrier Engine'!E93</x:f>
        <x:v>414.85813203313404</x:v>
      </x:c>
      <x:c r="T552" s="28" t="n">
        <x:f>R552+S552</x:f>
        <x:v>1589.858132033134</x:v>
      </x:c>
      <x:c r="U552" s="27" t="n">
        <x:f>N552*'Fleet Engine'!H206</x:f>
        <x:v>0</x:v>
      </x:c>
      <x:c r="V552" s="28" t="n">
        <x:f>U552*T552</x:f>
        <x:v>0</x:v>
      </x:c>
      <x:c r="W552" s="28" t="n">
        <x:f>U552*O552</x:f>
        <x:v>0</x:v>
      </x:c>
    </x:row>
    <x:row r="553" ht="19" customHeight="1">
      <x:c r="A553" s="2"/>
      <x:c r="B553" s="2"/>
      <x:c r="C553" s="46" t="n">
        <x:v>2</x:v>
      </x:c>
      <x:c r="D553" s="46" t="n">
        <x:v>12</x:v>
      </x:c>
      <x:c r="E553" s="46" t="n">
        <x:v>2</x:v>
      </x:c>
      <x:c r="F553" s="46" t="n">
        <x:v>0</x:v>
      </x:c>
      <x:c r="G553" s="12" t="n">
        <x:v>0.7777777777777778</x:v>
      </x:c>
      <x:c r="H553" s="12" t="n">
        <x:v>0.8888888888888888</x:v>
      </x:c>
      <x:c r="I553" s="29" t="n">
        <x:f>'Assumptions'!$D$11+'Assumptions'!$D$12*(0.5-(G553+H553)/2)</x:f>
        <x:v>0.23333333333333334</x:v>
      </x:c>
      <x:c r="J553" s="27" t="n">
        <x:f>'Assumptions'!$D$8*EXP(-'Assumptions'!$D$9*('Fleet Engine'!E206-10))*'Assumptions'!E57*'Assumptions'!F36</x:f>
        <x:v>40583.94769889355</x:v>
      </x:c>
      <x:c r="K553" s="27" t="n">
        <x:f>'Source Data'!F217+LN('Assumptions'!D57)+LN('Assumptions'!F35)</x:f>
        <x:v>8.2942644758604</x:v>
      </x:c>
      <x:c r="L553" s="27" t="n">
        <x:f>J553*(1-I553*(1-'Carrier Engine'!E93))</x:f>
        <x:v>31493.143414341394</x:v>
      </x:c>
      <x:c r="M553" s="29" t="n">
        <x:f>NORM.S.DIST((LN(L553)-K553)/'Assumptions'!$D$10,TRUE)</x:f>
        <x:v>0.9055779737778874</x:v>
      </x:c>
      <x:c r="N553" s="30" t="n">
        <x:f>MAX(0,H553-MAX(G553,M553))</x:f>
        <x:v>0</x:v>
      </x:c>
      <x:c r="O553" s="28" t="n">
        <x:f>J553*I553</x:f>
        <x:v>9469.587796408496</x:v>
      </x:c>
      <x:c r="P553" s="27" t="n">
        <x:f>(VLOOKUP(O553,'Fee Data'!$C$6:$G$50,2,TRUE)+O553*VLOOKUP(O553,'Fee Data'!$C$6:$G$50,3,TRUE)+VLOOKUP(O553,'Fee Data'!$I$6:$J$14,2,TRUE)+'Fee Data'!$J$20+'Fee Data'!$J$21)*'Assumptions'!F37</x:f>
        <x:v>1195</x:v>
      </x:c>
      <x:c r="Q553" s="27" t="n">
        <x:f>(VLOOKUP(O553,'Fee Data'!$C$6:$G$50,4,TRUE)+O553*VLOOKUP(O553,'Fee Data'!$C$6:$G$50,5,TRUE)+VLOOKUP(O553,'Fee Data'!$I$6:$J$14,2,TRUE)+'Fee Data'!$J$20+'Fee Data'!$J$21)*'Assumptions'!F37</x:f>
        <x:v>1070</x:v>
      </x:c>
      <x:c r="R553" s="27" t="n">
        <x:f>P553*(1-'Assumptions'!$D$14)+Q553*'Assumptions'!$D$14</x:f>
        <x:v>1132.5</x:v>
      </x:c>
      <x:c r="S553" s="27" t="n">
        <x:f>O553*'Carrier Engine'!E93</x:f>
        <x:v>378.7835118563398</x:v>
      </x:c>
      <x:c r="T553" s="28" t="n">
        <x:f>R553+S553</x:f>
        <x:v>1511.2835118563398</x:v>
      </x:c>
      <x:c r="U553" s="27" t="n">
        <x:f>N553*'Fleet Engine'!H206</x:f>
        <x:v>0</x:v>
      </x:c>
      <x:c r="V553" s="28" t="n">
        <x:f>U553*T553</x:f>
        <x:v>0</x:v>
      </x:c>
      <x:c r="W553" s="28" t="n">
        <x:f>U553*O553</x:f>
        <x:v>0</x:v>
      </x:c>
    </x:row>
    <x:row r="554" ht="19" customHeight="1">
      <x:c r="A554" s="2"/>
      <x:c r="B554" s="2"/>
      <x:c r="C554" s="46" t="n">
        <x:v>2</x:v>
      </x:c>
      <x:c r="D554" s="46" t="n">
        <x:v>12</x:v>
      </x:c>
      <x:c r="E554" s="46" t="n">
        <x:v>2</x:v>
      </x:c>
      <x:c r="F554" s="46" t="n">
        <x:v>0</x:v>
      </x:c>
      <x:c r="G554" s="12" t="n">
        <x:v>0.8888888888888888</x:v>
      </x:c>
      <x:c r="H554" s="12" t="n">
        <x:v>1</x:v>
      </x:c>
      <x:c r="I554" s="29" t="n">
        <x:f>'Assumptions'!$D$11+'Assumptions'!$D$12*(0.5-(G554+H554)/2)</x:f>
        <x:v>0.21111111111111108</x:v>
      </x:c>
      <x:c r="J554" s="27" t="n">
        <x:f>'Assumptions'!$D$8*EXP(-'Assumptions'!$D$9*('Fleet Engine'!E206-10))*'Assumptions'!E57*'Assumptions'!F36</x:f>
        <x:v>40583.94769889355</x:v>
      </x:c>
      <x:c r="K554" s="27" t="n">
        <x:f>'Source Data'!F217+LN('Assumptions'!D57)+LN('Assumptions'!F35)</x:f>
        <x:v>8.2942644758604</x:v>
      </x:c>
      <x:c r="L554" s="27" t="n">
        <x:f>J554*(1-I554*(1-'Carrier Engine'!E93))</x:f>
        <x:v>32358.934298584456</x:v>
      </x:c>
      <x:c r="M554" s="29" t="n">
        <x:f>NORM.S.DIST((LN(L554)-K554)/'Assumptions'!$D$10,TRUE)</x:f>
        <x:v>0.9084512571809873</x:v>
      </x:c>
      <x:c r="N554" s="30" t="n">
        <x:f>MAX(0,H554-MAX(G554,M554))</x:f>
        <x:v>0.09154874281901271</x:v>
      </x:c>
      <x:c r="O554" s="28" t="n">
        <x:f>J554*I554</x:f>
        <x:v>8567.722291988637</x:v>
      </x:c>
      <x:c r="P554" s="27" t="n">
        <x:f>(VLOOKUP(O554,'Fee Data'!$C$6:$G$50,2,TRUE)+O554*VLOOKUP(O554,'Fee Data'!$C$6:$G$50,3,TRUE)+VLOOKUP(O554,'Fee Data'!$I$6:$J$14,2,TRUE)+'Fee Data'!$J$20+'Fee Data'!$J$21)*'Assumptions'!F37</x:f>
        <x:v>1195</x:v>
      </x:c>
      <x:c r="Q554" s="27" t="n">
        <x:f>(VLOOKUP(O554,'Fee Data'!$C$6:$G$50,4,TRUE)+O554*VLOOKUP(O554,'Fee Data'!$C$6:$G$50,5,TRUE)+VLOOKUP(O554,'Fee Data'!$I$6:$J$14,2,TRUE)+'Fee Data'!$J$20+'Fee Data'!$J$21)*'Assumptions'!F37</x:f>
        <x:v>1070</x:v>
      </x:c>
      <x:c r="R554" s="27" t="n">
        <x:f>P554*(1-'Assumptions'!$D$14)+Q554*'Assumptions'!$D$14</x:f>
        <x:v>1132.5</x:v>
      </x:c>
      <x:c r="S554" s="27" t="n">
        <x:f>O554*'Carrier Engine'!E93</x:f>
        <x:v>342.7088916795455</x:v>
      </x:c>
      <x:c r="T554" s="28" t="n">
        <x:f>R554+S554</x:f>
        <x:v>1475.2088916795456</x:v>
      </x:c>
      <x:c r="U554" s="27" t="n">
        <x:f>N554*'Fleet Engine'!H206</x:f>
        <x:v>115.59969128148599</x:v>
      </x:c>
      <x:c r="V554" s="28" t="n">
        <x:f>U554*T554</x:f>
        <x:v>170533.69245385856</x:v>
      </x:c>
      <x:c r="W554" s="28" t="n">
        <x:f>U554*O554</x:f>
        <x:v>990426.051939392</x:v>
      </x:c>
    </x:row>
    <x:row r="555" ht="19" customHeight="1">
      <x:c r="A555" s="2"/>
      <x:c r="B555" s="2"/>
      <x:c r="C555" s="46" t="n">
        <x:v>2</x:v>
      </x:c>
      <x:c r="D555" s="46" t="n">
        <x:v>13</x:v>
      </x:c>
      <x:c r="E555" s="46" t="n">
        <x:v>2</x:v>
      </x:c>
      <x:c r="F555" s="46" t="n">
        <x:v>1</x:v>
      </x:c>
      <x:c r="G555" s="12" t="n">
        <x:v>0</x:v>
      </x:c>
      <x:c r="H555" s="12" t="n">
        <x:v>0.1111111111111111</x:v>
      </x:c>
      <x:c r="I555" s="29" t="n">
        <x:f>'Assumptions'!$D$11+'Assumptions'!$D$12*(0.5-(G555+H555)/2)</x:f>
        <x:v>0.3888888888888889</x:v>
      </x:c>
      <x:c r="J555" s="27" t="n">
        <x:f>'Assumptions'!$D$8*EXP(-'Assumptions'!$D$9*('Fleet Engine'!E207-10))*'Assumptions'!E57*'Assumptions'!F36</x:f>
        <x:v>33227.326062392545</x:v>
      </x:c>
      <x:c r="K555" s="27" t="n">
        <x:f>'Source Data'!F218+LN('Assumptions'!D57)+LN('Assumptions'!F35)</x:f>
        <x:v>8.179823674316163</x:v>
      </x:c>
      <x:c r="L555" s="27" t="n">
        <x:f>J555*(1-I555*(1-'Carrier Engine'!E93))</x:f>
        <x:v>20822.457665765996</x:v>
      </x:c>
      <x:c r="M555" s="29" t="n">
        <x:f>NORM.S.DIST((LN(L555)-K555)/'Assumptions'!$D$10,TRUE)</x:f>
        <x:v>0.8693654103038547</x:v>
      </x:c>
      <x:c r="N555" s="30" t="n">
        <x:f>MAX(0,H555-MAX(G555,M555))</x:f>
        <x:v>0</x:v>
      </x:c>
      <x:c r="O555" s="28" t="n">
        <x:f>J555*I555</x:f>
        <x:v>12921.737913152656</x:v>
      </x:c>
      <x:c r="P555" s="27" t="n">
        <x:f>(VLOOKUP(O555,'Fee Data'!$C$6:$G$50,2,TRUE)+O555*VLOOKUP(O555,'Fee Data'!$C$6:$G$50,3,TRUE)+VLOOKUP(O555,'Fee Data'!$I$6:$J$14,2,TRUE)+'Fee Data'!$J$20+'Fee Data'!$J$21)*'Assumptions'!F37</x:f>
        <x:v>1250</x:v>
      </x:c>
      <x:c r="Q555" s="27" t="n">
        <x:f>(VLOOKUP(O555,'Fee Data'!$C$6:$G$50,4,TRUE)+O555*VLOOKUP(O555,'Fee Data'!$C$6:$G$50,5,TRUE)+VLOOKUP(O555,'Fee Data'!$I$6:$J$14,2,TRUE)+'Fee Data'!$J$20+'Fee Data'!$J$21)*'Assumptions'!F37</x:f>
        <x:v>1140</x:v>
      </x:c>
      <x:c r="R555" s="27" t="n">
        <x:f>P555*(1-'Assumptions'!$D$14)+Q555*'Assumptions'!$D$14</x:f>
        <x:v>1195</x:v>
      </x:c>
      <x:c r="S555" s="27" t="n">
        <x:f>O555*'Carrier Engine'!E93</x:f>
        <x:v>516.8695165261063</x:v>
      </x:c>
      <x:c r="T555" s="28" t="n">
        <x:f>R555+S555</x:f>
        <x:v>1711.8695165261063</x:v>
      </x:c>
      <x:c r="U555" s="27" t="n">
        <x:f>N555*'Fleet Engine'!H207</x:f>
        <x:v>0</x:v>
      </x:c>
      <x:c r="V555" s="28" t="n">
        <x:f>U555*T555</x:f>
        <x:v>0</x:v>
      </x:c>
      <x:c r="W555" s="28" t="n">
        <x:f>U555*O555</x:f>
        <x:v>0</x:v>
      </x:c>
    </x:row>
    <x:row r="556" ht="19" customHeight="1">
      <x:c r="A556" s="2"/>
      <x:c r="B556" s="2"/>
      <x:c r="C556" s="46" t="n">
        <x:v>2</x:v>
      </x:c>
      <x:c r="D556" s="46" t="n">
        <x:v>13</x:v>
      </x:c>
      <x:c r="E556" s="46" t="n">
        <x:v>2</x:v>
      </x:c>
      <x:c r="F556" s="46" t="n">
        <x:v>1</x:v>
      </x:c>
      <x:c r="G556" s="12" t="n">
        <x:v>0.1111111111111111</x:v>
      </x:c>
      <x:c r="H556" s="12" t="n">
        <x:v>0.2222222222222222</x:v>
      </x:c>
      <x:c r="I556" s="29" t="n">
        <x:f>'Assumptions'!$D$11+'Assumptions'!$D$12*(0.5-(G556+H556)/2)</x:f>
        <x:v>0.3666666666666667</x:v>
      </x:c>
      <x:c r="J556" s="27" t="n">
        <x:f>'Assumptions'!$D$8*EXP(-'Assumptions'!$D$9*('Fleet Engine'!E207-10))*'Assumptions'!E57*'Assumptions'!F36</x:f>
        <x:v>33227.326062392545</x:v>
      </x:c>
      <x:c r="K556" s="27" t="n">
        <x:f>'Source Data'!F218+LN('Assumptions'!D57)+LN('Assumptions'!F35)</x:f>
        <x:v>8.179823674316163</x:v>
      </x:c>
      <x:c r="L556" s="27" t="n">
        <x:f>J556*(1-I556*(1-'Carrier Engine'!E93))</x:f>
        <x:v>21531.307288430366</x:v>
      </x:c>
      <x:c r="M556" s="29" t="n">
        <x:f>NORM.S.DIST((LN(L556)-K556)/'Assumptions'!$D$10,TRUE)</x:f>
        <x:v>0.8738365578665881</x:v>
      </x:c>
      <x:c r="N556" s="30" t="n">
        <x:f>MAX(0,H556-MAX(G556,M556))</x:f>
        <x:v>0</x:v>
      </x:c>
      <x:c r="O556" s="28" t="n">
        <x:f>J556*I556</x:f>
        <x:v>12183.352889543934</x:v>
      </x:c>
      <x:c r="P556" s="27" t="n">
        <x:f>(VLOOKUP(O556,'Fee Data'!$C$6:$G$50,2,TRUE)+O556*VLOOKUP(O556,'Fee Data'!$C$6:$G$50,3,TRUE)+VLOOKUP(O556,'Fee Data'!$I$6:$J$14,2,TRUE)+'Fee Data'!$J$20+'Fee Data'!$J$21)*'Assumptions'!F37</x:f>
        <x:v>1250</x:v>
      </x:c>
      <x:c r="Q556" s="27" t="n">
        <x:f>(VLOOKUP(O556,'Fee Data'!$C$6:$G$50,4,TRUE)+O556*VLOOKUP(O556,'Fee Data'!$C$6:$G$50,5,TRUE)+VLOOKUP(O556,'Fee Data'!$I$6:$J$14,2,TRUE)+'Fee Data'!$J$20+'Fee Data'!$J$21)*'Assumptions'!F37</x:f>
        <x:v>1125</x:v>
      </x:c>
      <x:c r="R556" s="27" t="n">
        <x:f>P556*(1-'Assumptions'!$D$14)+Q556*'Assumptions'!$D$14</x:f>
        <x:v>1187.5</x:v>
      </x:c>
      <x:c r="S556" s="27" t="n">
        <x:f>O556*'Carrier Engine'!E93</x:f>
        <x:v>487.3341155817574</x:v>
      </x:c>
      <x:c r="T556" s="28" t="n">
        <x:f>R556+S556</x:f>
        <x:v>1674.8341155817575</x:v>
      </x:c>
      <x:c r="U556" s="27" t="n">
        <x:f>N556*'Fleet Engine'!H207</x:f>
        <x:v>0</x:v>
      </x:c>
      <x:c r="V556" s="28" t="n">
        <x:f>U556*T556</x:f>
        <x:v>0</x:v>
      </x:c>
      <x:c r="W556" s="28" t="n">
        <x:f>U556*O556</x:f>
        <x:v>0</x:v>
      </x:c>
    </x:row>
    <x:row r="557" ht="19" customHeight="1">
      <x:c r="A557" s="2"/>
      <x:c r="B557" s="2"/>
      <x:c r="C557" s="46" t="n">
        <x:v>2</x:v>
      </x:c>
      <x:c r="D557" s="46" t="n">
        <x:v>13</x:v>
      </x:c>
      <x:c r="E557" s="46" t="n">
        <x:v>2</x:v>
      </x:c>
      <x:c r="F557" s="46" t="n">
        <x:v>1</x:v>
      </x:c>
      <x:c r="G557" s="12" t="n">
        <x:v>0.2222222222222222</x:v>
      </x:c>
      <x:c r="H557" s="12" t="n">
        <x:v>0.3333333333333333</x:v>
      </x:c>
      <x:c r="I557" s="29" t="n">
        <x:f>'Assumptions'!$D$11+'Assumptions'!$D$12*(0.5-(G557+H557)/2)</x:f>
        <x:v>0.34444444444444444</x:v>
      </x:c>
      <x:c r="J557" s="27" t="n">
        <x:f>'Assumptions'!$D$8*EXP(-'Assumptions'!$D$9*('Fleet Engine'!E207-10))*'Assumptions'!E57*'Assumptions'!F36</x:f>
        <x:v>33227.326062392545</x:v>
      </x:c>
      <x:c r="K557" s="27" t="n">
        <x:f>'Source Data'!F218+LN('Assumptions'!D57)+LN('Assumptions'!F35)</x:f>
        <x:v>8.179823674316163</x:v>
      </x:c>
      <x:c r="L557" s="27" t="n">
        <x:f>J557*(1-I557*(1-'Carrier Engine'!E93))</x:f>
        <x:v>22240.156911094742</x:v>
      </x:c>
      <x:c r="M557" s="29" t="n">
        <x:f>NORM.S.DIST((LN(L557)-K557)/'Assumptions'!$D$10,TRUE)</x:f>
        <x:v>0.8780602474996113</x:v>
      </x:c>
      <x:c r="N557" s="30" t="n">
        <x:f>MAX(0,H557-MAX(G557,M557))</x:f>
        <x:v>0</x:v>
      </x:c>
      <x:c r="O557" s="28" t="n">
        <x:f>J557*I557</x:f>
        <x:v>11444.96786593521</x:v>
      </x:c>
      <x:c r="P557" s="27" t="n">
        <x:f>(VLOOKUP(O557,'Fee Data'!$C$6:$G$50,2,TRUE)+O557*VLOOKUP(O557,'Fee Data'!$C$6:$G$50,3,TRUE)+VLOOKUP(O557,'Fee Data'!$I$6:$J$14,2,TRUE)+'Fee Data'!$J$20+'Fee Data'!$J$21)*'Assumptions'!F37</x:f>
        <x:v>1250</x:v>
      </x:c>
      <x:c r="Q557" s="27" t="n">
        <x:f>(VLOOKUP(O557,'Fee Data'!$C$6:$G$50,4,TRUE)+O557*VLOOKUP(O557,'Fee Data'!$C$6:$G$50,5,TRUE)+VLOOKUP(O557,'Fee Data'!$I$6:$J$14,2,TRUE)+'Fee Data'!$J$20+'Fee Data'!$J$21)*'Assumptions'!F37</x:f>
        <x:v>1100</x:v>
      </x:c>
      <x:c r="R557" s="27" t="n">
        <x:f>P557*(1-'Assumptions'!$D$14)+Q557*'Assumptions'!$D$14</x:f>
        <x:v>1175</x:v>
      </x:c>
      <x:c r="S557" s="27" t="n">
        <x:f>O557*'Carrier Engine'!E93</x:f>
        <x:v>457.7987146374084</x:v>
      </x:c>
      <x:c r="T557" s="28" t="n">
        <x:f>R557+S557</x:f>
        <x:v>1632.7987146374085</x:v>
      </x:c>
      <x:c r="U557" s="27" t="n">
        <x:f>N557*'Fleet Engine'!H207</x:f>
        <x:v>0</x:v>
      </x:c>
      <x:c r="V557" s="28" t="n">
        <x:f>U557*T557</x:f>
        <x:v>0</x:v>
      </x:c>
      <x:c r="W557" s="28" t="n">
        <x:f>U557*O557</x:f>
        <x:v>0</x:v>
      </x:c>
    </x:row>
    <x:row r="558" ht="19" customHeight="1">
      <x:c r="A558" s="2"/>
      <x:c r="B558" s="2"/>
      <x:c r="C558" s="46" t="n">
        <x:v>2</x:v>
      </x:c>
      <x:c r="D558" s="46" t="n">
        <x:v>13</x:v>
      </x:c>
      <x:c r="E558" s="46" t="n">
        <x:v>2</x:v>
      </x:c>
      <x:c r="F558" s="46" t="n">
        <x:v>1</x:v>
      </x:c>
      <x:c r="G558" s="12" t="n">
        <x:v>0.3333333333333333</x:v>
      </x:c>
      <x:c r="H558" s="12" t="n">
        <x:v>0.4444444444444444</x:v>
      </x:c>
      <x:c r="I558" s="29" t="n">
        <x:f>'Assumptions'!$D$11+'Assumptions'!$D$12*(0.5-(G558+H558)/2)</x:f>
        <x:v>0.32222222222222224</x:v>
      </x:c>
      <x:c r="J558" s="27" t="n">
        <x:f>'Assumptions'!$D$8*EXP(-'Assumptions'!$D$9*('Fleet Engine'!E207-10))*'Assumptions'!E57*'Assumptions'!F36</x:f>
        <x:v>33227.326062392545</x:v>
      </x:c>
      <x:c r="K558" s="27" t="n">
        <x:f>'Source Data'!F218+LN('Assumptions'!D57)+LN('Assumptions'!F35)</x:f>
        <x:v>8.179823674316163</x:v>
      </x:c>
      <x:c r="L558" s="27" t="n">
        <x:f>J558*(1-I558*(1-'Carrier Engine'!E93))</x:f>
        <x:v>22949.00653375912</x:v>
      </x:c>
      <x:c r="M558" s="29" t="n">
        <x:f>NORM.S.DIST((LN(L558)-K558)/'Assumptions'!$D$10,TRUE)</x:f>
        <x:v>0.8820557511267051</x:v>
      </x:c>
      <x:c r="N558" s="30" t="n">
        <x:f>MAX(0,H558-MAX(G558,M558))</x:f>
        <x:v>0</x:v>
      </x:c>
      <x:c r="O558" s="28" t="n">
        <x:f>J558*I558</x:f>
        <x:v>10706.582842326488</x:v>
      </x:c>
      <x:c r="P558" s="27" t="n">
        <x:f>(VLOOKUP(O558,'Fee Data'!$C$6:$G$50,2,TRUE)+O558*VLOOKUP(O558,'Fee Data'!$C$6:$G$50,3,TRUE)+VLOOKUP(O558,'Fee Data'!$I$6:$J$14,2,TRUE)+'Fee Data'!$J$20+'Fee Data'!$J$21)*'Assumptions'!F37</x:f>
        <x:v>1250</x:v>
      </x:c>
      <x:c r="Q558" s="27" t="n">
        <x:f>(VLOOKUP(O558,'Fee Data'!$C$6:$G$50,4,TRUE)+O558*VLOOKUP(O558,'Fee Data'!$C$6:$G$50,5,TRUE)+VLOOKUP(O558,'Fee Data'!$I$6:$J$14,2,TRUE)+'Fee Data'!$J$20+'Fee Data'!$J$21)*'Assumptions'!F37</x:f>
        <x:v>1100</x:v>
      </x:c>
      <x:c r="R558" s="27" t="n">
        <x:f>P558*(1-'Assumptions'!$D$14)+Q558*'Assumptions'!$D$14</x:f>
        <x:v>1175</x:v>
      </x:c>
      <x:c r="S558" s="27" t="n">
        <x:f>O558*'Carrier Engine'!E93</x:f>
        <x:v>428.26331369305956</x:v>
      </x:c>
      <x:c r="T558" s="28" t="n">
        <x:f>R558+S558</x:f>
        <x:v>1603.2633136930594</x:v>
      </x:c>
      <x:c r="U558" s="27" t="n">
        <x:f>N558*'Fleet Engine'!H207</x:f>
        <x:v>0</x:v>
      </x:c>
      <x:c r="V558" s="28" t="n">
        <x:f>U558*T558</x:f>
        <x:v>0</x:v>
      </x:c>
      <x:c r="W558" s="28" t="n">
        <x:f>U558*O558</x:f>
        <x:v>0</x:v>
      </x:c>
    </x:row>
    <x:row r="559" ht="19" customHeight="1">
      <x:c r="A559" s="2"/>
      <x:c r="B559" s="2"/>
      <x:c r="C559" s="46" t="n">
        <x:v>2</x:v>
      </x:c>
      <x:c r="D559" s="46" t="n">
        <x:v>13</x:v>
      </x:c>
      <x:c r="E559" s="46" t="n">
        <x:v>2</x:v>
      </x:c>
      <x:c r="F559" s="46" t="n">
        <x:v>1</x:v>
      </x:c>
      <x:c r="G559" s="12" t="n">
        <x:v>0.4444444444444444</x:v>
      </x:c>
      <x:c r="H559" s="12" t="n">
        <x:v>0.5555555555555556</x:v>
      </x:c>
      <x:c r="I559" s="29" t="n">
        <x:f>'Assumptions'!$D$11+'Assumptions'!$D$12*(0.5-(G559+H559)/2)</x:f>
        <x:v>0.3</x:v>
      </x:c>
      <x:c r="J559" s="27" t="n">
        <x:f>'Assumptions'!$D$8*EXP(-'Assumptions'!$D$9*('Fleet Engine'!E207-10))*'Assumptions'!E57*'Assumptions'!F36</x:f>
        <x:v>33227.326062392545</x:v>
      </x:c>
      <x:c r="K559" s="27" t="n">
        <x:f>'Source Data'!F218+LN('Assumptions'!D57)+LN('Assumptions'!F35)</x:f>
        <x:v>8.179823674316163</x:v>
      </x:c>
      <x:c r="L559" s="27" t="n">
        <x:f>J559*(1-I559*(1-'Carrier Engine'!E93))</x:f>
        <x:v>23657.85615642349</x:v>
      </x:c>
      <x:c r="M559" s="29" t="n">
        <x:f>NORM.S.DIST((LN(L559)-K559)/'Assumptions'!$D$10,TRUE)</x:f>
        <x:v>0.8858404003889359</x:v>
      </x:c>
      <x:c r="N559" s="30" t="n">
        <x:f>MAX(0,H559-MAX(G559,M559))</x:f>
        <x:v>0</x:v>
      </x:c>
      <x:c r="O559" s="28" t="n">
        <x:f>J559*I559</x:f>
        <x:v>9968.197818717763</x:v>
      </x:c>
      <x:c r="P559" s="27" t="n">
        <x:f>(VLOOKUP(O559,'Fee Data'!$C$6:$G$50,2,TRUE)+O559*VLOOKUP(O559,'Fee Data'!$C$6:$G$50,3,TRUE)+VLOOKUP(O559,'Fee Data'!$I$6:$J$14,2,TRUE)+'Fee Data'!$J$20+'Fee Data'!$J$21)*'Assumptions'!F37</x:f>
        <x:v>1195</x:v>
      </x:c>
      <x:c r="Q559" s="27" t="n">
        <x:f>(VLOOKUP(O559,'Fee Data'!$C$6:$G$50,4,TRUE)+O559*VLOOKUP(O559,'Fee Data'!$C$6:$G$50,5,TRUE)+VLOOKUP(O559,'Fee Data'!$I$6:$J$14,2,TRUE)+'Fee Data'!$J$20+'Fee Data'!$J$21)*'Assumptions'!F37</x:f>
        <x:v>1070</x:v>
      </x:c>
      <x:c r="R559" s="27" t="n">
        <x:f>P559*(1-'Assumptions'!$D$14)+Q559*'Assumptions'!$D$14</x:f>
        <x:v>1132.5</x:v>
      </x:c>
      <x:c r="S559" s="27" t="n">
        <x:f>O559*'Carrier Engine'!E93</x:f>
        <x:v>398.72791274871054</x:v>
      </x:c>
      <x:c r="T559" s="28" t="n">
        <x:f>R559+S559</x:f>
        <x:v>1531.2279127487104</x:v>
      </x:c>
      <x:c r="U559" s="27" t="n">
        <x:f>N559*'Fleet Engine'!H207</x:f>
        <x:v>0</x:v>
      </x:c>
      <x:c r="V559" s="28" t="n">
        <x:f>U559*T559</x:f>
        <x:v>0</x:v>
      </x:c>
      <x:c r="W559" s="28" t="n">
        <x:f>U559*O559</x:f>
        <x:v>0</x:v>
      </x:c>
    </x:row>
    <x:row r="560" ht="19" customHeight="1">
      <x:c r="A560" s="2"/>
      <x:c r="B560" s="2"/>
      <x:c r="C560" s="46" t="n">
        <x:v>2</x:v>
      </x:c>
      <x:c r="D560" s="46" t="n">
        <x:v>13</x:v>
      </x:c>
      <x:c r="E560" s="46" t="n">
        <x:v>2</x:v>
      </x:c>
      <x:c r="F560" s="46" t="n">
        <x:v>1</x:v>
      </x:c>
      <x:c r="G560" s="12" t="n">
        <x:v>0.5555555555555556</x:v>
      </x:c>
      <x:c r="H560" s="12" t="n">
        <x:v>0.6666666666666666</x:v>
      </x:c>
      <x:c r="I560" s="29" t="n">
        <x:f>'Assumptions'!$D$11+'Assumptions'!$D$12*(0.5-(G560+H560)/2)</x:f>
        <x:v>0.27777777777777773</x:v>
      </x:c>
      <x:c r="J560" s="27" t="n">
        <x:f>'Assumptions'!$D$8*EXP(-'Assumptions'!$D$9*('Fleet Engine'!E207-10))*'Assumptions'!E57*'Assumptions'!F36</x:f>
        <x:v>33227.326062392545</x:v>
      </x:c>
      <x:c r="K560" s="27" t="n">
        <x:f>'Source Data'!F218+LN('Assumptions'!D57)+LN('Assumptions'!F35)</x:f>
        <x:v>8.179823674316163</x:v>
      </x:c>
      <x:c r="L560" s="27" t="n">
        <x:f>J560*(1-I560*(1-'Carrier Engine'!E93))</x:f>
        <x:v>24366.705779087868</x:v>
      </x:c>
      <x:c r="M560" s="29" t="n">
        <x:f>NORM.S.DIST((LN(L560)-K560)/'Assumptions'!$D$10,TRUE)</x:f>
        <x:v>0.8894298256285628</x:v>
      </x:c>
      <x:c r="N560" s="30" t="n">
        <x:f>MAX(0,H560-MAX(G560,M560))</x:f>
        <x:v>0</x:v>
      </x:c>
      <x:c r="O560" s="28" t="n">
        <x:f>J560*I560</x:f>
        <x:v>9229.81279510904</x:v>
      </x:c>
      <x:c r="P560" s="27" t="n">
        <x:f>(VLOOKUP(O560,'Fee Data'!$C$6:$G$50,2,TRUE)+O560*VLOOKUP(O560,'Fee Data'!$C$6:$G$50,3,TRUE)+VLOOKUP(O560,'Fee Data'!$I$6:$J$14,2,TRUE)+'Fee Data'!$J$20+'Fee Data'!$J$21)*'Assumptions'!F37</x:f>
        <x:v>1195</x:v>
      </x:c>
      <x:c r="Q560" s="27" t="n">
        <x:f>(VLOOKUP(O560,'Fee Data'!$C$6:$G$50,4,TRUE)+O560*VLOOKUP(O560,'Fee Data'!$C$6:$G$50,5,TRUE)+VLOOKUP(O560,'Fee Data'!$I$6:$J$14,2,TRUE)+'Fee Data'!$J$20+'Fee Data'!$J$21)*'Assumptions'!F37</x:f>
        <x:v>1070</x:v>
      </x:c>
      <x:c r="R560" s="27" t="n">
        <x:f>P560*(1-'Assumptions'!$D$14)+Q560*'Assumptions'!$D$14</x:f>
        <x:v>1132.5</x:v>
      </x:c>
      <x:c r="S560" s="27" t="n">
        <x:f>O560*'Carrier Engine'!E93</x:f>
        <x:v>369.1925118043616</x:v>
      </x:c>
      <x:c r="T560" s="28" t="n">
        <x:f>R560+S560</x:f>
        <x:v>1501.6925118043616</x:v>
      </x:c>
      <x:c r="U560" s="27" t="n">
        <x:f>N560*'Fleet Engine'!H207</x:f>
        <x:v>0</x:v>
      </x:c>
      <x:c r="V560" s="28" t="n">
        <x:f>U560*T560</x:f>
        <x:v>0</x:v>
      </x:c>
      <x:c r="W560" s="28" t="n">
        <x:f>U560*O560</x:f>
        <x:v>0</x:v>
      </x:c>
    </x:row>
    <x:row r="561" ht="19" customHeight="1">
      <x:c r="A561" s="2"/>
      <x:c r="B561" s="2"/>
      <x:c r="C561" s="46" t="n">
        <x:v>2</x:v>
      </x:c>
      <x:c r="D561" s="46" t="n">
        <x:v>13</x:v>
      </x:c>
      <x:c r="E561" s="46" t="n">
        <x:v>2</x:v>
      </x:c>
      <x:c r="F561" s="46" t="n">
        <x:v>1</x:v>
      </x:c>
      <x:c r="G561" s="12" t="n">
        <x:v>0.6666666666666666</x:v>
      </x:c>
      <x:c r="H561" s="12" t="n">
        <x:v>0.7777777777777778</x:v>
      </x:c>
      <x:c r="I561" s="29" t="n">
        <x:f>'Assumptions'!$D$11+'Assumptions'!$D$12*(0.5-(G561+H561)/2)</x:f>
        <x:v>0.25555555555555554</x:v>
      </x:c>
      <x:c r="J561" s="27" t="n">
        <x:f>'Assumptions'!$D$8*EXP(-'Assumptions'!$D$9*('Fleet Engine'!E207-10))*'Assumptions'!E57*'Assumptions'!F36</x:f>
        <x:v>33227.326062392545</x:v>
      </x:c>
      <x:c r="K561" s="27" t="n">
        <x:f>'Source Data'!F218+LN('Assumptions'!D57)+LN('Assumptions'!F35)</x:f>
        <x:v>8.179823674316163</x:v>
      </x:c>
      <x:c r="L561" s="27" t="n">
        <x:f>J561*(1-I561*(1-'Carrier Engine'!E93))</x:f>
        <x:v>25075.55540175224</x:v>
      </x:c>
      <x:c r="M561" s="29" t="n">
        <x:f>NORM.S.DIST((LN(L561)-K561)/'Assumptions'!$D$10,TRUE)</x:f>
        <x:v>0.8928381602043821</x:v>
      </x:c>
      <x:c r="N561" s="30" t="n">
        <x:f>MAX(0,H561-MAX(G561,M561))</x:f>
        <x:v>0</x:v>
      </x:c>
      <x:c r="O561" s="28" t="n">
        <x:f>J561*I561</x:f>
        <x:v>8491.427771500317</x:v>
      </x:c>
      <x:c r="P561" s="27" t="n">
        <x:f>(VLOOKUP(O561,'Fee Data'!$C$6:$G$50,2,TRUE)+O561*VLOOKUP(O561,'Fee Data'!$C$6:$G$50,3,TRUE)+VLOOKUP(O561,'Fee Data'!$I$6:$J$14,2,TRUE)+'Fee Data'!$J$20+'Fee Data'!$J$21)*'Assumptions'!F37</x:f>
        <x:v>1175</x:v>
      </x:c>
      <x:c r="Q561" s="27" t="n">
        <x:f>(VLOOKUP(O561,'Fee Data'!$C$6:$G$50,4,TRUE)+O561*VLOOKUP(O561,'Fee Data'!$C$6:$G$50,5,TRUE)+VLOOKUP(O561,'Fee Data'!$I$6:$J$14,2,TRUE)+'Fee Data'!$J$20+'Fee Data'!$J$21)*'Assumptions'!F37</x:f>
        <x:v>1050</x:v>
      </x:c>
      <x:c r="R561" s="27" t="n">
        <x:f>P561*(1-'Assumptions'!$D$14)+Q561*'Assumptions'!$D$14</x:f>
        <x:v>1112.5</x:v>
      </x:c>
      <x:c r="S561" s="27" t="n">
        <x:f>O561*'Carrier Engine'!E93</x:f>
        <x:v>339.6571108600127</x:v>
      </x:c>
      <x:c r="T561" s="28" t="n">
        <x:f>R561+S561</x:f>
        <x:v>1452.1571108600128</x:v>
      </x:c>
      <x:c r="U561" s="27" t="n">
        <x:f>N561*'Fleet Engine'!H207</x:f>
        <x:v>0</x:v>
      </x:c>
      <x:c r="V561" s="28" t="n">
        <x:f>U561*T561</x:f>
        <x:v>0</x:v>
      </x:c>
      <x:c r="W561" s="28" t="n">
        <x:f>U561*O561</x:f>
        <x:v>0</x:v>
      </x:c>
    </x:row>
    <x:row r="562" ht="19" customHeight="1">
      <x:c r="A562" s="2"/>
      <x:c r="B562" s="2"/>
      <x:c r="C562" s="46" t="n">
        <x:v>2</x:v>
      </x:c>
      <x:c r="D562" s="46" t="n">
        <x:v>13</x:v>
      </x:c>
      <x:c r="E562" s="46" t="n">
        <x:v>2</x:v>
      </x:c>
      <x:c r="F562" s="46" t="n">
        <x:v>1</x:v>
      </x:c>
      <x:c r="G562" s="12" t="n">
        <x:v>0.7777777777777778</x:v>
      </x:c>
      <x:c r="H562" s="12" t="n">
        <x:v>0.8888888888888888</x:v>
      </x:c>
      <x:c r="I562" s="29" t="n">
        <x:f>'Assumptions'!$D$11+'Assumptions'!$D$12*(0.5-(G562+H562)/2)</x:f>
        <x:v>0.23333333333333334</x:v>
      </x:c>
      <x:c r="J562" s="27" t="n">
        <x:f>'Assumptions'!$D$8*EXP(-'Assumptions'!$D$9*('Fleet Engine'!E207-10))*'Assumptions'!E57*'Assumptions'!F36</x:f>
        <x:v>33227.326062392545</x:v>
      </x:c>
      <x:c r="K562" s="27" t="n">
        <x:f>'Source Data'!F218+LN('Assumptions'!D57)+LN('Assumptions'!F35)</x:f>
        <x:v>8.179823674316163</x:v>
      </x:c>
      <x:c r="L562" s="27" t="n">
        <x:f>J562*(1-I562*(1-'Carrier Engine'!E93))</x:f>
        <x:v>25784.405024416617</x:v>
      </x:c>
      <x:c r="M562" s="29" t="n">
        <x:f>NORM.S.DIST((LN(L562)-K562)/'Assumptions'!$D$10,TRUE)</x:f>
        <x:v>0.8960782159015883</x:v>
      </x:c>
      <x:c r="N562" s="30" t="n">
        <x:f>MAX(0,H562-MAX(G562,M562))</x:f>
        <x:v>0</x:v>
      </x:c>
      <x:c r="O562" s="28" t="n">
        <x:f>J562*I562</x:f>
        <x:v>7753.042747891594</x:v>
      </x:c>
      <x:c r="P562" s="27" t="n">
        <x:f>(VLOOKUP(O562,'Fee Data'!$C$6:$G$50,2,TRUE)+O562*VLOOKUP(O562,'Fee Data'!$C$6:$G$50,3,TRUE)+VLOOKUP(O562,'Fee Data'!$I$6:$J$14,2,TRUE)+'Fee Data'!$J$20+'Fee Data'!$J$21)*'Assumptions'!F37</x:f>
        <x:v>1135</x:v>
      </x:c>
      <x:c r="Q562" s="27" t="n">
        <x:f>(VLOOKUP(O562,'Fee Data'!$C$6:$G$50,4,TRUE)+O562*VLOOKUP(O562,'Fee Data'!$C$6:$G$50,5,TRUE)+VLOOKUP(O562,'Fee Data'!$I$6:$J$14,2,TRUE)+'Fee Data'!$J$20+'Fee Data'!$J$21)*'Assumptions'!F37</x:f>
        <x:v>1010</x:v>
      </x:c>
      <x:c r="R562" s="27" t="n">
        <x:f>P562*(1-'Assumptions'!$D$14)+Q562*'Assumptions'!$D$14</x:f>
        <x:v>1072.5</x:v>
      </x:c>
      <x:c r="S562" s="27" t="n">
        <x:f>O562*'Carrier Engine'!E93</x:f>
        <x:v>310.12170991566376</x:v>
      </x:c>
      <x:c r="T562" s="28" t="n">
        <x:f>R562+S562</x:f>
        <x:v>1382.6217099156638</x:v>
      </x:c>
      <x:c r="U562" s="27" t="n">
        <x:f>N562*'Fleet Engine'!H207</x:f>
        <x:v>0</x:v>
      </x:c>
      <x:c r="V562" s="28" t="n">
        <x:f>U562*T562</x:f>
        <x:v>0</x:v>
      </x:c>
      <x:c r="W562" s="28" t="n">
        <x:f>U562*O562</x:f>
        <x:v>0</x:v>
      </x:c>
    </x:row>
    <x:row r="563" ht="19" customHeight="1">
      <x:c r="A563" s="2"/>
      <x:c r="B563" s="2"/>
      <x:c r="C563" s="46" t="n">
        <x:v>2</x:v>
      </x:c>
      <x:c r="D563" s="46" t="n">
        <x:v>13</x:v>
      </x:c>
      <x:c r="E563" s="46" t="n">
        <x:v>2</x:v>
      </x:c>
      <x:c r="F563" s="46" t="n">
        <x:v>1</x:v>
      </x:c>
      <x:c r="G563" s="12" t="n">
        <x:v>0.8888888888888888</x:v>
      </x:c>
      <x:c r="H563" s="12" t="n">
        <x:v>1</x:v>
      </x:c>
      <x:c r="I563" s="29" t="n">
        <x:f>'Assumptions'!$D$11+'Assumptions'!$D$12*(0.5-(G563+H563)/2)</x:f>
        <x:v>0.21111111111111108</x:v>
      </x:c>
      <x:c r="J563" s="27" t="n">
        <x:f>'Assumptions'!$D$8*EXP(-'Assumptions'!$D$9*('Fleet Engine'!E207-10))*'Assumptions'!E57*'Assumptions'!F36</x:f>
        <x:v>33227.326062392545</x:v>
      </x:c>
      <x:c r="K563" s="27" t="n">
        <x:f>'Source Data'!F218+LN('Assumptions'!D57)+LN('Assumptions'!F35)</x:f>
        <x:v>8.179823674316163</x:v>
      </x:c>
      <x:c r="L563" s="27" t="n">
        <x:f>J563*(1-I563*(1-'Carrier Engine'!E93))</x:f>
        <x:v>26493.25464708099</x:v>
      </x:c>
      <x:c r="M563" s="29" t="n">
        <x:f>NORM.S.DIST((LN(L563)-K563)/'Assumptions'!$D$10,TRUE)</x:f>
        <x:v>0.8991616341237623</x:v>
      </x:c>
      <x:c r="N563" s="30" t="n">
        <x:f>MAX(0,H563-MAX(G563,M563))</x:f>
        <x:v>0.10083836587623773</x:v>
      </x:c>
      <x:c r="O563" s="28" t="n">
        <x:f>J563*I563</x:f>
        <x:v>7014.65772428287</x:v>
      </x:c>
      <x:c r="P563" s="27" t="n">
        <x:f>(VLOOKUP(O563,'Fee Data'!$C$6:$G$50,2,TRUE)+O563*VLOOKUP(O563,'Fee Data'!$C$6:$G$50,3,TRUE)+VLOOKUP(O563,'Fee Data'!$I$6:$J$14,2,TRUE)+'Fee Data'!$J$20+'Fee Data'!$J$21)*'Assumptions'!F37</x:f>
        <x:v>1115</x:v>
      </x:c>
      <x:c r="Q563" s="27" t="n">
        <x:f>(VLOOKUP(O563,'Fee Data'!$C$6:$G$50,4,TRUE)+O563*VLOOKUP(O563,'Fee Data'!$C$6:$G$50,5,TRUE)+VLOOKUP(O563,'Fee Data'!$I$6:$J$14,2,TRUE)+'Fee Data'!$J$20+'Fee Data'!$J$21)*'Assumptions'!F37</x:f>
        <x:v>990</x:v>
      </x:c>
      <x:c r="R563" s="27" t="n">
        <x:f>P563*(1-'Assumptions'!$D$14)+Q563*'Assumptions'!$D$14</x:f>
        <x:v>1052.5</x:v>
      </x:c>
      <x:c r="S563" s="27" t="n">
        <x:f>O563*'Carrier Engine'!E93</x:f>
        <x:v>280.5863089713148</x:v>
      </x:c>
      <x:c r="T563" s="28" t="n">
        <x:f>R563+S563</x:f>
        <x:v>1333.0863089713148</x:v>
      </x:c>
      <x:c r="U563" s="27" t="n">
        <x:f>N563*'Fleet Engine'!H207</x:f>
        <x:v>679.8017304467447</x:v>
      </x:c>
      <x:c r="V563" s="28" t="n">
        <x:f>U563*T563</x:f>
        <x:v>906234.3796735636</x:v>
      </x:c>
      <x:c r="W563" s="28" t="n">
        <x:f>U563*O563</x:f>
        <x:v>4768576.4594591195</x:v>
      </x:c>
    </x:row>
    <x:row r="564" ht="19" customHeight="1">
      <x:c r="A564" s="2"/>
      <x:c r="B564" s="2"/>
      <x:c r="C564" s="46" t="n">
        <x:v>2</x:v>
      </x:c>
      <x:c r="D564" s="46" t="n">
        <x:v>14</x:v>
      </x:c>
      <x:c r="E564" s="46" t="n">
        <x:v>2</x:v>
      </x:c>
      <x:c r="F564" s="46" t="n">
        <x:v>2</x:v>
      </x:c>
      <x:c r="G564" s="12" t="n">
        <x:v>0</x:v>
      </x:c>
      <x:c r="H564" s="12" t="n">
        <x:v>0.1111111111111111</x:v>
      </x:c>
      <x:c r="I564" s="29" t="n">
        <x:f>'Assumptions'!$D$11+'Assumptions'!$D$12*(0.5-(G564+H564)/2)</x:f>
        <x:v>0.3888888888888889</x:v>
      </x:c>
      <x:c r="J564" s="27" t="n">
        <x:f>'Assumptions'!$D$8*EXP(-'Assumptions'!$D$9*('Fleet Engine'!E208-10))*'Assumptions'!E57*'Assumptions'!F36</x:f>
        <x:v>24615.408571552918</x:v>
      </x:c>
      <x:c r="K564" s="27" t="n">
        <x:f>'Source Data'!F219+LN('Assumptions'!D57)+LN('Assumptions'!F35)</x:f>
        <x:v>8.22550551560197</x:v>
      </x:c>
      <x:c r="L564" s="27" t="n">
        <x:f>J564*(1-I564*(1-'Carrier Engine'!E93))</x:f>
        <x:v>15425.656038173163</x:v>
      </x:c>
      <x:c r="M564" s="29" t="n">
        <x:f>NORM.S.DIST((LN(L564)-K564)/'Assumptions'!$D$10,TRUE)</x:f>
        <x:v>0.8168022614945112</x:v>
      </x:c>
      <x:c r="N564" s="30" t="n">
        <x:f>MAX(0,H564-MAX(G564,M564))</x:f>
        <x:v>0</x:v>
      </x:c>
      <x:c r="O564" s="28" t="n">
        <x:f>J564*I564</x:f>
        <x:v>9572.658888937247</x:v>
      </x:c>
      <x:c r="P564" s="27" t="n">
        <x:f>(VLOOKUP(O564,'Fee Data'!$C$6:$G$50,2,TRUE)+O564*VLOOKUP(O564,'Fee Data'!$C$6:$G$50,3,TRUE)+VLOOKUP(O564,'Fee Data'!$I$6:$J$14,2,TRUE)+'Fee Data'!$J$20+'Fee Data'!$J$21)*'Assumptions'!F37</x:f>
        <x:v>1195</x:v>
      </x:c>
      <x:c r="Q564" s="27" t="n">
        <x:f>(VLOOKUP(O564,'Fee Data'!$C$6:$G$50,4,TRUE)+O564*VLOOKUP(O564,'Fee Data'!$C$6:$G$50,5,TRUE)+VLOOKUP(O564,'Fee Data'!$I$6:$J$14,2,TRUE)+'Fee Data'!$J$20+'Fee Data'!$J$21)*'Assumptions'!F37</x:f>
        <x:v>1070</x:v>
      </x:c>
      <x:c r="R564" s="27" t="n">
        <x:f>P564*(1-'Assumptions'!$D$14)+Q564*'Assumptions'!$D$14</x:f>
        <x:v>1132.5</x:v>
      </x:c>
      <x:c r="S564" s="27" t="n">
        <x:f>O564*'Carrier Engine'!E93</x:f>
        <x:v>382.90635555748986</x:v>
      </x:c>
      <x:c r="T564" s="28" t="n">
        <x:f>R564+S564</x:f>
        <x:v>1515.4063555574899</x:v>
      </x:c>
      <x:c r="U564" s="27" t="n">
        <x:f>N564*'Fleet Engine'!H208</x:f>
        <x:v>0</x:v>
      </x:c>
      <x:c r="V564" s="28" t="n">
        <x:f>U564*T564</x:f>
        <x:v>0</x:v>
      </x:c>
      <x:c r="W564" s="28" t="n">
        <x:f>U564*O564</x:f>
        <x:v>0</x:v>
      </x:c>
    </x:row>
    <x:row r="565" ht="19" customHeight="1">
      <x:c r="A565" s="2"/>
      <x:c r="B565" s="2"/>
      <x:c r="C565" s="46" t="n">
        <x:v>2</x:v>
      </x:c>
      <x:c r="D565" s="46" t="n">
        <x:v>14</x:v>
      </x:c>
      <x:c r="E565" s="46" t="n">
        <x:v>2</x:v>
      </x:c>
      <x:c r="F565" s="46" t="n">
        <x:v>2</x:v>
      </x:c>
      <x:c r="G565" s="12" t="n">
        <x:v>0.1111111111111111</x:v>
      </x:c>
      <x:c r="H565" s="12" t="n">
        <x:v>0.2222222222222222</x:v>
      </x:c>
      <x:c r="I565" s="29" t="n">
        <x:f>'Assumptions'!$D$11+'Assumptions'!$D$12*(0.5-(G565+H565)/2)</x:f>
        <x:v>0.3666666666666667</x:v>
      </x:c>
      <x:c r="J565" s="27" t="n">
        <x:f>'Assumptions'!$D$8*EXP(-'Assumptions'!$D$9*('Fleet Engine'!E208-10))*'Assumptions'!E57*'Assumptions'!F36</x:f>
        <x:v>24615.408571552918</x:v>
      </x:c>
      <x:c r="K565" s="27" t="n">
        <x:f>'Source Data'!F219+LN('Assumptions'!D57)+LN('Assumptions'!F35)</x:f>
        <x:v>8.22550551560197</x:v>
      </x:c>
      <x:c r="L565" s="27" t="n">
        <x:f>J565*(1-I565*(1-'Carrier Engine'!E93))</x:f>
        <x:v>15950.784754366288</x:v>
      </x:c>
      <x:c r="M565" s="29" t="n">
        <x:f>NORM.S.DIST((LN(L565)-K565)/'Assumptions'!$D$10,TRUE)</x:f>
        <x:v>0.8224039417033224</x:v>
      </x:c>
      <x:c r="N565" s="30" t="n">
        <x:f>MAX(0,H565-MAX(G565,M565))</x:f>
        <x:v>0</x:v>
      </x:c>
      <x:c r="O565" s="28" t="n">
        <x:f>J565*I565</x:f>
        <x:v>9025.649809569404</x:v>
      </x:c>
      <x:c r="P565" s="27" t="n">
        <x:f>(VLOOKUP(O565,'Fee Data'!$C$6:$G$50,2,TRUE)+O565*VLOOKUP(O565,'Fee Data'!$C$6:$G$50,3,TRUE)+VLOOKUP(O565,'Fee Data'!$I$6:$J$14,2,TRUE)+'Fee Data'!$J$20+'Fee Data'!$J$21)*'Assumptions'!F37</x:f>
        <x:v>1195</x:v>
      </x:c>
      <x:c r="Q565" s="27" t="n">
        <x:f>(VLOOKUP(O565,'Fee Data'!$C$6:$G$50,4,TRUE)+O565*VLOOKUP(O565,'Fee Data'!$C$6:$G$50,5,TRUE)+VLOOKUP(O565,'Fee Data'!$I$6:$J$14,2,TRUE)+'Fee Data'!$J$20+'Fee Data'!$J$21)*'Assumptions'!F37</x:f>
        <x:v>1070</x:v>
      </x:c>
      <x:c r="R565" s="27" t="n">
        <x:f>P565*(1-'Assumptions'!$D$14)+Q565*'Assumptions'!$D$14</x:f>
        <x:v>1132.5</x:v>
      </x:c>
      <x:c r="S565" s="27" t="n">
        <x:f>O565*'Carrier Engine'!E93</x:f>
        <x:v>361.02599238277617</x:v>
      </x:c>
      <x:c r="T565" s="28" t="n">
        <x:f>R565+S565</x:f>
        <x:v>1493.5259923827762</x:v>
      </x:c>
      <x:c r="U565" s="27" t="n">
        <x:f>N565*'Fleet Engine'!H208</x:f>
        <x:v>0</x:v>
      </x:c>
      <x:c r="V565" s="28" t="n">
        <x:f>U565*T565</x:f>
        <x:v>0</x:v>
      </x:c>
      <x:c r="W565" s="28" t="n">
        <x:f>U565*O565</x:f>
        <x:v>0</x:v>
      </x:c>
    </x:row>
    <x:row r="566" ht="19" customHeight="1">
      <x:c r="A566" s="2"/>
      <x:c r="B566" s="2"/>
      <x:c r="C566" s="46" t="n">
        <x:v>2</x:v>
      </x:c>
      <x:c r="D566" s="46" t="n">
        <x:v>14</x:v>
      </x:c>
      <x:c r="E566" s="46" t="n">
        <x:v>2</x:v>
      </x:c>
      <x:c r="F566" s="46" t="n">
        <x:v>2</x:v>
      </x:c>
      <x:c r="G566" s="12" t="n">
        <x:v>0.2222222222222222</x:v>
      </x:c>
      <x:c r="H566" s="12" t="n">
        <x:v>0.3333333333333333</x:v>
      </x:c>
      <x:c r="I566" s="29" t="n">
        <x:f>'Assumptions'!$D$11+'Assumptions'!$D$12*(0.5-(G566+H566)/2)</x:f>
        <x:v>0.34444444444444444</x:v>
      </x:c>
      <x:c r="J566" s="27" t="n">
        <x:f>'Assumptions'!$D$8*EXP(-'Assumptions'!$D$9*('Fleet Engine'!E208-10))*'Assumptions'!E57*'Assumptions'!F36</x:f>
        <x:v>24615.408571552918</x:v>
      </x:c>
      <x:c r="K566" s="27" t="n">
        <x:f>'Source Data'!F219+LN('Assumptions'!D57)+LN('Assumptions'!F35)</x:f>
        <x:v>8.22550551560197</x:v>
      </x:c>
      <x:c r="L566" s="27" t="n">
        <x:f>J566*(1-I566*(1-'Carrier Engine'!E93))</x:f>
        <x:v>16475.91347055942</x:v>
      </x:c>
      <x:c r="M566" s="29" t="n">
        <x:f>NORM.S.DIST((LN(L566)-K566)/'Assumptions'!$D$10,TRUE)</x:f>
        <x:v>0.8277200866436032</x:v>
      </x:c>
      <x:c r="N566" s="30" t="n">
        <x:f>MAX(0,H566-MAX(G566,M566))</x:f>
        <x:v>0</x:v>
      </x:c>
      <x:c r="O566" s="28" t="n">
        <x:f>J566*I566</x:f>
        <x:v>8478.640730201561</x:v>
      </x:c>
      <x:c r="P566" s="27" t="n">
        <x:f>(VLOOKUP(O566,'Fee Data'!$C$6:$G$50,2,TRUE)+O566*VLOOKUP(O566,'Fee Data'!$C$6:$G$50,3,TRUE)+VLOOKUP(O566,'Fee Data'!$I$6:$J$14,2,TRUE)+'Fee Data'!$J$20+'Fee Data'!$J$21)*'Assumptions'!F37</x:f>
        <x:v>1175</x:v>
      </x:c>
      <x:c r="Q566" s="27" t="n">
        <x:f>(VLOOKUP(O566,'Fee Data'!$C$6:$G$50,4,TRUE)+O566*VLOOKUP(O566,'Fee Data'!$C$6:$G$50,5,TRUE)+VLOOKUP(O566,'Fee Data'!$I$6:$J$14,2,TRUE)+'Fee Data'!$J$20+'Fee Data'!$J$21)*'Assumptions'!F37</x:f>
        <x:v>1050</x:v>
      </x:c>
      <x:c r="R566" s="27" t="n">
        <x:f>P566*(1-'Assumptions'!$D$14)+Q566*'Assumptions'!$D$14</x:f>
        <x:v>1112.5</x:v>
      </x:c>
      <x:c r="S566" s="27" t="n">
        <x:f>O566*'Carrier Engine'!E93</x:f>
        <x:v>339.1456292080625</x:v>
      </x:c>
      <x:c r="T566" s="28" t="n">
        <x:f>R566+S566</x:f>
        <x:v>1451.6456292080625</x:v>
      </x:c>
      <x:c r="U566" s="27" t="n">
        <x:f>N566*'Fleet Engine'!H208</x:f>
        <x:v>0</x:v>
      </x:c>
      <x:c r="V566" s="28" t="n">
        <x:f>U566*T566</x:f>
        <x:v>0</x:v>
      </x:c>
      <x:c r="W566" s="28" t="n">
        <x:f>U566*O566</x:f>
        <x:v>0</x:v>
      </x:c>
    </x:row>
    <x:row r="567" ht="19" customHeight="1">
      <x:c r="A567" s="2"/>
      <x:c r="B567" s="2"/>
      <x:c r="C567" s="46" t="n">
        <x:v>2</x:v>
      </x:c>
      <x:c r="D567" s="46" t="n">
        <x:v>14</x:v>
      </x:c>
      <x:c r="E567" s="46" t="n">
        <x:v>2</x:v>
      </x:c>
      <x:c r="F567" s="46" t="n">
        <x:v>2</x:v>
      </x:c>
      <x:c r="G567" s="12" t="n">
        <x:v>0.3333333333333333</x:v>
      </x:c>
      <x:c r="H567" s="12" t="n">
        <x:v>0.4444444444444444</x:v>
      </x:c>
      <x:c r="I567" s="29" t="n">
        <x:f>'Assumptions'!$D$11+'Assumptions'!$D$12*(0.5-(G567+H567)/2)</x:f>
        <x:v>0.32222222222222224</x:v>
      </x:c>
      <x:c r="J567" s="27" t="n">
        <x:f>'Assumptions'!$D$8*EXP(-'Assumptions'!$D$9*('Fleet Engine'!E208-10))*'Assumptions'!E57*'Assumptions'!F36</x:f>
        <x:v>24615.408571552918</x:v>
      </x:c>
      <x:c r="K567" s="27" t="n">
        <x:f>'Source Data'!F219+LN('Assumptions'!D57)+LN('Assumptions'!F35)</x:f>
        <x:v>8.22550551560197</x:v>
      </x:c>
      <x:c r="L567" s="27" t="n">
        <x:f>J567*(1-I567*(1-'Carrier Engine'!E93))</x:f>
        <x:v>17001.042186752547</x:v>
      </x:c>
      <x:c r="M567" s="29" t="n">
        <x:f>NORM.S.DIST((LN(L567)-K567)/'Assumptions'!$D$10,TRUE)</x:f>
        <x:v>0.8327715578412461</x:v>
      </x:c>
      <x:c r="N567" s="30" t="n">
        <x:f>MAX(0,H567-MAX(G567,M567))</x:f>
        <x:v>0</x:v>
      </x:c>
      <x:c r="O567" s="28" t="n">
        <x:f>J567*I567</x:f>
        <x:v>7931.631650833719</x:v>
      </x:c>
      <x:c r="P567" s="27" t="n">
        <x:f>(VLOOKUP(O567,'Fee Data'!$C$6:$G$50,2,TRUE)+O567*VLOOKUP(O567,'Fee Data'!$C$6:$G$50,3,TRUE)+VLOOKUP(O567,'Fee Data'!$I$6:$J$14,2,TRUE)+'Fee Data'!$J$20+'Fee Data'!$J$21)*'Assumptions'!F37</x:f>
        <x:v>1135</x:v>
      </x:c>
      <x:c r="Q567" s="27" t="n">
        <x:f>(VLOOKUP(O567,'Fee Data'!$C$6:$G$50,4,TRUE)+O567*VLOOKUP(O567,'Fee Data'!$C$6:$G$50,5,TRUE)+VLOOKUP(O567,'Fee Data'!$I$6:$J$14,2,TRUE)+'Fee Data'!$J$20+'Fee Data'!$J$21)*'Assumptions'!F37</x:f>
        <x:v>1010</x:v>
      </x:c>
      <x:c r="R567" s="27" t="n">
        <x:f>P567*(1-'Assumptions'!$D$14)+Q567*'Assumptions'!$D$14</x:f>
        <x:v>1072.5</x:v>
      </x:c>
      <x:c r="S567" s="27" t="n">
        <x:f>O567*'Carrier Engine'!E93</x:f>
        <x:v>317.2652660333487</x:v>
      </x:c>
      <x:c r="T567" s="28" t="n">
        <x:f>R567+S567</x:f>
        <x:v>1389.7652660333488</x:v>
      </x:c>
      <x:c r="U567" s="27" t="n">
        <x:f>N567*'Fleet Engine'!H208</x:f>
        <x:v>0</x:v>
      </x:c>
      <x:c r="V567" s="28" t="n">
        <x:f>U567*T567</x:f>
        <x:v>0</x:v>
      </x:c>
      <x:c r="W567" s="28" t="n">
        <x:f>U567*O567</x:f>
        <x:v>0</x:v>
      </x:c>
    </x:row>
    <x:row r="568" ht="19" customHeight="1">
      <x:c r="A568" s="2"/>
      <x:c r="B568" s="2"/>
      <x:c r="C568" s="46" t="n">
        <x:v>2</x:v>
      </x:c>
      <x:c r="D568" s="46" t="n">
        <x:v>14</x:v>
      </x:c>
      <x:c r="E568" s="46" t="n">
        <x:v>2</x:v>
      </x:c>
      <x:c r="F568" s="46" t="n">
        <x:v>2</x:v>
      </x:c>
      <x:c r="G568" s="12" t="n">
        <x:v>0.4444444444444444</x:v>
      </x:c>
      <x:c r="H568" s="12" t="n">
        <x:v>0.5555555555555556</x:v>
      </x:c>
      <x:c r="I568" s="29" t="n">
        <x:f>'Assumptions'!$D$11+'Assumptions'!$D$12*(0.5-(G568+H568)/2)</x:f>
        <x:v>0.3</x:v>
      </x:c>
      <x:c r="J568" s="27" t="n">
        <x:f>'Assumptions'!$D$8*EXP(-'Assumptions'!$D$9*('Fleet Engine'!E208-10))*'Assumptions'!E57*'Assumptions'!F36</x:f>
        <x:v>24615.408571552918</x:v>
      </x:c>
      <x:c r="K568" s="27" t="n">
        <x:f>'Source Data'!F219+LN('Assumptions'!D57)+LN('Assumptions'!F35)</x:f>
        <x:v>8.22550551560197</x:v>
      </x:c>
      <x:c r="L568" s="27" t="n">
        <x:f>J568*(1-I568*(1-'Carrier Engine'!E93))</x:f>
        <x:v>17526.170902945676</x:v>
      </x:c>
      <x:c r="M568" s="29" t="n">
        <x:f>NORM.S.DIST((LN(L568)-K568)/'Assumptions'!$D$10,TRUE)</x:f>
        <x:v>0.8375772230492653</x:v>
      </x:c>
      <x:c r="N568" s="30" t="n">
        <x:f>MAX(0,H568-MAX(G568,M568))</x:f>
        <x:v>0</x:v>
      </x:c>
      <x:c r="O568" s="28" t="n">
        <x:f>J568*I568</x:f>
        <x:v>7384.622571465875</x:v>
      </x:c>
      <x:c r="P568" s="27" t="n">
        <x:f>(VLOOKUP(O568,'Fee Data'!$C$6:$G$50,2,TRUE)+O568*VLOOKUP(O568,'Fee Data'!$C$6:$G$50,3,TRUE)+VLOOKUP(O568,'Fee Data'!$I$6:$J$14,2,TRUE)+'Fee Data'!$J$20+'Fee Data'!$J$21)*'Assumptions'!F37</x:f>
        <x:v>1115</x:v>
      </x:c>
      <x:c r="Q568" s="27" t="n">
        <x:f>(VLOOKUP(O568,'Fee Data'!$C$6:$G$50,4,TRUE)+O568*VLOOKUP(O568,'Fee Data'!$C$6:$G$50,5,TRUE)+VLOOKUP(O568,'Fee Data'!$I$6:$J$14,2,TRUE)+'Fee Data'!$J$20+'Fee Data'!$J$21)*'Assumptions'!F37</x:f>
        <x:v>990</x:v>
      </x:c>
      <x:c r="R568" s="27" t="n">
        <x:f>P568*(1-'Assumptions'!$D$14)+Q568*'Assumptions'!$D$14</x:f>
        <x:v>1052.5</x:v>
      </x:c>
      <x:c r="S568" s="27" t="n">
        <x:f>O568*'Carrier Engine'!E93</x:f>
        <x:v>295.38490285863503</x:v>
      </x:c>
      <x:c r="T568" s="28" t="n">
        <x:f>R568+S568</x:f>
        <x:v>1347.884902858635</x:v>
      </x:c>
      <x:c r="U568" s="27" t="n">
        <x:f>N568*'Fleet Engine'!H208</x:f>
        <x:v>0</x:v>
      </x:c>
      <x:c r="V568" s="28" t="n">
        <x:f>U568*T568</x:f>
        <x:v>0</x:v>
      </x:c>
      <x:c r="W568" s="28" t="n">
        <x:f>U568*O568</x:f>
        <x:v>0</x:v>
      </x:c>
    </x:row>
    <x:row r="569" ht="19" customHeight="1">
      <x:c r="A569" s="2"/>
      <x:c r="B569" s="2"/>
      <x:c r="C569" s="46" t="n">
        <x:v>2</x:v>
      </x:c>
      <x:c r="D569" s="46" t="n">
        <x:v>14</x:v>
      </x:c>
      <x:c r="E569" s="46" t="n">
        <x:v>2</x:v>
      </x:c>
      <x:c r="F569" s="46" t="n">
        <x:v>2</x:v>
      </x:c>
      <x:c r="G569" s="12" t="n">
        <x:v>0.5555555555555556</x:v>
      </x:c>
      <x:c r="H569" s="12" t="n">
        <x:v>0.6666666666666666</x:v>
      </x:c>
      <x:c r="I569" s="29" t="n">
        <x:f>'Assumptions'!$D$11+'Assumptions'!$D$12*(0.5-(G569+H569)/2)</x:f>
        <x:v>0.27777777777777773</x:v>
      </x:c>
      <x:c r="J569" s="27" t="n">
        <x:f>'Assumptions'!$D$8*EXP(-'Assumptions'!$D$9*('Fleet Engine'!E208-10))*'Assumptions'!E57*'Assumptions'!F36</x:f>
        <x:v>24615.408571552918</x:v>
      </x:c>
      <x:c r="K569" s="27" t="n">
        <x:f>'Source Data'!F219+LN('Assumptions'!D57)+LN('Assumptions'!F35)</x:f>
        <x:v>8.22550551560197</x:v>
      </x:c>
      <x:c r="L569" s="27" t="n">
        <x:f>J569*(1-I569*(1-'Carrier Engine'!E93))</x:f>
        <x:v>18051.29961913881</x:v>
      </x:c>
      <x:c r="M569" s="29" t="n">
        <x:f>NORM.S.DIST((LN(L569)-K569)/'Assumptions'!$D$10,TRUE)</x:f>
        <x:v>0.8421541912379197</x:v>
      </x:c>
      <x:c r="N569" s="30" t="n">
        <x:f>MAX(0,H569-MAX(G569,M569))</x:f>
        <x:v>0</x:v>
      </x:c>
      <x:c r="O569" s="28" t="n">
        <x:f>J569*I569</x:f>
        <x:v>6837.613492098032</x:v>
      </x:c>
      <x:c r="P569" s="27" t="n">
        <x:f>(VLOOKUP(O569,'Fee Data'!$C$6:$G$50,2,TRUE)+O569*VLOOKUP(O569,'Fee Data'!$C$6:$G$50,3,TRUE)+VLOOKUP(O569,'Fee Data'!$I$6:$J$14,2,TRUE)+'Fee Data'!$J$20+'Fee Data'!$J$21)*'Assumptions'!F37</x:f>
        <x:v>1080</x:v>
      </x:c>
      <x:c r="Q569" s="27" t="n">
        <x:f>(VLOOKUP(O569,'Fee Data'!$C$6:$G$50,4,TRUE)+O569*VLOOKUP(O569,'Fee Data'!$C$6:$G$50,5,TRUE)+VLOOKUP(O569,'Fee Data'!$I$6:$J$14,2,TRUE)+'Fee Data'!$J$20+'Fee Data'!$J$21)*'Assumptions'!F37</x:f>
        <x:v>955</x:v>
      </x:c>
      <x:c r="R569" s="27" t="n">
        <x:f>P569*(1-'Assumptions'!$D$14)+Q569*'Assumptions'!$D$14</x:f>
        <x:v>1017.5</x:v>
      </x:c>
      <x:c r="S569" s="27" t="n">
        <x:f>O569*'Carrier Engine'!E93</x:f>
        <x:v>273.5045396839213</x:v>
      </x:c>
      <x:c r="T569" s="28" t="n">
        <x:f>R569+S569</x:f>
        <x:v>1291.0045396839214</x:v>
      </x:c>
      <x:c r="U569" s="27" t="n">
        <x:f>N569*'Fleet Engine'!H208</x:f>
        <x:v>0</x:v>
      </x:c>
      <x:c r="V569" s="28" t="n">
        <x:f>U569*T569</x:f>
        <x:v>0</x:v>
      </x:c>
      <x:c r="W569" s="28" t="n">
        <x:f>U569*O569</x:f>
        <x:v>0</x:v>
      </x:c>
    </x:row>
    <x:row r="570" ht="19" customHeight="1">
      <x:c r="A570" s="2"/>
      <x:c r="B570" s="2"/>
      <x:c r="C570" s="46" t="n">
        <x:v>2</x:v>
      </x:c>
      <x:c r="D570" s="46" t="n">
        <x:v>14</x:v>
      </x:c>
      <x:c r="E570" s="46" t="n">
        <x:v>2</x:v>
      </x:c>
      <x:c r="F570" s="46" t="n">
        <x:v>2</x:v>
      </x:c>
      <x:c r="G570" s="12" t="n">
        <x:v>0.6666666666666666</x:v>
      </x:c>
      <x:c r="H570" s="12" t="n">
        <x:v>0.7777777777777778</x:v>
      </x:c>
      <x:c r="I570" s="29" t="n">
        <x:f>'Assumptions'!$D$11+'Assumptions'!$D$12*(0.5-(G570+H570)/2)</x:f>
        <x:v>0.25555555555555554</x:v>
      </x:c>
      <x:c r="J570" s="27" t="n">
        <x:f>'Assumptions'!$D$8*EXP(-'Assumptions'!$D$9*('Fleet Engine'!E208-10))*'Assumptions'!E57*'Assumptions'!F36</x:f>
        <x:v>24615.408571552918</x:v>
      </x:c>
      <x:c r="K570" s="27" t="n">
        <x:f>'Source Data'!F219+LN('Assumptions'!D57)+LN('Assumptions'!F35)</x:f>
        <x:v>8.22550551560197</x:v>
      </x:c>
      <x:c r="L570" s="27" t="n">
        <x:f>J570*(1-I570*(1-'Carrier Engine'!E93))</x:f>
        <x:v>18576.428335331937</x:v>
      </x:c>
      <x:c r="M570" s="29" t="n">
        <x:f>NORM.S.DIST((LN(L570)-K570)/'Assumptions'!$D$10,TRUE)</x:f>
        <x:v>0.8465180147776781</x:v>
      </x:c>
      <x:c r="N570" s="30" t="n">
        <x:f>MAX(0,H570-MAX(G570,M570))</x:f>
        <x:v>0</x:v>
      </x:c>
      <x:c r="O570" s="28" t="n">
        <x:f>J570*I570</x:f>
        <x:v>6290.604412730189</x:v>
      </x:c>
      <x:c r="P570" s="27" t="n">
        <x:f>(VLOOKUP(O570,'Fee Data'!$C$6:$G$50,2,TRUE)+O570*VLOOKUP(O570,'Fee Data'!$C$6:$G$50,3,TRUE)+VLOOKUP(O570,'Fee Data'!$I$6:$J$14,2,TRUE)+'Fee Data'!$J$20+'Fee Data'!$J$21)*'Assumptions'!F37</x:f>
        <x:v>1060</x:v>
      </x:c>
      <x:c r="Q570" s="27" t="n">
        <x:f>(VLOOKUP(O570,'Fee Data'!$C$6:$G$50,4,TRUE)+O570*VLOOKUP(O570,'Fee Data'!$C$6:$G$50,5,TRUE)+VLOOKUP(O570,'Fee Data'!$I$6:$J$14,2,TRUE)+'Fee Data'!$J$20+'Fee Data'!$J$21)*'Assumptions'!F37</x:f>
        <x:v>935</x:v>
      </x:c>
      <x:c r="R570" s="27" t="n">
        <x:f>P570*(1-'Assumptions'!$D$14)+Q570*'Assumptions'!$D$14</x:f>
        <x:v>997.5</x:v>
      </x:c>
      <x:c r="S570" s="27" t="n">
        <x:f>O570*'Carrier Engine'!E93</x:f>
        <x:v>251.6241765092076</x:v>
      </x:c>
      <x:c r="T570" s="28" t="n">
        <x:f>R570+S570</x:f>
        <x:v>1249.1241765092077</x:v>
      </x:c>
      <x:c r="U570" s="27" t="n">
        <x:f>N570*'Fleet Engine'!H208</x:f>
        <x:v>0</x:v>
      </x:c>
      <x:c r="V570" s="28" t="n">
        <x:f>U570*T570</x:f>
        <x:v>0</x:v>
      </x:c>
      <x:c r="W570" s="28" t="n">
        <x:f>U570*O570</x:f>
        <x:v>0</x:v>
      </x:c>
    </x:row>
    <x:row r="571" ht="19" customHeight="1">
      <x:c r="A571" s="2"/>
      <x:c r="B571" s="2"/>
      <x:c r="C571" s="46" t="n">
        <x:v>2</x:v>
      </x:c>
      <x:c r="D571" s="46" t="n">
        <x:v>14</x:v>
      </x:c>
      <x:c r="E571" s="46" t="n">
        <x:v>2</x:v>
      </x:c>
      <x:c r="F571" s="46" t="n">
        <x:v>2</x:v>
      </x:c>
      <x:c r="G571" s="12" t="n">
        <x:v>0.7777777777777778</x:v>
      </x:c>
      <x:c r="H571" s="12" t="n">
        <x:v>0.8888888888888888</x:v>
      </x:c>
      <x:c r="I571" s="29" t="n">
        <x:f>'Assumptions'!$D$11+'Assumptions'!$D$12*(0.5-(G571+H571)/2)</x:f>
        <x:v>0.23333333333333334</x:v>
      </x:c>
      <x:c r="J571" s="27" t="n">
        <x:f>'Assumptions'!$D$8*EXP(-'Assumptions'!$D$9*('Fleet Engine'!E208-10))*'Assumptions'!E57*'Assumptions'!F36</x:f>
        <x:v>24615.408571552918</x:v>
      </x:c>
      <x:c r="K571" s="27" t="n">
        <x:f>'Source Data'!F219+LN('Assumptions'!D57)+LN('Assumptions'!F35)</x:f>
        <x:v>8.22550551560197</x:v>
      </x:c>
      <x:c r="L571" s="27" t="n">
        <x:f>J571*(1-I571*(1-'Carrier Engine'!E93))</x:f>
        <x:v>19101.557051525066</x:v>
      </x:c>
      <x:c r="M571" s="29" t="n">
        <x:f>NORM.S.DIST((LN(L571)-K571)/'Assumptions'!$D$10,TRUE)</x:f>
        <x:v>0.850682864085855</x:v>
      </x:c>
      <x:c r="N571" s="30" t="n">
        <x:f>MAX(0,H571-MAX(G571,M571))</x:f>
        <x:v>0.03820602480303381</x:v>
      </x:c>
      <x:c r="O571" s="28" t="n">
        <x:f>J571*I571</x:f>
        <x:v>5743.595333362347</x:v>
      </x:c>
      <x:c r="P571" s="27" t="n">
        <x:f>(VLOOKUP(O571,'Fee Data'!$C$6:$G$50,2,TRUE)+O571*VLOOKUP(O571,'Fee Data'!$C$6:$G$50,3,TRUE)+VLOOKUP(O571,'Fee Data'!$I$6:$J$14,2,TRUE)+'Fee Data'!$J$20+'Fee Data'!$J$21)*'Assumptions'!F37</x:f>
        <x:v>1020</x:v>
      </x:c>
      <x:c r="Q571" s="27" t="n">
        <x:f>(VLOOKUP(O571,'Fee Data'!$C$6:$G$50,4,TRUE)+O571*VLOOKUP(O571,'Fee Data'!$C$6:$G$50,5,TRUE)+VLOOKUP(O571,'Fee Data'!$I$6:$J$14,2,TRUE)+'Fee Data'!$J$20+'Fee Data'!$J$21)*'Assumptions'!F37</x:f>
        <x:v>895</x:v>
      </x:c>
      <x:c r="R571" s="27" t="n">
        <x:f>P571*(1-'Assumptions'!$D$14)+Q571*'Assumptions'!$D$14</x:f>
        <x:v>957.5</x:v>
      </x:c>
      <x:c r="S571" s="27" t="n">
        <x:f>O571*'Carrier Engine'!E93</x:f>
        <x:v>229.7438133344939</x:v>
      </x:c>
      <x:c r="T571" s="28" t="n">
        <x:f>R571+S571</x:f>
        <x:v>1187.243813334494</x:v>
      </x:c>
      <x:c r="U571" s="27" t="n">
        <x:f>N571*'Fleet Engine'!H208</x:f>
        <x:v>234.56086962504202</x:v>
      </x:c>
      <x:c r="V571" s="28" t="n">
        <x:f>U571*T571</x:f>
        <x:v>278480.94131269</x:v>
      </x:c>
      <x:c r="W571" s="28" t="n">
        <x:f>U571*O571</x:f>
        <x:v>1347222.7161678053</x:v>
      </x:c>
    </x:row>
    <x:row r="572" ht="19" customHeight="1">
      <x:c r="A572" s="2"/>
      <x:c r="B572" s="2"/>
      <x:c r="C572" s="46" t="n">
        <x:v>2</x:v>
      </x:c>
      <x:c r="D572" s="46" t="n">
        <x:v>14</x:v>
      </x:c>
      <x:c r="E572" s="46" t="n">
        <x:v>2</x:v>
      </x:c>
      <x:c r="F572" s="46" t="n">
        <x:v>2</x:v>
      </x:c>
      <x:c r="G572" s="12" t="n">
        <x:v>0.8888888888888888</x:v>
      </x:c>
      <x:c r="H572" s="12" t="n">
        <x:v>1</x:v>
      </x:c>
      <x:c r="I572" s="29" t="n">
        <x:f>'Assumptions'!$D$11+'Assumptions'!$D$12*(0.5-(G572+H572)/2)</x:f>
        <x:v>0.21111111111111108</x:v>
      </x:c>
      <x:c r="J572" s="27" t="n">
        <x:f>'Assumptions'!$D$8*EXP(-'Assumptions'!$D$9*('Fleet Engine'!E208-10))*'Assumptions'!E57*'Assumptions'!F36</x:f>
        <x:v>24615.408571552918</x:v>
      </x:c>
      <x:c r="K572" s="27" t="n">
        <x:f>'Source Data'!F219+LN('Assumptions'!D57)+LN('Assumptions'!F35)</x:f>
        <x:v>8.22550551560197</x:v>
      </x:c>
      <x:c r="L572" s="27" t="n">
        <x:f>J572*(1-I572*(1-'Carrier Engine'!E93))</x:f>
        <x:v>19626.685767718194</x:v>
      </x:c>
      <x:c r="M572" s="29" t="n">
        <x:f>NORM.S.DIST((LN(L572)-K572)/'Assumptions'!$D$10,TRUE)</x:f>
        <x:v>0.8546616790540353</x:v>
      </x:c>
      <x:c r="N572" s="30" t="n">
        <x:f>MAX(0,H572-MAX(G572,M572))</x:f>
        <x:v>0.11111111111111116</x:v>
      </x:c>
      <x:c r="O572" s="28" t="n">
        <x:f>J572*I572</x:f>
        <x:v>5196.586253994505</x:v>
      </x:c>
      <x:c r="P572" s="27" t="n">
        <x:f>(VLOOKUP(O572,'Fee Data'!$C$6:$G$50,2,TRUE)+O572*VLOOKUP(O572,'Fee Data'!$C$6:$G$50,3,TRUE)+VLOOKUP(O572,'Fee Data'!$I$6:$J$14,2,TRUE)+'Fee Data'!$J$20+'Fee Data'!$J$21)*'Assumptions'!F37</x:f>
        <x:v>995</x:v>
      </x:c>
      <x:c r="Q572" s="27" t="n">
        <x:f>(VLOOKUP(O572,'Fee Data'!$C$6:$G$50,4,TRUE)+O572*VLOOKUP(O572,'Fee Data'!$C$6:$G$50,5,TRUE)+VLOOKUP(O572,'Fee Data'!$I$6:$J$14,2,TRUE)+'Fee Data'!$J$20+'Fee Data'!$J$21)*'Assumptions'!F37</x:f>
        <x:v>870</x:v>
      </x:c>
      <x:c r="R572" s="27" t="n">
        <x:f>P572*(1-'Assumptions'!$D$14)+Q572*'Assumptions'!$D$14</x:f>
        <x:v>932.5</x:v>
      </x:c>
      <x:c r="S572" s="27" t="n">
        <x:f>O572*'Carrier Engine'!E93</x:f>
        <x:v>207.8634501597802</x:v>
      </x:c>
      <x:c r="T572" s="28" t="n">
        <x:f>R572+S572</x:f>
        <x:v>1140.3634501597803</x:v>
      </x:c>
      <x:c r="U572" s="27" t="n">
        <x:f>N572*'Fleet Engine'!H208</x:f>
        <x:v>682.1520684653218</x:v>
      </x:c>
      <x:c r="V572" s="28" t="n">
        <x:f>U572*T572</x:f>
        <x:v>777901.2863287451</x:v>
      </x:c>
      <x:c r="W572" s="28" t="n">
        <x:f>U572*O572</x:f>
        <x:v>3544862.0621208097</x:v>
      </x:c>
    </x:row>
    <x:row r="573" ht="19" customHeight="1">
      <x:c r="A573" s="2"/>
      <x:c r="B573" s="2"/>
      <x:c r="C573" s="46" t="n">
        <x:v>2</x:v>
      </x:c>
      <x:c r="D573" s="46" t="n">
        <x:v>15</x:v>
      </x:c>
      <x:c r="E573" s="46" t="n">
        <x:v>2</x:v>
      </x:c>
      <x:c r="F573" s="46" t="n">
        <x:v>3</x:v>
      </x:c>
      <x:c r="G573" s="12" t="n">
        <x:v>0</x:v>
      </x:c>
      <x:c r="H573" s="12" t="n">
        <x:v>0.1111111111111111</x:v>
      </x:c>
      <x:c r="I573" s="29" t="n">
        <x:f>'Assumptions'!$D$11+'Assumptions'!$D$12*(0.5-(G573+H573)/2)</x:f>
        <x:v>0.3888888888888889</x:v>
      </x:c>
      <x:c r="J573" s="27" t="n">
        <x:f>'Assumptions'!$D$8*EXP(-'Assumptions'!$D$9*('Fleet Engine'!E209-10))*'Assumptions'!E57*'Assumptions'!F36</x:f>
        <x:v>18235.543179331336</x:v>
      </x:c>
      <x:c r="K573" s="27" t="n">
        <x:f>'Source Data'!F220+LN('Assumptions'!D57)+LN('Assumptions'!F35)</x:f>
        <x:v>8.332638086869624</x:v>
      </x:c>
      <x:c r="L573" s="27" t="n">
        <x:f>J573*(1-I573*(1-'Carrier Engine'!E93))</x:f>
        <x:v>11427.607059047637</x:v>
      </x:c>
      <x:c r="M573" s="29" t="n">
        <x:f>NORM.S.DIST((LN(L573)-K573)/'Assumptions'!$D$10,TRUE)</x:f>
        <x:v>0.7401992041625559</x:v>
      </x:c>
      <x:c r="N573" s="30" t="n">
        <x:f>MAX(0,H573-MAX(G573,M573))</x:f>
        <x:v>0</x:v>
      </x:c>
      <x:c r="O573" s="28" t="n">
        <x:f>J573*I573</x:f>
        <x:v>7091.60012529552</x:v>
      </x:c>
      <x:c r="P573" s="27" t="n">
        <x:f>(VLOOKUP(O573,'Fee Data'!$C$6:$G$50,2,TRUE)+O573*VLOOKUP(O573,'Fee Data'!$C$6:$G$50,3,TRUE)+VLOOKUP(O573,'Fee Data'!$I$6:$J$14,2,TRUE)+'Fee Data'!$J$20+'Fee Data'!$J$21)*'Assumptions'!F37</x:f>
        <x:v>1115</x:v>
      </x:c>
      <x:c r="Q573" s="27" t="n">
        <x:f>(VLOOKUP(O573,'Fee Data'!$C$6:$G$50,4,TRUE)+O573*VLOOKUP(O573,'Fee Data'!$C$6:$G$50,5,TRUE)+VLOOKUP(O573,'Fee Data'!$I$6:$J$14,2,TRUE)+'Fee Data'!$J$20+'Fee Data'!$J$21)*'Assumptions'!F37</x:f>
        <x:v>990</x:v>
      </x:c>
      <x:c r="R573" s="27" t="n">
        <x:f>P573*(1-'Assumptions'!$D$14)+Q573*'Assumptions'!$D$14</x:f>
        <x:v>1052.5</x:v>
      </x:c>
      <x:c r="S573" s="27" t="n">
        <x:f>O573*'Carrier Engine'!E93</x:f>
        <x:v>283.6640050118208</x:v>
      </x:c>
      <x:c r="T573" s="28" t="n">
        <x:f>R573+S573</x:f>
        <x:v>1336.1640050118208</x:v>
      </x:c>
      <x:c r="U573" s="27" t="n">
        <x:f>N573*'Fleet Engine'!H209</x:f>
        <x:v>0</x:v>
      </x:c>
      <x:c r="V573" s="28" t="n">
        <x:f>U573*T573</x:f>
        <x:v>0</x:v>
      </x:c>
      <x:c r="W573" s="28" t="n">
        <x:f>U573*O573</x:f>
        <x:v>0</x:v>
      </x:c>
    </x:row>
    <x:row r="574" ht="19" customHeight="1">
      <x:c r="A574" s="2"/>
      <x:c r="B574" s="2"/>
      <x:c r="C574" s="46" t="n">
        <x:v>2</x:v>
      </x:c>
      <x:c r="D574" s="46" t="n">
        <x:v>15</x:v>
      </x:c>
      <x:c r="E574" s="46" t="n">
        <x:v>2</x:v>
      </x:c>
      <x:c r="F574" s="46" t="n">
        <x:v>3</x:v>
      </x:c>
      <x:c r="G574" s="12" t="n">
        <x:v>0.1111111111111111</x:v>
      </x:c>
      <x:c r="H574" s="12" t="n">
        <x:v>0.2222222222222222</x:v>
      </x:c>
      <x:c r="I574" s="29" t="n">
        <x:f>'Assumptions'!$D$11+'Assumptions'!$D$12*(0.5-(G574+H574)/2)</x:f>
        <x:v>0.3666666666666667</x:v>
      </x:c>
      <x:c r="J574" s="27" t="n">
        <x:f>'Assumptions'!$D$8*EXP(-'Assumptions'!$D$9*('Fleet Engine'!E209-10))*'Assumptions'!E57*'Assumptions'!F36</x:f>
        <x:v>18235.543179331336</x:v>
      </x:c>
      <x:c r="K574" s="27" t="n">
        <x:f>'Source Data'!F220+LN('Assumptions'!D57)+LN('Assumptions'!F35)</x:f>
        <x:v>8.332638086869624</x:v>
      </x:c>
      <x:c r="L574" s="27" t="n">
        <x:f>J574*(1-I574*(1-'Carrier Engine'!E93))</x:f>
        <x:v>11816.631980206705</x:v>
      </x:c>
      <x:c r="M574" s="29" t="n">
        <x:f>NORM.S.DIST((LN(L574)-K574)/'Assumptions'!$D$10,TRUE)</x:f>
        <x:v>0.7470640064168992</x:v>
      </x:c>
      <x:c r="N574" s="30" t="n">
        <x:f>MAX(0,H574-MAX(G574,M574))</x:f>
        <x:v>0</x:v>
      </x:c>
      <x:c r="O574" s="28" t="n">
        <x:f>J574*I574</x:f>
        <x:v>6686.36583242149</x:v>
      </x:c>
      <x:c r="P574" s="27" t="n">
        <x:f>(VLOOKUP(O574,'Fee Data'!$C$6:$G$50,2,TRUE)+O574*VLOOKUP(O574,'Fee Data'!$C$6:$G$50,3,TRUE)+VLOOKUP(O574,'Fee Data'!$I$6:$J$14,2,TRUE)+'Fee Data'!$J$20+'Fee Data'!$J$21)*'Assumptions'!F37</x:f>
        <x:v>1080</x:v>
      </x:c>
      <x:c r="Q574" s="27" t="n">
        <x:f>(VLOOKUP(O574,'Fee Data'!$C$6:$G$50,4,TRUE)+O574*VLOOKUP(O574,'Fee Data'!$C$6:$G$50,5,TRUE)+VLOOKUP(O574,'Fee Data'!$I$6:$J$14,2,TRUE)+'Fee Data'!$J$20+'Fee Data'!$J$21)*'Assumptions'!F37</x:f>
        <x:v>955</x:v>
      </x:c>
      <x:c r="R574" s="27" t="n">
        <x:f>P574*(1-'Assumptions'!$D$14)+Q574*'Assumptions'!$D$14</x:f>
        <x:v>1017.5</x:v>
      </x:c>
      <x:c r="S574" s="27" t="n">
        <x:f>O574*'Carrier Engine'!E93</x:f>
        <x:v>267.45463329685964</x:v>
      </x:c>
      <x:c r="T574" s="28" t="n">
        <x:f>R574+S574</x:f>
        <x:v>1284.9546332968596</x:v>
      </x:c>
      <x:c r="U574" s="27" t="n">
        <x:f>N574*'Fleet Engine'!H209</x:f>
        <x:v>0</x:v>
      </x:c>
      <x:c r="V574" s="28" t="n">
        <x:f>U574*T574</x:f>
        <x:v>0</x:v>
      </x:c>
      <x:c r="W574" s="28" t="n">
        <x:f>U574*O574</x:f>
        <x:v>0</x:v>
      </x:c>
    </x:row>
    <x:row r="575" ht="19" customHeight="1">
      <x:c r="A575" s="2"/>
      <x:c r="B575" s="2"/>
      <x:c r="C575" s="46" t="n">
        <x:v>2</x:v>
      </x:c>
      <x:c r="D575" s="46" t="n">
        <x:v>15</x:v>
      </x:c>
      <x:c r="E575" s="46" t="n">
        <x:v>2</x:v>
      </x:c>
      <x:c r="F575" s="46" t="n">
        <x:v>3</x:v>
      </x:c>
      <x:c r="G575" s="12" t="n">
        <x:v>0.2222222222222222</x:v>
      </x:c>
      <x:c r="H575" s="12" t="n">
        <x:v>0.3333333333333333</x:v>
      </x:c>
      <x:c r="I575" s="29" t="n">
        <x:f>'Assumptions'!$D$11+'Assumptions'!$D$12*(0.5-(G575+H575)/2)</x:f>
        <x:v>0.34444444444444444</x:v>
      </x:c>
      <x:c r="J575" s="27" t="n">
        <x:f>'Assumptions'!$D$8*EXP(-'Assumptions'!$D$9*('Fleet Engine'!E209-10))*'Assumptions'!E57*'Assumptions'!F36</x:f>
        <x:v>18235.543179331336</x:v>
      </x:c>
      <x:c r="K575" s="27" t="n">
        <x:f>'Source Data'!F220+LN('Assumptions'!D57)+LN('Assumptions'!F35)</x:f>
        <x:v>8.332638086869624</x:v>
      </x:c>
      <x:c r="L575" s="27" t="n">
        <x:f>J575*(1-I575*(1-'Carrier Engine'!E93))</x:f>
        <x:v>12205.656901365775</x:v>
      </x:c>
      <x:c r="M575" s="29" t="n">
        <x:f>NORM.S.DIST((LN(L575)-K575)/'Assumptions'!$D$10,TRUE)</x:f>
        <x:v>0.7536144164560518</x:v>
      </x:c>
      <x:c r="N575" s="30" t="n">
        <x:f>MAX(0,H575-MAX(G575,M575))</x:f>
        <x:v>0</x:v>
      </x:c>
      <x:c r="O575" s="28" t="n">
        <x:f>J575*I575</x:f>
        <x:v>6281.13153954746</x:v>
      </x:c>
      <x:c r="P575" s="27" t="n">
        <x:f>(VLOOKUP(O575,'Fee Data'!$C$6:$G$50,2,TRUE)+O575*VLOOKUP(O575,'Fee Data'!$C$6:$G$50,3,TRUE)+VLOOKUP(O575,'Fee Data'!$I$6:$J$14,2,TRUE)+'Fee Data'!$J$20+'Fee Data'!$J$21)*'Assumptions'!F37</x:f>
        <x:v>1060</x:v>
      </x:c>
      <x:c r="Q575" s="27" t="n">
        <x:f>(VLOOKUP(O575,'Fee Data'!$C$6:$G$50,4,TRUE)+O575*VLOOKUP(O575,'Fee Data'!$C$6:$G$50,5,TRUE)+VLOOKUP(O575,'Fee Data'!$I$6:$J$14,2,TRUE)+'Fee Data'!$J$20+'Fee Data'!$J$21)*'Assumptions'!F37</x:f>
        <x:v>935</x:v>
      </x:c>
      <x:c r="R575" s="27" t="n">
        <x:f>P575*(1-'Assumptions'!$D$14)+Q575*'Assumptions'!$D$14</x:f>
        <x:v>997.5</x:v>
      </x:c>
      <x:c r="S575" s="27" t="n">
        <x:f>O575*'Carrier Engine'!E93</x:f>
        <x:v>251.2452615818984</x:v>
      </x:c>
      <x:c r="T575" s="28" t="n">
        <x:f>R575+S575</x:f>
        <x:v>1248.7452615818984</x:v>
      </x:c>
      <x:c r="U575" s="27" t="n">
        <x:f>N575*'Fleet Engine'!H209</x:f>
        <x:v>0</x:v>
      </x:c>
      <x:c r="V575" s="28" t="n">
        <x:f>U575*T575</x:f>
        <x:v>0</x:v>
      </x:c>
      <x:c r="W575" s="28" t="n">
        <x:f>U575*O575</x:f>
        <x:v>0</x:v>
      </x:c>
    </x:row>
    <x:row r="576" ht="19" customHeight="1">
      <x:c r="A576" s="2"/>
      <x:c r="B576" s="2"/>
      <x:c r="C576" s="46" t="n">
        <x:v>2</x:v>
      </x:c>
      <x:c r="D576" s="46" t="n">
        <x:v>15</x:v>
      </x:c>
      <x:c r="E576" s="46" t="n">
        <x:v>2</x:v>
      </x:c>
      <x:c r="F576" s="46" t="n">
        <x:v>3</x:v>
      </x:c>
      <x:c r="G576" s="12" t="n">
        <x:v>0.3333333333333333</x:v>
      </x:c>
      <x:c r="H576" s="12" t="n">
        <x:v>0.4444444444444444</x:v>
      </x:c>
      <x:c r="I576" s="29" t="n">
        <x:f>'Assumptions'!$D$11+'Assumptions'!$D$12*(0.5-(G576+H576)/2)</x:f>
        <x:v>0.32222222222222224</x:v>
      </x:c>
      <x:c r="J576" s="27" t="n">
        <x:f>'Assumptions'!$D$8*EXP(-'Assumptions'!$D$9*('Fleet Engine'!E209-10))*'Assumptions'!E57*'Assumptions'!F36</x:f>
        <x:v>18235.543179331336</x:v>
      </x:c>
      <x:c r="K576" s="27" t="n">
        <x:f>'Source Data'!F220+LN('Assumptions'!D57)+LN('Assumptions'!F35)</x:f>
        <x:v>8.332638086869624</x:v>
      </x:c>
      <x:c r="L576" s="27" t="n">
        <x:f>J576*(1-I576*(1-'Carrier Engine'!E93))</x:f>
        <x:v>12594.681822524843</x:v>
      </x:c>
      <x:c r="M576" s="29" t="n">
        <x:f>NORM.S.DIST((LN(L576)-K576)/'Assumptions'!$D$10,TRUE)</x:f>
        <x:v>0.7598715607815303</x:v>
      </x:c>
      <x:c r="N576" s="30" t="n">
        <x:f>MAX(0,H576-MAX(G576,M576))</x:f>
        <x:v>0</x:v>
      </x:c>
      <x:c r="O576" s="28" t="n">
        <x:f>J576*I576</x:f>
        <x:v>5875.897246673431</x:v>
      </x:c>
      <x:c r="P576" s="27" t="n">
        <x:f>(VLOOKUP(O576,'Fee Data'!$C$6:$G$50,2,TRUE)+O576*VLOOKUP(O576,'Fee Data'!$C$6:$G$50,3,TRUE)+VLOOKUP(O576,'Fee Data'!$I$6:$J$14,2,TRUE)+'Fee Data'!$J$20+'Fee Data'!$J$21)*'Assumptions'!F37</x:f>
        <x:v>1020</x:v>
      </x:c>
      <x:c r="Q576" s="27" t="n">
        <x:f>(VLOOKUP(O576,'Fee Data'!$C$6:$G$50,4,TRUE)+O576*VLOOKUP(O576,'Fee Data'!$C$6:$G$50,5,TRUE)+VLOOKUP(O576,'Fee Data'!$I$6:$J$14,2,TRUE)+'Fee Data'!$J$20+'Fee Data'!$J$21)*'Assumptions'!F37</x:f>
        <x:v>895</x:v>
      </x:c>
      <x:c r="R576" s="27" t="n">
        <x:f>P576*(1-'Assumptions'!$D$14)+Q576*'Assumptions'!$D$14</x:f>
        <x:v>957.5</x:v>
      </x:c>
      <x:c r="S576" s="27" t="n">
        <x:f>O576*'Carrier Engine'!E93</x:f>
        <x:v>235.03588986693725</x:v>
      </x:c>
      <x:c r="T576" s="28" t="n">
        <x:f>R576+S576</x:f>
        <x:v>1192.5358898669372</x:v>
      </x:c>
      <x:c r="U576" s="27" t="n">
        <x:f>N576*'Fleet Engine'!H209</x:f>
        <x:v>0</x:v>
      </x:c>
      <x:c r="V576" s="28" t="n">
        <x:f>U576*T576</x:f>
        <x:v>0</x:v>
      </x:c>
      <x:c r="W576" s="28" t="n">
        <x:f>U576*O576</x:f>
        <x:v>0</x:v>
      </x:c>
    </x:row>
    <x:row r="577" ht="19" customHeight="1">
      <x:c r="A577" s="2"/>
      <x:c r="B577" s="2"/>
      <x:c r="C577" s="46" t="n">
        <x:v>2</x:v>
      </x:c>
      <x:c r="D577" s="46" t="n">
        <x:v>15</x:v>
      </x:c>
      <x:c r="E577" s="46" t="n">
        <x:v>2</x:v>
      </x:c>
      <x:c r="F577" s="46" t="n">
        <x:v>3</x:v>
      </x:c>
      <x:c r="G577" s="12" t="n">
        <x:v>0.4444444444444444</x:v>
      </x:c>
      <x:c r="H577" s="12" t="n">
        <x:v>0.5555555555555556</x:v>
      </x:c>
      <x:c r="I577" s="29" t="n">
        <x:f>'Assumptions'!$D$11+'Assumptions'!$D$12*(0.5-(G577+H577)/2)</x:f>
        <x:v>0.3</x:v>
      </x:c>
      <x:c r="J577" s="27" t="n">
        <x:f>'Assumptions'!$D$8*EXP(-'Assumptions'!$D$9*('Fleet Engine'!E209-10))*'Assumptions'!E57*'Assumptions'!F36</x:f>
        <x:v>18235.543179331336</x:v>
      </x:c>
      <x:c r="K577" s="27" t="n">
        <x:f>'Source Data'!F220+LN('Assumptions'!D57)+LN('Assumptions'!F35)</x:f>
        <x:v>8.332638086869624</x:v>
      </x:c>
      <x:c r="L577" s="27" t="n">
        <x:f>J577*(1-I577*(1-'Carrier Engine'!E93))</x:f>
        <x:v>12983.706743683912</x:v>
      </x:c>
      <x:c r="M577" s="29" t="n">
        <x:f>NORM.S.DIST((LN(L577)-K577)/'Assumptions'!$D$10,TRUE)</x:f>
        <x:v>0.7658546811979431</x:v>
      </x:c>
      <x:c r="N577" s="30" t="n">
        <x:f>MAX(0,H577-MAX(G577,M577))</x:f>
        <x:v>0</x:v>
      </x:c>
      <x:c r="O577" s="28" t="n">
        <x:f>J577*I577</x:f>
        <x:v>5470.6629537994</x:v>
      </x:c>
      <x:c r="P577" s="27" t="n">
        <x:f>(VLOOKUP(O577,'Fee Data'!$C$6:$G$50,2,TRUE)+O577*VLOOKUP(O577,'Fee Data'!$C$6:$G$50,3,TRUE)+VLOOKUP(O577,'Fee Data'!$I$6:$J$14,2,TRUE)+'Fee Data'!$J$20+'Fee Data'!$J$21)*'Assumptions'!F37</x:f>
        <x:v>995</x:v>
      </x:c>
      <x:c r="Q577" s="27" t="n">
        <x:f>(VLOOKUP(O577,'Fee Data'!$C$6:$G$50,4,TRUE)+O577*VLOOKUP(O577,'Fee Data'!$C$6:$G$50,5,TRUE)+VLOOKUP(O577,'Fee Data'!$I$6:$J$14,2,TRUE)+'Fee Data'!$J$20+'Fee Data'!$J$21)*'Assumptions'!F37</x:f>
        <x:v>870</x:v>
      </x:c>
      <x:c r="R577" s="27" t="n">
        <x:f>P577*(1-'Assumptions'!$D$14)+Q577*'Assumptions'!$D$14</x:f>
        <x:v>932.5</x:v>
      </x:c>
      <x:c r="S577" s="27" t="n">
        <x:f>O577*'Carrier Engine'!E93</x:f>
        <x:v>218.82651815197602</x:v>
      </x:c>
      <x:c r="T577" s="28" t="n">
        <x:f>R577+S577</x:f>
        <x:v>1151.326518151976</x:v>
      </x:c>
      <x:c r="U577" s="27" t="n">
        <x:f>N577*'Fleet Engine'!H209</x:f>
        <x:v>0</x:v>
      </x:c>
      <x:c r="V577" s="28" t="n">
        <x:f>U577*T577</x:f>
        <x:v>0</x:v>
      </x:c>
      <x:c r="W577" s="28" t="n">
        <x:f>U577*O577</x:f>
        <x:v>0</x:v>
      </x:c>
    </x:row>
    <x:row r="578" ht="19" customHeight="1">
      <x:c r="A578" s="2"/>
      <x:c r="B578" s="2"/>
      <x:c r="C578" s="46" t="n">
        <x:v>2</x:v>
      </x:c>
      <x:c r="D578" s="46" t="n">
        <x:v>15</x:v>
      </x:c>
      <x:c r="E578" s="46" t="n">
        <x:v>2</x:v>
      </x:c>
      <x:c r="F578" s="46" t="n">
        <x:v>3</x:v>
      </x:c>
      <x:c r="G578" s="12" t="n">
        <x:v>0.5555555555555556</x:v>
      </x:c>
      <x:c r="H578" s="12" t="n">
        <x:v>0.6666666666666666</x:v>
      </x:c>
      <x:c r="I578" s="29" t="n">
        <x:f>'Assumptions'!$D$11+'Assumptions'!$D$12*(0.5-(G578+H578)/2)</x:f>
        <x:v>0.27777777777777773</x:v>
      </x:c>
      <x:c r="J578" s="27" t="n">
        <x:f>'Assumptions'!$D$8*EXP(-'Assumptions'!$D$9*('Fleet Engine'!E209-10))*'Assumptions'!E57*'Assumptions'!F36</x:f>
        <x:v>18235.543179331336</x:v>
      </x:c>
      <x:c r="K578" s="27" t="n">
        <x:f>'Source Data'!F220+LN('Assumptions'!D57)+LN('Assumptions'!F35)</x:f>
        <x:v>8.332638086869624</x:v>
      </x:c>
      <x:c r="L578" s="27" t="n">
        <x:f>J578*(1-I578*(1-'Carrier Engine'!E93))</x:f>
        <x:v>13372.73166484298</x:v>
      </x:c>
      <x:c r="M578" s="29" t="n">
        <x:f>NORM.S.DIST((LN(L578)-K578)/'Assumptions'!$D$10,TRUE)</x:f>
        <x:v>0.7715813442101519</x:v>
      </x:c>
      <x:c r="N578" s="30" t="n">
        <x:f>MAX(0,H578-MAX(G578,M578))</x:f>
        <x:v>0</x:v>
      </x:c>
      <x:c r="O578" s="28" t="n">
        <x:f>J578*I578</x:f>
        <x:v>5065.42866092537</x:v>
      </x:c>
      <x:c r="P578" s="27" t="n">
        <x:f>(VLOOKUP(O578,'Fee Data'!$C$6:$G$50,2,TRUE)+O578*VLOOKUP(O578,'Fee Data'!$C$6:$G$50,3,TRUE)+VLOOKUP(O578,'Fee Data'!$I$6:$J$14,2,TRUE)+'Fee Data'!$J$20+'Fee Data'!$J$21)*'Assumptions'!F37</x:f>
        <x:v>995</x:v>
      </x:c>
      <x:c r="Q578" s="27" t="n">
        <x:f>(VLOOKUP(O578,'Fee Data'!$C$6:$G$50,4,TRUE)+O578*VLOOKUP(O578,'Fee Data'!$C$6:$G$50,5,TRUE)+VLOOKUP(O578,'Fee Data'!$I$6:$J$14,2,TRUE)+'Fee Data'!$J$20+'Fee Data'!$J$21)*'Assumptions'!F37</x:f>
        <x:v>870</x:v>
      </x:c>
      <x:c r="R578" s="27" t="n">
        <x:f>P578*(1-'Assumptions'!$D$14)+Q578*'Assumptions'!$D$14</x:f>
        <x:v>932.5</x:v>
      </x:c>
      <x:c r="S578" s="27" t="n">
        <x:f>O578*'Carrier Engine'!E93</x:f>
        <x:v>202.6171464370148</x:v>
      </x:c>
      <x:c r="T578" s="28" t="n">
        <x:f>R578+S578</x:f>
        <x:v>1135.1171464370148</x:v>
      </x:c>
      <x:c r="U578" s="27" t="n">
        <x:f>N578*'Fleet Engine'!H209</x:f>
        <x:v>0</x:v>
      </x:c>
      <x:c r="V578" s="28" t="n">
        <x:f>U578*T578</x:f>
        <x:v>0</x:v>
      </x:c>
      <x:c r="W578" s="28" t="n">
        <x:f>U578*O578</x:f>
        <x:v>0</x:v>
      </x:c>
    </x:row>
    <x:row r="579" ht="19" customHeight="1">
      <x:c r="A579" s="2"/>
      <x:c r="B579" s="2"/>
      <x:c r="C579" s="46" t="n">
        <x:v>2</x:v>
      </x:c>
      <x:c r="D579" s="46" t="n">
        <x:v>15</x:v>
      </x:c>
      <x:c r="E579" s="46" t="n">
        <x:v>2</x:v>
      </x:c>
      <x:c r="F579" s="46" t="n">
        <x:v>3</x:v>
      </x:c>
      <x:c r="G579" s="12" t="n">
        <x:v>0.6666666666666666</x:v>
      </x:c>
      <x:c r="H579" s="12" t="n">
        <x:v>0.7777777777777778</x:v>
      </x:c>
      <x:c r="I579" s="29" t="n">
        <x:f>'Assumptions'!$D$11+'Assumptions'!$D$12*(0.5-(G579+H579)/2)</x:f>
        <x:v>0.25555555555555554</x:v>
      </x:c>
      <x:c r="J579" s="27" t="n">
        <x:f>'Assumptions'!$D$8*EXP(-'Assumptions'!$D$9*('Fleet Engine'!E209-10))*'Assumptions'!E57*'Assumptions'!F36</x:f>
        <x:v>18235.543179331336</x:v>
      </x:c>
      <x:c r="K579" s="27" t="n">
        <x:f>'Source Data'!F220+LN('Assumptions'!D57)+LN('Assumptions'!F35)</x:f>
        <x:v>8.332638086869624</x:v>
      </x:c>
      <x:c r="L579" s="27" t="n">
        <x:f>J579*(1-I579*(1-'Carrier Engine'!E93))</x:f>
        <x:v>13761.75658600205</x:v>
      </x:c>
      <x:c r="M579" s="29" t="n">
        <x:f>NORM.S.DIST((LN(L579)-K579)/'Assumptions'!$D$10,TRUE)</x:f>
        <x:v>0.7770676226732032</x:v>
      </x:c>
      <x:c r="N579" s="30" t="n">
        <x:f>MAX(0,H579-MAX(G579,M579))</x:f>
        <x:v>0.0007101551045746168</x:v>
      </x:c>
      <x:c r="O579" s="28" t="n">
        <x:f>J579*I579</x:f>
        <x:v>4660.194368051341</x:v>
      </x:c>
      <x:c r="P579" s="27" t="n">
        <x:f>(VLOOKUP(O579,'Fee Data'!$C$6:$G$50,2,TRUE)+O579*VLOOKUP(O579,'Fee Data'!$C$6:$G$50,3,TRUE)+VLOOKUP(O579,'Fee Data'!$I$6:$J$14,2,TRUE)+'Fee Data'!$J$20+'Fee Data'!$J$21)*'Assumptions'!F37</x:f>
        <x:v>970</x:v>
      </x:c>
      <x:c r="Q579" s="27" t="n">
        <x:f>(VLOOKUP(O579,'Fee Data'!$C$6:$G$50,4,TRUE)+O579*VLOOKUP(O579,'Fee Data'!$C$6:$G$50,5,TRUE)+VLOOKUP(O579,'Fee Data'!$I$6:$J$14,2,TRUE)+'Fee Data'!$J$20+'Fee Data'!$J$21)*'Assumptions'!F37</x:f>
        <x:v>845</x:v>
      </x:c>
      <x:c r="R579" s="27" t="n">
        <x:f>P579*(1-'Assumptions'!$D$14)+Q579*'Assumptions'!$D$14</x:f>
        <x:v>907.5</x:v>
      </x:c>
      <x:c r="S579" s="27" t="n">
        <x:f>O579*'Carrier Engine'!E93</x:f>
        <x:v>186.40777472205366</x:v>
      </x:c>
      <x:c r="T579" s="28" t="n">
        <x:f>R579+S579</x:f>
        <x:v>1093.9077747220535</x:v>
      </x:c>
      <x:c r="U579" s="27" t="n">
        <x:f>N579*'Fleet Engine'!H209</x:f>
        <x:v>3.3543180538506836</x:v>
      </x:c>
      <x:c r="V579" s="28" t="n">
        <x:f>U579*T579</x:f>
        <x:v>3669.314597997811</x:v>
      </x:c>
      <x:c r="W579" s="28" t="n">
        <x:f>U579*O579</x:f>
        <x:v>15631.774103207892</x:v>
      </x:c>
    </x:row>
    <x:row r="580" ht="19" customHeight="1">
      <x:c r="A580" s="2"/>
      <x:c r="B580" s="2"/>
      <x:c r="C580" s="46" t="n">
        <x:v>2</x:v>
      </x:c>
      <x:c r="D580" s="46" t="n">
        <x:v>15</x:v>
      </x:c>
      <x:c r="E580" s="46" t="n">
        <x:v>2</x:v>
      </x:c>
      <x:c r="F580" s="46" t="n">
        <x:v>3</x:v>
      </x:c>
      <x:c r="G580" s="12" t="n">
        <x:v>0.7777777777777778</x:v>
      </x:c>
      <x:c r="H580" s="12" t="n">
        <x:v>0.8888888888888888</x:v>
      </x:c>
      <x:c r="I580" s="29" t="n">
        <x:f>'Assumptions'!$D$11+'Assumptions'!$D$12*(0.5-(G580+H580)/2)</x:f>
        <x:v>0.23333333333333334</x:v>
      </x:c>
      <x:c r="J580" s="27" t="n">
        <x:f>'Assumptions'!$D$8*EXP(-'Assumptions'!$D$9*('Fleet Engine'!E209-10))*'Assumptions'!E57*'Assumptions'!F36</x:f>
        <x:v>18235.543179331336</x:v>
      </x:c>
      <x:c r="K580" s="27" t="n">
        <x:f>'Source Data'!F220+LN('Assumptions'!D57)+LN('Assumptions'!F35)</x:f>
        <x:v>8.332638086869624</x:v>
      </x:c>
      <x:c r="L580" s="27" t="n">
        <x:f>J580*(1-I580*(1-'Carrier Engine'!E93))</x:f>
        <x:v>14150.781507161117</x:v>
      </x:c>
      <x:c r="M580" s="29" t="n">
        <x:f>NORM.S.DIST((LN(L580)-K580)/'Assumptions'!$D$10,TRUE)</x:f>
        <x:v>0.7823282539471316</x:v>
      </x:c>
      <x:c r="N580" s="30" t="n">
        <x:f>MAX(0,H580-MAX(G580,M580))</x:f>
        <x:v>0.10656063494175727</x:v>
      </x:c>
      <x:c r="O580" s="28" t="n">
        <x:f>J580*I580</x:f>
        <x:v>4254.960075177312</x:v>
      </x:c>
      <x:c r="P580" s="27" t="n">
        <x:f>(VLOOKUP(O580,'Fee Data'!$C$6:$G$50,2,TRUE)+O580*VLOOKUP(O580,'Fee Data'!$C$6:$G$50,3,TRUE)+VLOOKUP(O580,'Fee Data'!$I$6:$J$14,2,TRUE)+'Fee Data'!$J$20+'Fee Data'!$J$21)*'Assumptions'!F37</x:f>
        <x:v>945</x:v>
      </x:c>
      <x:c r="Q580" s="27" t="n">
        <x:f>(VLOOKUP(O580,'Fee Data'!$C$6:$G$50,4,TRUE)+O580*VLOOKUP(O580,'Fee Data'!$C$6:$G$50,5,TRUE)+VLOOKUP(O580,'Fee Data'!$I$6:$J$14,2,TRUE)+'Fee Data'!$J$20+'Fee Data'!$J$21)*'Assumptions'!F37</x:f>
        <x:v>820</x:v>
      </x:c>
      <x:c r="R580" s="27" t="n">
        <x:f>P580*(1-'Assumptions'!$D$14)+Q580*'Assumptions'!$D$14</x:f>
        <x:v>882.5</x:v>
      </x:c>
      <x:c r="S580" s="27" t="n">
        <x:f>O580*'Carrier Engine'!E93</x:f>
        <x:v>170.1984030070925</x:v>
      </x:c>
      <x:c r="T580" s="28" t="n">
        <x:f>R580+S580</x:f>
        <x:v>1052.6984030070926</x:v>
      </x:c>
      <x:c r="U580" s="27" t="n">
        <x:f>N580*'Fleet Engine'!H209</x:f>
        <x:v>503.3242165161004</x:v>
      </x:c>
      <x:c r="V580" s="28" t="n">
        <x:f>U580*T580</x:f>
        <x:v>529848.598921295</x:v>
      </x:c>
      <x:c r="W580" s="28" t="n">
        <x:f>U580*O580</x:f>
        <x:v>2141624.4461459084</x:v>
      </x:c>
    </x:row>
    <x:row r="581" ht="19" customHeight="1">
      <x:c r="A581" s="2"/>
      <x:c r="B581" s="2"/>
      <x:c r="C581" s="46" t="n">
        <x:v>2</x:v>
      </x:c>
      <x:c r="D581" s="46" t="n">
        <x:v>15</x:v>
      </x:c>
      <x:c r="E581" s="46" t="n">
        <x:v>2</x:v>
      </x:c>
      <x:c r="F581" s="46" t="n">
        <x:v>3</x:v>
      </x:c>
      <x:c r="G581" s="12" t="n">
        <x:v>0.8888888888888888</x:v>
      </x:c>
      <x:c r="H581" s="12" t="n">
        <x:v>1</x:v>
      </x:c>
      <x:c r="I581" s="29" t="n">
        <x:f>'Assumptions'!$D$11+'Assumptions'!$D$12*(0.5-(G581+H581)/2)</x:f>
        <x:v>0.21111111111111108</x:v>
      </x:c>
      <x:c r="J581" s="27" t="n">
        <x:f>'Assumptions'!$D$8*EXP(-'Assumptions'!$D$9*('Fleet Engine'!E209-10))*'Assumptions'!E57*'Assumptions'!F36</x:f>
        <x:v>18235.543179331336</x:v>
      </x:c>
      <x:c r="K581" s="27" t="n">
        <x:f>'Source Data'!F220+LN('Assumptions'!D57)+LN('Assumptions'!F35)</x:f>
        <x:v>8.332638086869624</x:v>
      </x:c>
      <x:c r="L581" s="27" t="n">
        <x:f>J581*(1-I581*(1-'Carrier Engine'!E93))</x:f>
        <x:v>14539.806428320186</x:v>
      </x:c>
      <x:c r="M581" s="29" t="n">
        <x:f>NORM.S.DIST((LN(L581)-K581)/'Assumptions'!$D$10,TRUE)</x:f>
        <x:v>0.7873767780721864</x:v>
      </x:c>
      <x:c r="N581" s="30" t="n">
        <x:f>MAX(0,H581-MAX(G581,M581))</x:f>
        <x:v>0.11111111111111116</x:v>
      </x:c>
      <x:c r="O581" s="28" t="n">
        <x:f>J581*I581</x:f>
        <x:v>3849.7257823032814</x:v>
      </x:c>
      <x:c r="P581" s="27" t="n">
        <x:f>(VLOOKUP(O581,'Fee Data'!$C$6:$G$50,2,TRUE)+O581*VLOOKUP(O581,'Fee Data'!$C$6:$G$50,3,TRUE)+VLOOKUP(O581,'Fee Data'!$I$6:$J$14,2,TRUE)+'Fee Data'!$J$20+'Fee Data'!$J$21)*'Assumptions'!F37</x:f>
        <x:v>915</x:v>
      </x:c>
      <x:c r="Q581" s="27" t="n">
        <x:f>(VLOOKUP(O581,'Fee Data'!$C$6:$G$50,4,TRUE)+O581*VLOOKUP(O581,'Fee Data'!$C$6:$G$50,5,TRUE)+VLOOKUP(O581,'Fee Data'!$I$6:$J$14,2,TRUE)+'Fee Data'!$J$20+'Fee Data'!$J$21)*'Assumptions'!F37</x:f>
        <x:v>765</x:v>
      </x:c>
      <x:c r="R581" s="27" t="n">
        <x:f>P581*(1-'Assumptions'!$D$14)+Q581*'Assumptions'!$D$14</x:f>
        <x:v>840</x:v>
      </x:c>
      <x:c r="S581" s="27" t="n">
        <x:f>O581*'Carrier Engine'!E93</x:f>
        <x:v>153.98903129213127</x:v>
      </x:c>
      <x:c r="T581" s="28" t="n">
        <x:f>R581+S581</x:f>
        <x:v>993.9890312921312</x:v>
      </x:c>
      <x:c r="U581" s="27" t="n">
        <x:f>N581*'Fleet Engine'!H209</x:f>
        <x:v>524.817752604423</x:v>
      </x:c>
      <x:c r="V581" s="28" t="n">
        <x:f>U581*T581</x:f>
        <x:v>521663.0895161838</x:v>
      </x:c>
      <x:c r="W581" s="28" t="n">
        <x:f>U581*O581</x:f>
        <x:v>2020404.4332117126</x:v>
      </x:c>
    </x:row>
    <x:row r="582" ht="19" customHeight="1">
      <x:c r="A582" s="2"/>
      <x:c r="B582" s="2"/>
      <x:c r="C582" s="46" t="n">
        <x:v>2</x:v>
      </x:c>
      <x:c r="D582" s="46" t="n">
        <x:v>16</x:v>
      </x:c>
      <x:c r="E582" s="46" t="n">
        <x:v>2</x:v>
      </x:c>
      <x:c r="F582" s="46" t="n">
        <x:v>4</x:v>
      </x:c>
      <x:c r="G582" s="12" t="n">
        <x:v>0</x:v>
      </x:c>
      <x:c r="H582" s="12" t="n">
        <x:v>0.1111111111111111</x:v>
      </x:c>
      <x:c r="I582" s="29" t="n">
        <x:f>'Assumptions'!$D$11+'Assumptions'!$D$12*(0.5-(G582+H582)/2)</x:f>
        <x:v>0.3888888888888889</x:v>
      </x:c>
      <x:c r="J582" s="27" t="n">
        <x:f>'Assumptions'!$D$8*EXP(-'Assumptions'!$D$9*('Fleet Engine'!E210-10))*'Assumptions'!E57*'Assumptions'!F36</x:f>
        <x:v>13509.222651276876</x:v>
      </x:c>
      <x:c r="K582" s="27" t="n">
        <x:f>'Source Data'!F221+LN('Assumptions'!D57)+LN('Assumptions'!F35)</x:f>
        <x:v>8.418486215784876</x:v>
      </x:c>
      <x:c r="L582" s="27" t="n">
        <x:f>J582*(1-I582*(1-'Carrier Engine'!E93))</x:f>
        <x:v>8465.77952813351</x:v>
      </x:c>
      <x:c r="M582" s="29" t="n">
        <x:f>NORM.S.DIST((LN(L582)-K582)/'Assumptions'!$D$10,TRUE)</x:f>
        <x:v>0.6547692149183624</x:v>
      </x:c>
      <x:c r="N582" s="30" t="n">
        <x:f>MAX(0,H582-MAX(G582,M582))</x:f>
        <x:v>0</x:v>
      </x:c>
      <x:c r="O582" s="28" t="n">
        <x:f>J582*I582</x:f>
        <x:v>5253.586586607674</x:v>
      </x:c>
      <x:c r="P582" s="27" t="n">
        <x:f>(VLOOKUP(O582,'Fee Data'!$C$6:$G$50,2,TRUE)+O582*VLOOKUP(O582,'Fee Data'!$C$6:$G$50,3,TRUE)+VLOOKUP(O582,'Fee Data'!$I$6:$J$14,2,TRUE)+'Fee Data'!$J$20+'Fee Data'!$J$21)*'Assumptions'!F37</x:f>
        <x:v>995</x:v>
      </x:c>
      <x:c r="Q582" s="27" t="n">
        <x:f>(VLOOKUP(O582,'Fee Data'!$C$6:$G$50,4,TRUE)+O582*VLOOKUP(O582,'Fee Data'!$C$6:$G$50,5,TRUE)+VLOOKUP(O582,'Fee Data'!$I$6:$J$14,2,TRUE)+'Fee Data'!$J$20+'Fee Data'!$J$21)*'Assumptions'!F37</x:f>
        <x:v>870</x:v>
      </x:c>
      <x:c r="R582" s="27" t="n">
        <x:f>P582*(1-'Assumptions'!$D$14)+Q582*'Assumptions'!$D$14</x:f>
        <x:v>932.5</x:v>
      </x:c>
      <x:c r="S582" s="27" t="n">
        <x:f>O582*'Carrier Engine'!E93</x:f>
        <x:v>210.14346346430696</x:v>
      </x:c>
      <x:c r="T582" s="28" t="n">
        <x:f>R582+S582</x:f>
        <x:v>1142.643463464307</x:v>
      </x:c>
      <x:c r="U582" s="27" t="n">
        <x:f>N582*'Fleet Engine'!H210</x:f>
        <x:v>0</x:v>
      </x:c>
      <x:c r="V582" s="28" t="n">
        <x:f>U582*T582</x:f>
        <x:v>0</x:v>
      </x:c>
      <x:c r="W582" s="28" t="n">
        <x:f>U582*O582</x:f>
        <x:v>0</x:v>
      </x:c>
    </x:row>
    <x:row r="583" ht="19" customHeight="1">
      <x:c r="A583" s="2"/>
      <x:c r="B583" s="2"/>
      <x:c r="C583" s="46" t="n">
        <x:v>2</x:v>
      </x:c>
      <x:c r="D583" s="46" t="n">
        <x:v>16</x:v>
      </x:c>
      <x:c r="E583" s="46" t="n">
        <x:v>2</x:v>
      </x:c>
      <x:c r="F583" s="46" t="n">
        <x:v>4</x:v>
      </x:c>
      <x:c r="G583" s="12" t="n">
        <x:v>0.1111111111111111</x:v>
      </x:c>
      <x:c r="H583" s="12" t="n">
        <x:v>0.2222222222222222</x:v>
      </x:c>
      <x:c r="I583" s="29" t="n">
        <x:f>'Assumptions'!$D$11+'Assumptions'!$D$12*(0.5-(G583+H583)/2)</x:f>
        <x:v>0.3666666666666667</x:v>
      </x:c>
      <x:c r="J583" s="27" t="n">
        <x:f>'Assumptions'!$D$8*EXP(-'Assumptions'!$D$9*('Fleet Engine'!E210-10))*'Assumptions'!E57*'Assumptions'!F36</x:f>
        <x:v>13509.222651276876</x:v>
      </x:c>
      <x:c r="K583" s="27" t="n">
        <x:f>'Source Data'!F221+LN('Assumptions'!D57)+LN('Assumptions'!F35)</x:f>
        <x:v>8.418486215784876</x:v>
      </x:c>
      <x:c r="L583" s="27" t="n">
        <x:f>J583*(1-I583*(1-'Carrier Engine'!E93))</x:f>
        <x:v>8753.976278027414</x:v>
      </x:c>
      <x:c r="M583" s="29" t="n">
        <x:f>NORM.S.DIST((LN(L583)-K583)/'Assumptions'!$D$10,TRUE)</x:f>
        <x:v>0.6625922348502294</x:v>
      </x:c>
      <x:c r="N583" s="30" t="n">
        <x:f>MAX(0,H583-MAX(G583,M583))</x:f>
        <x:v>0</x:v>
      </x:c>
      <x:c r="O583" s="28" t="n">
        <x:f>J583*I583</x:f>
        <x:v>4953.381638801521</x:v>
      </x:c>
      <x:c r="P583" s="27" t="n">
        <x:f>(VLOOKUP(O583,'Fee Data'!$C$6:$G$50,2,TRUE)+O583*VLOOKUP(O583,'Fee Data'!$C$6:$G$50,3,TRUE)+VLOOKUP(O583,'Fee Data'!$I$6:$J$14,2,TRUE)+'Fee Data'!$J$20+'Fee Data'!$J$21)*'Assumptions'!F37</x:f>
        <x:v>970</x:v>
      </x:c>
      <x:c r="Q583" s="27" t="n">
        <x:f>(VLOOKUP(O583,'Fee Data'!$C$6:$G$50,4,TRUE)+O583*VLOOKUP(O583,'Fee Data'!$C$6:$G$50,5,TRUE)+VLOOKUP(O583,'Fee Data'!$I$6:$J$14,2,TRUE)+'Fee Data'!$J$20+'Fee Data'!$J$21)*'Assumptions'!F37</x:f>
        <x:v>845</x:v>
      </x:c>
      <x:c r="R583" s="27" t="n">
        <x:f>P583*(1-'Assumptions'!$D$14)+Q583*'Assumptions'!$D$14</x:f>
        <x:v>907.5</x:v>
      </x:c>
      <x:c r="S583" s="27" t="n">
        <x:f>O583*'Carrier Engine'!E93</x:f>
        <x:v>198.13526555206084</x:v>
      </x:c>
      <x:c r="T583" s="28" t="n">
        <x:f>R583+S583</x:f>
        <x:v>1105.635265552061</x:v>
      </x:c>
      <x:c r="U583" s="27" t="n">
        <x:f>N583*'Fleet Engine'!H210</x:f>
        <x:v>0</x:v>
      </x:c>
      <x:c r="V583" s="28" t="n">
        <x:f>U583*T583</x:f>
        <x:v>0</x:v>
      </x:c>
      <x:c r="W583" s="28" t="n">
        <x:f>U583*O583</x:f>
        <x:v>0</x:v>
      </x:c>
    </x:row>
    <x:row r="584" ht="19" customHeight="1">
      <x:c r="A584" s="2"/>
      <x:c r="B584" s="2"/>
      <x:c r="C584" s="46" t="n">
        <x:v>2</x:v>
      </x:c>
      <x:c r="D584" s="46" t="n">
        <x:v>16</x:v>
      </x:c>
      <x:c r="E584" s="46" t="n">
        <x:v>2</x:v>
      </x:c>
      <x:c r="F584" s="46" t="n">
        <x:v>4</x:v>
      </x:c>
      <x:c r="G584" s="12" t="n">
        <x:v>0.2222222222222222</x:v>
      </x:c>
      <x:c r="H584" s="12" t="n">
        <x:v>0.3333333333333333</x:v>
      </x:c>
      <x:c r="I584" s="29" t="n">
        <x:f>'Assumptions'!$D$11+'Assumptions'!$D$12*(0.5-(G584+H584)/2)</x:f>
        <x:v>0.34444444444444444</x:v>
      </x:c>
      <x:c r="J584" s="27" t="n">
        <x:f>'Assumptions'!$D$8*EXP(-'Assumptions'!$D$9*('Fleet Engine'!E210-10))*'Assumptions'!E57*'Assumptions'!F36</x:f>
        <x:v>13509.222651276876</x:v>
      </x:c>
      <x:c r="K584" s="27" t="n">
        <x:f>'Source Data'!F221+LN('Assumptions'!D57)+LN('Assumptions'!F35)</x:f>
        <x:v>8.418486215784876</x:v>
      </x:c>
      <x:c r="L584" s="27" t="n">
        <x:f>J584*(1-I584*(1-'Carrier Engine'!E93))</x:f>
        <x:v>9042.173027921323</x:v>
      </x:c>
      <x:c r="M584" s="29" t="n">
        <x:f>NORM.S.DIST((LN(L584)-K584)/'Assumptions'!$D$10,TRUE)</x:f>
        <x:v>0.6700955519426168</x:v>
      </x:c>
      <x:c r="N584" s="30" t="n">
        <x:f>MAX(0,H584-MAX(G584,M584))</x:f>
        <x:v>0</x:v>
      </x:c>
      <x:c r="O584" s="28" t="n">
        <x:f>J584*I584</x:f>
        <x:v>4653.1766909953685</x:v>
      </x:c>
      <x:c r="P584" s="27" t="n">
        <x:f>(VLOOKUP(O584,'Fee Data'!$C$6:$G$50,2,TRUE)+O584*VLOOKUP(O584,'Fee Data'!$C$6:$G$50,3,TRUE)+VLOOKUP(O584,'Fee Data'!$I$6:$J$14,2,TRUE)+'Fee Data'!$J$20+'Fee Data'!$J$21)*'Assumptions'!F37</x:f>
        <x:v>970</x:v>
      </x:c>
      <x:c r="Q584" s="27" t="n">
        <x:f>(VLOOKUP(O584,'Fee Data'!$C$6:$G$50,4,TRUE)+O584*VLOOKUP(O584,'Fee Data'!$C$6:$G$50,5,TRUE)+VLOOKUP(O584,'Fee Data'!$I$6:$J$14,2,TRUE)+'Fee Data'!$J$20+'Fee Data'!$J$21)*'Assumptions'!F37</x:f>
        <x:v>845</x:v>
      </x:c>
      <x:c r="R584" s="27" t="n">
        <x:f>P584*(1-'Assumptions'!$D$14)+Q584*'Assumptions'!$D$14</x:f>
        <x:v>907.5</x:v>
      </x:c>
      <x:c r="S584" s="27" t="n">
        <x:f>O584*'Carrier Engine'!E93</x:f>
        <x:v>186.12706763981475</x:v>
      </x:c>
      <x:c r="T584" s="28" t="n">
        <x:f>R584+S584</x:f>
        <x:v>1093.6270676398149</x:v>
      </x:c>
      <x:c r="U584" s="27" t="n">
        <x:f>N584*'Fleet Engine'!H210</x:f>
        <x:v>0</x:v>
      </x:c>
      <x:c r="V584" s="28" t="n">
        <x:f>U584*T584</x:f>
        <x:v>0</x:v>
      </x:c>
      <x:c r="W584" s="28" t="n">
        <x:f>U584*O584</x:f>
        <x:v>0</x:v>
      </x:c>
    </x:row>
    <x:row r="585" ht="19" customHeight="1">
      <x:c r="A585" s="2"/>
      <x:c r="B585" s="2"/>
      <x:c r="C585" s="46" t="n">
        <x:v>2</x:v>
      </x:c>
      <x:c r="D585" s="46" t="n">
        <x:v>16</x:v>
      </x:c>
      <x:c r="E585" s="46" t="n">
        <x:v>2</x:v>
      </x:c>
      <x:c r="F585" s="46" t="n">
        <x:v>4</x:v>
      </x:c>
      <x:c r="G585" s="12" t="n">
        <x:v>0.3333333333333333</x:v>
      </x:c>
      <x:c r="H585" s="12" t="n">
        <x:v>0.4444444444444444</x:v>
      </x:c>
      <x:c r="I585" s="29" t="n">
        <x:f>'Assumptions'!$D$11+'Assumptions'!$D$12*(0.5-(G585+H585)/2)</x:f>
        <x:v>0.32222222222222224</x:v>
      </x:c>
      <x:c r="J585" s="27" t="n">
        <x:f>'Assumptions'!$D$8*EXP(-'Assumptions'!$D$9*('Fleet Engine'!E210-10))*'Assumptions'!E57*'Assumptions'!F36</x:f>
        <x:v>13509.222651276876</x:v>
      </x:c>
      <x:c r="K585" s="27" t="n">
        <x:f>'Source Data'!F221+LN('Assumptions'!D57)+LN('Assumptions'!F35)</x:f>
        <x:v>8.418486215784876</x:v>
      </x:c>
      <x:c r="L585" s="27" t="n">
        <x:f>J585*(1-I585*(1-'Carrier Engine'!E93))</x:f>
        <x:v>9330.36977781523</x:v>
      </x:c>
      <x:c r="M585" s="29" t="n">
        <x:f>NORM.S.DIST((LN(L585)-K585)/'Assumptions'!$D$10,TRUE)</x:f>
        <x:v>0.6772987939004849</x:v>
      </x:c>
      <x:c r="N585" s="30" t="n">
        <x:f>MAX(0,H585-MAX(G585,M585))</x:f>
        <x:v>0</x:v>
      </x:c>
      <x:c r="O585" s="28" t="n">
        <x:f>J585*I585</x:f>
        <x:v>4352.971743189216</x:v>
      </x:c>
      <x:c r="P585" s="27" t="n">
        <x:f>(VLOOKUP(O585,'Fee Data'!$C$6:$G$50,2,TRUE)+O585*VLOOKUP(O585,'Fee Data'!$C$6:$G$50,3,TRUE)+VLOOKUP(O585,'Fee Data'!$I$6:$J$14,2,TRUE)+'Fee Data'!$J$20+'Fee Data'!$J$21)*'Assumptions'!F37</x:f>
        <x:v>945</x:v>
      </x:c>
      <x:c r="Q585" s="27" t="n">
        <x:f>(VLOOKUP(O585,'Fee Data'!$C$6:$G$50,4,TRUE)+O585*VLOOKUP(O585,'Fee Data'!$C$6:$G$50,5,TRUE)+VLOOKUP(O585,'Fee Data'!$I$6:$J$14,2,TRUE)+'Fee Data'!$J$20+'Fee Data'!$J$21)*'Assumptions'!F37</x:f>
        <x:v>820</x:v>
      </x:c>
      <x:c r="R585" s="27" t="n">
        <x:f>P585*(1-'Assumptions'!$D$14)+Q585*'Assumptions'!$D$14</x:f>
        <x:v>882.5</x:v>
      </x:c>
      <x:c r="S585" s="27" t="n">
        <x:f>O585*'Carrier Engine'!E93</x:f>
        <x:v>174.11886972756864</x:v>
      </x:c>
      <x:c r="T585" s="28" t="n">
        <x:f>R585+S585</x:f>
        <x:v>1056.6188697275686</x:v>
      </x:c>
      <x:c r="U585" s="27" t="n">
        <x:f>N585*'Fleet Engine'!H210</x:f>
        <x:v>0</x:v>
      </x:c>
      <x:c r="V585" s="28" t="n">
        <x:f>U585*T585</x:f>
        <x:v>0</x:v>
      </x:c>
      <x:c r="W585" s="28" t="n">
        <x:f>U585*O585</x:f>
        <x:v>0</x:v>
      </x:c>
    </x:row>
    <x:row r="586" ht="19" customHeight="1">
      <x:c r="A586" s="2"/>
      <x:c r="B586" s="2"/>
      <x:c r="C586" s="46" t="n">
        <x:v>2</x:v>
      </x:c>
      <x:c r="D586" s="46" t="n">
        <x:v>16</x:v>
      </x:c>
      <x:c r="E586" s="46" t="n">
        <x:v>2</x:v>
      </x:c>
      <x:c r="F586" s="46" t="n">
        <x:v>4</x:v>
      </x:c>
      <x:c r="G586" s="12" t="n">
        <x:v>0.4444444444444444</x:v>
      </x:c>
      <x:c r="H586" s="12" t="n">
        <x:v>0.5555555555555556</x:v>
      </x:c>
      <x:c r="I586" s="29" t="n">
        <x:f>'Assumptions'!$D$11+'Assumptions'!$D$12*(0.5-(G586+H586)/2)</x:f>
        <x:v>0.3</x:v>
      </x:c>
      <x:c r="J586" s="27" t="n">
        <x:f>'Assumptions'!$D$8*EXP(-'Assumptions'!$D$9*('Fleet Engine'!E210-10))*'Assumptions'!E57*'Assumptions'!F36</x:f>
        <x:v>13509.222651276876</x:v>
      </x:c>
      <x:c r="K586" s="27" t="n">
        <x:f>'Source Data'!F221+LN('Assumptions'!D57)+LN('Assumptions'!F35)</x:f>
        <x:v>8.418486215784876</x:v>
      </x:c>
      <x:c r="L586" s="27" t="n">
        <x:f>J586*(1-I586*(1-'Carrier Engine'!E93))</x:f>
        <x:v>9618.566527709136</x:v>
      </x:c>
      <x:c r="M586" s="29" t="n">
        <x:f>NORM.S.DIST((LN(L586)-K586)/'Assumptions'!$D$10,TRUE)</x:f>
        <x:v>0.6842199654494845</x:v>
      </x:c>
      <x:c r="N586" s="30" t="n">
        <x:f>MAX(0,H586-MAX(G586,M586))</x:f>
        <x:v>0</x:v>
      </x:c>
      <x:c r="O586" s="28" t="n">
        <x:f>J586*I586</x:f>
        <x:v>4052.7667953830623</x:v>
      </x:c>
      <x:c r="P586" s="27" t="n">
        <x:f>(VLOOKUP(O586,'Fee Data'!$C$6:$G$50,2,TRUE)+O586*VLOOKUP(O586,'Fee Data'!$C$6:$G$50,3,TRUE)+VLOOKUP(O586,'Fee Data'!$I$6:$J$14,2,TRUE)+'Fee Data'!$J$20+'Fee Data'!$J$21)*'Assumptions'!F37</x:f>
        <x:v>945</x:v>
      </x:c>
      <x:c r="Q586" s="27" t="n">
        <x:f>(VLOOKUP(O586,'Fee Data'!$C$6:$G$50,4,TRUE)+O586*VLOOKUP(O586,'Fee Data'!$C$6:$G$50,5,TRUE)+VLOOKUP(O586,'Fee Data'!$I$6:$J$14,2,TRUE)+'Fee Data'!$J$20+'Fee Data'!$J$21)*'Assumptions'!F37</x:f>
        <x:v>820</x:v>
      </x:c>
      <x:c r="R586" s="27" t="n">
        <x:f>P586*(1-'Assumptions'!$D$14)+Q586*'Assumptions'!$D$14</x:f>
        <x:v>882.5</x:v>
      </x:c>
      <x:c r="S586" s="27" t="n">
        <x:f>O586*'Carrier Engine'!E93</x:f>
        <x:v>162.1106718153225</x:v>
      </x:c>
      <x:c r="T586" s="28" t="n">
        <x:f>R586+S586</x:f>
        <x:v>1044.6106718153226</x:v>
      </x:c>
      <x:c r="U586" s="27" t="n">
        <x:f>N586*'Fleet Engine'!H210</x:f>
        <x:v>0</x:v>
      </x:c>
      <x:c r="V586" s="28" t="n">
        <x:f>U586*T586</x:f>
        <x:v>0</x:v>
      </x:c>
      <x:c r="W586" s="28" t="n">
        <x:f>U586*O586</x:f>
        <x:v>0</x:v>
      </x:c>
    </x:row>
    <x:row r="587" ht="19" customHeight="1">
      <x:c r="A587" s="2"/>
      <x:c r="B587" s="2"/>
      <x:c r="C587" s="46" t="n">
        <x:v>2</x:v>
      </x:c>
      <x:c r="D587" s="46" t="n">
        <x:v>16</x:v>
      </x:c>
      <x:c r="E587" s="46" t="n">
        <x:v>2</x:v>
      </x:c>
      <x:c r="F587" s="46" t="n">
        <x:v>4</x:v>
      </x:c>
      <x:c r="G587" s="12" t="n">
        <x:v>0.5555555555555556</x:v>
      </x:c>
      <x:c r="H587" s="12" t="n">
        <x:v>0.6666666666666666</x:v>
      </x:c>
      <x:c r="I587" s="29" t="n">
        <x:f>'Assumptions'!$D$11+'Assumptions'!$D$12*(0.5-(G587+H587)/2)</x:f>
        <x:v>0.27777777777777773</x:v>
      </x:c>
      <x:c r="J587" s="27" t="n">
        <x:f>'Assumptions'!$D$8*EXP(-'Assumptions'!$D$9*('Fleet Engine'!E210-10))*'Assumptions'!E57*'Assumptions'!F36</x:f>
        <x:v>13509.222651276876</x:v>
      </x:c>
      <x:c r="K587" s="27" t="n">
        <x:f>'Source Data'!F221+LN('Assumptions'!D57)+LN('Assumptions'!F35)</x:f>
        <x:v>8.418486215784876</x:v>
      </x:c>
      <x:c r="L587" s="27" t="n">
        <x:f>J587*(1-I587*(1-'Carrier Engine'!E93))</x:f>
        <x:v>9906.763277603042</x:v>
      </x:c>
      <x:c r="M587" s="29" t="n">
        <x:f>NORM.S.DIST((LN(L587)-K587)/'Assumptions'!$D$10,TRUE)</x:f>
        <x:v>0.6908756170073835</x:v>
      </x:c>
      <x:c r="N587" s="30" t="n">
        <x:f>MAX(0,H587-MAX(G587,M587))</x:f>
        <x:v>0</x:v>
      </x:c>
      <x:c r="O587" s="28" t="n">
        <x:f>J587*I587</x:f>
        <x:v>3752.5618475769093</x:v>
      </x:c>
      <x:c r="P587" s="27" t="n">
        <x:f>(VLOOKUP(O587,'Fee Data'!$C$6:$G$50,2,TRUE)+O587*VLOOKUP(O587,'Fee Data'!$C$6:$G$50,3,TRUE)+VLOOKUP(O587,'Fee Data'!$I$6:$J$14,2,TRUE)+'Fee Data'!$J$20+'Fee Data'!$J$21)*'Assumptions'!F37</x:f>
        <x:v>915</x:v>
      </x:c>
      <x:c r="Q587" s="27" t="n">
        <x:f>(VLOOKUP(O587,'Fee Data'!$C$6:$G$50,4,TRUE)+O587*VLOOKUP(O587,'Fee Data'!$C$6:$G$50,5,TRUE)+VLOOKUP(O587,'Fee Data'!$I$6:$J$14,2,TRUE)+'Fee Data'!$J$20+'Fee Data'!$J$21)*'Assumptions'!F37</x:f>
        <x:v>765</x:v>
      </x:c>
      <x:c r="R587" s="27" t="n">
        <x:f>P587*(1-'Assumptions'!$D$14)+Q587*'Assumptions'!$D$14</x:f>
        <x:v>840</x:v>
      </x:c>
      <x:c r="S587" s="27" t="n">
        <x:f>O587*'Carrier Engine'!E93</x:f>
        <x:v>150.10247390307637</x:v>
      </x:c>
      <x:c r="T587" s="28" t="n">
        <x:f>R587+S587</x:f>
        <x:v>990.1024739030763</x:v>
      </x:c>
      <x:c r="U587" s="27" t="n">
        <x:f>N587*'Fleet Engine'!H210</x:f>
        <x:v>0</x:v>
      </x:c>
      <x:c r="V587" s="28" t="n">
        <x:f>U587*T587</x:f>
        <x:v>0</x:v>
      </x:c>
      <x:c r="W587" s="28" t="n">
        <x:f>U587*O587</x:f>
        <x:v>0</x:v>
      </x:c>
    </x:row>
    <x:row r="588" ht="19" customHeight="1">
      <x:c r="A588" s="2"/>
      <x:c r="B588" s="2"/>
      <x:c r="C588" s="46" t="n">
        <x:v>2</x:v>
      </x:c>
      <x:c r="D588" s="46" t="n">
        <x:v>16</x:v>
      </x:c>
      <x:c r="E588" s="46" t="n">
        <x:v>2</x:v>
      </x:c>
      <x:c r="F588" s="46" t="n">
        <x:v>4</x:v>
      </x:c>
      <x:c r="G588" s="12" t="n">
        <x:v>0.6666666666666666</x:v>
      </x:c>
      <x:c r="H588" s="12" t="n">
        <x:v>0.7777777777777778</x:v>
      </x:c>
      <x:c r="I588" s="29" t="n">
        <x:f>'Assumptions'!$D$11+'Assumptions'!$D$12*(0.5-(G588+H588)/2)</x:f>
        <x:v>0.25555555555555554</x:v>
      </x:c>
      <x:c r="J588" s="27" t="n">
        <x:f>'Assumptions'!$D$8*EXP(-'Assumptions'!$D$9*('Fleet Engine'!E210-10))*'Assumptions'!E57*'Assumptions'!F36</x:f>
        <x:v>13509.222651276876</x:v>
      </x:c>
      <x:c r="K588" s="27" t="n">
        <x:f>'Source Data'!F221+LN('Assumptions'!D57)+LN('Assumptions'!F35)</x:f>
        <x:v>8.418486215784876</x:v>
      </x:c>
      <x:c r="L588" s="27" t="n">
        <x:f>J588*(1-I588*(1-'Carrier Engine'!E93))</x:f>
        <x:v>10194.960027496949</x:v>
      </x:c>
      <x:c r="M588" s="29" t="n">
        <x:f>NORM.S.DIST((LN(L588)-K588)/'Assumptions'!$D$10,TRUE)</x:f>
        <x:v>0.697280992324818</x:v>
      </x:c>
      <x:c r="N588" s="30" t="n">
        <x:f>MAX(0,H588-MAX(G588,M588))</x:f>
        <x:v>0.0804967854529598</x:v>
      </x:c>
      <x:c r="O588" s="28" t="n">
        <x:f>J588*I588</x:f>
        <x:v>3452.356899770757</x:v>
      </x:c>
      <x:c r="P588" s="27" t="n">
        <x:f>(VLOOKUP(O588,'Fee Data'!$C$6:$G$50,2,TRUE)+O588*VLOOKUP(O588,'Fee Data'!$C$6:$G$50,3,TRUE)+VLOOKUP(O588,'Fee Data'!$I$6:$J$14,2,TRUE)+'Fee Data'!$J$20+'Fee Data'!$J$21)*'Assumptions'!F37</x:f>
        <x:v>865</x:v>
      </x:c>
      <x:c r="Q588" s="27" t="n">
        <x:f>(VLOOKUP(O588,'Fee Data'!$C$6:$G$50,4,TRUE)+O588*VLOOKUP(O588,'Fee Data'!$C$6:$G$50,5,TRUE)+VLOOKUP(O588,'Fee Data'!$I$6:$J$14,2,TRUE)+'Fee Data'!$J$20+'Fee Data'!$J$21)*'Assumptions'!F37</x:f>
        <x:v>715</x:v>
      </x:c>
      <x:c r="R588" s="27" t="n">
        <x:f>P588*(1-'Assumptions'!$D$14)+Q588*'Assumptions'!$D$14</x:f>
        <x:v>790</x:v>
      </x:c>
      <x:c r="S588" s="27" t="n">
        <x:f>O588*'Carrier Engine'!E93</x:f>
        <x:v>138.09427599083028</x:v>
      </x:c>
      <x:c r="T588" s="28" t="n">
        <x:f>R588+S588</x:f>
        <x:v>928.0942759908303</x:v>
      </x:c>
      <x:c r="U588" s="27" t="n">
        <x:f>N588*'Fleet Engine'!H210</x:f>
        <x:v>206.6007920962708</x:v>
      </x:c>
      <x:c r="V588" s="28" t="n">
        <x:f>U588*T588</x:f>
        <x:v>191745.0125597205</x:v>
      </x:c>
      <x:c r="W588" s="28" t="n">
        <x:f>U588*O588</x:f>
        <x:v>713259.6700916642</x:v>
      </x:c>
    </x:row>
    <x:row r="589" ht="19" customHeight="1">
      <x:c r="A589" s="2"/>
      <x:c r="B589" s="2"/>
      <x:c r="C589" s="46" t="n">
        <x:v>2</x:v>
      </x:c>
      <x:c r="D589" s="46" t="n">
        <x:v>16</x:v>
      </x:c>
      <x:c r="E589" s="46" t="n">
        <x:v>2</x:v>
      </x:c>
      <x:c r="F589" s="46" t="n">
        <x:v>4</x:v>
      </x:c>
      <x:c r="G589" s="12" t="n">
        <x:v>0.7777777777777778</x:v>
      </x:c>
      <x:c r="H589" s="12" t="n">
        <x:v>0.8888888888888888</x:v>
      </x:c>
      <x:c r="I589" s="29" t="n">
        <x:f>'Assumptions'!$D$11+'Assumptions'!$D$12*(0.5-(G589+H589)/2)</x:f>
        <x:v>0.23333333333333334</x:v>
      </x:c>
      <x:c r="J589" s="27" t="n">
        <x:f>'Assumptions'!$D$8*EXP(-'Assumptions'!$D$9*('Fleet Engine'!E210-10))*'Assumptions'!E57*'Assumptions'!F36</x:f>
        <x:v>13509.222651276876</x:v>
      </x:c>
      <x:c r="K589" s="27" t="n">
        <x:f>'Source Data'!F221+LN('Assumptions'!D57)+LN('Assumptions'!F35)</x:f>
        <x:v>8.418486215784876</x:v>
      </x:c>
      <x:c r="L589" s="27" t="n">
        <x:f>J589*(1-I589*(1-'Carrier Engine'!E93))</x:f>
        <x:v>10483.156777390855</x:v>
      </x:c>
      <x:c r="M589" s="29" t="n">
        <x:f>NORM.S.DIST((LN(L589)-K589)/'Assumptions'!$D$10,TRUE)</x:f>
        <x:v>0.7034501581393012</x:v>
      </x:c>
      <x:c r="N589" s="30" t="n">
        <x:f>MAX(0,H589-MAX(G589,M589))</x:f>
        <x:v>0.11111111111111105</x:v>
      </x:c>
      <x:c r="O589" s="28" t="n">
        <x:f>J589*I589</x:f>
        <x:v>3152.1519519646045</x:v>
      </x:c>
      <x:c r="P589" s="27" t="n">
        <x:f>(VLOOKUP(O589,'Fee Data'!$C$6:$G$50,2,TRUE)+O589*VLOOKUP(O589,'Fee Data'!$C$6:$G$50,3,TRUE)+VLOOKUP(O589,'Fee Data'!$I$6:$J$14,2,TRUE)+'Fee Data'!$J$20+'Fee Data'!$J$21)*'Assumptions'!F37</x:f>
        <x:v>865</x:v>
      </x:c>
      <x:c r="Q589" s="27" t="n">
        <x:f>(VLOOKUP(O589,'Fee Data'!$C$6:$G$50,4,TRUE)+O589*VLOOKUP(O589,'Fee Data'!$C$6:$G$50,5,TRUE)+VLOOKUP(O589,'Fee Data'!$I$6:$J$14,2,TRUE)+'Fee Data'!$J$20+'Fee Data'!$J$21)*'Assumptions'!F37</x:f>
        <x:v>715</x:v>
      </x:c>
      <x:c r="R589" s="27" t="n">
        <x:f>P589*(1-'Assumptions'!$D$14)+Q589*'Assumptions'!$D$14</x:f>
        <x:v>790</x:v>
      </x:c>
      <x:c r="S589" s="27" t="n">
        <x:f>O589*'Carrier Engine'!E93</x:f>
        <x:v>126.08607807858418</x:v>
      </x:c>
      <x:c r="T589" s="28" t="n">
        <x:f>R589+S589</x:f>
        <x:v>916.0860780785841</x:v>
      </x:c>
      <x:c r="U589" s="27" t="n">
        <x:f>N589*'Fleet Engine'!H210</x:f>
        <x:v>285.17466178406556</x:v>
      </x:c>
      <x:c r="V589" s="28" t="n">
        <x:f>U589*T589</x:f>
        <x:v>261244.53748115132</x:v>
      </x:c>
      <x:c r="W589" s="28" t="n">
        <x:f>U589*O589</x:f>
        <x:v>898913.8667934882</x:v>
      </x:c>
    </x:row>
    <x:row r="590" ht="19" customHeight="1">
      <x:c r="A590" s="2"/>
      <x:c r="B590" s="2"/>
      <x:c r="C590" s="46" t="n">
        <x:v>2</x:v>
      </x:c>
      <x:c r="D590" s="46" t="n">
        <x:v>16</x:v>
      </x:c>
      <x:c r="E590" s="46" t="n">
        <x:v>2</x:v>
      </x:c>
      <x:c r="F590" s="46" t="n">
        <x:v>4</x:v>
      </x:c>
      <x:c r="G590" s="12" t="n">
        <x:v>0.8888888888888888</x:v>
      </x:c>
      <x:c r="H590" s="12" t="n">
        <x:v>1</x:v>
      </x:c>
      <x:c r="I590" s="29" t="n">
        <x:f>'Assumptions'!$D$11+'Assumptions'!$D$12*(0.5-(G590+H590)/2)</x:f>
        <x:v>0.21111111111111108</x:v>
      </x:c>
      <x:c r="J590" s="27" t="n">
        <x:f>'Assumptions'!$D$8*EXP(-'Assumptions'!$D$9*('Fleet Engine'!E210-10))*'Assumptions'!E57*'Assumptions'!F36</x:f>
        <x:v>13509.222651276876</x:v>
      </x:c>
      <x:c r="K590" s="27" t="n">
        <x:f>'Source Data'!F221+LN('Assumptions'!D57)+LN('Assumptions'!F35)</x:f>
        <x:v>8.418486215784876</x:v>
      </x:c>
      <x:c r="L590" s="27" t="n">
        <x:f>J590*(1-I590*(1-'Carrier Engine'!E93))</x:f>
        <x:v>10771.353527284762</x:v>
      </x:c>
      <x:c r="M590" s="29" t="n">
        <x:f>NORM.S.DIST((LN(L590)-K590)/'Assumptions'!$D$10,TRUE)</x:f>
        <x:v>0.7093961183873236</x:v>
      </x:c>
      <x:c r="N590" s="30" t="n">
        <x:f>MAX(0,H590-MAX(G590,M590))</x:f>
        <x:v>0.11111111111111116</x:v>
      </x:c>
      <x:c r="O590" s="28" t="n">
        <x:f>J590*I590</x:f>
        <x:v>2851.9470041584514</x:v>
      </x:c>
      <x:c r="P590" s="27" t="n">
        <x:f>(VLOOKUP(O590,'Fee Data'!$C$6:$G$50,2,TRUE)+O590*VLOOKUP(O590,'Fee Data'!$C$6:$G$50,3,TRUE)+VLOOKUP(O590,'Fee Data'!$I$6:$J$14,2,TRUE)+'Fee Data'!$J$20+'Fee Data'!$J$21)*'Assumptions'!F37</x:f>
        <x:v>820</x:v>
      </x:c>
      <x:c r="Q590" s="27" t="n">
        <x:f>(VLOOKUP(O590,'Fee Data'!$C$6:$G$50,4,TRUE)+O590*VLOOKUP(O590,'Fee Data'!$C$6:$G$50,5,TRUE)+VLOOKUP(O590,'Fee Data'!$I$6:$J$14,2,TRUE)+'Fee Data'!$J$20+'Fee Data'!$J$21)*'Assumptions'!F37</x:f>
        <x:v>670</x:v>
      </x:c>
      <x:c r="R590" s="27" t="n">
        <x:f>P590*(1-'Assumptions'!$D$14)+Q590*'Assumptions'!$D$14</x:f>
        <x:v>745</x:v>
      </x:c>
      <x:c r="S590" s="27" t="n">
        <x:f>O590*'Carrier Engine'!E93</x:f>
        <x:v>114.07788016633806</x:v>
      </x:c>
      <x:c r="T590" s="28" t="n">
        <x:f>R590+S590</x:f>
        <x:v>859.0778801663381</x:v>
      </x:c>
      <x:c r="U590" s="27" t="n">
        <x:f>N590*'Fleet Engine'!H210</x:f>
        <x:v>285.17466178406585</x:v>
      </x:c>
      <x:c r="V590" s="28" t="n">
        <x:f>U590*T590</x:f>
        <x:v>244987.2439226077</x:v>
      </x:c>
      <x:c r="W590" s="28" t="n">
        <x:f>U590*O590</x:f>
        <x:v>813303.0223369662</x:v>
      </x:c>
    </x:row>
    <x:row r="591" ht="19" customHeight="1">
      <x:c r="A591" s="2"/>
      <x:c r="B591" s="2"/>
      <x:c r="C591" s="46" t="n">
        <x:v>2</x:v>
      </x:c>
      <x:c r="D591" s="46" t="n">
        <x:v>17</x:v>
      </x:c>
      <x:c r="E591" s="46" t="n">
        <x:v>2</x:v>
      </x:c>
      <x:c r="F591" s="46" t="n">
        <x:v>5</x:v>
      </x:c>
      <x:c r="G591" s="12" t="n">
        <x:v>0</x:v>
      </x:c>
      <x:c r="H591" s="12" t="n">
        <x:v>0.1111111111111111</x:v>
      </x:c>
      <x:c r="I591" s="29" t="n">
        <x:f>'Assumptions'!$D$11+'Assumptions'!$D$12*(0.5-(G591+H591)/2)</x:f>
        <x:v>0.3888888888888889</x:v>
      </x:c>
      <x:c r="J591" s="27" t="n">
        <x:f>'Assumptions'!$D$8*EXP(-'Assumptions'!$D$9*('Fleet Engine'!E211-10))*'Assumptions'!E57*'Assumptions'!F36</x:f>
        <x:v>7414.018585605744</x:v>
      </x:c>
      <x:c r="K591" s="27" t="n">
        <x:f>'Source Data'!F222+LN('Assumptions'!D57)+LN('Assumptions'!F35)</x:f>
        <x:v>8.319557366061195</x:v>
      </x:c>
      <x:c r="L591" s="27" t="n">
        <x:f>J591*(1-I591*(1-'Carrier Engine'!E93))</x:f>
        <x:v>4646.118313646267</x:v>
      </x:c>
      <x:c r="M591" s="29" t="n">
        <x:f>NORM.S.DIST((LN(L591)-K591)/'Assumptions'!$D$10,TRUE)</x:f>
        <x:v>0.5315302263315647</x:v>
      </x:c>
      <x:c r="N591" s="30" t="n">
        <x:f>MAX(0,H591-MAX(G591,M591))</x:f>
        <x:v>0</x:v>
      </x:c>
      <x:c r="O591" s="28" t="n">
        <x:f>J591*I591</x:f>
        <x:v>2883.2294499577893</x:v>
      </x:c>
      <x:c r="P591" s="27" t="n">
        <x:f>(VLOOKUP(O591,'Fee Data'!$C$6:$G$50,2,TRUE)+O591*VLOOKUP(O591,'Fee Data'!$C$6:$G$50,3,TRUE)+VLOOKUP(O591,'Fee Data'!$I$6:$J$14,2,TRUE)+'Fee Data'!$J$20+'Fee Data'!$J$21)*'Assumptions'!F37</x:f>
        <x:v>820</x:v>
      </x:c>
      <x:c r="Q591" s="27" t="n">
        <x:f>(VLOOKUP(O591,'Fee Data'!$C$6:$G$50,4,TRUE)+O591*VLOOKUP(O591,'Fee Data'!$C$6:$G$50,5,TRUE)+VLOOKUP(O591,'Fee Data'!$I$6:$J$14,2,TRUE)+'Fee Data'!$J$20+'Fee Data'!$J$21)*'Assumptions'!F37</x:f>
        <x:v>670</x:v>
      </x:c>
      <x:c r="R591" s="27" t="n">
        <x:f>P591*(1-'Assumptions'!$D$14)+Q591*'Assumptions'!$D$14</x:f>
        <x:v>745</x:v>
      </x:c>
      <x:c r="S591" s="27" t="n">
        <x:f>O591*'Carrier Engine'!E93</x:f>
        <x:v>115.32917799831158</x:v>
      </x:c>
      <x:c r="T591" s="28" t="n">
        <x:f>R591+S591</x:f>
        <x:v>860.3291779983116</x:v>
      </x:c>
      <x:c r="U591" s="27" t="n">
        <x:f>N591*'Fleet Engine'!H211</x:f>
        <x:v>0</x:v>
      </x:c>
      <x:c r="V591" s="28" t="n">
        <x:f>U591*T591</x:f>
        <x:v>0</x:v>
      </x:c>
      <x:c r="W591" s="28" t="n">
        <x:f>U591*O591</x:f>
        <x:v>0</x:v>
      </x:c>
    </x:row>
    <x:row r="592" ht="19" customHeight="1">
      <x:c r="A592" s="2"/>
      <x:c r="B592" s="2"/>
      <x:c r="C592" s="46" t="n">
        <x:v>2</x:v>
      </x:c>
      <x:c r="D592" s="46" t="n">
        <x:v>17</x:v>
      </x:c>
      <x:c r="E592" s="46" t="n">
        <x:v>2</x:v>
      </x:c>
      <x:c r="F592" s="46" t="n">
        <x:v>5</x:v>
      </x:c>
      <x:c r="G592" s="12" t="n">
        <x:v>0.1111111111111111</x:v>
      </x:c>
      <x:c r="H592" s="12" t="n">
        <x:v>0.2222222222222222</x:v>
      </x:c>
      <x:c r="I592" s="29" t="n">
        <x:f>'Assumptions'!$D$11+'Assumptions'!$D$12*(0.5-(G592+H592)/2)</x:f>
        <x:v>0.3666666666666667</x:v>
      </x:c>
      <x:c r="J592" s="27" t="n">
        <x:f>'Assumptions'!$D$8*EXP(-'Assumptions'!$D$9*('Fleet Engine'!E211-10))*'Assumptions'!E57*'Assumptions'!F36</x:f>
        <x:v>7414.018585605744</x:v>
      </x:c>
      <x:c r="K592" s="27" t="n">
        <x:f>'Source Data'!F222+LN('Assumptions'!D57)+LN('Assumptions'!F35)</x:f>
        <x:v>8.319557366061195</x:v>
      </x:c>
      <x:c r="L592" s="27" t="n">
        <x:f>J592*(1-I592*(1-'Carrier Engine'!E93))</x:f>
        <x:v>4804.284043472521</x:v>
      </x:c>
      <x:c r="M592" s="29" t="n">
        <x:f>NORM.S.DIST((LN(L592)-K592)/'Assumptions'!$D$10,TRUE)</x:f>
        <x:v>0.5400010911799831</x:v>
      </x:c>
      <x:c r="N592" s="30" t="n">
        <x:f>MAX(0,H592-MAX(G592,M592))</x:f>
        <x:v>0</x:v>
      </x:c>
      <x:c r="O592" s="28" t="n">
        <x:f>J592*I592</x:f>
        <x:v>2718.473481388773</x:v>
      </x:c>
      <x:c r="P592" s="27" t="n">
        <x:f>(VLOOKUP(O592,'Fee Data'!$C$6:$G$50,2,TRUE)+O592*VLOOKUP(O592,'Fee Data'!$C$6:$G$50,3,TRUE)+VLOOKUP(O592,'Fee Data'!$I$6:$J$14,2,TRUE)+'Fee Data'!$J$20+'Fee Data'!$J$21)*'Assumptions'!F37</x:f>
        <x:v>820</x:v>
      </x:c>
      <x:c r="Q592" s="27" t="n">
        <x:f>(VLOOKUP(O592,'Fee Data'!$C$6:$G$50,4,TRUE)+O592*VLOOKUP(O592,'Fee Data'!$C$6:$G$50,5,TRUE)+VLOOKUP(O592,'Fee Data'!$I$6:$J$14,2,TRUE)+'Fee Data'!$J$20+'Fee Data'!$J$21)*'Assumptions'!F37</x:f>
        <x:v>670</x:v>
      </x:c>
      <x:c r="R592" s="27" t="n">
        <x:f>P592*(1-'Assumptions'!$D$14)+Q592*'Assumptions'!$D$14</x:f>
        <x:v>745</x:v>
      </x:c>
      <x:c r="S592" s="27" t="n">
        <x:f>O592*'Carrier Engine'!E93</x:f>
        <x:v>108.73893925555092</x:v>
      </x:c>
      <x:c r="T592" s="28" t="n">
        <x:f>R592+S592</x:f>
        <x:v>853.7389392555509</x:v>
      </x:c>
      <x:c r="U592" s="27" t="n">
        <x:f>N592*'Fleet Engine'!H211</x:f>
        <x:v>0</x:v>
      </x:c>
      <x:c r="V592" s="28" t="n">
        <x:f>U592*T592</x:f>
        <x:v>0</x:v>
      </x:c>
      <x:c r="W592" s="28" t="n">
        <x:f>U592*O592</x:f>
        <x:v>0</x:v>
      </x:c>
    </x:row>
    <x:row r="593" ht="19" customHeight="1">
      <x:c r="A593" s="2"/>
      <x:c r="B593" s="2"/>
      <x:c r="C593" s="46" t="n">
        <x:v>2</x:v>
      </x:c>
      <x:c r="D593" s="46" t="n">
        <x:v>17</x:v>
      </x:c>
      <x:c r="E593" s="46" t="n">
        <x:v>2</x:v>
      </x:c>
      <x:c r="F593" s="46" t="n">
        <x:v>5</x:v>
      </x:c>
      <x:c r="G593" s="12" t="n">
        <x:v>0.2222222222222222</x:v>
      </x:c>
      <x:c r="H593" s="12" t="n">
        <x:v>0.3333333333333333</x:v>
      </x:c>
      <x:c r="I593" s="29" t="n">
        <x:f>'Assumptions'!$D$11+'Assumptions'!$D$12*(0.5-(G593+H593)/2)</x:f>
        <x:v>0.34444444444444444</x:v>
      </x:c>
      <x:c r="J593" s="27" t="n">
        <x:f>'Assumptions'!$D$8*EXP(-'Assumptions'!$D$9*('Fleet Engine'!E211-10))*'Assumptions'!E57*'Assumptions'!F36</x:f>
        <x:v>7414.018585605744</x:v>
      </x:c>
      <x:c r="K593" s="27" t="n">
        <x:f>'Source Data'!F222+LN('Assumptions'!D57)+LN('Assumptions'!F35)</x:f>
        <x:v>8.319557366061195</x:v>
      </x:c>
      <x:c r="L593" s="27" t="n">
        <x:f>J593*(1-I593*(1-'Carrier Engine'!E93))</x:f>
        <x:v>4962.449773298778</x:v>
      </x:c>
      <x:c r="M593" s="29" t="n">
        <x:f>NORM.S.DIST((LN(L593)-K593)/'Assumptions'!$D$10,TRUE)</x:f>
        <x:v>0.5481803390545841</x:v>
      </x:c>
      <x:c r="N593" s="30" t="n">
        <x:f>MAX(0,H593-MAX(G593,M593))</x:f>
        <x:v>0</x:v>
      </x:c>
      <x:c r="O593" s="28" t="n">
        <x:f>J593*I593</x:f>
        <x:v>2553.7175128197564</x:v>
      </x:c>
      <x:c r="P593" s="27" t="n">
        <x:f>(VLOOKUP(O593,'Fee Data'!$C$6:$G$50,2,TRUE)+O593*VLOOKUP(O593,'Fee Data'!$C$6:$G$50,3,TRUE)+VLOOKUP(O593,'Fee Data'!$I$6:$J$14,2,TRUE)+'Fee Data'!$J$20+'Fee Data'!$J$21)*'Assumptions'!F37</x:f>
        <x:v>820</x:v>
      </x:c>
      <x:c r="Q593" s="27" t="n">
        <x:f>(VLOOKUP(O593,'Fee Data'!$C$6:$G$50,4,TRUE)+O593*VLOOKUP(O593,'Fee Data'!$C$6:$G$50,5,TRUE)+VLOOKUP(O593,'Fee Data'!$I$6:$J$14,2,TRUE)+'Fee Data'!$J$20+'Fee Data'!$J$21)*'Assumptions'!F37</x:f>
        <x:v>670</x:v>
      </x:c>
      <x:c r="R593" s="27" t="n">
        <x:f>P593*(1-'Assumptions'!$D$14)+Q593*'Assumptions'!$D$14</x:f>
        <x:v>745</x:v>
      </x:c>
      <x:c r="S593" s="27" t="n">
        <x:f>O593*'Carrier Engine'!E93</x:f>
        <x:v>102.14870051279026</x:v>
      </x:c>
      <x:c r="T593" s="28" t="n">
        <x:f>R593+S593</x:f>
        <x:v>847.1487005127902</x:v>
      </x:c>
      <x:c r="U593" s="27" t="n">
        <x:f>N593*'Fleet Engine'!H211</x:f>
        <x:v>0</x:v>
      </x:c>
      <x:c r="V593" s="28" t="n">
        <x:f>U593*T593</x:f>
        <x:v>0</x:v>
      </x:c>
      <x:c r="W593" s="28" t="n">
        <x:f>U593*O593</x:f>
        <x:v>0</x:v>
      </x:c>
    </x:row>
    <x:row r="594" ht="19" customHeight="1">
      <x:c r="A594" s="2"/>
      <x:c r="B594" s="2"/>
      <x:c r="C594" s="46" t="n">
        <x:v>2</x:v>
      </x:c>
      <x:c r="D594" s="46" t="n">
        <x:v>17</x:v>
      </x:c>
      <x:c r="E594" s="46" t="n">
        <x:v>2</x:v>
      </x:c>
      <x:c r="F594" s="46" t="n">
        <x:v>5</x:v>
      </x:c>
      <x:c r="G594" s="12" t="n">
        <x:v>0.3333333333333333</x:v>
      </x:c>
      <x:c r="H594" s="12" t="n">
        <x:v>0.4444444444444444</x:v>
      </x:c>
      <x:c r="I594" s="29" t="n">
        <x:f>'Assumptions'!$D$11+'Assumptions'!$D$12*(0.5-(G594+H594)/2)</x:f>
        <x:v>0.32222222222222224</x:v>
      </x:c>
      <x:c r="J594" s="27" t="n">
        <x:f>'Assumptions'!$D$8*EXP(-'Assumptions'!$D$9*('Fleet Engine'!E211-10))*'Assumptions'!E57*'Assumptions'!F36</x:f>
        <x:v>7414.018585605744</x:v>
      </x:c>
      <x:c r="K594" s="27" t="n">
        <x:f>'Source Data'!F222+LN('Assumptions'!D57)+LN('Assumptions'!F35)</x:f>
        <x:v>8.319557366061195</x:v>
      </x:c>
      <x:c r="L594" s="27" t="n">
        <x:f>J594*(1-I594*(1-'Carrier Engine'!E93))</x:f>
        <x:v>5120.615503125034</x:v>
      </x:c>
      <x:c r="M594" s="29" t="n">
        <x:f>NORM.S.DIST((LN(L594)-K594)/'Assumptions'!$D$10,TRUE)</x:f>
        <x:v>0.5560835236213721</x:v>
      </x:c>
      <x:c r="N594" s="30" t="n">
        <x:f>MAX(0,H594-MAX(G594,M594))</x:f>
        <x:v>0</x:v>
      </x:c>
      <x:c r="O594" s="28" t="n">
        <x:f>J594*I594</x:f>
        <x:v>2388.9615442507397</x:v>
      </x:c>
      <x:c r="P594" s="27" t="n">
        <x:f>(VLOOKUP(O594,'Fee Data'!$C$6:$G$50,2,TRUE)+O594*VLOOKUP(O594,'Fee Data'!$C$6:$G$50,3,TRUE)+VLOOKUP(O594,'Fee Data'!$I$6:$J$14,2,TRUE)+'Fee Data'!$J$20+'Fee Data'!$J$21)*'Assumptions'!F37</x:f>
        <x:v>745</x:v>
      </x:c>
      <x:c r="Q594" s="27" t="n">
        <x:f>(VLOOKUP(O594,'Fee Data'!$C$6:$G$50,4,TRUE)+O594*VLOOKUP(O594,'Fee Data'!$C$6:$G$50,5,TRUE)+VLOOKUP(O594,'Fee Data'!$I$6:$J$14,2,TRUE)+'Fee Data'!$J$20+'Fee Data'!$J$21)*'Assumptions'!F37</x:f>
        <x:v>600</x:v>
      </x:c>
      <x:c r="R594" s="27" t="n">
        <x:f>P594*(1-'Assumptions'!$D$14)+Q594*'Assumptions'!$D$14</x:f>
        <x:v>672.5</x:v>
      </x:c>
      <x:c r="S594" s="27" t="n">
        <x:f>O594*'Carrier Engine'!E93</x:f>
        <x:v>95.5584617700296</x:v>
      </x:c>
      <x:c r="T594" s="28" t="n">
        <x:f>R594+S594</x:f>
        <x:v>768.0584617700296</x:v>
      </x:c>
      <x:c r="U594" s="27" t="n">
        <x:f>N594*'Fleet Engine'!H211</x:f>
        <x:v>0</x:v>
      </x:c>
      <x:c r="V594" s="28" t="n">
        <x:f>U594*T594</x:f>
        <x:v>0</x:v>
      </x:c>
      <x:c r="W594" s="28" t="n">
        <x:f>U594*O594</x:f>
        <x:v>0</x:v>
      </x:c>
    </x:row>
    <x:row r="595" ht="19" customHeight="1">
      <x:c r="A595" s="2"/>
      <x:c r="B595" s="2"/>
      <x:c r="C595" s="46" t="n">
        <x:v>2</x:v>
      </x:c>
      <x:c r="D595" s="46" t="n">
        <x:v>17</x:v>
      </x:c>
      <x:c r="E595" s="46" t="n">
        <x:v>2</x:v>
      </x:c>
      <x:c r="F595" s="46" t="n">
        <x:v>5</x:v>
      </x:c>
      <x:c r="G595" s="12" t="n">
        <x:v>0.4444444444444444</x:v>
      </x:c>
      <x:c r="H595" s="12" t="n">
        <x:v>0.5555555555555556</x:v>
      </x:c>
      <x:c r="I595" s="29" t="n">
        <x:f>'Assumptions'!$D$11+'Assumptions'!$D$12*(0.5-(G595+H595)/2)</x:f>
        <x:v>0.3</x:v>
      </x:c>
      <x:c r="J595" s="27" t="n">
        <x:f>'Assumptions'!$D$8*EXP(-'Assumptions'!$D$9*('Fleet Engine'!E211-10))*'Assumptions'!E57*'Assumptions'!F36</x:f>
        <x:v>7414.018585605744</x:v>
      </x:c>
      <x:c r="K595" s="27" t="n">
        <x:f>'Source Data'!F222+LN('Assumptions'!D57)+LN('Assumptions'!F35)</x:f>
        <x:v>8.319557366061195</x:v>
      </x:c>
      <x:c r="L595" s="27" t="n">
        <x:f>J595*(1-I595*(1-'Carrier Engine'!E93))</x:f>
        <x:v>5278.78123295129</x:v>
      </x:c>
      <x:c r="M595" s="29" t="n">
        <x:f>NORM.S.DIST((LN(L595)-K595)/'Assumptions'!$D$10,TRUE)</x:f>
        <x:v>0.5637250623121128</x:v>
      </x:c>
      <x:c r="N595" s="30" t="n">
        <x:f>MAX(0,H595-MAX(G595,M595))</x:f>
        <x:v>0</x:v>
      </x:c>
      <x:c r="O595" s="28" t="n">
        <x:f>J595*I595</x:f>
        <x:v>2224.205575681723</x:v>
      </x:c>
      <x:c r="P595" s="27" t="n">
        <x:f>(VLOOKUP(O595,'Fee Data'!$C$6:$G$50,2,TRUE)+O595*VLOOKUP(O595,'Fee Data'!$C$6:$G$50,3,TRUE)+VLOOKUP(O595,'Fee Data'!$I$6:$J$14,2,TRUE)+'Fee Data'!$J$20+'Fee Data'!$J$21)*'Assumptions'!F37</x:f>
        <x:v>745</x:v>
      </x:c>
      <x:c r="Q595" s="27" t="n">
        <x:f>(VLOOKUP(O595,'Fee Data'!$C$6:$G$50,4,TRUE)+O595*VLOOKUP(O595,'Fee Data'!$C$6:$G$50,5,TRUE)+VLOOKUP(O595,'Fee Data'!$I$6:$J$14,2,TRUE)+'Fee Data'!$J$20+'Fee Data'!$J$21)*'Assumptions'!F37</x:f>
        <x:v>600</x:v>
      </x:c>
      <x:c r="R595" s="27" t="n">
        <x:f>P595*(1-'Assumptions'!$D$14)+Q595*'Assumptions'!$D$14</x:f>
        <x:v>672.5</x:v>
      </x:c>
      <x:c r="S595" s="27" t="n">
        <x:f>O595*'Carrier Engine'!E93</x:f>
        <x:v>88.96822302726892</x:v>
      </x:c>
      <x:c r="T595" s="28" t="n">
        <x:f>R595+S595</x:f>
        <x:v>761.4682230272689</x:v>
      </x:c>
      <x:c r="U595" s="27" t="n">
        <x:f>N595*'Fleet Engine'!H211</x:f>
        <x:v>0</x:v>
      </x:c>
      <x:c r="V595" s="28" t="n">
        <x:f>U595*T595</x:f>
        <x:v>0</x:v>
      </x:c>
      <x:c r="W595" s="28" t="n">
        <x:f>U595*O595</x:f>
        <x:v>0</x:v>
      </x:c>
    </x:row>
    <x:row r="596" ht="19" customHeight="1">
      <x:c r="A596" s="2"/>
      <x:c r="B596" s="2"/>
      <x:c r="C596" s="46" t="n">
        <x:v>2</x:v>
      </x:c>
      <x:c r="D596" s="46" t="n">
        <x:v>17</x:v>
      </x:c>
      <x:c r="E596" s="46" t="n">
        <x:v>2</x:v>
      </x:c>
      <x:c r="F596" s="46" t="n">
        <x:v>5</x:v>
      </x:c>
      <x:c r="G596" s="12" t="n">
        <x:v>0.5555555555555556</x:v>
      </x:c>
      <x:c r="H596" s="12" t="n">
        <x:v>0.6666666666666666</x:v>
      </x:c>
      <x:c r="I596" s="29" t="n">
        <x:f>'Assumptions'!$D$11+'Assumptions'!$D$12*(0.5-(G596+H596)/2)</x:f>
        <x:v>0.27777777777777773</x:v>
      </x:c>
      <x:c r="J596" s="27" t="n">
        <x:f>'Assumptions'!$D$8*EXP(-'Assumptions'!$D$9*('Fleet Engine'!E211-10))*'Assumptions'!E57*'Assumptions'!F36</x:f>
        <x:v>7414.018585605744</x:v>
      </x:c>
      <x:c r="K596" s="27" t="n">
        <x:f>'Source Data'!F222+LN('Assumptions'!D57)+LN('Assumptions'!F35)</x:f>
        <x:v>8.319557366061195</x:v>
      </x:c>
      <x:c r="L596" s="27" t="n">
        <x:f>J596*(1-I596*(1-'Carrier Engine'!E93))</x:f>
        <x:v>5436.946962777546</x:v>
      </x:c>
      <x:c r="M596" s="29" t="n">
        <x:f>NORM.S.DIST((LN(L596)-K596)/'Assumptions'!$D$10,TRUE)</x:f>
        <x:v>0.5711183414959459</x:v>
      </x:c>
      <x:c r="N596" s="30" t="n">
        <x:f>MAX(0,H596-MAX(G596,M596))</x:f>
        <x:v>0.09554832517072076</x:v>
      </x:c>
      <x:c r="O596" s="28" t="n">
        <x:f>J596*I596</x:f>
        <x:v>2059.4496071127064</x:v>
      </x:c>
      <x:c r="P596" s="27" t="n">
        <x:f>(VLOOKUP(O596,'Fee Data'!$C$6:$G$50,2,TRUE)+O596*VLOOKUP(O596,'Fee Data'!$C$6:$G$50,3,TRUE)+VLOOKUP(O596,'Fee Data'!$I$6:$J$14,2,TRUE)+'Fee Data'!$J$20+'Fee Data'!$J$21)*'Assumptions'!F37</x:f>
        <x:v>745</x:v>
      </x:c>
      <x:c r="Q596" s="27" t="n">
        <x:f>(VLOOKUP(O596,'Fee Data'!$C$6:$G$50,4,TRUE)+O596*VLOOKUP(O596,'Fee Data'!$C$6:$G$50,5,TRUE)+VLOOKUP(O596,'Fee Data'!$I$6:$J$14,2,TRUE)+'Fee Data'!$J$20+'Fee Data'!$J$21)*'Assumptions'!F37</x:f>
        <x:v>600</x:v>
      </x:c>
      <x:c r="R596" s="27" t="n">
        <x:f>P596*(1-'Assumptions'!$D$14)+Q596*'Assumptions'!$D$14</x:f>
        <x:v>672.5</x:v>
      </x:c>
      <x:c r="S596" s="27" t="n">
        <x:f>O596*'Carrier Engine'!E93</x:f>
        <x:v>82.37798428450826</x:v>
      </x:c>
      <x:c r="T596" s="28" t="n">
        <x:f>R596+S596</x:f>
        <x:v>754.8779842845082</x:v>
      </x:c>
      <x:c r="U596" s="27" t="n">
        <x:f>N596*'Fleet Engine'!H211</x:f>
        <x:v>296.9915219443</x:v>
      </x:c>
      <x:c r="V596" s="28" t="n">
        <x:f>U596*T596</x:f>
        <x:v>224192.36143490148</x:v>
      </x:c>
      <x:c r="W596" s="28" t="n">
        <x:f>U596*O596</x:f>
        <x:v>611639.0731839933</x:v>
      </x:c>
    </x:row>
    <x:row r="597" ht="19" customHeight="1">
      <x:c r="A597" s="2"/>
      <x:c r="B597" s="2"/>
      <x:c r="C597" s="46" t="n">
        <x:v>2</x:v>
      </x:c>
      <x:c r="D597" s="46" t="n">
        <x:v>17</x:v>
      </x:c>
      <x:c r="E597" s="46" t="n">
        <x:v>2</x:v>
      </x:c>
      <x:c r="F597" s="46" t="n">
        <x:v>5</x:v>
      </x:c>
      <x:c r="G597" s="12" t="n">
        <x:v>0.6666666666666666</x:v>
      </x:c>
      <x:c r="H597" s="12" t="n">
        <x:v>0.7777777777777778</x:v>
      </x:c>
      <x:c r="I597" s="29" t="n">
        <x:f>'Assumptions'!$D$11+'Assumptions'!$D$12*(0.5-(G597+H597)/2)</x:f>
        <x:v>0.25555555555555554</x:v>
      </x:c>
      <x:c r="J597" s="27" t="n">
        <x:f>'Assumptions'!$D$8*EXP(-'Assumptions'!$D$9*('Fleet Engine'!E211-10))*'Assumptions'!E57*'Assumptions'!F36</x:f>
        <x:v>7414.018585605744</x:v>
      </x:c>
      <x:c r="K597" s="27" t="n">
        <x:f>'Source Data'!F222+LN('Assumptions'!D57)+LN('Assumptions'!F35)</x:f>
        <x:v>8.319557366061195</x:v>
      </x:c>
      <x:c r="L597" s="27" t="n">
        <x:f>J597*(1-I597*(1-'Carrier Engine'!E93))</x:f>
        <x:v>5595.112692603802</x:v>
      </x:c>
      <x:c r="M597" s="29" t="n">
        <x:f>NORM.S.DIST((LN(L597)-K597)/'Assumptions'!$D$10,TRUE)</x:f>
        <x:v>0.5782758099492802</x:v>
      </x:c>
      <x:c r="N597" s="30" t="n">
        <x:f>MAX(0,H597-MAX(G597,M597))</x:f>
        <x:v>0.11111111111111116</x:v>
      </x:c>
      <x:c r="O597" s="28" t="n">
        <x:f>J597*I597</x:f>
        <x:v>1894.69363854369</x:v>
      </x:c>
      <x:c r="P597" s="27" t="n">
        <x:f>(VLOOKUP(O597,'Fee Data'!$C$6:$G$50,2,TRUE)+O597*VLOOKUP(O597,'Fee Data'!$C$6:$G$50,3,TRUE)+VLOOKUP(O597,'Fee Data'!$I$6:$J$14,2,TRUE)+'Fee Data'!$J$20+'Fee Data'!$J$21)*'Assumptions'!F37</x:f>
        <x:v>705</x:v>
      </x:c>
      <x:c r="Q597" s="27" t="n">
        <x:f>(VLOOKUP(O597,'Fee Data'!$C$6:$G$50,4,TRUE)+O597*VLOOKUP(O597,'Fee Data'!$C$6:$G$50,5,TRUE)+VLOOKUP(O597,'Fee Data'!$I$6:$J$14,2,TRUE)+'Fee Data'!$J$20+'Fee Data'!$J$21)*'Assumptions'!F37</x:f>
        <x:v>565</x:v>
      </x:c>
      <x:c r="R597" s="27" t="n">
        <x:f>P597*(1-'Assumptions'!$D$14)+Q597*'Assumptions'!$D$14</x:f>
        <x:v>635</x:v>
      </x:c>
      <x:c r="S597" s="27" t="n">
        <x:f>O597*'Carrier Engine'!E93</x:f>
        <x:v>75.7877455417476</x:v>
      </x:c>
      <x:c r="T597" s="28" t="n">
        <x:f>R597+S597</x:f>
        <x:v>710.7877455417477</x:v>
      </x:c>
      <x:c r="U597" s="27" t="n">
        <x:f>N597*'Fleet Engine'!H211</x:f>
        <x:v>345.36511168406287</x:v>
      </x:c>
      <x:c r="V597" s="28" t="n">
        <x:f>U597*T597</x:f>
        <x:v>245481.28912268893</x:v>
      </x:c>
      <x:c r="W597" s="28" t="n">
        <x:f>U597*O597</x:f>
        <x:v>654361.0800827249</x:v>
      </x:c>
    </x:row>
    <x:row r="598" ht="19" customHeight="1">
      <x:c r="A598" s="2"/>
      <x:c r="B598" s="2"/>
      <x:c r="C598" s="46" t="n">
        <x:v>2</x:v>
      </x:c>
      <x:c r="D598" s="46" t="n">
        <x:v>17</x:v>
      </x:c>
      <x:c r="E598" s="46" t="n">
        <x:v>2</x:v>
      </x:c>
      <x:c r="F598" s="46" t="n">
        <x:v>5</x:v>
      </x:c>
      <x:c r="G598" s="12" t="n">
        <x:v>0.7777777777777778</x:v>
      </x:c>
      <x:c r="H598" s="12" t="n">
        <x:v>0.8888888888888888</x:v>
      </x:c>
      <x:c r="I598" s="29" t="n">
        <x:f>'Assumptions'!$D$11+'Assumptions'!$D$12*(0.5-(G598+H598)/2)</x:f>
        <x:v>0.23333333333333334</x:v>
      </x:c>
      <x:c r="J598" s="27" t="n">
        <x:f>'Assumptions'!$D$8*EXP(-'Assumptions'!$D$9*('Fleet Engine'!E211-10))*'Assumptions'!E57*'Assumptions'!F36</x:f>
        <x:v>7414.018585605744</x:v>
      </x:c>
      <x:c r="K598" s="27" t="n">
        <x:f>'Source Data'!F222+LN('Assumptions'!D57)+LN('Assumptions'!F35)</x:f>
        <x:v>8.319557366061195</x:v>
      </x:c>
      <x:c r="L598" s="27" t="n">
        <x:f>J598*(1-I598*(1-'Carrier Engine'!E93))</x:f>
        <x:v>5753.278422430058</x:v>
      </x:c>
      <x:c r="M598" s="29" t="n">
        <x:f>NORM.S.DIST((LN(L598)-K598)/'Assumptions'!$D$10,TRUE)</x:f>
        <x:v>0.5852090621304324</x:v>
      </x:c>
      <x:c r="N598" s="30" t="n">
        <x:f>MAX(0,H598-MAX(G598,M598))</x:f>
        <x:v>0.11111111111111105</x:v>
      </x:c>
      <x:c r="O598" s="28" t="n">
        <x:f>J598*I598</x:f>
        <x:v>1729.9376699746738</x:v>
      </x:c>
      <x:c r="P598" s="27" t="n">
        <x:f>(VLOOKUP(O598,'Fee Data'!$C$6:$G$50,2,TRUE)+O598*VLOOKUP(O598,'Fee Data'!$C$6:$G$50,3,TRUE)+VLOOKUP(O598,'Fee Data'!$I$6:$J$14,2,TRUE)+'Fee Data'!$J$20+'Fee Data'!$J$21)*'Assumptions'!F37</x:f>
        <x:v>680</x:v>
      </x:c>
      <x:c r="Q598" s="27" t="n">
        <x:f>(VLOOKUP(O598,'Fee Data'!$C$6:$G$50,4,TRUE)+O598*VLOOKUP(O598,'Fee Data'!$C$6:$G$50,5,TRUE)+VLOOKUP(O598,'Fee Data'!$I$6:$J$14,2,TRUE)+'Fee Data'!$J$20+'Fee Data'!$J$21)*'Assumptions'!F37</x:f>
        <x:v>545</x:v>
      </x:c>
      <x:c r="R598" s="27" t="n">
        <x:f>P598*(1-'Assumptions'!$D$14)+Q598*'Assumptions'!$D$14</x:f>
        <x:v>612.5</x:v>
      </x:c>
      <x:c r="S598" s="27" t="n">
        <x:f>O598*'Carrier Engine'!E93</x:f>
        <x:v>69.19750679898695</x:v>
      </x:c>
      <x:c r="T598" s="28" t="n">
        <x:f>R598+S598</x:f>
        <x:v>681.697506798987</x:v>
      </x:c>
      <x:c r="U598" s="27" t="n">
        <x:f>N598*'Fleet Engine'!H211</x:f>
        <x:v>345.3651116840625</x:v>
      </x:c>
      <x:c r="V598" s="28" t="n">
        <x:f>U598*T598</x:f>
        <x:v>235434.5355703791</x:v>
      </x:c>
      <x:c r="W598" s="28" t="n">
        <x:f>U598*O598</x:f>
        <x:v>597460.1165972701</x:v>
      </x:c>
    </x:row>
    <x:row r="599" ht="19" customHeight="1">
      <x:c r="A599" s="2"/>
      <x:c r="B599" s="2"/>
      <x:c r="C599" s="46" t="n">
        <x:v>2</x:v>
      </x:c>
      <x:c r="D599" s="46" t="n">
        <x:v>17</x:v>
      </x:c>
      <x:c r="E599" s="46" t="n">
        <x:v>2</x:v>
      </x:c>
      <x:c r="F599" s="46" t="n">
        <x:v>5</x:v>
      </x:c>
      <x:c r="G599" s="12" t="n">
        <x:v>0.8888888888888888</x:v>
      </x:c>
      <x:c r="H599" s="12" t="n">
        <x:v>1</x:v>
      </x:c>
      <x:c r="I599" s="29" t="n">
        <x:f>'Assumptions'!$D$11+'Assumptions'!$D$12*(0.5-(G599+H599)/2)</x:f>
        <x:v>0.21111111111111108</x:v>
      </x:c>
      <x:c r="J599" s="27" t="n">
        <x:f>'Assumptions'!$D$8*EXP(-'Assumptions'!$D$9*('Fleet Engine'!E211-10))*'Assumptions'!E57*'Assumptions'!F36</x:f>
        <x:v>7414.018585605744</x:v>
      </x:c>
      <x:c r="K599" s="27" t="n">
        <x:f>'Source Data'!F222+LN('Assumptions'!D57)+LN('Assumptions'!F35)</x:f>
        <x:v>8.319557366061195</x:v>
      </x:c>
      <x:c r="L599" s="27" t="n">
        <x:f>J599*(1-I599*(1-'Carrier Engine'!E93))</x:f>
        <x:v>5911.444152256314</x:v>
      </x:c>
      <x:c r="M599" s="29" t="n">
        <x:f>NORM.S.DIST((LN(L599)-K599)/'Assumptions'!$D$10,TRUE)</x:f>
        <x:v>0.591928912547617</x:v>
      </x:c>
      <x:c r="N599" s="30" t="n">
        <x:f>MAX(0,H599-MAX(G599,M599))</x:f>
        <x:v>0.11111111111111116</x:v>
      </x:c>
      <x:c r="O599" s="28" t="n">
        <x:f>J599*I599</x:f>
        <x:v>1565.181701405657</x:v>
      </x:c>
      <x:c r="P599" s="27" t="n">
        <x:f>(VLOOKUP(O599,'Fee Data'!$C$6:$G$50,2,TRUE)+O599*VLOOKUP(O599,'Fee Data'!$C$6:$G$50,3,TRUE)+VLOOKUP(O599,'Fee Data'!$I$6:$J$14,2,TRUE)+'Fee Data'!$J$20+'Fee Data'!$J$21)*'Assumptions'!F37</x:f>
        <x:v>640</x:v>
      </x:c>
      <x:c r="Q599" s="27" t="n">
        <x:f>(VLOOKUP(O599,'Fee Data'!$C$6:$G$50,4,TRUE)+O599*VLOOKUP(O599,'Fee Data'!$C$6:$G$50,5,TRUE)+VLOOKUP(O599,'Fee Data'!$I$6:$J$14,2,TRUE)+'Fee Data'!$J$20+'Fee Data'!$J$21)*'Assumptions'!F37</x:f>
        <x:v>510</x:v>
      </x:c>
      <x:c r="R599" s="27" t="n">
        <x:f>P599*(1-'Assumptions'!$D$14)+Q599*'Assumptions'!$D$14</x:f>
        <x:v>575</x:v>
      </x:c>
      <x:c r="S599" s="27" t="n">
        <x:f>O599*'Carrier Engine'!E93</x:f>
        <x:v>62.607268056226275</x:v>
      </x:c>
      <x:c r="T599" s="28" t="n">
        <x:f>R599+S599</x:f>
        <x:v>637.6072680562263</x:v>
      </x:c>
      <x:c r="U599" s="27" t="n">
        <x:f>N599*'Fleet Engine'!H211</x:f>
        <x:v>345.36511168406287</x:v>
      </x:c>
      <x:c r="V599" s="28" t="n">
        <x:f>U599*T599</x:f>
        <x:v>220207.3053428088</x:v>
      </x:c>
      <x:c r="W599" s="28" t="n">
        <x:f>U599*O599</x:f>
        <x:v>540559.1531118163</x:v>
      </x:c>
    </x:row>
    <x:row r="600" ht="19" customHeight="1">
      <x:c r="A600" s="2"/>
      <x:c r="B600" s="2"/>
      <x:c r="C600" s="46" t="n">
        <x:v>2</x:v>
      </x:c>
      <x:c r="D600" s="46" t="n">
        <x:v>18</x:v>
      </x:c>
      <x:c r="E600" s="46" t="n">
        <x:v>3</x:v>
      </x:c>
      <x:c r="F600" s="46" t="n">
        <x:v>0</x:v>
      </x:c>
      <x:c r="G600" s="12" t="n">
        <x:v>0</x:v>
      </x:c>
      <x:c r="H600" s="12" t="n">
        <x:v>0.1111111111111111</x:v>
      </x:c>
      <x:c r="I600" s="29" t="n">
        <x:f>'Assumptions'!$D$11+'Assumptions'!$D$12*(0.5-(G600+H600)/2)</x:f>
        <x:v>0.3888888888888889</x:v>
      </x:c>
      <x:c r="J600" s="27" t="n">
        <x:f>'Assumptions'!$D$8*EXP(-'Assumptions'!$D$9*('Fleet Engine'!E212-10))*'Assumptions'!E58*'Assumptions'!F36</x:f>
        <x:v>27182.818284590452</x:v>
      </x:c>
      <x:c r="K600" s="27" t="n">
        <x:f>'Source Data'!F217+LN('Assumptions'!D58)+LN('Assumptions'!F35)</x:f>
        <x:v>8.005343029779286</x:v>
      </x:c>
      <x:c r="L600" s="27" t="n">
        <x:f>J600*(1-I600*(1-'Carrier Engine'!E93))</x:f>
        <x:v>17034.566125010017</x:v>
      </x:c>
      <x:c r="M600" s="29" t="n">
        <x:f>NORM.S.DIST((LN(L600)-K600)/'Assumptions'!$D$10,TRUE)</x:f>
        <x:v>0.8657757644693824</x:v>
      </x:c>
      <x:c r="N600" s="30" t="n">
        <x:f>MAX(0,H600-MAX(G600,M600))</x:f>
        <x:v>0</x:v>
      </x:c>
      <x:c r="O600" s="28" t="n">
        <x:f>J600*I600</x:f>
        <x:v>10571.095999562955</x:v>
      </x:c>
      <x:c r="P600" s="27" t="n">
        <x:f>(VLOOKUP(O600,'Fee Data'!$C$6:$G$50,2,TRUE)+O600*VLOOKUP(O600,'Fee Data'!$C$6:$G$50,3,TRUE)+VLOOKUP(O600,'Fee Data'!$I$6:$J$14,2,TRUE)+'Fee Data'!$J$20+'Fee Data'!$J$21)*'Assumptions'!F37</x:f>
        <x:v>1250</x:v>
      </x:c>
      <x:c r="Q600" s="27" t="n">
        <x:f>(VLOOKUP(O600,'Fee Data'!$C$6:$G$50,4,TRUE)+O600*VLOOKUP(O600,'Fee Data'!$C$6:$G$50,5,TRUE)+VLOOKUP(O600,'Fee Data'!$I$6:$J$14,2,TRUE)+'Fee Data'!$J$20+'Fee Data'!$J$21)*'Assumptions'!F37</x:f>
        <x:v>1100</x:v>
      </x:c>
      <x:c r="R600" s="27" t="n">
        <x:f>P600*(1-'Assumptions'!$D$14)+Q600*'Assumptions'!$D$14</x:f>
        <x:v>1175</x:v>
      </x:c>
      <x:c r="S600" s="27" t="n">
        <x:f>O600*'Carrier Engine'!E93</x:f>
        <x:v>422.8438399825182</x:v>
      </x:c>
      <x:c r="T600" s="28" t="n">
        <x:f>R600+S600</x:f>
        <x:v>1597.8438399825181</x:v>
      </x:c>
      <x:c r="U600" s="27" t="n">
        <x:f>N600*'Fleet Engine'!H212</x:f>
        <x:v>0</x:v>
      </x:c>
      <x:c r="V600" s="28" t="n">
        <x:f>U600*T600</x:f>
        <x:v>0</x:v>
      </x:c>
      <x:c r="W600" s="28" t="n">
        <x:f>U600*O600</x:f>
        <x:v>0</x:v>
      </x:c>
    </x:row>
    <x:row r="601" ht="19" customHeight="1">
      <x:c r="A601" s="2"/>
      <x:c r="B601" s="2"/>
      <x:c r="C601" s="46" t="n">
        <x:v>2</x:v>
      </x:c>
      <x:c r="D601" s="46" t="n">
        <x:v>18</x:v>
      </x:c>
      <x:c r="E601" s="46" t="n">
        <x:v>3</x:v>
      </x:c>
      <x:c r="F601" s="46" t="n">
        <x:v>0</x:v>
      </x:c>
      <x:c r="G601" s="12" t="n">
        <x:v>0.1111111111111111</x:v>
      </x:c>
      <x:c r="H601" s="12" t="n">
        <x:v>0.2222222222222222</x:v>
      </x:c>
      <x:c r="I601" s="29" t="n">
        <x:f>'Assumptions'!$D$11+'Assumptions'!$D$12*(0.5-(G601+H601)/2)</x:f>
        <x:v>0.3666666666666667</x:v>
      </x:c>
      <x:c r="J601" s="27" t="n">
        <x:f>'Assumptions'!$D$8*EXP(-'Assumptions'!$D$9*('Fleet Engine'!E212-10))*'Assumptions'!E58*'Assumptions'!F36</x:f>
        <x:v>27182.818284590452</x:v>
      </x:c>
      <x:c r="K601" s="27" t="n">
        <x:f>'Source Data'!F217+LN('Assumptions'!D58)+LN('Assumptions'!F35)</x:f>
        <x:v>8.005343029779286</x:v>
      </x:c>
      <x:c r="L601" s="27" t="n">
        <x:f>J601*(1-I601*(1-'Carrier Engine'!E93))</x:f>
        <x:v>17614.46624841461</x:v>
      </x:c>
      <x:c r="M601" s="29" t="n">
        <x:f>NORM.S.DIST((LN(L601)-K601)/'Assumptions'!$D$10,TRUE)</x:f>
        <x:v>0.8703320319855985</x:v>
      </x:c>
      <x:c r="N601" s="30" t="n">
        <x:f>MAX(0,H601-MAX(G601,M601))</x:f>
        <x:v>0</x:v>
      </x:c>
      <x:c r="O601" s="28" t="n">
        <x:f>J601*I601</x:f>
        <x:v>9967.0333710165</x:v>
      </x:c>
      <x:c r="P601" s="27" t="n">
        <x:f>(VLOOKUP(O601,'Fee Data'!$C$6:$G$50,2,TRUE)+O601*VLOOKUP(O601,'Fee Data'!$C$6:$G$50,3,TRUE)+VLOOKUP(O601,'Fee Data'!$I$6:$J$14,2,TRUE)+'Fee Data'!$J$20+'Fee Data'!$J$21)*'Assumptions'!F37</x:f>
        <x:v>1195</x:v>
      </x:c>
      <x:c r="Q601" s="27" t="n">
        <x:f>(VLOOKUP(O601,'Fee Data'!$C$6:$G$50,4,TRUE)+O601*VLOOKUP(O601,'Fee Data'!$C$6:$G$50,5,TRUE)+VLOOKUP(O601,'Fee Data'!$I$6:$J$14,2,TRUE)+'Fee Data'!$J$20+'Fee Data'!$J$21)*'Assumptions'!F37</x:f>
        <x:v>1070</x:v>
      </x:c>
      <x:c r="R601" s="27" t="n">
        <x:f>P601*(1-'Assumptions'!$D$14)+Q601*'Assumptions'!$D$14</x:f>
        <x:v>1132.5</x:v>
      </x:c>
      <x:c r="S601" s="27" t="n">
        <x:f>O601*'Carrier Engine'!E93</x:f>
        <x:v>398.68133484066</x:v>
      </x:c>
      <x:c r="T601" s="28" t="n">
        <x:f>R601+S601</x:f>
        <x:v>1531.18133484066</x:v>
      </x:c>
      <x:c r="U601" s="27" t="n">
        <x:f>N601*'Fleet Engine'!H212</x:f>
        <x:v>0</x:v>
      </x:c>
      <x:c r="V601" s="28" t="n">
        <x:f>U601*T601</x:f>
        <x:v>0</x:v>
      </x:c>
      <x:c r="W601" s="28" t="n">
        <x:f>U601*O601</x:f>
        <x:v>0</x:v>
      </x:c>
    </x:row>
    <x:row r="602" ht="19" customHeight="1">
      <x:c r="A602" s="2"/>
      <x:c r="B602" s="2"/>
      <x:c r="C602" s="46" t="n">
        <x:v>2</x:v>
      </x:c>
      <x:c r="D602" s="46" t="n">
        <x:v>18</x:v>
      </x:c>
      <x:c r="E602" s="46" t="n">
        <x:v>3</x:v>
      </x:c>
      <x:c r="F602" s="46" t="n">
        <x:v>0</x:v>
      </x:c>
      <x:c r="G602" s="12" t="n">
        <x:v>0.2222222222222222</x:v>
      </x:c>
      <x:c r="H602" s="12" t="n">
        <x:v>0.3333333333333333</x:v>
      </x:c>
      <x:c r="I602" s="29" t="n">
        <x:f>'Assumptions'!$D$11+'Assumptions'!$D$12*(0.5-(G602+H602)/2)</x:f>
        <x:v>0.34444444444444444</x:v>
      </x:c>
      <x:c r="J602" s="27" t="n">
        <x:f>'Assumptions'!$D$8*EXP(-'Assumptions'!$D$9*('Fleet Engine'!E212-10))*'Assumptions'!E58*'Assumptions'!F36</x:f>
        <x:v>27182.818284590452</x:v>
      </x:c>
      <x:c r="K602" s="27" t="n">
        <x:f>'Source Data'!F217+LN('Assumptions'!D58)+LN('Assumptions'!F35)</x:f>
        <x:v>8.005343029779286</x:v>
      </x:c>
      <x:c r="L602" s="27" t="n">
        <x:f>J602*(1-I602*(1-'Carrier Engine'!E93))</x:f>
        <x:v>18194.36637181921</x:v>
      </x:c>
      <x:c r="M602" s="29" t="n">
        <x:f>NORM.S.DIST((LN(L602)-K602)/'Assumptions'!$D$10,TRUE)</x:f>
        <x:v>0.874637643415871</x:v>
      </x:c>
      <x:c r="N602" s="30" t="n">
        <x:f>MAX(0,H602-MAX(G602,M602))</x:f>
        <x:v>0</x:v>
      </x:c>
      <x:c r="O602" s="28" t="n">
        <x:f>J602*I602</x:f>
        <x:v>9362.970742470045</x:v>
      </x:c>
      <x:c r="P602" s="27" t="n">
        <x:f>(VLOOKUP(O602,'Fee Data'!$C$6:$G$50,2,TRUE)+O602*VLOOKUP(O602,'Fee Data'!$C$6:$G$50,3,TRUE)+VLOOKUP(O602,'Fee Data'!$I$6:$J$14,2,TRUE)+'Fee Data'!$J$20+'Fee Data'!$J$21)*'Assumptions'!F37</x:f>
        <x:v>1195</x:v>
      </x:c>
      <x:c r="Q602" s="27" t="n">
        <x:f>(VLOOKUP(O602,'Fee Data'!$C$6:$G$50,4,TRUE)+O602*VLOOKUP(O602,'Fee Data'!$C$6:$G$50,5,TRUE)+VLOOKUP(O602,'Fee Data'!$I$6:$J$14,2,TRUE)+'Fee Data'!$J$20+'Fee Data'!$J$21)*'Assumptions'!F37</x:f>
        <x:v>1070</x:v>
      </x:c>
      <x:c r="R602" s="27" t="n">
        <x:f>P602*(1-'Assumptions'!$D$14)+Q602*'Assumptions'!$D$14</x:f>
        <x:v>1132.5</x:v>
      </x:c>
      <x:c r="S602" s="27" t="n">
        <x:f>O602*'Carrier Engine'!E93</x:f>
        <x:v>374.51882969880177</x:v>
      </x:c>
      <x:c r="T602" s="28" t="n">
        <x:f>R602+S602</x:f>
        <x:v>1507.0188296988017</x:v>
      </x:c>
      <x:c r="U602" s="27" t="n">
        <x:f>N602*'Fleet Engine'!H212</x:f>
        <x:v>0</x:v>
      </x:c>
      <x:c r="V602" s="28" t="n">
        <x:f>U602*T602</x:f>
        <x:v>0</x:v>
      </x:c>
      <x:c r="W602" s="28" t="n">
        <x:f>U602*O602</x:f>
        <x:v>0</x:v>
      </x:c>
    </x:row>
    <x:row r="603" ht="19" customHeight="1">
      <x:c r="A603" s="2"/>
      <x:c r="B603" s="2"/>
      <x:c r="C603" s="46" t="n">
        <x:v>2</x:v>
      </x:c>
      <x:c r="D603" s="46" t="n">
        <x:v>18</x:v>
      </x:c>
      <x:c r="E603" s="46" t="n">
        <x:v>3</x:v>
      </x:c>
      <x:c r="F603" s="46" t="n">
        <x:v>0</x:v>
      </x:c>
      <x:c r="G603" s="12" t="n">
        <x:v>0.3333333333333333</x:v>
      </x:c>
      <x:c r="H603" s="12" t="n">
        <x:v>0.4444444444444444</x:v>
      </x:c>
      <x:c r="I603" s="29" t="n">
        <x:f>'Assumptions'!$D$11+'Assumptions'!$D$12*(0.5-(G603+H603)/2)</x:f>
        <x:v>0.32222222222222224</x:v>
      </x:c>
      <x:c r="J603" s="27" t="n">
        <x:f>'Assumptions'!$D$8*EXP(-'Assumptions'!$D$9*('Fleet Engine'!E212-10))*'Assumptions'!E58*'Assumptions'!F36</x:f>
        <x:v>27182.818284590452</x:v>
      </x:c>
      <x:c r="K603" s="27" t="n">
        <x:f>'Source Data'!F217+LN('Assumptions'!D58)+LN('Assumptions'!F35)</x:f>
        <x:v>8.005343029779286</x:v>
      </x:c>
      <x:c r="L603" s="27" t="n">
        <x:f>J603*(1-I603*(1-'Carrier Engine'!E93))</x:f>
        <x:v>18774.266495223805</x:v>
      </x:c>
      <x:c r="M603" s="29" t="n">
        <x:f>NORM.S.DIST((LN(L603)-K603)/'Assumptions'!$D$10,TRUE)</x:f>
        <x:v>0.8787120289402852</x:v>
      </x:c>
      <x:c r="N603" s="30" t="n">
        <x:f>MAX(0,H603-MAX(G603,M603))</x:f>
        <x:v>0</x:v>
      </x:c>
      <x:c r="O603" s="28" t="n">
        <x:f>J603*I603</x:f>
        <x:v>8758.908113923591</x:v>
      </x:c>
      <x:c r="P603" s="27" t="n">
        <x:f>(VLOOKUP(O603,'Fee Data'!$C$6:$G$50,2,TRUE)+O603*VLOOKUP(O603,'Fee Data'!$C$6:$G$50,3,TRUE)+VLOOKUP(O603,'Fee Data'!$I$6:$J$14,2,TRUE)+'Fee Data'!$J$20+'Fee Data'!$J$21)*'Assumptions'!F37</x:f>
        <x:v>1195</x:v>
      </x:c>
      <x:c r="Q603" s="27" t="n">
        <x:f>(VLOOKUP(O603,'Fee Data'!$C$6:$G$50,4,TRUE)+O603*VLOOKUP(O603,'Fee Data'!$C$6:$G$50,5,TRUE)+VLOOKUP(O603,'Fee Data'!$I$6:$J$14,2,TRUE)+'Fee Data'!$J$20+'Fee Data'!$J$21)*'Assumptions'!F37</x:f>
        <x:v>1070</x:v>
      </x:c>
      <x:c r="R603" s="27" t="n">
        <x:f>P603*(1-'Assumptions'!$D$14)+Q603*'Assumptions'!$D$14</x:f>
        <x:v>1132.5</x:v>
      </x:c>
      <x:c r="S603" s="27" t="n">
        <x:f>O603*'Carrier Engine'!E93</x:f>
        <x:v>350.35632455694366</x:v>
      </x:c>
      <x:c r="T603" s="28" t="n">
        <x:f>R603+S603</x:f>
        <x:v>1482.8563245569437</x:v>
      </x:c>
      <x:c r="U603" s="27" t="n">
        <x:f>N603*'Fleet Engine'!H212</x:f>
        <x:v>0</x:v>
      </x:c>
      <x:c r="V603" s="28" t="n">
        <x:f>U603*T603</x:f>
        <x:v>0</x:v>
      </x:c>
      <x:c r="W603" s="28" t="n">
        <x:f>U603*O603</x:f>
        <x:v>0</x:v>
      </x:c>
    </x:row>
    <x:row r="604" ht="19" customHeight="1">
      <x:c r="A604" s="2"/>
      <x:c r="B604" s="2"/>
      <x:c r="C604" s="46" t="n">
        <x:v>2</x:v>
      </x:c>
      <x:c r="D604" s="46" t="n">
        <x:v>18</x:v>
      </x:c>
      <x:c r="E604" s="46" t="n">
        <x:v>3</x:v>
      </x:c>
      <x:c r="F604" s="46" t="n">
        <x:v>0</x:v>
      </x:c>
      <x:c r="G604" s="12" t="n">
        <x:v>0.4444444444444444</x:v>
      </x:c>
      <x:c r="H604" s="12" t="n">
        <x:v>0.5555555555555556</x:v>
      </x:c>
      <x:c r="I604" s="29" t="n">
        <x:f>'Assumptions'!$D$11+'Assumptions'!$D$12*(0.5-(G604+H604)/2)</x:f>
        <x:v>0.3</x:v>
      </x:c>
      <x:c r="J604" s="27" t="n">
        <x:f>'Assumptions'!$D$8*EXP(-'Assumptions'!$D$9*('Fleet Engine'!E212-10))*'Assumptions'!E58*'Assumptions'!F36</x:f>
        <x:v>27182.818284590452</x:v>
      </x:c>
      <x:c r="K604" s="27" t="n">
        <x:f>'Source Data'!F217+LN('Assumptions'!D58)+LN('Assumptions'!F35)</x:f>
        <x:v>8.005343029779286</x:v>
      </x:c>
      <x:c r="L604" s="27" t="n">
        <x:f>J604*(1-I604*(1-'Carrier Engine'!E93))</x:f>
        <x:v>19354.166618628402</x:v>
      </x:c>
      <x:c r="M604" s="29" t="n">
        <x:f>NORM.S.DIST((LN(L604)-K604)/'Assumptions'!$D$10,TRUE)</x:f>
        <x:v>0.882572669925294</x:v>
      </x:c>
      <x:c r="N604" s="30" t="n">
        <x:f>MAX(0,H604-MAX(G604,M604))</x:f>
        <x:v>0</x:v>
      </x:c>
      <x:c r="O604" s="28" t="n">
        <x:f>J604*I604</x:f>
        <x:v>8154.845485377135</x:v>
      </x:c>
      <x:c r="P604" s="27" t="n">
        <x:f>(VLOOKUP(O604,'Fee Data'!$C$6:$G$50,2,TRUE)+O604*VLOOKUP(O604,'Fee Data'!$C$6:$G$50,3,TRUE)+VLOOKUP(O604,'Fee Data'!$I$6:$J$14,2,TRUE)+'Fee Data'!$J$20+'Fee Data'!$J$21)*'Assumptions'!F37</x:f>
        <x:v>1175</x:v>
      </x:c>
      <x:c r="Q604" s="27" t="n">
        <x:f>(VLOOKUP(O604,'Fee Data'!$C$6:$G$50,4,TRUE)+O604*VLOOKUP(O604,'Fee Data'!$C$6:$G$50,5,TRUE)+VLOOKUP(O604,'Fee Data'!$I$6:$J$14,2,TRUE)+'Fee Data'!$J$20+'Fee Data'!$J$21)*'Assumptions'!F37</x:f>
        <x:v>1050</x:v>
      </x:c>
      <x:c r="R604" s="27" t="n">
        <x:f>P604*(1-'Assumptions'!$D$14)+Q604*'Assumptions'!$D$14</x:f>
        <x:v>1112.5</x:v>
      </x:c>
      <x:c r="S604" s="27" t="n">
        <x:f>O604*'Carrier Engine'!E93</x:f>
        <x:v>326.19381941508544</x:v>
      </x:c>
      <x:c r="T604" s="28" t="n">
        <x:f>R604+S604</x:f>
        <x:v>1438.6938194150855</x:v>
      </x:c>
      <x:c r="U604" s="27" t="n">
        <x:f>N604*'Fleet Engine'!H212</x:f>
        <x:v>0</x:v>
      </x:c>
      <x:c r="V604" s="28" t="n">
        <x:f>U604*T604</x:f>
        <x:v>0</x:v>
      </x:c>
      <x:c r="W604" s="28" t="n">
        <x:f>U604*O604</x:f>
        <x:v>0</x:v>
      </x:c>
    </x:row>
    <x:row r="605" ht="19" customHeight="1">
      <x:c r="A605" s="2"/>
      <x:c r="B605" s="2"/>
      <x:c r="C605" s="46" t="n">
        <x:v>2</x:v>
      </x:c>
      <x:c r="D605" s="46" t="n">
        <x:v>18</x:v>
      </x:c>
      <x:c r="E605" s="46" t="n">
        <x:v>3</x:v>
      </x:c>
      <x:c r="F605" s="46" t="n">
        <x:v>0</x:v>
      </x:c>
      <x:c r="G605" s="12" t="n">
        <x:v>0.5555555555555556</x:v>
      </x:c>
      <x:c r="H605" s="12" t="n">
        <x:v>0.6666666666666666</x:v>
      </x:c>
      <x:c r="I605" s="29" t="n">
        <x:f>'Assumptions'!$D$11+'Assumptions'!$D$12*(0.5-(G605+H605)/2)</x:f>
        <x:v>0.27777777777777773</x:v>
      </x:c>
      <x:c r="J605" s="27" t="n">
        <x:f>'Assumptions'!$D$8*EXP(-'Assumptions'!$D$9*('Fleet Engine'!E212-10))*'Assumptions'!E58*'Assumptions'!F36</x:f>
        <x:v>27182.818284590452</x:v>
      </x:c>
      <x:c r="K605" s="27" t="n">
        <x:f>'Source Data'!F217+LN('Assumptions'!D58)+LN('Assumptions'!F35)</x:f>
        <x:v>8.005343029779286</x:v>
      </x:c>
      <x:c r="L605" s="27" t="n">
        <x:f>J605*(1-I605*(1-'Carrier Engine'!E93))</x:f>
        <x:v>19934.066742033</x:v>
      </x:c>
      <x:c r="M605" s="29" t="n">
        <x:f>NORM.S.DIST((LN(L605)-K605)/'Assumptions'!$D$10,TRUE)</x:f>
        <x:v>0.8862353381924654</x:v>
      </x:c>
      <x:c r="N605" s="30" t="n">
        <x:f>MAX(0,H605-MAX(G605,M605))</x:f>
        <x:v>0</x:v>
      </x:c>
      <x:c r="O605" s="28" t="n">
        <x:f>J605*I605</x:f>
        <x:v>7550.7828568306795</x:v>
      </x:c>
      <x:c r="P605" s="27" t="n">
        <x:f>(VLOOKUP(O605,'Fee Data'!$C$6:$G$50,2,TRUE)+O605*VLOOKUP(O605,'Fee Data'!$C$6:$G$50,3,TRUE)+VLOOKUP(O605,'Fee Data'!$I$6:$J$14,2,TRUE)+'Fee Data'!$J$20+'Fee Data'!$J$21)*'Assumptions'!F37</x:f>
        <x:v>1135</x:v>
      </x:c>
      <x:c r="Q605" s="27" t="n">
        <x:f>(VLOOKUP(O605,'Fee Data'!$C$6:$G$50,4,TRUE)+O605*VLOOKUP(O605,'Fee Data'!$C$6:$G$50,5,TRUE)+VLOOKUP(O605,'Fee Data'!$I$6:$J$14,2,TRUE)+'Fee Data'!$J$20+'Fee Data'!$J$21)*'Assumptions'!F37</x:f>
        <x:v>1010</x:v>
      </x:c>
      <x:c r="R605" s="27" t="n">
        <x:f>P605*(1-'Assumptions'!$D$14)+Q605*'Assumptions'!$D$14</x:f>
        <x:v>1072.5</x:v>
      </x:c>
      <x:c r="S605" s="27" t="n">
        <x:f>O605*'Carrier Engine'!E93</x:f>
        <x:v>302.03131427322717</x:v>
      </x:c>
      <x:c r="T605" s="28" t="n">
        <x:f>R605+S605</x:f>
        <x:v>1374.531314273227</x:v>
      </x:c>
      <x:c r="U605" s="27" t="n">
        <x:f>N605*'Fleet Engine'!H212</x:f>
        <x:v>0</x:v>
      </x:c>
      <x:c r="V605" s="28" t="n">
        <x:f>U605*T605</x:f>
        <x:v>0</x:v>
      </x:c>
      <x:c r="W605" s="28" t="n">
        <x:f>U605*O605</x:f>
        <x:v>0</x:v>
      </x:c>
    </x:row>
    <x:row r="606" ht="19" customHeight="1">
      <x:c r="A606" s="2"/>
      <x:c r="B606" s="2"/>
      <x:c r="C606" s="46" t="n">
        <x:v>2</x:v>
      </x:c>
      <x:c r="D606" s="46" t="n">
        <x:v>18</x:v>
      </x:c>
      <x:c r="E606" s="46" t="n">
        <x:v>3</x:v>
      </x:c>
      <x:c r="F606" s="46" t="n">
        <x:v>0</x:v>
      </x:c>
      <x:c r="G606" s="12" t="n">
        <x:v>0.6666666666666666</x:v>
      </x:c>
      <x:c r="H606" s="12" t="n">
        <x:v>0.7777777777777778</x:v>
      </x:c>
      <x:c r="I606" s="29" t="n">
        <x:f>'Assumptions'!$D$11+'Assumptions'!$D$12*(0.5-(G606+H606)/2)</x:f>
        <x:v>0.25555555555555554</x:v>
      </x:c>
      <x:c r="J606" s="27" t="n">
        <x:f>'Assumptions'!$D$8*EXP(-'Assumptions'!$D$9*('Fleet Engine'!E212-10))*'Assumptions'!E58*'Assumptions'!F36</x:f>
        <x:v>27182.818284590452</x:v>
      </x:c>
      <x:c r="K606" s="27" t="n">
        <x:f>'Source Data'!F217+LN('Assumptions'!D58)+LN('Assumptions'!F35)</x:f>
        <x:v>8.005343029779286</x:v>
      </x:c>
      <x:c r="L606" s="27" t="n">
        <x:f>J606*(1-I606*(1-'Carrier Engine'!E93))</x:f>
        <x:v>20513.966865437596</x:v>
      </x:c>
      <x:c r="M606" s="29" t="n">
        <x:f>NORM.S.DIST((LN(L606)-K606)/'Assumptions'!$D$10,TRUE)</x:f>
        <x:v>0.8897143006733278</x:v>
      </x:c>
      <x:c r="N606" s="30" t="n">
        <x:f>MAX(0,H606-MAX(G606,M606))</x:f>
        <x:v>0</x:v>
      </x:c>
      <x:c r="O606" s="28" t="n">
        <x:f>J606*I606</x:f>
        <x:v>6946.720228284226</x:v>
      </x:c>
      <x:c r="P606" s="27" t="n">
        <x:f>(VLOOKUP(O606,'Fee Data'!$C$6:$G$50,2,TRUE)+O606*VLOOKUP(O606,'Fee Data'!$C$6:$G$50,3,TRUE)+VLOOKUP(O606,'Fee Data'!$I$6:$J$14,2,TRUE)+'Fee Data'!$J$20+'Fee Data'!$J$21)*'Assumptions'!F37</x:f>
        <x:v>1080</x:v>
      </x:c>
      <x:c r="Q606" s="27" t="n">
        <x:f>(VLOOKUP(O606,'Fee Data'!$C$6:$G$50,4,TRUE)+O606*VLOOKUP(O606,'Fee Data'!$C$6:$G$50,5,TRUE)+VLOOKUP(O606,'Fee Data'!$I$6:$J$14,2,TRUE)+'Fee Data'!$J$20+'Fee Data'!$J$21)*'Assumptions'!F37</x:f>
        <x:v>955</x:v>
      </x:c>
      <x:c r="R606" s="27" t="n">
        <x:f>P606*(1-'Assumptions'!$D$14)+Q606*'Assumptions'!$D$14</x:f>
        <x:v>1017.5</x:v>
      </x:c>
      <x:c r="S606" s="27" t="n">
        <x:f>O606*'Carrier Engine'!E93</x:f>
        <x:v>277.86880913136906</x:v>
      </x:c>
      <x:c r="T606" s="28" t="n">
        <x:f>R606+S606</x:f>
        <x:v>1295.368809131369</x:v>
      </x:c>
      <x:c r="U606" s="27" t="n">
        <x:f>N606*'Fleet Engine'!H212</x:f>
        <x:v>0</x:v>
      </x:c>
      <x:c r="V606" s="28" t="n">
        <x:f>U606*T606</x:f>
        <x:v>0</x:v>
      </x:c>
      <x:c r="W606" s="28" t="n">
        <x:f>U606*O606</x:f>
        <x:v>0</x:v>
      </x:c>
    </x:row>
    <x:row r="607" ht="19" customHeight="1">
      <x:c r="A607" s="2"/>
      <x:c r="B607" s="2"/>
      <x:c r="C607" s="46" t="n">
        <x:v>2</x:v>
      </x:c>
      <x:c r="D607" s="46" t="n">
        <x:v>18</x:v>
      </x:c>
      <x:c r="E607" s="46" t="n">
        <x:v>3</x:v>
      </x:c>
      <x:c r="F607" s="46" t="n">
        <x:v>0</x:v>
      </x:c>
      <x:c r="G607" s="12" t="n">
        <x:v>0.7777777777777778</x:v>
      </x:c>
      <x:c r="H607" s="12" t="n">
        <x:v>0.8888888888888888</x:v>
      </x:c>
      <x:c r="I607" s="29" t="n">
        <x:f>'Assumptions'!$D$11+'Assumptions'!$D$12*(0.5-(G607+H607)/2)</x:f>
        <x:v>0.23333333333333334</x:v>
      </x:c>
      <x:c r="J607" s="27" t="n">
        <x:f>'Assumptions'!$D$8*EXP(-'Assumptions'!$D$9*('Fleet Engine'!E212-10))*'Assumptions'!E58*'Assumptions'!F36</x:f>
        <x:v>27182.818284590452</x:v>
      </x:c>
      <x:c r="K607" s="27" t="n">
        <x:f>'Source Data'!F217+LN('Assumptions'!D58)+LN('Assumptions'!F35)</x:f>
        <x:v>8.005343029779286</x:v>
      </x:c>
      <x:c r="L607" s="27" t="n">
        <x:f>J607*(1-I607*(1-'Carrier Engine'!E93))</x:f>
        <x:v>21093.86698884219</x:v>
      </x:c>
      <x:c r="M607" s="29" t="n">
        <x:f>NORM.S.DIST((LN(L607)-K607)/'Assumptions'!$D$10,TRUE)</x:f>
        <x:v>0.8930224951902263</x:v>
      </x:c>
      <x:c r="N607" s="30" t="n">
        <x:f>MAX(0,H607-MAX(G607,M607))</x:f>
        <x:v>0</x:v>
      </x:c>
      <x:c r="O607" s="28" t="n">
        <x:f>J607*I607</x:f>
        <x:v>6342.657599737772</x:v>
      </x:c>
      <x:c r="P607" s="27" t="n">
        <x:f>(VLOOKUP(O607,'Fee Data'!$C$6:$G$50,2,TRUE)+O607*VLOOKUP(O607,'Fee Data'!$C$6:$G$50,3,TRUE)+VLOOKUP(O607,'Fee Data'!$I$6:$J$14,2,TRUE)+'Fee Data'!$J$20+'Fee Data'!$J$21)*'Assumptions'!F37</x:f>
        <x:v>1060</x:v>
      </x:c>
      <x:c r="Q607" s="27" t="n">
        <x:f>(VLOOKUP(O607,'Fee Data'!$C$6:$G$50,4,TRUE)+O607*VLOOKUP(O607,'Fee Data'!$C$6:$G$50,5,TRUE)+VLOOKUP(O607,'Fee Data'!$I$6:$J$14,2,TRUE)+'Fee Data'!$J$20+'Fee Data'!$J$21)*'Assumptions'!F37</x:f>
        <x:v>935</x:v>
      </x:c>
      <x:c r="R607" s="27" t="n">
        <x:f>P607*(1-'Assumptions'!$D$14)+Q607*'Assumptions'!$D$14</x:f>
        <x:v>997.5</x:v>
      </x:c>
      <x:c r="S607" s="27" t="n">
        <x:f>O607*'Carrier Engine'!E93</x:f>
        <x:v>253.7063039895109</x:v>
      </x:c>
      <x:c r="T607" s="28" t="n">
        <x:f>R607+S607</x:f>
        <x:v>1251.2063039895108</x:v>
      </x:c>
      <x:c r="U607" s="27" t="n">
        <x:f>N607*'Fleet Engine'!H212</x:f>
        <x:v>0</x:v>
      </x:c>
      <x:c r="V607" s="28" t="n">
        <x:f>U607*T607</x:f>
        <x:v>0</x:v>
      </x:c>
      <x:c r="W607" s="28" t="n">
        <x:f>U607*O607</x:f>
        <x:v>0</x:v>
      </x:c>
    </x:row>
    <x:row r="608" ht="19" customHeight="1">
      <x:c r="A608" s="2"/>
      <x:c r="B608" s="2"/>
      <x:c r="C608" s="46" t="n">
        <x:v>2</x:v>
      </x:c>
      <x:c r="D608" s="46" t="n">
        <x:v>18</x:v>
      </x:c>
      <x:c r="E608" s="46" t="n">
        <x:v>3</x:v>
      </x:c>
      <x:c r="F608" s="46" t="n">
        <x:v>0</x:v>
      </x:c>
      <x:c r="G608" s="12" t="n">
        <x:v>0.8888888888888888</x:v>
      </x:c>
      <x:c r="H608" s="12" t="n">
        <x:v>1</x:v>
      </x:c>
      <x:c r="I608" s="29" t="n">
        <x:f>'Assumptions'!$D$11+'Assumptions'!$D$12*(0.5-(G608+H608)/2)</x:f>
        <x:v>0.21111111111111108</x:v>
      </x:c>
      <x:c r="J608" s="27" t="n">
        <x:f>'Assumptions'!$D$8*EXP(-'Assumptions'!$D$9*('Fleet Engine'!E212-10))*'Assumptions'!E58*'Assumptions'!F36</x:f>
        <x:v>27182.818284590452</x:v>
      </x:c>
      <x:c r="K608" s="27" t="n">
        <x:f>'Source Data'!F217+LN('Assumptions'!D58)+LN('Assumptions'!F35)</x:f>
        <x:v>8.005343029779286</x:v>
      </x:c>
      <x:c r="L608" s="27" t="n">
        <x:f>J608*(1-I608*(1-'Carrier Engine'!E93))</x:f>
        <x:v>21673.767112246787</x:v>
      </x:c>
      <x:c r="M608" s="29" t="n">
        <x:f>NORM.S.DIST((LN(L608)-K608)/'Assumptions'!$D$10,TRUE)</x:f>
        <x:v>0.8961716820343077</x:v>
      </x:c>
      <x:c r="N608" s="30" t="n">
        <x:f>MAX(0,H608-MAX(G608,M608))</x:f>
        <x:v>0.10382831796569225</x:v>
      </x:c>
      <x:c r="O608" s="28" t="n">
        <x:f>J608*I608</x:f>
        <x:v>5738.594971191317</x:v>
      </x:c>
      <x:c r="P608" s="27" t="n">
        <x:f>(VLOOKUP(O608,'Fee Data'!$C$6:$G$50,2,TRUE)+O608*VLOOKUP(O608,'Fee Data'!$C$6:$G$50,3,TRUE)+VLOOKUP(O608,'Fee Data'!$I$6:$J$14,2,TRUE)+'Fee Data'!$J$20+'Fee Data'!$J$21)*'Assumptions'!F37</x:f>
        <x:v>1020</x:v>
      </x:c>
      <x:c r="Q608" s="27" t="n">
        <x:f>(VLOOKUP(O608,'Fee Data'!$C$6:$G$50,4,TRUE)+O608*VLOOKUP(O608,'Fee Data'!$C$6:$G$50,5,TRUE)+VLOOKUP(O608,'Fee Data'!$I$6:$J$14,2,TRUE)+'Fee Data'!$J$20+'Fee Data'!$J$21)*'Assumptions'!F37</x:f>
        <x:v>895</x:v>
      </x:c>
      <x:c r="R608" s="27" t="n">
        <x:f>P608*(1-'Assumptions'!$D$14)+Q608*'Assumptions'!$D$14</x:f>
        <x:v>957.5</x:v>
      </x:c>
      <x:c r="S608" s="27" t="n">
        <x:f>O608*'Carrier Engine'!E93</x:f>
        <x:v>229.54379884765268</x:v>
      </x:c>
      <x:c r="T608" s="28" t="n">
        <x:f>R608+S608</x:f>
        <x:v>1187.0437988476526</x:v>
      </x:c>
      <x:c r="U608" s="27" t="n">
        <x:f>N608*'Fleet Engine'!H212</x:f>
        <x:v>56.531624803101806</x:v>
      </x:c>
      <x:c r="V608" s="28" t="n">
        <x:f>U608*T608</x:f>
        <x:v>67105.51466130414</x:v>
      </x:c>
      <x:c r="W608" s="28" t="n">
        <x:f>U608*O608</x:f>
        <x:v>324412.09780835436</x:v>
      </x:c>
    </x:row>
    <x:row r="609" ht="19" customHeight="1">
      <x:c r="A609" s="2"/>
      <x:c r="B609" s="2"/>
      <x:c r="C609" s="46" t="n">
        <x:v>2</x:v>
      </x:c>
      <x:c r="D609" s="46" t="n">
        <x:v>19</x:v>
      </x:c>
      <x:c r="E609" s="46" t="n">
        <x:v>3</x:v>
      </x:c>
      <x:c r="F609" s="46" t="n">
        <x:v>1</x:v>
      </x:c>
      <x:c r="G609" s="12" t="n">
        <x:v>0</x:v>
      </x:c>
      <x:c r="H609" s="12" t="n">
        <x:v>0.1111111111111111</x:v>
      </x:c>
      <x:c r="I609" s="29" t="n">
        <x:f>'Assumptions'!$D$11+'Assumptions'!$D$12*(0.5-(G609+H609)/2)</x:f>
        <x:v>0.3888888888888889</x:v>
      </x:c>
      <x:c r="J609" s="27" t="n">
        <x:f>'Assumptions'!$D$8*EXP(-'Assumptions'!$D$9*('Fleet Engine'!E213-10))*'Assumptions'!E58*'Assumptions'!F36</x:f>
        <x:v>22255.409284924677</x:v>
      </x:c>
      <x:c r="K609" s="27" t="n">
        <x:f>'Source Data'!F218+LN('Assumptions'!D58)+LN('Assumptions'!F35)</x:f>
        <x:v>7.890902228235048</x:v>
      </x:c>
      <x:c r="L609" s="27" t="n">
        <x:f>J609*(1-I609*(1-'Carrier Engine'!E93))</x:f>
        <x:v>13946.723151886132</x:v>
      </x:c>
      <x:c r="M609" s="29" t="n">
        <x:f>NORM.S.DIST((LN(L609)-K609)/'Assumptions'!$D$10,TRUE)</x:f>
        <x:v>0.8536354275611799</x:v>
      </x:c>
      <x:c r="N609" s="30" t="n">
        <x:f>MAX(0,H609-MAX(G609,M609))</x:f>
        <x:v>0</x:v>
      </x:c>
      <x:c r="O609" s="28" t="n">
        <x:f>J609*I609</x:f>
        <x:v>8654.88138858182</x:v>
      </x:c>
      <x:c r="P609" s="27" t="n">
        <x:f>(VLOOKUP(O609,'Fee Data'!$C$6:$G$50,2,TRUE)+O609*VLOOKUP(O609,'Fee Data'!$C$6:$G$50,3,TRUE)+VLOOKUP(O609,'Fee Data'!$I$6:$J$14,2,TRUE)+'Fee Data'!$J$20+'Fee Data'!$J$21)*'Assumptions'!F37</x:f>
        <x:v>1195</x:v>
      </x:c>
      <x:c r="Q609" s="27" t="n">
        <x:f>(VLOOKUP(O609,'Fee Data'!$C$6:$G$50,4,TRUE)+O609*VLOOKUP(O609,'Fee Data'!$C$6:$G$50,5,TRUE)+VLOOKUP(O609,'Fee Data'!$I$6:$J$14,2,TRUE)+'Fee Data'!$J$20+'Fee Data'!$J$21)*'Assumptions'!F37</x:f>
        <x:v>1070</x:v>
      </x:c>
      <x:c r="R609" s="27" t="n">
        <x:f>P609*(1-'Assumptions'!$D$14)+Q609*'Assumptions'!$D$14</x:f>
        <x:v>1132.5</x:v>
      </x:c>
      <x:c r="S609" s="27" t="n">
        <x:f>O609*'Carrier Engine'!E93</x:f>
        <x:v>346.1952555432728</x:v>
      </x:c>
      <x:c r="T609" s="28" t="n">
        <x:f>R609+S609</x:f>
        <x:v>1478.6952555432729</x:v>
      </x:c>
      <x:c r="U609" s="27" t="n">
        <x:f>N609*'Fleet Engine'!H213</x:f>
        <x:v>0</x:v>
      </x:c>
      <x:c r="V609" s="28" t="n">
        <x:f>U609*T609</x:f>
        <x:v>0</x:v>
      </x:c>
      <x:c r="W609" s="28" t="n">
        <x:f>U609*O609</x:f>
        <x:v>0</x:v>
      </x:c>
    </x:row>
    <x:row r="610" ht="19" customHeight="1">
      <x:c r="A610" s="2"/>
      <x:c r="B610" s="2"/>
      <x:c r="C610" s="46" t="n">
        <x:v>2</x:v>
      </x:c>
      <x:c r="D610" s="46" t="n">
        <x:v>19</x:v>
      </x:c>
      <x:c r="E610" s="46" t="n">
        <x:v>3</x:v>
      </x:c>
      <x:c r="F610" s="46" t="n">
        <x:v>1</x:v>
      </x:c>
      <x:c r="G610" s="12" t="n">
        <x:v>0.1111111111111111</x:v>
      </x:c>
      <x:c r="H610" s="12" t="n">
        <x:v>0.2222222222222222</x:v>
      </x:c>
      <x:c r="I610" s="29" t="n">
        <x:f>'Assumptions'!$D$11+'Assumptions'!$D$12*(0.5-(G610+H610)/2)</x:f>
        <x:v>0.3666666666666667</x:v>
      </x:c>
      <x:c r="J610" s="27" t="n">
        <x:f>'Assumptions'!$D$8*EXP(-'Assumptions'!$D$9*('Fleet Engine'!E213-10))*'Assumptions'!E58*'Assumptions'!F36</x:f>
        <x:v>22255.409284924677</x:v>
      </x:c>
      <x:c r="K610" s="27" t="n">
        <x:f>'Source Data'!F218+LN('Assumptions'!D58)+LN('Assumptions'!F35)</x:f>
        <x:v>7.890902228235048</x:v>
      </x:c>
      <x:c r="L610" s="27" t="n">
        <x:f>J610*(1-I610*(1-'Carrier Engine'!E93))</x:f>
        <x:v>14421.505216631189</x:v>
      </x:c>
      <x:c r="M610" s="29" t="n">
        <x:f>NORM.S.DIST((LN(L610)-K610)/'Assumptions'!$D$10,TRUE)</x:f>
        <x:v>0.858470508362788</x:v>
      </x:c>
      <x:c r="N610" s="30" t="n">
        <x:f>MAX(0,H610-MAX(G610,M610))</x:f>
        <x:v>0</x:v>
      </x:c>
      <x:c r="O610" s="28" t="n">
        <x:f>J610*I610</x:f>
        <x:v>8160.316737805716</x:v>
      </x:c>
      <x:c r="P610" s="27" t="n">
        <x:f>(VLOOKUP(O610,'Fee Data'!$C$6:$G$50,2,TRUE)+O610*VLOOKUP(O610,'Fee Data'!$C$6:$G$50,3,TRUE)+VLOOKUP(O610,'Fee Data'!$I$6:$J$14,2,TRUE)+'Fee Data'!$J$20+'Fee Data'!$J$21)*'Assumptions'!F37</x:f>
        <x:v>1175</x:v>
      </x:c>
      <x:c r="Q610" s="27" t="n">
        <x:f>(VLOOKUP(O610,'Fee Data'!$C$6:$G$50,4,TRUE)+O610*VLOOKUP(O610,'Fee Data'!$C$6:$G$50,5,TRUE)+VLOOKUP(O610,'Fee Data'!$I$6:$J$14,2,TRUE)+'Fee Data'!$J$20+'Fee Data'!$J$21)*'Assumptions'!F37</x:f>
        <x:v>1050</x:v>
      </x:c>
      <x:c r="R610" s="27" t="n">
        <x:f>P610*(1-'Assumptions'!$D$14)+Q610*'Assumptions'!$D$14</x:f>
        <x:v>1112.5</x:v>
      </x:c>
      <x:c r="S610" s="27" t="n">
        <x:f>O610*'Carrier Engine'!E93</x:f>
        <x:v>326.41266951222866</x:v>
      </x:c>
      <x:c r="T610" s="28" t="n">
        <x:f>R610+S610</x:f>
        <x:v>1438.9126695122286</x:v>
      </x:c>
      <x:c r="U610" s="27" t="n">
        <x:f>N610*'Fleet Engine'!H213</x:f>
        <x:v>0</x:v>
      </x:c>
      <x:c r="V610" s="28" t="n">
        <x:f>U610*T610</x:f>
        <x:v>0</x:v>
      </x:c>
      <x:c r="W610" s="28" t="n">
        <x:f>U610*O610</x:f>
        <x:v>0</x:v>
      </x:c>
    </x:row>
    <x:row r="611" ht="19" customHeight="1">
      <x:c r="A611" s="2"/>
      <x:c r="B611" s="2"/>
      <x:c r="C611" s="46" t="n">
        <x:v>2</x:v>
      </x:c>
      <x:c r="D611" s="46" t="n">
        <x:v>19</x:v>
      </x:c>
      <x:c r="E611" s="46" t="n">
        <x:v>3</x:v>
      </x:c>
      <x:c r="F611" s="46" t="n">
        <x:v>1</x:v>
      </x:c>
      <x:c r="G611" s="12" t="n">
        <x:v>0.2222222222222222</x:v>
      </x:c>
      <x:c r="H611" s="12" t="n">
        <x:v>0.3333333333333333</x:v>
      </x:c>
      <x:c r="I611" s="29" t="n">
        <x:f>'Assumptions'!$D$11+'Assumptions'!$D$12*(0.5-(G611+H611)/2)</x:f>
        <x:v>0.34444444444444444</x:v>
      </x:c>
      <x:c r="J611" s="27" t="n">
        <x:f>'Assumptions'!$D$8*EXP(-'Assumptions'!$D$9*('Fleet Engine'!E213-10))*'Assumptions'!E58*'Assumptions'!F36</x:f>
        <x:v>22255.409284924677</x:v>
      </x:c>
      <x:c r="K611" s="27" t="n">
        <x:f>'Source Data'!F218+LN('Assumptions'!D58)+LN('Assumptions'!F35)</x:f>
        <x:v>7.890902228235048</x:v>
      </x:c>
      <x:c r="L611" s="27" t="n">
        <x:f>J611*(1-I611*(1-'Carrier Engine'!E93))</x:f>
        <x:v>14896.287281376251</x:v>
      </x:c>
      <x:c r="M611" s="29" t="n">
        <x:f>NORM.S.DIST((LN(L611)-K611)/'Assumptions'!$D$10,TRUE)</x:f>
        <x:v>0.8630448198872039</x:v>
      </x:c>
      <x:c r="N611" s="30" t="n">
        <x:f>MAX(0,H611-MAX(G611,M611))</x:f>
        <x:v>0</x:v>
      </x:c>
      <x:c r="O611" s="28" t="n">
        <x:f>J611*I611</x:f>
        <x:v>7665.752087029611</x:v>
      </x:c>
      <x:c r="P611" s="27" t="n">
        <x:f>(VLOOKUP(O611,'Fee Data'!$C$6:$G$50,2,TRUE)+O611*VLOOKUP(O611,'Fee Data'!$C$6:$G$50,3,TRUE)+VLOOKUP(O611,'Fee Data'!$I$6:$J$14,2,TRUE)+'Fee Data'!$J$20+'Fee Data'!$J$21)*'Assumptions'!F37</x:f>
        <x:v>1135</x:v>
      </x:c>
      <x:c r="Q611" s="27" t="n">
        <x:f>(VLOOKUP(O611,'Fee Data'!$C$6:$G$50,4,TRUE)+O611*VLOOKUP(O611,'Fee Data'!$C$6:$G$50,5,TRUE)+VLOOKUP(O611,'Fee Data'!$I$6:$J$14,2,TRUE)+'Fee Data'!$J$20+'Fee Data'!$J$21)*'Assumptions'!F37</x:f>
        <x:v>1010</x:v>
      </x:c>
      <x:c r="R611" s="27" t="n">
        <x:f>P611*(1-'Assumptions'!$D$14)+Q611*'Assumptions'!$D$14</x:f>
        <x:v>1072.5</x:v>
      </x:c>
      <x:c r="S611" s="27" t="n">
        <x:f>O611*'Carrier Engine'!E93</x:f>
        <x:v>306.63008348118444</x:v>
      </x:c>
      <x:c r="T611" s="28" t="n">
        <x:f>R611+S611</x:f>
        <x:v>1379.1300834811846</x:v>
      </x:c>
      <x:c r="U611" s="27" t="n">
        <x:f>N611*'Fleet Engine'!H213</x:f>
        <x:v>0</x:v>
      </x:c>
      <x:c r="V611" s="28" t="n">
        <x:f>U611*T611</x:f>
        <x:v>0</x:v>
      </x:c>
      <x:c r="W611" s="28" t="n">
        <x:f>U611*O611</x:f>
        <x:v>0</x:v>
      </x:c>
    </x:row>
    <x:row r="612" ht="19" customHeight="1">
      <x:c r="A612" s="2"/>
      <x:c r="B612" s="2"/>
      <x:c r="C612" s="46" t="n">
        <x:v>2</x:v>
      </x:c>
      <x:c r="D612" s="46" t="n">
        <x:v>19</x:v>
      </x:c>
      <x:c r="E612" s="46" t="n">
        <x:v>3</x:v>
      </x:c>
      <x:c r="F612" s="46" t="n">
        <x:v>1</x:v>
      </x:c>
      <x:c r="G612" s="12" t="n">
        <x:v>0.3333333333333333</x:v>
      </x:c>
      <x:c r="H612" s="12" t="n">
        <x:v>0.4444444444444444</x:v>
      </x:c>
      <x:c r="I612" s="29" t="n">
        <x:f>'Assumptions'!$D$11+'Assumptions'!$D$12*(0.5-(G612+H612)/2)</x:f>
        <x:v>0.32222222222222224</x:v>
      </x:c>
      <x:c r="J612" s="27" t="n">
        <x:f>'Assumptions'!$D$8*EXP(-'Assumptions'!$D$9*('Fleet Engine'!E213-10))*'Assumptions'!E58*'Assumptions'!F36</x:f>
        <x:v>22255.409284924677</x:v>
      </x:c>
      <x:c r="K612" s="27" t="n">
        <x:f>'Source Data'!F218+LN('Assumptions'!D58)+LN('Assumptions'!F35)</x:f>
        <x:v>7.890902228235048</x:v>
      </x:c>
      <x:c r="L612" s="27" t="n">
        <x:f>J612*(1-I612*(1-'Carrier Engine'!E93))</x:f>
        <x:v>15371.06934612131</x:v>
      </x:c>
      <x:c r="M612" s="29" t="n">
        <x:f>NORM.S.DIST((LN(L612)-K612)/'Assumptions'!$D$10,TRUE)</x:f>
        <x:v>0.8673782677431042</x:v>
      </x:c>
      <x:c r="N612" s="30" t="n">
        <x:f>MAX(0,H612-MAX(G612,M612))</x:f>
        <x:v>0</x:v>
      </x:c>
      <x:c r="O612" s="28" t="n">
        <x:f>J612*I612</x:f>
        <x:v>7171.187436253507</x:v>
      </x:c>
      <x:c r="P612" s="27" t="n">
        <x:f>(VLOOKUP(O612,'Fee Data'!$C$6:$G$50,2,TRUE)+O612*VLOOKUP(O612,'Fee Data'!$C$6:$G$50,3,TRUE)+VLOOKUP(O612,'Fee Data'!$I$6:$J$14,2,TRUE)+'Fee Data'!$J$20+'Fee Data'!$J$21)*'Assumptions'!F37</x:f>
        <x:v>1115</x:v>
      </x:c>
      <x:c r="Q612" s="27" t="n">
        <x:f>(VLOOKUP(O612,'Fee Data'!$C$6:$G$50,4,TRUE)+O612*VLOOKUP(O612,'Fee Data'!$C$6:$G$50,5,TRUE)+VLOOKUP(O612,'Fee Data'!$I$6:$J$14,2,TRUE)+'Fee Data'!$J$20+'Fee Data'!$J$21)*'Assumptions'!F37</x:f>
        <x:v>990</x:v>
      </x:c>
      <x:c r="R612" s="27" t="n">
        <x:f>P612*(1-'Assumptions'!$D$14)+Q612*'Assumptions'!$D$14</x:f>
        <x:v>1052.5</x:v>
      </x:c>
      <x:c r="S612" s="27" t="n">
        <x:f>O612*'Carrier Engine'!E93</x:f>
        <x:v>286.8474974501403</x:v>
      </x:c>
      <x:c r="T612" s="28" t="n">
        <x:f>R612+S612</x:f>
        <x:v>1339.3474974501403</x:v>
      </x:c>
      <x:c r="U612" s="27" t="n">
        <x:f>N612*'Fleet Engine'!H213</x:f>
        <x:v>0</x:v>
      </x:c>
      <x:c r="V612" s="28" t="n">
        <x:f>U612*T612</x:f>
        <x:v>0</x:v>
      </x:c>
      <x:c r="W612" s="28" t="n">
        <x:f>U612*O612</x:f>
        <x:v>0</x:v>
      </x:c>
    </x:row>
    <x:row r="613" ht="19" customHeight="1">
      <x:c r="A613" s="2"/>
      <x:c r="B613" s="2"/>
      <x:c r="C613" s="46" t="n">
        <x:v>2</x:v>
      </x:c>
      <x:c r="D613" s="46" t="n">
        <x:v>19</x:v>
      </x:c>
      <x:c r="E613" s="46" t="n">
        <x:v>3</x:v>
      </x:c>
      <x:c r="F613" s="46" t="n">
        <x:v>1</x:v>
      </x:c>
      <x:c r="G613" s="12" t="n">
        <x:v>0.4444444444444444</x:v>
      </x:c>
      <x:c r="H613" s="12" t="n">
        <x:v>0.5555555555555556</x:v>
      </x:c>
      <x:c r="I613" s="29" t="n">
        <x:f>'Assumptions'!$D$11+'Assumptions'!$D$12*(0.5-(G613+H613)/2)</x:f>
        <x:v>0.3</x:v>
      </x:c>
      <x:c r="J613" s="27" t="n">
        <x:f>'Assumptions'!$D$8*EXP(-'Assumptions'!$D$9*('Fleet Engine'!E213-10))*'Assumptions'!E58*'Assumptions'!F36</x:f>
        <x:v>22255.409284924677</x:v>
      </x:c>
      <x:c r="K613" s="27" t="n">
        <x:f>'Source Data'!F218+LN('Assumptions'!D58)+LN('Assumptions'!F35)</x:f>
        <x:v>7.890902228235048</x:v>
      </x:c>
      <x:c r="L613" s="27" t="n">
        <x:f>J613*(1-I613*(1-'Carrier Engine'!E93))</x:f>
        <x:v>15845.85141086637</x:v>
      </x:c>
      <x:c r="M613" s="29" t="n">
        <x:f>NORM.S.DIST((LN(L613)-K613)/'Assumptions'!$D$10,TRUE)</x:f>
        <x:v>0.8714887858690716</x:v>
      </x:c>
      <x:c r="N613" s="30" t="n">
        <x:f>MAX(0,H613-MAX(G613,M613))</x:f>
        <x:v>0</x:v>
      </x:c>
      <x:c r="O613" s="28" t="n">
        <x:f>J613*I613</x:f>
        <x:v>6676.622785477403</x:v>
      </x:c>
      <x:c r="P613" s="27" t="n">
        <x:f>(VLOOKUP(O613,'Fee Data'!$C$6:$G$50,2,TRUE)+O613*VLOOKUP(O613,'Fee Data'!$C$6:$G$50,3,TRUE)+VLOOKUP(O613,'Fee Data'!$I$6:$J$14,2,TRUE)+'Fee Data'!$J$20+'Fee Data'!$J$21)*'Assumptions'!F37</x:f>
        <x:v>1080</x:v>
      </x:c>
      <x:c r="Q613" s="27" t="n">
        <x:f>(VLOOKUP(O613,'Fee Data'!$C$6:$G$50,4,TRUE)+O613*VLOOKUP(O613,'Fee Data'!$C$6:$G$50,5,TRUE)+VLOOKUP(O613,'Fee Data'!$I$6:$J$14,2,TRUE)+'Fee Data'!$J$20+'Fee Data'!$J$21)*'Assumptions'!F37</x:f>
        <x:v>955</x:v>
      </x:c>
      <x:c r="R613" s="27" t="n">
        <x:f>P613*(1-'Assumptions'!$D$14)+Q613*'Assumptions'!$D$14</x:f>
        <x:v>1017.5</x:v>
      </x:c>
      <x:c r="S613" s="27" t="n">
        <x:f>O613*'Carrier Engine'!E93</x:f>
        <x:v>267.0649114190961</x:v>
      </x:c>
      <x:c r="T613" s="28" t="n">
        <x:f>R613+S613</x:f>
        <x:v>1284.564911419096</x:v>
      </x:c>
      <x:c r="U613" s="27" t="n">
        <x:f>N613*'Fleet Engine'!H213</x:f>
        <x:v>0</x:v>
      </x:c>
      <x:c r="V613" s="28" t="n">
        <x:f>U613*T613</x:f>
        <x:v>0</x:v>
      </x:c>
      <x:c r="W613" s="28" t="n">
        <x:f>U613*O613</x:f>
        <x:v>0</x:v>
      </x:c>
    </x:row>
    <x:row r="614" ht="19" customHeight="1">
      <x:c r="A614" s="2"/>
      <x:c r="B614" s="2"/>
      <x:c r="C614" s="46" t="n">
        <x:v>2</x:v>
      </x:c>
      <x:c r="D614" s="46" t="n">
        <x:v>19</x:v>
      </x:c>
      <x:c r="E614" s="46" t="n">
        <x:v>3</x:v>
      </x:c>
      <x:c r="F614" s="46" t="n">
        <x:v>1</x:v>
      </x:c>
      <x:c r="G614" s="12" t="n">
        <x:v>0.5555555555555556</x:v>
      </x:c>
      <x:c r="H614" s="12" t="n">
        <x:v>0.6666666666666666</x:v>
      </x:c>
      <x:c r="I614" s="29" t="n">
        <x:f>'Assumptions'!$D$11+'Assumptions'!$D$12*(0.5-(G614+H614)/2)</x:f>
        <x:v>0.27777777777777773</x:v>
      </x:c>
      <x:c r="J614" s="27" t="n">
        <x:f>'Assumptions'!$D$8*EXP(-'Assumptions'!$D$9*('Fleet Engine'!E213-10))*'Assumptions'!E58*'Assumptions'!F36</x:f>
        <x:v>22255.409284924677</x:v>
      </x:c>
      <x:c r="K614" s="27" t="n">
        <x:f>'Source Data'!F218+LN('Assumptions'!D58)+LN('Assumptions'!F35)</x:f>
        <x:v>7.890902228235048</x:v>
      </x:c>
      <x:c r="L614" s="27" t="n">
        <x:f>J614*(1-I614*(1-'Carrier Engine'!E93))</x:f>
        <x:v>16320.633475611432</x:v>
      </x:c>
      <x:c r="M614" s="29" t="n">
        <x:f>NORM.S.DIST((LN(L614)-K614)/'Assumptions'!$D$10,TRUE)</x:f>
        <x:v>0.875392576065582</x:v>
      </x:c>
      <x:c r="N614" s="30" t="n">
        <x:f>MAX(0,H614-MAX(G614,M614))</x:f>
        <x:v>0</x:v>
      </x:c>
      <x:c r="O614" s="28" t="n">
        <x:f>J614*I614</x:f>
        <x:v>6182.0581347012985</x:v>
      </x:c>
      <x:c r="P614" s="27" t="n">
        <x:f>(VLOOKUP(O614,'Fee Data'!$C$6:$G$50,2,TRUE)+O614*VLOOKUP(O614,'Fee Data'!$C$6:$G$50,3,TRUE)+VLOOKUP(O614,'Fee Data'!$I$6:$J$14,2,TRUE)+'Fee Data'!$J$20+'Fee Data'!$J$21)*'Assumptions'!F37</x:f>
        <x:v>1060</x:v>
      </x:c>
      <x:c r="Q614" s="27" t="n">
        <x:f>(VLOOKUP(O614,'Fee Data'!$C$6:$G$50,4,TRUE)+O614*VLOOKUP(O614,'Fee Data'!$C$6:$G$50,5,TRUE)+VLOOKUP(O614,'Fee Data'!$I$6:$J$14,2,TRUE)+'Fee Data'!$J$20+'Fee Data'!$J$21)*'Assumptions'!F37</x:f>
        <x:v>935</x:v>
      </x:c>
      <x:c r="R614" s="27" t="n">
        <x:f>P614*(1-'Assumptions'!$D$14)+Q614*'Assumptions'!$D$14</x:f>
        <x:v>997.5</x:v>
      </x:c>
      <x:c r="S614" s="27" t="n">
        <x:f>O614*'Carrier Engine'!E93</x:f>
        <x:v>247.28232538805196</x:v>
      </x:c>
      <x:c r="T614" s="28" t="n">
        <x:f>R614+S614</x:f>
        <x:v>1244.782325388052</x:v>
      </x:c>
      <x:c r="U614" s="27" t="n">
        <x:f>N614*'Fleet Engine'!H213</x:f>
        <x:v>0</x:v>
      </x:c>
      <x:c r="V614" s="28" t="n">
        <x:f>U614*T614</x:f>
        <x:v>0</x:v>
      </x:c>
      <x:c r="W614" s="28" t="n">
        <x:f>U614*O614</x:f>
        <x:v>0</x:v>
      </x:c>
    </x:row>
    <x:row r="615" ht="19" customHeight="1">
      <x:c r="A615" s="2"/>
      <x:c r="B615" s="2"/>
      <x:c r="C615" s="46" t="n">
        <x:v>2</x:v>
      </x:c>
      <x:c r="D615" s="46" t="n">
        <x:v>19</x:v>
      </x:c>
      <x:c r="E615" s="46" t="n">
        <x:v>3</x:v>
      </x:c>
      <x:c r="F615" s="46" t="n">
        <x:v>1</x:v>
      </x:c>
      <x:c r="G615" s="12" t="n">
        <x:v>0.6666666666666666</x:v>
      </x:c>
      <x:c r="H615" s="12" t="n">
        <x:v>0.7777777777777778</x:v>
      </x:c>
      <x:c r="I615" s="29" t="n">
        <x:f>'Assumptions'!$D$11+'Assumptions'!$D$12*(0.5-(G615+H615)/2)</x:f>
        <x:v>0.25555555555555554</x:v>
      </x:c>
      <x:c r="J615" s="27" t="n">
        <x:f>'Assumptions'!$D$8*EXP(-'Assumptions'!$D$9*('Fleet Engine'!E213-10))*'Assumptions'!E58*'Assumptions'!F36</x:f>
        <x:v>22255.409284924677</x:v>
      </x:c>
      <x:c r="K615" s="27" t="n">
        <x:f>'Source Data'!F218+LN('Assumptions'!D58)+LN('Assumptions'!F35)</x:f>
        <x:v>7.890902228235048</x:v>
      </x:c>
      <x:c r="L615" s="27" t="n">
        <x:f>J615*(1-I615*(1-'Carrier Engine'!E93))</x:f>
        <x:v>16795.41554035649</x:v>
      </x:c>
      <x:c r="M615" s="29" t="n">
        <x:f>NORM.S.DIST((LN(L615)-K615)/'Assumptions'!$D$10,TRUE)</x:f>
        <x:v>0.879104313191051</x:v>
      </x:c>
      <x:c r="N615" s="30" t="n">
        <x:f>MAX(0,H615-MAX(G615,M615))</x:f>
        <x:v>0</x:v>
      </x:c>
      <x:c r="O615" s="28" t="n">
        <x:f>J615*I615</x:f>
        <x:v>5687.493483925195</x:v>
      </x:c>
      <x:c r="P615" s="27" t="n">
        <x:f>(VLOOKUP(O615,'Fee Data'!$C$6:$G$50,2,TRUE)+O615*VLOOKUP(O615,'Fee Data'!$C$6:$G$50,3,TRUE)+VLOOKUP(O615,'Fee Data'!$I$6:$J$14,2,TRUE)+'Fee Data'!$J$20+'Fee Data'!$J$21)*'Assumptions'!F37</x:f>
        <x:v>1020</x:v>
      </x:c>
      <x:c r="Q615" s="27" t="n">
        <x:f>(VLOOKUP(O615,'Fee Data'!$C$6:$G$50,4,TRUE)+O615*VLOOKUP(O615,'Fee Data'!$C$6:$G$50,5,TRUE)+VLOOKUP(O615,'Fee Data'!$I$6:$J$14,2,TRUE)+'Fee Data'!$J$20+'Fee Data'!$J$21)*'Assumptions'!F37</x:f>
        <x:v>895</x:v>
      </x:c>
      <x:c r="R615" s="27" t="n">
        <x:f>P615*(1-'Assumptions'!$D$14)+Q615*'Assumptions'!$D$14</x:f>
        <x:v>957.5</x:v>
      </x:c>
      <x:c r="S615" s="27" t="n">
        <x:f>O615*'Carrier Engine'!E93</x:f>
        <x:v>227.4997393570078</x:v>
      </x:c>
      <x:c r="T615" s="28" t="n">
        <x:f>R615+S615</x:f>
        <x:v>1184.999739357008</x:v>
      </x:c>
      <x:c r="U615" s="27" t="n">
        <x:f>N615*'Fleet Engine'!H213</x:f>
        <x:v>0</x:v>
      </x:c>
      <x:c r="V615" s="28" t="n">
        <x:f>U615*T615</x:f>
        <x:v>0</x:v>
      </x:c>
      <x:c r="W615" s="28" t="n">
        <x:f>U615*O615</x:f>
        <x:v>0</x:v>
      </x:c>
    </x:row>
    <x:row r="616" ht="19" customHeight="1">
      <x:c r="A616" s="2"/>
      <x:c r="B616" s="2"/>
      <x:c r="C616" s="46" t="n">
        <x:v>2</x:v>
      </x:c>
      <x:c r="D616" s="46" t="n">
        <x:v>19</x:v>
      </x:c>
      <x:c r="E616" s="46" t="n">
        <x:v>3</x:v>
      </x:c>
      <x:c r="F616" s="46" t="n">
        <x:v>1</x:v>
      </x:c>
      <x:c r="G616" s="12" t="n">
        <x:v>0.7777777777777778</x:v>
      </x:c>
      <x:c r="H616" s="12" t="n">
        <x:v>0.8888888888888888</x:v>
      </x:c>
      <x:c r="I616" s="29" t="n">
        <x:f>'Assumptions'!$D$11+'Assumptions'!$D$12*(0.5-(G616+H616)/2)</x:f>
        <x:v>0.23333333333333334</x:v>
      </x:c>
      <x:c r="J616" s="27" t="n">
        <x:f>'Assumptions'!$D$8*EXP(-'Assumptions'!$D$9*('Fleet Engine'!E213-10))*'Assumptions'!E58*'Assumptions'!F36</x:f>
        <x:v>22255.409284924677</x:v>
      </x:c>
      <x:c r="K616" s="27" t="n">
        <x:f>'Source Data'!F218+LN('Assumptions'!D58)+LN('Assumptions'!F35)</x:f>
        <x:v>7.890902228235048</x:v>
      </x:c>
      <x:c r="L616" s="27" t="n">
        <x:f>J616*(1-I616*(1-'Carrier Engine'!E93))</x:f>
        <x:v>17270.19760510155</x:v>
      </x:c>
      <x:c r="M616" s="29" t="n">
        <x:f>NORM.S.DIST((LN(L616)-K616)/'Assumptions'!$D$10,TRUE)</x:f>
        <x:v>0.8826373216697017</x:v>
      </x:c>
      <x:c r="N616" s="30" t="n">
        <x:f>MAX(0,H616-MAX(G616,M616))</x:f>
        <x:v>0.006251567219187182</x:v>
      </x:c>
      <x:c r="O616" s="28" t="n">
        <x:f>J616*I616</x:f>
        <x:v>5192.928833149092</x:v>
      </x:c>
      <x:c r="P616" s="27" t="n">
        <x:f>(VLOOKUP(O616,'Fee Data'!$C$6:$G$50,2,TRUE)+O616*VLOOKUP(O616,'Fee Data'!$C$6:$G$50,3,TRUE)+VLOOKUP(O616,'Fee Data'!$I$6:$J$14,2,TRUE)+'Fee Data'!$J$20+'Fee Data'!$J$21)*'Assumptions'!F37</x:f>
        <x:v>995</x:v>
      </x:c>
      <x:c r="Q616" s="27" t="n">
        <x:f>(VLOOKUP(O616,'Fee Data'!$C$6:$G$50,4,TRUE)+O616*VLOOKUP(O616,'Fee Data'!$C$6:$G$50,5,TRUE)+VLOOKUP(O616,'Fee Data'!$I$6:$J$14,2,TRUE)+'Fee Data'!$J$20+'Fee Data'!$J$21)*'Assumptions'!F37</x:f>
        <x:v>870</x:v>
      </x:c>
      <x:c r="R616" s="27" t="n">
        <x:f>P616*(1-'Assumptions'!$D$14)+Q616*'Assumptions'!$D$14</x:f>
        <x:v>932.5</x:v>
      </x:c>
      <x:c r="S616" s="27" t="n">
        <x:f>O616*'Carrier Engine'!E93</x:f>
        <x:v>207.71715332596366</x:v>
      </x:c>
      <x:c r="T616" s="28" t="n">
        <x:f>R616+S616</x:f>
        <x:v>1140.2171533259636</x:v>
      </x:c>
      <x:c r="U616" s="27" t="n">
        <x:f>N616*'Fleet Engine'!H213</x:f>
        <x:v>18.172585959709217</x:v>
      </x:c>
      <x:c r="V616" s="28" t="n">
        <x:f>U616*T616</x:f>
        <x:v>20720.694231551017</x:v>
      </x:c>
      <x:c r="W616" s="28" t="n">
        <x:f>U616*O616</x:f>
        <x:v>94368.94560305435</x:v>
      </x:c>
    </x:row>
    <x:row r="617" ht="19" customHeight="1">
      <x:c r="A617" s="2"/>
      <x:c r="B617" s="2"/>
      <x:c r="C617" s="46" t="n">
        <x:v>2</x:v>
      </x:c>
      <x:c r="D617" s="46" t="n">
        <x:v>19</x:v>
      </x:c>
      <x:c r="E617" s="46" t="n">
        <x:v>3</x:v>
      </x:c>
      <x:c r="F617" s="46" t="n">
        <x:v>1</x:v>
      </x:c>
      <x:c r="G617" s="12" t="n">
        <x:v>0.8888888888888888</x:v>
      </x:c>
      <x:c r="H617" s="12" t="n">
        <x:v>1</x:v>
      </x:c>
      <x:c r="I617" s="29" t="n">
        <x:f>'Assumptions'!$D$11+'Assumptions'!$D$12*(0.5-(G617+H617)/2)</x:f>
        <x:v>0.21111111111111108</x:v>
      </x:c>
      <x:c r="J617" s="27" t="n">
        <x:f>'Assumptions'!$D$8*EXP(-'Assumptions'!$D$9*('Fleet Engine'!E213-10))*'Assumptions'!E58*'Assumptions'!F36</x:f>
        <x:v>22255.409284924677</x:v>
      </x:c>
      <x:c r="K617" s="27" t="n">
        <x:f>'Source Data'!F218+LN('Assumptions'!D58)+LN('Assumptions'!F35)</x:f>
        <x:v>7.890902228235048</x:v>
      </x:c>
      <x:c r="L617" s="27" t="n">
        <x:f>J617*(1-I617*(1-'Carrier Engine'!E93))</x:f>
        <x:v>17744.97966984661</x:v>
      </x:c>
      <x:c r="M617" s="29" t="n">
        <x:f>NORM.S.DIST((LN(L617)-K617)/'Assumptions'!$D$10,TRUE)</x:f>
        <x:v>0.8860037279150648</x:v>
      </x:c>
      <x:c r="N617" s="30" t="n">
        <x:f>MAX(0,H617-MAX(G617,M617))</x:f>
        <x:v>0.11111111111111116</x:v>
      </x:c>
      <x:c r="O617" s="28" t="n">
        <x:f>J617*I617</x:f>
        <x:v>4698.364182372987</x:v>
      </x:c>
      <x:c r="P617" s="27" t="n">
        <x:f>(VLOOKUP(O617,'Fee Data'!$C$6:$G$50,2,TRUE)+O617*VLOOKUP(O617,'Fee Data'!$C$6:$G$50,3,TRUE)+VLOOKUP(O617,'Fee Data'!$I$6:$J$14,2,TRUE)+'Fee Data'!$J$20+'Fee Data'!$J$21)*'Assumptions'!F37</x:f>
        <x:v>970</x:v>
      </x:c>
      <x:c r="Q617" s="27" t="n">
        <x:f>(VLOOKUP(O617,'Fee Data'!$C$6:$G$50,4,TRUE)+O617*VLOOKUP(O617,'Fee Data'!$C$6:$G$50,5,TRUE)+VLOOKUP(O617,'Fee Data'!$I$6:$J$14,2,TRUE)+'Fee Data'!$J$20+'Fee Data'!$J$21)*'Assumptions'!F37</x:f>
        <x:v>845</x:v>
      </x:c>
      <x:c r="R617" s="27" t="n">
        <x:f>P617*(1-'Assumptions'!$D$14)+Q617*'Assumptions'!$D$14</x:f>
        <x:v>907.5</x:v>
      </x:c>
      <x:c r="S617" s="27" t="n">
        <x:f>O617*'Carrier Engine'!E93</x:f>
        <x:v>187.93456729491947</x:v>
      </x:c>
      <x:c r="T617" s="28" t="n">
        <x:f>R617+S617</x:f>
        <x:v>1095.4345672949194</x:v>
      </x:c>
      <x:c r="U617" s="27" t="n">
        <x:f>N617*'Fleet Engine'!H213</x:f>
        <x:v>322.98720416030324</x:v>
      </x:c>
      <x:c r="V617" s="28" t="n">
        <x:f>U617*T617</x:f>
        <x:v>353811.34823113756</x:v>
      </x:c>
      <x:c r="W617" s="28" t="n">
        <x:f>U617*O617</x:f>
        <x:v>1517511.51139156</x:v>
      </x:c>
    </x:row>
    <x:row r="618" ht="19" customHeight="1">
      <x:c r="A618" s="2"/>
      <x:c r="B618" s="2"/>
      <x:c r="C618" s="46" t="n">
        <x:v>2</x:v>
      </x:c>
      <x:c r="D618" s="46" t="n">
        <x:v>20</x:v>
      </x:c>
      <x:c r="E618" s="46" t="n">
        <x:v>3</x:v>
      </x:c>
      <x:c r="F618" s="46" t="n">
        <x:v>2</x:v>
      </x:c>
      <x:c r="G618" s="12" t="n">
        <x:v>0</x:v>
      </x:c>
      <x:c r="H618" s="12" t="n">
        <x:v>0.1111111111111111</x:v>
      </x:c>
      <x:c r="I618" s="29" t="n">
        <x:f>'Assumptions'!$D$11+'Assumptions'!$D$12*(0.5-(G618+H618)/2)</x:f>
        <x:v>0.3888888888888889</x:v>
      </x:c>
      <x:c r="J618" s="27" t="n">
        <x:f>'Assumptions'!$D$8*EXP(-'Assumptions'!$D$9*('Fleet Engine'!E214-10))*'Assumptions'!E58*'Assumptions'!F36</x:f>
        <x:v>16487.212707001283</x:v>
      </x:c>
      <x:c r="K618" s="27" t="n">
        <x:f>'Source Data'!F219+LN('Assumptions'!D58)+LN('Assumptions'!F35)</x:f>
        <x:v>7.936584069520856</x:v>
      </x:c>
      <x:c r="L618" s="27" t="n">
        <x:f>J618*(1-I618*(1-'Carrier Engine'!E93))</x:f>
        <x:v>10331.986629720805</x:v>
      </x:c>
      <x:c r="M618" s="29" t="n">
        <x:f>NORM.S.DIST((LN(L618)-K618)/'Assumptions'!$D$10,TRUE)</x:f>
        <x:v>0.7972963261215247</x:v>
      </x:c>
      <x:c r="N618" s="30" t="n">
        <x:f>MAX(0,H618-MAX(G618,M618))</x:f>
        <x:v>0</x:v>
      </x:c>
      <x:c r="O618" s="28" t="n">
        <x:f>J618*I618</x:f>
        <x:v>6411.693830500499</x:v>
      </x:c>
      <x:c r="P618" s="27" t="n">
        <x:f>(VLOOKUP(O618,'Fee Data'!$C$6:$G$50,2,TRUE)+O618*VLOOKUP(O618,'Fee Data'!$C$6:$G$50,3,TRUE)+VLOOKUP(O618,'Fee Data'!$I$6:$J$14,2,TRUE)+'Fee Data'!$J$20+'Fee Data'!$J$21)*'Assumptions'!F37</x:f>
        <x:v>1060</x:v>
      </x:c>
      <x:c r="Q618" s="27" t="n">
        <x:f>(VLOOKUP(O618,'Fee Data'!$C$6:$G$50,4,TRUE)+O618*VLOOKUP(O618,'Fee Data'!$C$6:$G$50,5,TRUE)+VLOOKUP(O618,'Fee Data'!$I$6:$J$14,2,TRUE)+'Fee Data'!$J$20+'Fee Data'!$J$21)*'Assumptions'!F37</x:f>
        <x:v>935</x:v>
      </x:c>
      <x:c r="R618" s="27" t="n">
        <x:f>P618*(1-'Assumptions'!$D$14)+Q618*'Assumptions'!$D$14</x:f>
        <x:v>997.5</x:v>
      </x:c>
      <x:c r="S618" s="27" t="n">
        <x:f>O618*'Carrier Engine'!E93</x:f>
        <x:v>256.46775322002</x:v>
      </x:c>
      <x:c r="T618" s="28" t="n">
        <x:f>R618+S618</x:f>
        <x:v>1253.9677532200199</x:v>
      </x:c>
      <x:c r="U618" s="27" t="n">
        <x:f>N618*'Fleet Engine'!H214</x:f>
        <x:v>0</x:v>
      </x:c>
      <x:c r="V618" s="28" t="n">
        <x:f>U618*T618</x:f>
        <x:v>0</x:v>
      </x:c>
      <x:c r="W618" s="28" t="n">
        <x:f>U618*O618</x:f>
        <x:v>0</x:v>
      </x:c>
    </x:row>
    <x:row r="619" ht="19" customHeight="1">
      <x:c r="A619" s="2"/>
      <x:c r="B619" s="2"/>
      <x:c r="C619" s="46" t="n">
        <x:v>2</x:v>
      </x:c>
      <x:c r="D619" s="46" t="n">
        <x:v>20</x:v>
      </x:c>
      <x:c r="E619" s="46" t="n">
        <x:v>3</x:v>
      </x:c>
      <x:c r="F619" s="46" t="n">
        <x:v>2</x:v>
      </x:c>
      <x:c r="G619" s="12" t="n">
        <x:v>0.1111111111111111</x:v>
      </x:c>
      <x:c r="H619" s="12" t="n">
        <x:v>0.2222222222222222</x:v>
      </x:c>
      <x:c r="I619" s="29" t="n">
        <x:f>'Assumptions'!$D$11+'Assumptions'!$D$12*(0.5-(G619+H619)/2)</x:f>
        <x:v>0.3666666666666667</x:v>
      </x:c>
      <x:c r="J619" s="27" t="n">
        <x:f>'Assumptions'!$D$8*EXP(-'Assumptions'!$D$9*('Fleet Engine'!E214-10))*'Assumptions'!E58*'Assumptions'!F36</x:f>
        <x:v>16487.212707001283</x:v>
      </x:c>
      <x:c r="K619" s="27" t="n">
        <x:f>'Source Data'!F219+LN('Assumptions'!D58)+LN('Assumptions'!F35)</x:f>
        <x:v>7.936584069520856</x:v>
      </x:c>
      <x:c r="L619" s="27" t="n">
        <x:f>J619*(1-I619*(1-'Carrier Engine'!E93))</x:f>
        <x:v>10683.71383413683</x:v>
      </x:c>
      <x:c r="M619" s="29" t="n">
        <x:f>NORM.S.DIST((LN(L619)-K619)/'Assumptions'!$D$10,TRUE)</x:f>
        <x:v>0.8032596960589325</x:v>
      </x:c>
      <x:c r="N619" s="30" t="n">
        <x:f>MAX(0,H619-MAX(G619,M619))</x:f>
        <x:v>0</x:v>
      </x:c>
      <x:c r="O619" s="28" t="n">
        <x:f>J619*I619</x:f>
        <x:v>6045.311325900471</x:v>
      </x:c>
      <x:c r="P619" s="27" t="n">
        <x:f>(VLOOKUP(O619,'Fee Data'!$C$6:$G$50,2,TRUE)+O619*VLOOKUP(O619,'Fee Data'!$C$6:$G$50,3,TRUE)+VLOOKUP(O619,'Fee Data'!$I$6:$J$14,2,TRUE)+'Fee Data'!$J$20+'Fee Data'!$J$21)*'Assumptions'!F37</x:f>
        <x:v>1060</x:v>
      </x:c>
      <x:c r="Q619" s="27" t="n">
        <x:f>(VLOOKUP(O619,'Fee Data'!$C$6:$G$50,4,TRUE)+O619*VLOOKUP(O619,'Fee Data'!$C$6:$G$50,5,TRUE)+VLOOKUP(O619,'Fee Data'!$I$6:$J$14,2,TRUE)+'Fee Data'!$J$20+'Fee Data'!$J$21)*'Assumptions'!F37</x:f>
        <x:v>935</x:v>
      </x:c>
      <x:c r="R619" s="27" t="n">
        <x:f>P619*(1-'Assumptions'!$D$14)+Q619*'Assumptions'!$D$14</x:f>
        <x:v>997.5</x:v>
      </x:c>
      <x:c r="S619" s="27" t="n">
        <x:f>O619*'Carrier Engine'!E93</x:f>
        <x:v>241.81245303601887</x:v>
      </x:c>
      <x:c r="T619" s="28" t="n">
        <x:f>R619+S619</x:f>
        <x:v>1239.312453036019</x:v>
      </x:c>
      <x:c r="U619" s="27" t="n">
        <x:f>N619*'Fleet Engine'!H214</x:f>
        <x:v>0</x:v>
      </x:c>
      <x:c r="V619" s="28" t="n">
        <x:f>U619*T619</x:f>
        <x:v>0</x:v>
      </x:c>
      <x:c r="W619" s="28" t="n">
        <x:f>U619*O619</x:f>
        <x:v>0</x:v>
      </x:c>
    </x:row>
    <x:row r="620" ht="19" customHeight="1">
      <x:c r="A620" s="2"/>
      <x:c r="B620" s="2"/>
      <x:c r="C620" s="46" t="n">
        <x:v>2</x:v>
      </x:c>
      <x:c r="D620" s="46" t="n">
        <x:v>20</x:v>
      </x:c>
      <x:c r="E620" s="46" t="n">
        <x:v>3</x:v>
      </x:c>
      <x:c r="F620" s="46" t="n">
        <x:v>2</x:v>
      </x:c>
      <x:c r="G620" s="12" t="n">
        <x:v>0.2222222222222222</x:v>
      </x:c>
      <x:c r="H620" s="12" t="n">
        <x:v>0.3333333333333333</x:v>
      </x:c>
      <x:c r="I620" s="29" t="n">
        <x:f>'Assumptions'!$D$11+'Assumptions'!$D$12*(0.5-(G620+H620)/2)</x:f>
        <x:v>0.34444444444444444</x:v>
      </x:c>
      <x:c r="J620" s="27" t="n">
        <x:f>'Assumptions'!$D$8*EXP(-'Assumptions'!$D$9*('Fleet Engine'!E214-10))*'Assumptions'!E58*'Assumptions'!F36</x:f>
        <x:v>16487.212707001283</x:v>
      </x:c>
      <x:c r="K620" s="27" t="n">
        <x:f>'Source Data'!F219+LN('Assumptions'!D58)+LN('Assumptions'!F35)</x:f>
        <x:v>7.936584069520856</x:v>
      </x:c>
      <x:c r="L620" s="27" t="n">
        <x:f>J620*(1-I620*(1-'Carrier Engine'!E93))</x:f>
        <x:v>11035.441038552859</x:v>
      </x:c>
      <x:c r="M620" s="29" t="n">
        <x:f>NORM.S.DIST((LN(L620)-K620)/'Assumptions'!$D$10,TRUE)</x:f>
        <x:v>0.8089275577472801</x:v>
      </x:c>
      <x:c r="N620" s="30" t="n">
        <x:f>MAX(0,H620-MAX(G620,M620))</x:f>
        <x:v>0</x:v>
      </x:c>
      <x:c r="O620" s="28" t="n">
        <x:f>J620*I620</x:f>
        <x:v>5678.928821300442</x:v>
      </x:c>
      <x:c r="P620" s="27" t="n">
        <x:f>(VLOOKUP(O620,'Fee Data'!$C$6:$G$50,2,TRUE)+O620*VLOOKUP(O620,'Fee Data'!$C$6:$G$50,3,TRUE)+VLOOKUP(O620,'Fee Data'!$I$6:$J$14,2,TRUE)+'Fee Data'!$J$20+'Fee Data'!$J$21)*'Assumptions'!F37</x:f>
        <x:v>1020</x:v>
      </x:c>
      <x:c r="Q620" s="27" t="n">
        <x:f>(VLOOKUP(O620,'Fee Data'!$C$6:$G$50,4,TRUE)+O620*VLOOKUP(O620,'Fee Data'!$C$6:$G$50,5,TRUE)+VLOOKUP(O620,'Fee Data'!$I$6:$J$14,2,TRUE)+'Fee Data'!$J$20+'Fee Data'!$J$21)*'Assumptions'!F37</x:f>
        <x:v>895</x:v>
      </x:c>
      <x:c r="R620" s="27" t="n">
        <x:f>P620*(1-'Assumptions'!$D$14)+Q620*'Assumptions'!$D$14</x:f>
        <x:v>957.5</x:v>
      </x:c>
      <x:c r="S620" s="27" t="n">
        <x:f>O620*'Carrier Engine'!E93</x:f>
        <x:v>227.15715285201767</x:v>
      </x:c>
      <x:c r="T620" s="28" t="n">
        <x:f>R620+S620</x:f>
        <x:v>1184.6571528520176</x:v>
      </x:c>
      <x:c r="U620" s="27" t="n">
        <x:f>N620*'Fleet Engine'!H214</x:f>
        <x:v>0</x:v>
      </x:c>
      <x:c r="V620" s="28" t="n">
        <x:f>U620*T620</x:f>
        <x:v>0</x:v>
      </x:c>
      <x:c r="W620" s="28" t="n">
        <x:f>U620*O620</x:f>
        <x:v>0</x:v>
      </x:c>
    </x:row>
    <x:row r="621" ht="19" customHeight="1">
      <x:c r="A621" s="2"/>
      <x:c r="B621" s="2"/>
      <x:c r="C621" s="46" t="n">
        <x:v>2</x:v>
      </x:c>
      <x:c r="D621" s="46" t="n">
        <x:v>20</x:v>
      </x:c>
      <x:c r="E621" s="46" t="n">
        <x:v>3</x:v>
      </x:c>
      <x:c r="F621" s="46" t="n">
        <x:v>2</x:v>
      </x:c>
      <x:c r="G621" s="12" t="n">
        <x:v>0.3333333333333333</x:v>
      </x:c>
      <x:c r="H621" s="12" t="n">
        <x:v>0.4444444444444444</x:v>
      </x:c>
      <x:c r="I621" s="29" t="n">
        <x:f>'Assumptions'!$D$11+'Assumptions'!$D$12*(0.5-(G621+H621)/2)</x:f>
        <x:v>0.32222222222222224</x:v>
      </x:c>
      <x:c r="J621" s="27" t="n">
        <x:f>'Assumptions'!$D$8*EXP(-'Assumptions'!$D$9*('Fleet Engine'!E214-10))*'Assumptions'!E58*'Assumptions'!F36</x:f>
        <x:v>16487.212707001283</x:v>
      </x:c>
      <x:c r="K621" s="27" t="n">
        <x:f>'Source Data'!F219+LN('Assumptions'!D58)+LN('Assumptions'!F35)</x:f>
        <x:v>7.936584069520856</x:v>
      </x:c>
      <x:c r="L621" s="27" t="n">
        <x:f>J621*(1-I621*(1-'Carrier Engine'!E93))</x:f>
        <x:v>11387.168242968886</x:v>
      </x:c>
      <x:c r="M621" s="29" t="n">
        <x:f>NORM.S.DIST((LN(L621)-K621)/'Assumptions'!$D$10,TRUE)</x:f>
        <x:v>0.8143210319055623</x:v>
      </x:c>
      <x:c r="N621" s="30" t="n">
        <x:f>MAX(0,H621-MAX(G621,M621))</x:f>
        <x:v>0</x:v>
      </x:c>
      <x:c r="O621" s="28" t="n">
        <x:f>J621*I621</x:f>
        <x:v>5312.546316700414</x:v>
      </x:c>
      <x:c r="P621" s="27" t="n">
        <x:f>(VLOOKUP(O621,'Fee Data'!$C$6:$G$50,2,TRUE)+O621*VLOOKUP(O621,'Fee Data'!$C$6:$G$50,3,TRUE)+VLOOKUP(O621,'Fee Data'!$I$6:$J$14,2,TRUE)+'Fee Data'!$J$20+'Fee Data'!$J$21)*'Assumptions'!F37</x:f>
        <x:v>995</x:v>
      </x:c>
      <x:c r="Q621" s="27" t="n">
        <x:f>(VLOOKUP(O621,'Fee Data'!$C$6:$G$50,4,TRUE)+O621*VLOOKUP(O621,'Fee Data'!$C$6:$G$50,5,TRUE)+VLOOKUP(O621,'Fee Data'!$I$6:$J$14,2,TRUE)+'Fee Data'!$J$20+'Fee Data'!$J$21)*'Assumptions'!F37</x:f>
        <x:v>870</x:v>
      </x:c>
      <x:c r="R621" s="27" t="n">
        <x:f>P621*(1-'Assumptions'!$D$14)+Q621*'Assumptions'!$D$14</x:f>
        <x:v>932.5</x:v>
      </x:c>
      <x:c r="S621" s="27" t="n">
        <x:f>O621*'Carrier Engine'!E93</x:f>
        <x:v>212.50185266801654</x:v>
      </x:c>
      <x:c r="T621" s="28" t="n">
        <x:f>R621+S621</x:f>
        <x:v>1145.0018526680165</x:v>
      </x:c>
      <x:c r="U621" s="27" t="n">
        <x:f>N621*'Fleet Engine'!H214</x:f>
        <x:v>0</x:v>
      </x:c>
      <x:c r="V621" s="28" t="n">
        <x:f>U621*T621</x:f>
        <x:v>0</x:v>
      </x:c>
      <x:c r="W621" s="28" t="n">
        <x:f>U621*O621</x:f>
        <x:v>0</x:v>
      </x:c>
    </x:row>
    <x:row r="622" ht="19" customHeight="1">
      <x:c r="A622" s="2"/>
      <x:c r="B622" s="2"/>
      <x:c r="C622" s="46" t="n">
        <x:v>2</x:v>
      </x:c>
      <x:c r="D622" s="46" t="n">
        <x:v>20</x:v>
      </x:c>
      <x:c r="E622" s="46" t="n">
        <x:v>3</x:v>
      </x:c>
      <x:c r="F622" s="46" t="n">
        <x:v>2</x:v>
      </x:c>
      <x:c r="G622" s="12" t="n">
        <x:v>0.4444444444444444</x:v>
      </x:c>
      <x:c r="H622" s="12" t="n">
        <x:v>0.5555555555555556</x:v>
      </x:c>
      <x:c r="I622" s="29" t="n">
        <x:f>'Assumptions'!$D$11+'Assumptions'!$D$12*(0.5-(G622+H622)/2)</x:f>
        <x:v>0.3</x:v>
      </x:c>
      <x:c r="J622" s="27" t="n">
        <x:f>'Assumptions'!$D$8*EXP(-'Assumptions'!$D$9*('Fleet Engine'!E214-10))*'Assumptions'!E58*'Assumptions'!F36</x:f>
        <x:v>16487.212707001283</x:v>
      </x:c>
      <x:c r="K622" s="27" t="n">
        <x:f>'Source Data'!F219+LN('Assumptions'!D58)+LN('Assumptions'!F35)</x:f>
        <x:v>7.936584069520856</x:v>
      </x:c>
      <x:c r="L622" s="27" t="n">
        <x:f>J622*(1-I622*(1-'Carrier Engine'!E93))</x:f>
        <x:v>11738.895447384913</x:v>
      </x:c>
      <x:c r="M622" s="29" t="n">
        <x:f>NORM.S.DIST((LN(L622)-K622)/'Assumptions'!$D$10,TRUE)</x:f>
        <x:v>0.8194592567333258</x:v>
      </x:c>
      <x:c r="N622" s="30" t="n">
        <x:f>MAX(0,H622-MAX(G622,M622))</x:f>
        <x:v>0</x:v>
      </x:c>
      <x:c r="O622" s="28" t="n">
        <x:f>J622*I622</x:f>
        <x:v>4946.163812100384</x:v>
      </x:c>
      <x:c r="P622" s="27" t="n">
        <x:f>(VLOOKUP(O622,'Fee Data'!$C$6:$G$50,2,TRUE)+O622*VLOOKUP(O622,'Fee Data'!$C$6:$G$50,3,TRUE)+VLOOKUP(O622,'Fee Data'!$I$6:$J$14,2,TRUE)+'Fee Data'!$J$20+'Fee Data'!$J$21)*'Assumptions'!F37</x:f>
        <x:v>970</x:v>
      </x:c>
      <x:c r="Q622" s="27" t="n">
        <x:f>(VLOOKUP(O622,'Fee Data'!$C$6:$G$50,4,TRUE)+O622*VLOOKUP(O622,'Fee Data'!$C$6:$G$50,5,TRUE)+VLOOKUP(O622,'Fee Data'!$I$6:$J$14,2,TRUE)+'Fee Data'!$J$20+'Fee Data'!$J$21)*'Assumptions'!F37</x:f>
        <x:v>845</x:v>
      </x:c>
      <x:c r="R622" s="27" t="n">
        <x:f>P622*(1-'Assumptions'!$D$14)+Q622*'Assumptions'!$D$14</x:f>
        <x:v>907.5</x:v>
      </x:c>
      <x:c r="S622" s="27" t="n">
        <x:f>O622*'Carrier Engine'!E93</x:f>
        <x:v>197.84655248401538</x:v>
      </x:c>
      <x:c r="T622" s="28" t="n">
        <x:f>R622+S622</x:f>
        <x:v>1105.3465524840153</x:v>
      </x:c>
      <x:c r="U622" s="27" t="n">
        <x:f>N622*'Fleet Engine'!H214</x:f>
        <x:v>0</x:v>
      </x:c>
      <x:c r="V622" s="28" t="n">
        <x:f>U622*T622</x:f>
        <x:v>0</x:v>
      </x:c>
      <x:c r="W622" s="28" t="n">
        <x:f>U622*O622</x:f>
        <x:v>0</x:v>
      </x:c>
    </x:row>
    <x:row r="623" ht="19" customHeight="1">
      <x:c r="A623" s="2"/>
      <x:c r="B623" s="2"/>
      <x:c r="C623" s="46" t="n">
        <x:v>2</x:v>
      </x:c>
      <x:c r="D623" s="46" t="n">
        <x:v>20</x:v>
      </x:c>
      <x:c r="E623" s="46" t="n">
        <x:v>3</x:v>
      </x:c>
      <x:c r="F623" s="46" t="n">
        <x:v>2</x:v>
      </x:c>
      <x:c r="G623" s="12" t="n">
        <x:v>0.5555555555555556</x:v>
      </x:c>
      <x:c r="H623" s="12" t="n">
        <x:v>0.6666666666666666</x:v>
      </x:c>
      <x:c r="I623" s="29" t="n">
        <x:f>'Assumptions'!$D$11+'Assumptions'!$D$12*(0.5-(G623+H623)/2)</x:f>
        <x:v>0.27777777777777773</x:v>
      </x:c>
      <x:c r="J623" s="27" t="n">
        <x:f>'Assumptions'!$D$8*EXP(-'Assumptions'!$D$9*('Fleet Engine'!E214-10))*'Assumptions'!E58*'Assumptions'!F36</x:f>
        <x:v>16487.212707001283</x:v>
      </x:c>
      <x:c r="K623" s="27" t="n">
        <x:f>'Source Data'!F219+LN('Assumptions'!D58)+LN('Assumptions'!F35)</x:f>
        <x:v>7.936584069520856</x:v>
      </x:c>
      <x:c r="L623" s="27" t="n">
        <x:f>J623*(1-I623*(1-'Carrier Engine'!E93))</x:f>
        <x:v>12090.622651800943</x:v>
      </x:c>
      <x:c r="M623" s="29" t="n">
        <x:f>NORM.S.DIST((LN(L623)-K623)/'Assumptions'!$D$10,TRUE)</x:f>
        <x:v>0.824359618018476</x:v>
      </x:c>
      <x:c r="N623" s="30" t="n">
        <x:f>MAX(0,H623-MAX(G623,M623))</x:f>
        <x:v>0</x:v>
      </x:c>
      <x:c r="O623" s="28" t="n">
        <x:f>J623*I623</x:f>
        <x:v>4579.781307500356</x:v>
      </x:c>
      <x:c r="P623" s="27" t="n">
        <x:f>(VLOOKUP(O623,'Fee Data'!$C$6:$G$50,2,TRUE)+O623*VLOOKUP(O623,'Fee Data'!$C$6:$G$50,3,TRUE)+VLOOKUP(O623,'Fee Data'!$I$6:$J$14,2,TRUE)+'Fee Data'!$J$20+'Fee Data'!$J$21)*'Assumptions'!F37</x:f>
        <x:v>970</x:v>
      </x:c>
      <x:c r="Q623" s="27" t="n">
        <x:f>(VLOOKUP(O623,'Fee Data'!$C$6:$G$50,4,TRUE)+O623*VLOOKUP(O623,'Fee Data'!$C$6:$G$50,5,TRUE)+VLOOKUP(O623,'Fee Data'!$I$6:$J$14,2,TRUE)+'Fee Data'!$J$20+'Fee Data'!$J$21)*'Assumptions'!F37</x:f>
        <x:v>845</x:v>
      </x:c>
      <x:c r="R623" s="27" t="n">
        <x:f>P623*(1-'Assumptions'!$D$14)+Q623*'Assumptions'!$D$14</x:f>
        <x:v>907.5</x:v>
      </x:c>
      <x:c r="S623" s="27" t="n">
        <x:f>O623*'Carrier Engine'!E93</x:f>
        <x:v>183.19125230001424</x:v>
      </x:c>
      <x:c r="T623" s="28" t="n">
        <x:f>R623+S623</x:f>
        <x:v>1090.6912523000142</x:v>
      </x:c>
      <x:c r="U623" s="27" t="n">
        <x:f>N623*'Fleet Engine'!H214</x:f>
        <x:v>0</x:v>
      </x:c>
      <x:c r="V623" s="28" t="n">
        <x:f>U623*T623</x:f>
        <x:v>0</x:v>
      </x:c>
      <x:c r="W623" s="28" t="n">
        <x:f>U623*O623</x:f>
        <x:v>0</x:v>
      </x:c>
    </x:row>
    <x:row r="624" ht="19" customHeight="1">
      <x:c r="A624" s="2"/>
      <x:c r="B624" s="2"/>
      <x:c r="C624" s="46" t="n">
        <x:v>2</x:v>
      </x:c>
      <x:c r="D624" s="46" t="n">
        <x:v>20</x:v>
      </x:c>
      <x:c r="E624" s="46" t="n">
        <x:v>3</x:v>
      </x:c>
      <x:c r="F624" s="46" t="n">
        <x:v>2</x:v>
      </x:c>
      <x:c r="G624" s="12" t="n">
        <x:v>0.6666666666666666</x:v>
      </x:c>
      <x:c r="H624" s="12" t="n">
        <x:v>0.7777777777777778</x:v>
      </x:c>
      <x:c r="I624" s="29" t="n">
        <x:f>'Assumptions'!$D$11+'Assumptions'!$D$12*(0.5-(G624+H624)/2)</x:f>
        <x:v>0.25555555555555554</x:v>
      </x:c>
      <x:c r="J624" s="27" t="n">
        <x:f>'Assumptions'!$D$8*EXP(-'Assumptions'!$D$9*('Fleet Engine'!E214-10))*'Assumptions'!E58*'Assumptions'!F36</x:f>
        <x:v>16487.212707001283</x:v>
      </x:c>
      <x:c r="K624" s="27" t="n">
        <x:f>'Source Data'!F219+LN('Assumptions'!D58)+LN('Assumptions'!F35)</x:f>
        <x:v>7.936584069520856</x:v>
      </x:c>
      <x:c r="L624" s="27" t="n">
        <x:f>J624*(1-I624*(1-'Carrier Engine'!E93))</x:f>
        <x:v>12442.34985621697</x:v>
      </x:c>
      <x:c r="M624" s="29" t="n">
        <x:f>NORM.S.DIST((LN(L624)-K624)/'Assumptions'!$D$10,TRUE)</x:f>
        <x:v>0.8290379475487466</x:v>
      </x:c>
      <x:c r="N624" s="30" t="n">
        <x:f>MAX(0,H624-MAX(G624,M624))</x:f>
        <x:v>0</x:v>
      </x:c>
      <x:c r="O624" s="28" t="n">
        <x:f>J624*I624</x:f>
        <x:v>4213.398802900328</x:v>
      </x:c>
      <x:c r="P624" s="27" t="n">
        <x:f>(VLOOKUP(O624,'Fee Data'!$C$6:$G$50,2,TRUE)+O624*VLOOKUP(O624,'Fee Data'!$C$6:$G$50,3,TRUE)+VLOOKUP(O624,'Fee Data'!$I$6:$J$14,2,TRUE)+'Fee Data'!$J$20+'Fee Data'!$J$21)*'Assumptions'!F37</x:f>
        <x:v>945</x:v>
      </x:c>
      <x:c r="Q624" s="27" t="n">
        <x:f>(VLOOKUP(O624,'Fee Data'!$C$6:$G$50,4,TRUE)+O624*VLOOKUP(O624,'Fee Data'!$C$6:$G$50,5,TRUE)+VLOOKUP(O624,'Fee Data'!$I$6:$J$14,2,TRUE)+'Fee Data'!$J$20+'Fee Data'!$J$21)*'Assumptions'!F37</x:f>
        <x:v>820</x:v>
      </x:c>
      <x:c r="R624" s="27" t="n">
        <x:f>P624*(1-'Assumptions'!$D$14)+Q624*'Assumptions'!$D$14</x:f>
        <x:v>882.5</x:v>
      </x:c>
      <x:c r="S624" s="27" t="n">
        <x:f>O624*'Carrier Engine'!E93</x:f>
        <x:v>168.5359521160131</x:v>
      </x:c>
      <x:c r="T624" s="28" t="n">
        <x:f>R624+S624</x:f>
        <x:v>1051.035952116013</x:v>
      </x:c>
      <x:c r="U624" s="27" t="n">
        <x:f>N624*'Fleet Engine'!H214</x:f>
        <x:v>0</x:v>
      </x:c>
      <x:c r="V624" s="28" t="n">
        <x:f>U624*T624</x:f>
        <x:v>0</x:v>
      </x:c>
      <x:c r="W624" s="28" t="n">
        <x:f>U624*O624</x:f>
        <x:v>0</x:v>
      </x:c>
    </x:row>
    <x:row r="625" ht="19" customHeight="1">
      <x:c r="A625" s="2"/>
      <x:c r="B625" s="2"/>
      <x:c r="C625" s="46" t="n">
        <x:v>2</x:v>
      </x:c>
      <x:c r="D625" s="46" t="n">
        <x:v>20</x:v>
      </x:c>
      <x:c r="E625" s="46" t="n">
        <x:v>3</x:v>
      </x:c>
      <x:c r="F625" s="46" t="n">
        <x:v>2</x:v>
      </x:c>
      <x:c r="G625" s="12" t="n">
        <x:v>0.7777777777777778</x:v>
      </x:c>
      <x:c r="H625" s="12" t="n">
        <x:v>0.8888888888888888</x:v>
      </x:c>
      <x:c r="I625" s="29" t="n">
        <x:f>'Assumptions'!$D$11+'Assumptions'!$D$12*(0.5-(G625+H625)/2)</x:f>
        <x:v>0.23333333333333334</x:v>
      </x:c>
      <x:c r="J625" s="27" t="n">
        <x:f>'Assumptions'!$D$8*EXP(-'Assumptions'!$D$9*('Fleet Engine'!E214-10))*'Assumptions'!E58*'Assumptions'!F36</x:f>
        <x:v>16487.212707001283</x:v>
      </x:c>
      <x:c r="K625" s="27" t="n">
        <x:f>'Source Data'!F219+LN('Assumptions'!D58)+LN('Assumptions'!F35)</x:f>
        <x:v>7.936584069520856</x:v>
      </x:c>
      <x:c r="L625" s="27" t="n">
        <x:f>J625*(1-I625*(1-'Carrier Engine'!E93))</x:f>
        <x:v>12794.077060632995</x:v>
      </x:c>
      <x:c r="M625" s="29" t="n">
        <x:f>NORM.S.DIST((LN(L625)-K625)/'Assumptions'!$D$10,TRUE)</x:f>
        <x:v>0.8335086948581082</x:v>
      </x:c>
      <x:c r="N625" s="30" t="n">
        <x:f>MAX(0,H625-MAX(G625,M625))</x:f>
        <x:v>0.05538019403078065</x:v>
      </x:c>
      <x:c r="O625" s="28" t="n">
        <x:f>J625*I625</x:f>
        <x:v>3847.0162983002992</x:v>
      </x:c>
      <x:c r="P625" s="27" t="n">
        <x:f>(VLOOKUP(O625,'Fee Data'!$C$6:$G$50,2,TRUE)+O625*VLOOKUP(O625,'Fee Data'!$C$6:$G$50,3,TRUE)+VLOOKUP(O625,'Fee Data'!$I$6:$J$14,2,TRUE)+'Fee Data'!$J$20+'Fee Data'!$J$21)*'Assumptions'!F37</x:f>
        <x:v>915</x:v>
      </x:c>
      <x:c r="Q625" s="27" t="n">
        <x:f>(VLOOKUP(O625,'Fee Data'!$C$6:$G$50,4,TRUE)+O625*VLOOKUP(O625,'Fee Data'!$C$6:$G$50,5,TRUE)+VLOOKUP(O625,'Fee Data'!$I$6:$J$14,2,TRUE)+'Fee Data'!$J$20+'Fee Data'!$J$21)*'Assumptions'!F37</x:f>
        <x:v>765</x:v>
      </x:c>
      <x:c r="R625" s="27" t="n">
        <x:f>P625*(1-'Assumptions'!$D$14)+Q625*'Assumptions'!$D$14</x:f>
        <x:v>840</x:v>
      </x:c>
      <x:c r="S625" s="27" t="n">
        <x:f>O625*'Carrier Engine'!E93</x:f>
        <x:v>153.88065193201197</x:v>
      </x:c>
      <x:c r="T625" s="28" t="n">
        <x:f>R625+S625</x:f>
        <x:v>993.8806519320119</x:v>
      </x:c>
      <x:c r="U625" s="27" t="n">
        <x:f>N625*'Fleet Engine'!H214</x:f>
        <x:v>146.60525673372138</x:v>
      </x:c>
      <x:c r="V625" s="28" t="n">
        <x:f>U625*T625</x:f>
        <x:v>145708.128139171</x:v>
      </x:c>
      <x:c r="W625" s="28" t="n">
        <x:f>U625*O625</x:f>
        <x:v>563992.8120711258</x:v>
      </x:c>
    </x:row>
    <x:row r="626" ht="19" customHeight="1">
      <x:c r="A626" s="2"/>
      <x:c r="B626" s="2"/>
      <x:c r="C626" s="46" t="n">
        <x:v>2</x:v>
      </x:c>
      <x:c r="D626" s="46" t="n">
        <x:v>20</x:v>
      </x:c>
      <x:c r="E626" s="46" t="n">
        <x:v>3</x:v>
      </x:c>
      <x:c r="F626" s="46" t="n">
        <x:v>2</x:v>
      </x:c>
      <x:c r="G626" s="12" t="n">
        <x:v>0.8888888888888888</x:v>
      </x:c>
      <x:c r="H626" s="12" t="n">
        <x:v>1</x:v>
      </x:c>
      <x:c r="I626" s="29" t="n">
        <x:f>'Assumptions'!$D$11+'Assumptions'!$D$12*(0.5-(G626+H626)/2)</x:f>
        <x:v>0.21111111111111108</x:v>
      </x:c>
      <x:c r="J626" s="27" t="n">
        <x:f>'Assumptions'!$D$8*EXP(-'Assumptions'!$D$9*('Fleet Engine'!E214-10))*'Assumptions'!E58*'Assumptions'!F36</x:f>
        <x:v>16487.212707001283</x:v>
      </x:c>
      <x:c r="K626" s="27" t="n">
        <x:f>'Source Data'!F219+LN('Assumptions'!D58)+LN('Assumptions'!F35)</x:f>
        <x:v>7.936584069520856</x:v>
      </x:c>
      <x:c r="L626" s="27" t="n">
        <x:f>J626*(1-I626*(1-'Carrier Engine'!E93))</x:f>
        <x:v>13145.804265049022</x:v>
      </x:c>
      <x:c r="M626" s="29" t="n">
        <x:f>NORM.S.DIST((LN(L626)-K626)/'Assumptions'!$D$10,TRUE)</x:f>
        <x:v>0.8377850764390044</x:v>
      </x:c>
      <x:c r="N626" s="30" t="n">
        <x:f>MAX(0,H626-MAX(G626,M626))</x:f>
        <x:v>0.11111111111111116</x:v>
      </x:c>
      <x:c r="O626" s="28" t="n">
        <x:f>J626*I626</x:f>
        <x:v>3480.6337937002704</x:v>
      </x:c>
      <x:c r="P626" s="27" t="n">
        <x:f>(VLOOKUP(O626,'Fee Data'!$C$6:$G$50,2,TRUE)+O626*VLOOKUP(O626,'Fee Data'!$C$6:$G$50,3,TRUE)+VLOOKUP(O626,'Fee Data'!$I$6:$J$14,2,TRUE)+'Fee Data'!$J$20+'Fee Data'!$J$21)*'Assumptions'!F37</x:f>
        <x:v>865</x:v>
      </x:c>
      <x:c r="Q626" s="27" t="n">
        <x:f>(VLOOKUP(O626,'Fee Data'!$C$6:$G$50,4,TRUE)+O626*VLOOKUP(O626,'Fee Data'!$C$6:$G$50,5,TRUE)+VLOOKUP(O626,'Fee Data'!$I$6:$J$14,2,TRUE)+'Fee Data'!$J$20+'Fee Data'!$J$21)*'Assumptions'!F37</x:f>
        <x:v>715</x:v>
      </x:c>
      <x:c r="R626" s="27" t="n">
        <x:f>P626*(1-'Assumptions'!$D$14)+Q626*'Assumptions'!$D$14</x:f>
        <x:v>790</x:v>
      </x:c>
      <x:c r="S626" s="27" t="n">
        <x:f>O626*'Carrier Engine'!E93</x:f>
        <x:v>139.2253517480108</x:v>
      </x:c>
      <x:c r="T626" s="28" t="n">
        <x:f>R626+S626</x:f>
        <x:v>929.2253517480108</x:v>
      </x:c>
      <x:c r="U626" s="27" t="n">
        <x:f>N626*'Fleet Engine'!H214</x:f>
        <x:v>294.1389653015608</x:v>
      </x:c>
      <x:c r="V626" s="28" t="n">
        <x:f>U626*T626</x:f>
        <x:v>273321.3834951388</x:v>
      </x:c>
      <x:c r="W626" s="28" t="n">
        <x:f>U626*O626</x:f>
        <x:v>1023790.0226726438</x:v>
      </x:c>
    </x:row>
    <x:row r="627" ht="19" customHeight="1">
      <x:c r="A627" s="2"/>
      <x:c r="B627" s="2"/>
      <x:c r="C627" s="46" t="n">
        <x:v>2</x:v>
      </x:c>
      <x:c r="D627" s="46" t="n">
        <x:v>21</x:v>
      </x:c>
      <x:c r="E627" s="46" t="n">
        <x:v>3</x:v>
      </x:c>
      <x:c r="F627" s="46" t="n">
        <x:v>3</x:v>
      </x:c>
      <x:c r="G627" s="12" t="n">
        <x:v>0</x:v>
      </x:c>
      <x:c r="H627" s="12" t="n">
        <x:v>0.1111111111111111</x:v>
      </x:c>
      <x:c r="I627" s="29" t="n">
        <x:f>'Assumptions'!$D$11+'Assumptions'!$D$12*(0.5-(G627+H627)/2)</x:f>
        <x:v>0.3888888888888889</x:v>
      </x:c>
      <x:c r="J627" s="27" t="n">
        <x:f>'Assumptions'!$D$8*EXP(-'Assumptions'!$D$9*('Fleet Engine'!E215-10))*'Assumptions'!E58*'Assumptions'!F36</x:f>
        <x:v>12214.027581601698</x:v>
      </x:c>
      <x:c r="K627" s="27" t="n">
        <x:f>'Source Data'!F220+LN('Assumptions'!D58)+LN('Assumptions'!F35)</x:f>
        <x:v>8.04371664078851</x:v>
      </x:c>
      <x:c r="L627" s="27" t="n">
        <x:f>J627*(1-I627*(1-'Carrier Engine'!E93))</x:f>
        <x:v>7654.123951137065</x:v>
      </x:c>
      <x:c r="M627" s="29" t="n">
        <x:f>NORM.S.DIST((LN(L627)-K627)/'Assumptions'!$D$10,TRUE)</x:f>
        <x:v>0.7165817467781002</x:v>
      </x:c>
      <x:c r="N627" s="30" t="n">
        <x:f>MAX(0,H627-MAX(G627,M627))</x:f>
        <x:v>0</x:v>
      </x:c>
      <x:c r="O627" s="28" t="n">
        <x:f>J627*I627</x:f>
        <x:v>4749.899615067327</x:v>
      </x:c>
      <x:c r="P627" s="27" t="n">
        <x:f>(VLOOKUP(O627,'Fee Data'!$C$6:$G$50,2,TRUE)+O627*VLOOKUP(O627,'Fee Data'!$C$6:$G$50,3,TRUE)+VLOOKUP(O627,'Fee Data'!$I$6:$J$14,2,TRUE)+'Fee Data'!$J$20+'Fee Data'!$J$21)*'Assumptions'!F37</x:f>
        <x:v>970</x:v>
      </x:c>
      <x:c r="Q627" s="27" t="n">
        <x:f>(VLOOKUP(O627,'Fee Data'!$C$6:$G$50,4,TRUE)+O627*VLOOKUP(O627,'Fee Data'!$C$6:$G$50,5,TRUE)+VLOOKUP(O627,'Fee Data'!$I$6:$J$14,2,TRUE)+'Fee Data'!$J$20+'Fee Data'!$J$21)*'Assumptions'!F37</x:f>
        <x:v>845</x:v>
      </x:c>
      <x:c r="R627" s="27" t="n">
        <x:f>P627*(1-'Assumptions'!$D$14)+Q627*'Assumptions'!$D$14</x:f>
        <x:v>907.5</x:v>
      </x:c>
      <x:c r="S627" s="27" t="n">
        <x:f>O627*'Carrier Engine'!E93</x:f>
        <x:v>189.9959846026931</x:v>
      </x:c>
      <x:c r="T627" s="28" t="n">
        <x:f>R627+S627</x:f>
        <x:v>1097.4959846026932</x:v>
      </x:c>
      <x:c r="U627" s="27" t="n">
        <x:f>N627*'Fleet Engine'!H215</x:f>
        <x:v>0</x:v>
      </x:c>
      <x:c r="V627" s="28" t="n">
        <x:f>U627*T627</x:f>
        <x:v>0</x:v>
      </x:c>
      <x:c r="W627" s="28" t="n">
        <x:f>U627*O627</x:f>
        <x:v>0</x:v>
      </x:c>
    </x:row>
    <x:row r="628" ht="19" customHeight="1">
      <x:c r="A628" s="2"/>
      <x:c r="B628" s="2"/>
      <x:c r="C628" s="46" t="n">
        <x:v>2</x:v>
      </x:c>
      <x:c r="D628" s="46" t="n">
        <x:v>21</x:v>
      </x:c>
      <x:c r="E628" s="46" t="n">
        <x:v>3</x:v>
      </x:c>
      <x:c r="F628" s="46" t="n">
        <x:v>3</x:v>
      </x:c>
      <x:c r="G628" s="12" t="n">
        <x:v>0.1111111111111111</x:v>
      </x:c>
      <x:c r="H628" s="12" t="n">
        <x:v>0.2222222222222222</x:v>
      </x:c>
      <x:c r="I628" s="29" t="n">
        <x:f>'Assumptions'!$D$11+'Assumptions'!$D$12*(0.5-(G628+H628)/2)</x:f>
        <x:v>0.3666666666666667</x:v>
      </x:c>
      <x:c r="J628" s="27" t="n">
        <x:f>'Assumptions'!$D$8*EXP(-'Assumptions'!$D$9*('Fleet Engine'!E215-10))*'Assumptions'!E58*'Assumptions'!F36</x:f>
        <x:v>12214.027581601698</x:v>
      </x:c>
      <x:c r="K628" s="27" t="n">
        <x:f>'Source Data'!F220+LN('Assumptions'!D58)+LN('Assumptions'!F35)</x:f>
        <x:v>8.04371664078851</x:v>
      </x:c>
      <x:c r="L628" s="27" t="n">
        <x:f>J628*(1-I628*(1-'Carrier Engine'!E93))</x:f>
        <x:v>7914.6898728779</x:v>
      </x:c>
      <x:c r="M628" s="29" t="n">
        <x:f>NORM.S.DIST((LN(L628)-K628)/'Assumptions'!$D$10,TRUE)</x:f>
        <x:v>0.7237560438609862</x:v>
      </x:c>
      <x:c r="N628" s="30" t="n">
        <x:f>MAX(0,H628-MAX(G628,M628))</x:f>
        <x:v>0</x:v>
      </x:c>
      <x:c r="O628" s="28" t="n">
        <x:f>J628*I628</x:f>
        <x:v>4478.476779920623</x:v>
      </x:c>
      <x:c r="P628" s="27" t="n">
        <x:f>(VLOOKUP(O628,'Fee Data'!$C$6:$G$50,2,TRUE)+O628*VLOOKUP(O628,'Fee Data'!$C$6:$G$50,3,TRUE)+VLOOKUP(O628,'Fee Data'!$I$6:$J$14,2,TRUE)+'Fee Data'!$J$20+'Fee Data'!$J$21)*'Assumptions'!F37</x:f>
        <x:v>945</x:v>
      </x:c>
      <x:c r="Q628" s="27" t="n">
        <x:f>(VLOOKUP(O628,'Fee Data'!$C$6:$G$50,4,TRUE)+O628*VLOOKUP(O628,'Fee Data'!$C$6:$G$50,5,TRUE)+VLOOKUP(O628,'Fee Data'!$I$6:$J$14,2,TRUE)+'Fee Data'!$J$20+'Fee Data'!$J$21)*'Assumptions'!F37</x:f>
        <x:v>820</x:v>
      </x:c>
      <x:c r="R628" s="27" t="n">
        <x:f>P628*(1-'Assumptions'!$D$14)+Q628*'Assumptions'!$D$14</x:f>
        <x:v>882.5</x:v>
      </x:c>
      <x:c r="S628" s="27" t="n">
        <x:f>O628*'Carrier Engine'!E93</x:f>
        <x:v>179.13907119682491</x:v>
      </x:c>
      <x:c r="T628" s="28" t="n">
        <x:f>R628+S628</x:f>
        <x:v>1061.639071196825</x:v>
      </x:c>
      <x:c r="U628" s="27" t="n">
        <x:f>N628*'Fleet Engine'!H215</x:f>
        <x:v>0</x:v>
      </x:c>
      <x:c r="V628" s="28" t="n">
        <x:f>U628*T628</x:f>
        <x:v>0</x:v>
      </x:c>
      <x:c r="W628" s="28" t="n">
        <x:f>U628*O628</x:f>
        <x:v>0</x:v>
      </x:c>
    </x:row>
    <x:row r="629" ht="19" customHeight="1">
      <x:c r="A629" s="2"/>
      <x:c r="B629" s="2"/>
      <x:c r="C629" s="46" t="n">
        <x:v>2</x:v>
      </x:c>
      <x:c r="D629" s="46" t="n">
        <x:v>21</x:v>
      </x:c>
      <x:c r="E629" s="46" t="n">
        <x:v>3</x:v>
      </x:c>
      <x:c r="F629" s="46" t="n">
        <x:v>3</x:v>
      </x:c>
      <x:c r="G629" s="12" t="n">
        <x:v>0.2222222222222222</x:v>
      </x:c>
      <x:c r="H629" s="12" t="n">
        <x:v>0.3333333333333333</x:v>
      </x:c>
      <x:c r="I629" s="29" t="n">
        <x:f>'Assumptions'!$D$11+'Assumptions'!$D$12*(0.5-(G629+H629)/2)</x:f>
        <x:v>0.34444444444444444</x:v>
      </x:c>
      <x:c r="J629" s="27" t="n">
        <x:f>'Assumptions'!$D$8*EXP(-'Assumptions'!$D$9*('Fleet Engine'!E215-10))*'Assumptions'!E58*'Assumptions'!F36</x:f>
        <x:v>12214.027581601698</x:v>
      </x:c>
      <x:c r="K629" s="27" t="n">
        <x:f>'Source Data'!F220+LN('Assumptions'!D58)+LN('Assumptions'!F35)</x:f>
        <x:v>8.04371664078851</x:v>
      </x:c>
      <x:c r="L629" s="27" t="n">
        <x:f>J629*(1-I629*(1-'Carrier Engine'!E93))</x:f>
        <x:v>8175.255794618737</x:v>
      </x:c>
      <x:c r="M629" s="29" t="n">
        <x:f>NORM.S.DIST((LN(L629)-K629)/'Assumptions'!$D$10,TRUE)</x:f>
        <x:v>0.730612011881529</x:v>
      </x:c>
      <x:c r="N629" s="30" t="n">
        <x:f>MAX(0,H629-MAX(G629,M629))</x:f>
        <x:v>0</x:v>
      </x:c>
      <x:c r="O629" s="28" t="n">
        <x:f>J629*I629</x:f>
        <x:v>4207.053944773918</x:v>
      </x:c>
      <x:c r="P629" s="27" t="n">
        <x:f>(VLOOKUP(O629,'Fee Data'!$C$6:$G$50,2,TRUE)+O629*VLOOKUP(O629,'Fee Data'!$C$6:$G$50,3,TRUE)+VLOOKUP(O629,'Fee Data'!$I$6:$J$14,2,TRUE)+'Fee Data'!$J$20+'Fee Data'!$J$21)*'Assumptions'!F37</x:f>
        <x:v>945</x:v>
      </x:c>
      <x:c r="Q629" s="27" t="n">
        <x:f>(VLOOKUP(O629,'Fee Data'!$C$6:$G$50,4,TRUE)+O629*VLOOKUP(O629,'Fee Data'!$C$6:$G$50,5,TRUE)+VLOOKUP(O629,'Fee Data'!$I$6:$J$14,2,TRUE)+'Fee Data'!$J$20+'Fee Data'!$J$21)*'Assumptions'!F37</x:f>
        <x:v>820</x:v>
      </x:c>
      <x:c r="R629" s="27" t="n">
        <x:f>P629*(1-'Assumptions'!$D$14)+Q629*'Assumptions'!$D$14</x:f>
        <x:v>882.5</x:v>
      </x:c>
      <x:c r="S629" s="27" t="n">
        <x:f>O629*'Carrier Engine'!E93</x:f>
        <x:v>168.28215779095675</x:v>
      </x:c>
      <x:c r="T629" s="28" t="n">
        <x:f>R629+S629</x:f>
        <x:v>1050.7821577909567</x:v>
      </x:c>
      <x:c r="U629" s="27" t="n">
        <x:f>N629*'Fleet Engine'!H215</x:f>
        <x:v>0</x:v>
      </x:c>
      <x:c r="V629" s="28" t="n">
        <x:f>U629*T629</x:f>
        <x:v>0</x:v>
      </x:c>
      <x:c r="W629" s="28" t="n">
        <x:f>U629*O629</x:f>
        <x:v>0</x:v>
      </x:c>
    </x:row>
    <x:row r="630" ht="19" customHeight="1">
      <x:c r="A630" s="2"/>
      <x:c r="B630" s="2"/>
      <x:c r="C630" s="46" t="n">
        <x:v>2</x:v>
      </x:c>
      <x:c r="D630" s="46" t="n">
        <x:v>21</x:v>
      </x:c>
      <x:c r="E630" s="46" t="n">
        <x:v>3</x:v>
      </x:c>
      <x:c r="F630" s="46" t="n">
        <x:v>3</x:v>
      </x:c>
      <x:c r="G630" s="12" t="n">
        <x:v>0.3333333333333333</x:v>
      </x:c>
      <x:c r="H630" s="12" t="n">
        <x:v>0.4444444444444444</x:v>
      </x:c>
      <x:c r="I630" s="29" t="n">
        <x:f>'Assumptions'!$D$11+'Assumptions'!$D$12*(0.5-(G630+H630)/2)</x:f>
        <x:v>0.32222222222222224</x:v>
      </x:c>
      <x:c r="J630" s="27" t="n">
        <x:f>'Assumptions'!$D$8*EXP(-'Assumptions'!$D$9*('Fleet Engine'!E215-10))*'Assumptions'!E58*'Assumptions'!F36</x:f>
        <x:v>12214.027581601698</x:v>
      </x:c>
      <x:c r="K630" s="27" t="n">
        <x:f>'Source Data'!F220+LN('Assumptions'!D58)+LN('Assumptions'!F35)</x:f>
        <x:v>8.04371664078851</x:v>
      </x:c>
      <x:c r="L630" s="27" t="n">
        <x:f>J630*(1-I630*(1-'Carrier Engine'!E93))</x:f>
        <x:v>8435.821716359573</x:v>
      </x:c>
      <x:c r="M630" s="29" t="n">
        <x:f>NORM.S.DIST((LN(L630)-K630)/'Assumptions'!$D$10,TRUE)</x:f>
        <x:v>0.737170515190244</x:v>
      </x:c>
      <x:c r="N630" s="30" t="n">
        <x:f>MAX(0,H630-MAX(G630,M630))</x:f>
        <x:v>0</x:v>
      </x:c>
      <x:c r="O630" s="28" t="n">
        <x:f>J630*I630</x:f>
        <x:v>3935.6311096272143</x:v>
      </x:c>
      <x:c r="P630" s="27" t="n">
        <x:f>(VLOOKUP(O630,'Fee Data'!$C$6:$G$50,2,TRUE)+O630*VLOOKUP(O630,'Fee Data'!$C$6:$G$50,3,TRUE)+VLOOKUP(O630,'Fee Data'!$I$6:$J$14,2,TRUE)+'Fee Data'!$J$20+'Fee Data'!$J$21)*'Assumptions'!F37</x:f>
        <x:v>915</x:v>
      </x:c>
      <x:c r="Q630" s="27" t="n">
        <x:f>(VLOOKUP(O630,'Fee Data'!$C$6:$G$50,4,TRUE)+O630*VLOOKUP(O630,'Fee Data'!$C$6:$G$50,5,TRUE)+VLOOKUP(O630,'Fee Data'!$I$6:$J$14,2,TRUE)+'Fee Data'!$J$20+'Fee Data'!$J$21)*'Assumptions'!F37</x:f>
        <x:v>765</x:v>
      </x:c>
      <x:c r="R630" s="27" t="n">
        <x:f>P630*(1-'Assumptions'!$D$14)+Q630*'Assumptions'!$D$14</x:f>
        <x:v>840</x:v>
      </x:c>
      <x:c r="S630" s="27" t="n">
        <x:f>O630*'Carrier Engine'!E93</x:f>
        <x:v>157.42524438508858</x:v>
      </x:c>
      <x:c r="T630" s="28" t="n">
        <x:f>R630+S630</x:f>
        <x:v>997.4252443850886</x:v>
      </x:c>
      <x:c r="U630" s="27" t="n">
        <x:f>N630*'Fleet Engine'!H215</x:f>
        <x:v>0</x:v>
      </x:c>
      <x:c r="V630" s="28" t="n">
        <x:f>U630*T630</x:f>
        <x:v>0</x:v>
      </x:c>
      <x:c r="W630" s="28" t="n">
        <x:f>U630*O630</x:f>
        <x:v>0</x:v>
      </x:c>
    </x:row>
    <x:row r="631" ht="19" customHeight="1">
      <x:c r="A631" s="2"/>
      <x:c r="B631" s="2"/>
      <x:c r="C631" s="46" t="n">
        <x:v>2</x:v>
      </x:c>
      <x:c r="D631" s="46" t="n">
        <x:v>21</x:v>
      </x:c>
      <x:c r="E631" s="46" t="n">
        <x:v>3</x:v>
      </x:c>
      <x:c r="F631" s="46" t="n">
        <x:v>3</x:v>
      </x:c>
      <x:c r="G631" s="12" t="n">
        <x:v>0.4444444444444444</x:v>
      </x:c>
      <x:c r="H631" s="12" t="n">
        <x:v>0.5555555555555556</x:v>
      </x:c>
      <x:c r="I631" s="29" t="n">
        <x:f>'Assumptions'!$D$11+'Assumptions'!$D$12*(0.5-(G631+H631)/2)</x:f>
        <x:v>0.3</x:v>
      </x:c>
      <x:c r="J631" s="27" t="n">
        <x:f>'Assumptions'!$D$8*EXP(-'Assumptions'!$D$9*('Fleet Engine'!E215-10))*'Assumptions'!E58*'Assumptions'!F36</x:f>
        <x:v>12214.027581601698</x:v>
      </x:c>
      <x:c r="K631" s="27" t="n">
        <x:f>'Source Data'!F220+LN('Assumptions'!D58)+LN('Assumptions'!F35)</x:f>
        <x:v>8.04371664078851</x:v>
      </x:c>
      <x:c r="L631" s="27" t="n">
        <x:f>J631*(1-I631*(1-'Carrier Engine'!E93))</x:f>
        <x:v>8696.387638100408</x:v>
      </x:c>
      <x:c r="M631" s="29" t="n">
        <x:f>NORM.S.DIST((LN(L631)-K631)/'Assumptions'!$D$10,TRUE)</x:f>
        <x:v>0.7434505950635955</x:v>
      </x:c>
      <x:c r="N631" s="30" t="n">
        <x:f>MAX(0,H631-MAX(G631,M631))</x:f>
        <x:v>0</x:v>
      </x:c>
      <x:c r="O631" s="28" t="n">
        <x:f>J631*I631</x:f>
        <x:v>3664.2082744805093</x:v>
      </x:c>
      <x:c r="P631" s="27" t="n">
        <x:f>(VLOOKUP(O631,'Fee Data'!$C$6:$G$50,2,TRUE)+O631*VLOOKUP(O631,'Fee Data'!$C$6:$G$50,3,TRUE)+VLOOKUP(O631,'Fee Data'!$I$6:$J$14,2,TRUE)+'Fee Data'!$J$20+'Fee Data'!$J$21)*'Assumptions'!F37</x:f>
        <x:v>915</x:v>
      </x:c>
      <x:c r="Q631" s="27" t="n">
        <x:f>(VLOOKUP(O631,'Fee Data'!$C$6:$G$50,4,TRUE)+O631*VLOOKUP(O631,'Fee Data'!$C$6:$G$50,5,TRUE)+VLOOKUP(O631,'Fee Data'!$I$6:$J$14,2,TRUE)+'Fee Data'!$J$20+'Fee Data'!$J$21)*'Assumptions'!F37</x:f>
        <x:v>765</x:v>
      </x:c>
      <x:c r="R631" s="27" t="n">
        <x:f>P631*(1-'Assumptions'!$D$14)+Q631*'Assumptions'!$D$14</x:f>
        <x:v>840</x:v>
      </x:c>
      <x:c r="S631" s="27" t="n">
        <x:f>O631*'Carrier Engine'!E93</x:f>
        <x:v>146.56833097922038</x:v>
      </x:c>
      <x:c r="T631" s="28" t="n">
        <x:f>R631+S631</x:f>
        <x:v>986.5683309792204</x:v>
      </x:c>
      <x:c r="U631" s="27" t="n">
        <x:f>N631*'Fleet Engine'!H215</x:f>
        <x:v>0</x:v>
      </x:c>
      <x:c r="V631" s="28" t="n">
        <x:f>U631*T631</x:f>
        <x:v>0</x:v>
      </x:c>
      <x:c r="W631" s="28" t="n">
        <x:f>U631*O631</x:f>
        <x:v>0</x:v>
      </x:c>
    </x:row>
    <x:row r="632" ht="19" customHeight="1">
      <x:c r="A632" s="2"/>
      <x:c r="B632" s="2"/>
      <x:c r="C632" s="46" t="n">
        <x:v>2</x:v>
      </x:c>
      <x:c r="D632" s="46" t="n">
        <x:v>21</x:v>
      </x:c>
      <x:c r="E632" s="46" t="n">
        <x:v>3</x:v>
      </x:c>
      <x:c r="F632" s="46" t="n">
        <x:v>3</x:v>
      </x:c>
      <x:c r="G632" s="12" t="n">
        <x:v>0.5555555555555556</x:v>
      </x:c>
      <x:c r="H632" s="12" t="n">
        <x:v>0.6666666666666666</x:v>
      </x:c>
      <x:c r="I632" s="29" t="n">
        <x:f>'Assumptions'!$D$11+'Assumptions'!$D$12*(0.5-(G632+H632)/2)</x:f>
        <x:v>0.27777777777777773</x:v>
      </x:c>
      <x:c r="J632" s="27" t="n">
        <x:f>'Assumptions'!$D$8*EXP(-'Assumptions'!$D$9*('Fleet Engine'!E215-10))*'Assumptions'!E58*'Assumptions'!F36</x:f>
        <x:v>12214.027581601698</x:v>
      </x:c>
      <x:c r="K632" s="27" t="n">
        <x:f>'Source Data'!F220+LN('Assumptions'!D58)+LN('Assumptions'!F35)</x:f>
        <x:v>8.04371664078851</x:v>
      </x:c>
      <x:c r="L632" s="27" t="n">
        <x:f>J632*(1-I632*(1-'Carrier Engine'!E93))</x:f>
        <x:v>8956.953559841246</x:v>
      </x:c>
      <x:c r="M632" s="29" t="n">
        <x:f>NORM.S.DIST((LN(L632)-K632)/'Assumptions'!$D$10,TRUE)</x:f>
        <x:v>0.7494696686328344</x:v>
      </x:c>
      <x:c r="N632" s="30" t="n">
        <x:f>MAX(0,H632-MAX(G632,M632))</x:f>
        <x:v>0</x:v>
      </x:c>
      <x:c r="O632" s="28" t="n">
        <x:f>J632*I632</x:f>
        <x:v>3392.785439333805</x:v>
      </x:c>
      <x:c r="P632" s="27" t="n">
        <x:f>(VLOOKUP(O632,'Fee Data'!$C$6:$G$50,2,TRUE)+O632*VLOOKUP(O632,'Fee Data'!$C$6:$G$50,3,TRUE)+VLOOKUP(O632,'Fee Data'!$I$6:$J$14,2,TRUE)+'Fee Data'!$J$20+'Fee Data'!$J$21)*'Assumptions'!F37</x:f>
        <x:v>865</x:v>
      </x:c>
      <x:c r="Q632" s="27" t="n">
        <x:f>(VLOOKUP(O632,'Fee Data'!$C$6:$G$50,4,TRUE)+O632*VLOOKUP(O632,'Fee Data'!$C$6:$G$50,5,TRUE)+VLOOKUP(O632,'Fee Data'!$I$6:$J$14,2,TRUE)+'Fee Data'!$J$20+'Fee Data'!$J$21)*'Assumptions'!F37</x:f>
        <x:v>715</x:v>
      </x:c>
      <x:c r="R632" s="27" t="n">
        <x:f>P632*(1-'Assumptions'!$D$14)+Q632*'Assumptions'!$D$14</x:f>
        <x:v>790</x:v>
      </x:c>
      <x:c r="S632" s="27" t="n">
        <x:f>O632*'Carrier Engine'!E93</x:f>
        <x:v>135.7114175733522</x:v>
      </x:c>
      <x:c r="T632" s="28" t="n">
        <x:f>R632+S632</x:f>
        <x:v>925.7114175733523</x:v>
      </x:c>
      <x:c r="U632" s="27" t="n">
        <x:f>N632*'Fleet Engine'!H215</x:f>
        <x:v>0</x:v>
      </x:c>
      <x:c r="V632" s="28" t="n">
        <x:f>U632*T632</x:f>
        <x:v>0</x:v>
      </x:c>
      <x:c r="W632" s="28" t="n">
        <x:f>U632*O632</x:f>
        <x:v>0</x:v>
      </x:c>
    </x:row>
    <x:row r="633" ht="19" customHeight="1">
      <x:c r="A633" s="2"/>
      <x:c r="B633" s="2"/>
      <x:c r="C633" s="46" t="n">
        <x:v>2</x:v>
      </x:c>
      <x:c r="D633" s="46" t="n">
        <x:v>21</x:v>
      </x:c>
      <x:c r="E633" s="46" t="n">
        <x:v>3</x:v>
      </x:c>
      <x:c r="F633" s="46" t="n">
        <x:v>3</x:v>
      </x:c>
      <x:c r="G633" s="12" t="n">
        <x:v>0.6666666666666666</x:v>
      </x:c>
      <x:c r="H633" s="12" t="n">
        <x:v>0.7777777777777778</x:v>
      </x:c>
      <x:c r="I633" s="29" t="n">
        <x:f>'Assumptions'!$D$11+'Assumptions'!$D$12*(0.5-(G633+H633)/2)</x:f>
        <x:v>0.25555555555555554</x:v>
      </x:c>
      <x:c r="J633" s="27" t="n">
        <x:f>'Assumptions'!$D$8*EXP(-'Assumptions'!$D$9*('Fleet Engine'!E215-10))*'Assumptions'!E58*'Assumptions'!F36</x:f>
        <x:v>12214.027581601698</x:v>
      </x:c>
      <x:c r="K633" s="27" t="n">
        <x:f>'Source Data'!F220+LN('Assumptions'!D58)+LN('Assumptions'!F35)</x:f>
        <x:v>8.04371664078851</x:v>
      </x:c>
      <x:c r="L633" s="27" t="n">
        <x:f>J633*(1-I633*(1-'Carrier Engine'!E93))</x:f>
        <x:v>9217.519481582081</x:v>
      </x:c>
      <x:c r="M633" s="29" t="n">
        <x:f>NORM.S.DIST((LN(L633)-K633)/'Assumptions'!$D$10,TRUE)</x:f>
        <x:v>0.755243701876744</x:v>
      </x:c>
      <x:c r="N633" s="30" t="n">
        <x:f>MAX(0,H633-MAX(G633,M633))</x:f>
        <x:v>0.022534075901033845</x:v>
      </x:c>
      <x:c r="O633" s="28" t="n">
        <x:f>J633*I633</x:f>
        <x:v>3121.3626041871003</x:v>
      </x:c>
      <x:c r="P633" s="27" t="n">
        <x:f>(VLOOKUP(O633,'Fee Data'!$C$6:$G$50,2,TRUE)+O633*VLOOKUP(O633,'Fee Data'!$C$6:$G$50,3,TRUE)+VLOOKUP(O633,'Fee Data'!$I$6:$J$14,2,TRUE)+'Fee Data'!$J$20+'Fee Data'!$J$21)*'Assumptions'!F37</x:f>
        <x:v>865</x:v>
      </x:c>
      <x:c r="Q633" s="27" t="n">
        <x:f>(VLOOKUP(O633,'Fee Data'!$C$6:$G$50,4,TRUE)+O633*VLOOKUP(O633,'Fee Data'!$C$6:$G$50,5,TRUE)+VLOOKUP(O633,'Fee Data'!$I$6:$J$14,2,TRUE)+'Fee Data'!$J$20+'Fee Data'!$J$21)*'Assumptions'!F37</x:f>
        <x:v>715</x:v>
      </x:c>
      <x:c r="R633" s="27" t="n">
        <x:f>P633*(1-'Assumptions'!$D$14)+Q633*'Assumptions'!$D$14</x:f>
        <x:v>790</x:v>
      </x:c>
      <x:c r="S633" s="27" t="n">
        <x:f>O633*'Carrier Engine'!E93</x:f>
        <x:v>124.85450416748401</x:v>
      </x:c>
      <x:c r="T633" s="28" t="n">
        <x:f>R633+S633</x:f>
        <x:v>914.854504167484</x:v>
      </x:c>
      <x:c r="U633" s="27" t="n">
        <x:f>N633*'Fleet Engine'!H215</x:f>
        <x:v>45.894658157810845</x:v>
      </x:c>
      <x:c r="V633" s="28" t="n">
        <x:f>U633*T633</x:f>
        <x:v>41986.93473290022</x:v>
      </x:c>
      <x:c r="W633" s="28" t="n">
        <x:f>U633*O633</x:f>
        <x:v>143253.8697057412</x:v>
      </x:c>
    </x:row>
    <x:row r="634" ht="19" customHeight="1">
      <x:c r="A634" s="2"/>
      <x:c r="B634" s="2"/>
      <x:c r="C634" s="46" t="n">
        <x:v>2</x:v>
      </x:c>
      <x:c r="D634" s="46" t="n">
        <x:v>21</x:v>
      </x:c>
      <x:c r="E634" s="46" t="n">
        <x:v>3</x:v>
      </x:c>
      <x:c r="F634" s="46" t="n">
        <x:v>3</x:v>
      </x:c>
      <x:c r="G634" s="12" t="n">
        <x:v>0.7777777777777778</x:v>
      </x:c>
      <x:c r="H634" s="12" t="n">
        <x:v>0.8888888888888888</x:v>
      </x:c>
      <x:c r="I634" s="29" t="n">
        <x:f>'Assumptions'!$D$11+'Assumptions'!$D$12*(0.5-(G634+H634)/2)</x:f>
        <x:v>0.23333333333333334</x:v>
      </x:c>
      <x:c r="J634" s="27" t="n">
        <x:f>'Assumptions'!$D$8*EXP(-'Assumptions'!$D$9*('Fleet Engine'!E215-10))*'Assumptions'!E58*'Assumptions'!F36</x:f>
        <x:v>12214.027581601698</x:v>
      </x:c>
      <x:c r="K634" s="27" t="n">
        <x:f>'Source Data'!F220+LN('Assumptions'!D58)+LN('Assumptions'!F35)</x:f>
        <x:v>8.04371664078851</x:v>
      </x:c>
      <x:c r="L634" s="27" t="n">
        <x:f>J634*(1-I634*(1-'Carrier Engine'!E93))</x:f>
        <x:v>9478.085403322919</x:v>
      </x:c>
      <x:c r="M634" s="29" t="n">
        <x:f>NORM.S.DIST((LN(L634)-K634)/'Assumptions'!$D$10,TRUE)</x:f>
        <x:v>0.7607873605938249</x:v>
      </x:c>
      <x:c r="N634" s="30" t="n">
        <x:f>MAX(0,H634-MAX(G634,M634))</x:f>
        <x:v>0.11111111111111105</x:v>
      </x:c>
      <x:c r="O634" s="28" t="n">
        <x:f>J634*I634</x:f>
        <x:v>2849.939769040396</x:v>
      </x:c>
      <x:c r="P634" s="27" t="n">
        <x:f>(VLOOKUP(O634,'Fee Data'!$C$6:$G$50,2,TRUE)+O634*VLOOKUP(O634,'Fee Data'!$C$6:$G$50,3,TRUE)+VLOOKUP(O634,'Fee Data'!$I$6:$J$14,2,TRUE)+'Fee Data'!$J$20+'Fee Data'!$J$21)*'Assumptions'!F37</x:f>
        <x:v>820</x:v>
      </x:c>
      <x:c r="Q634" s="27" t="n">
        <x:f>(VLOOKUP(O634,'Fee Data'!$C$6:$G$50,4,TRUE)+O634*VLOOKUP(O634,'Fee Data'!$C$6:$G$50,5,TRUE)+VLOOKUP(O634,'Fee Data'!$I$6:$J$14,2,TRUE)+'Fee Data'!$J$20+'Fee Data'!$J$21)*'Assumptions'!F37</x:f>
        <x:v>670</x:v>
      </x:c>
      <x:c r="R634" s="27" t="n">
        <x:f>P634*(1-'Assumptions'!$D$14)+Q634*'Assumptions'!$D$14</x:f>
        <x:v>745</x:v>
      </x:c>
      <x:c r="S634" s="27" t="n">
        <x:f>O634*'Carrier Engine'!E93</x:f>
        <x:v>113.99759076161585</x:v>
      </x:c>
      <x:c r="T634" s="28" t="n">
        <x:f>R634+S634</x:f>
        <x:v>858.9975907616158</x:v>
      </x:c>
      <x:c r="U634" s="27" t="n">
        <x:f>N634*'Fleet Engine'!H215</x:f>
        <x:v>226.29756304961336</x:v>
      </x:c>
      <x:c r="V634" s="28" t="n">
        <x:f>U634*T634</x:f>
        <x:v>194389.06145484274</x:v>
      </x:c>
      <x:c r="W634" s="28" t="n">
        <x:f>U634*O634</x:f>
        <x:v>644934.4245720196</x:v>
      </x:c>
    </x:row>
    <x:row r="635" ht="19" customHeight="1">
      <x:c r="A635" s="2"/>
      <x:c r="B635" s="2"/>
      <x:c r="C635" s="46" t="n">
        <x:v>2</x:v>
      </x:c>
      <x:c r="D635" s="46" t="n">
        <x:v>21</x:v>
      </x:c>
      <x:c r="E635" s="46" t="n">
        <x:v>3</x:v>
      </x:c>
      <x:c r="F635" s="46" t="n">
        <x:v>3</x:v>
      </x:c>
      <x:c r="G635" s="12" t="n">
        <x:v>0.8888888888888888</x:v>
      </x:c>
      <x:c r="H635" s="12" t="n">
        <x:v>1</x:v>
      </x:c>
      <x:c r="I635" s="29" t="n">
        <x:f>'Assumptions'!$D$11+'Assumptions'!$D$12*(0.5-(G635+H635)/2)</x:f>
        <x:v>0.21111111111111108</x:v>
      </x:c>
      <x:c r="J635" s="27" t="n">
        <x:f>'Assumptions'!$D$8*EXP(-'Assumptions'!$D$9*('Fleet Engine'!E215-10))*'Assumptions'!E58*'Assumptions'!F36</x:f>
        <x:v>12214.027581601698</x:v>
      </x:c>
      <x:c r="K635" s="27" t="n">
        <x:f>'Source Data'!F220+LN('Assumptions'!D58)+LN('Assumptions'!F35)</x:f>
        <x:v>8.04371664078851</x:v>
      </x:c>
      <x:c r="L635" s="27" t="n">
        <x:f>J635*(1-I635*(1-'Carrier Engine'!E93))</x:f>
        <x:v>9738.651325063754</x:v>
      </x:c>
      <x:c r="M635" s="29" t="n">
        <x:f>NORM.S.DIST((LN(L635)-K635)/'Assumptions'!$D$10,TRUE)</x:f>
        <x:v>0.7661141426007128</x:v>
      </x:c>
      <x:c r="N635" s="30" t="n">
        <x:f>MAX(0,H635-MAX(G635,M635))</x:f>
        <x:v>0.11111111111111116</x:v>
      </x:c>
      <x:c r="O635" s="28" t="n">
        <x:f>J635*I635</x:f>
        <x:v>2578.5169338936917</x:v>
      </x:c>
      <x:c r="P635" s="27" t="n">
        <x:f>(VLOOKUP(O635,'Fee Data'!$C$6:$G$50,2,TRUE)+O635*VLOOKUP(O635,'Fee Data'!$C$6:$G$50,3,TRUE)+VLOOKUP(O635,'Fee Data'!$I$6:$J$14,2,TRUE)+'Fee Data'!$J$20+'Fee Data'!$J$21)*'Assumptions'!F37</x:f>
        <x:v>820</x:v>
      </x:c>
      <x:c r="Q635" s="27" t="n">
        <x:f>(VLOOKUP(O635,'Fee Data'!$C$6:$G$50,4,TRUE)+O635*VLOOKUP(O635,'Fee Data'!$C$6:$G$50,5,TRUE)+VLOOKUP(O635,'Fee Data'!$I$6:$J$14,2,TRUE)+'Fee Data'!$J$20+'Fee Data'!$J$21)*'Assumptions'!F37</x:f>
        <x:v>670</x:v>
      </x:c>
      <x:c r="R635" s="27" t="n">
        <x:f>P635*(1-'Assumptions'!$D$14)+Q635*'Assumptions'!$D$14</x:f>
        <x:v>745</x:v>
      </x:c>
      <x:c r="S635" s="27" t="n">
        <x:f>O635*'Carrier Engine'!E93</x:f>
        <x:v>103.14067735574767</x:v>
      </x:c>
      <x:c r="T635" s="28" t="n">
        <x:f>R635+S635</x:f>
        <x:v>848.1406773557477</x:v>
      </x:c>
      <x:c r="U635" s="27" t="n">
        <x:f>N635*'Fleet Engine'!H215</x:f>
        <x:v>226.2975630496136</x:v>
      </x:c>
      <x:c r="V635" s="28" t="n">
        <x:f>U635*T635</x:f>
        <x:v>191932.16840885428</x:v>
      </x:c>
      <x:c r="W635" s="28" t="n">
        <x:f>U635*O635</x:f>
        <x:v>583512.098422304</x:v>
      </x:c>
    </x:row>
    <x:row r="636" ht="19" customHeight="1">
      <x:c r="A636" s="2"/>
      <x:c r="B636" s="2"/>
      <x:c r="C636" s="46" t="n">
        <x:v>2</x:v>
      </x:c>
      <x:c r="D636" s="46" t="n">
        <x:v>22</x:v>
      </x:c>
      <x:c r="E636" s="46" t="n">
        <x:v>3</x:v>
      </x:c>
      <x:c r="F636" s="46" t="n">
        <x:v>4</x:v>
      </x:c>
      <x:c r="G636" s="12" t="n">
        <x:v>0</x:v>
      </x:c>
      <x:c r="H636" s="12" t="n">
        <x:v>0.1111111111111111</x:v>
      </x:c>
      <x:c r="I636" s="29" t="n">
        <x:f>'Assumptions'!$D$11+'Assumptions'!$D$12*(0.5-(G636+H636)/2)</x:f>
        <x:v>0.3888888888888889</x:v>
      </x:c>
      <x:c r="J636" s="27" t="n">
        <x:f>'Assumptions'!$D$8*EXP(-'Assumptions'!$D$9*('Fleet Engine'!E216-10))*'Assumptions'!E58*'Assumptions'!F36</x:f>
        <x:v>9048.374180359595</x:v>
      </x:c>
      <x:c r="K636" s="27" t="n">
        <x:f>'Source Data'!F221+LN('Assumptions'!D58)+LN('Assumptions'!F35)</x:f>
        <x:v>8.129564769703762</x:v>
      </x:c>
      <x:c r="L636" s="27" t="n">
        <x:f>J636*(1-I636*(1-'Carrier Engine'!E93))</x:f>
        <x:v>5670.3144863586795</x:v>
      </x:c>
      <x:c r="M636" s="29" t="n">
        <x:f>NORM.S.DIST((LN(L636)-K636)/'Assumptions'!$D$10,TRUE)</x:f>
        <x:v>0.6281606975277834</x:v>
      </x:c>
      <x:c r="N636" s="30" t="n">
        <x:f>MAX(0,H636-MAX(G636,M636))</x:f>
        <x:v>0</x:v>
      </x:c>
      <x:c r="O636" s="28" t="n">
        <x:f>J636*I636</x:f>
        <x:v>3518.8121812509535</x:v>
      </x:c>
      <x:c r="P636" s="27" t="n">
        <x:f>(VLOOKUP(O636,'Fee Data'!$C$6:$G$50,2,TRUE)+O636*VLOOKUP(O636,'Fee Data'!$C$6:$G$50,3,TRUE)+VLOOKUP(O636,'Fee Data'!$I$6:$J$14,2,TRUE)+'Fee Data'!$J$20+'Fee Data'!$J$21)*'Assumptions'!F37</x:f>
        <x:v>915</x:v>
      </x:c>
      <x:c r="Q636" s="27" t="n">
        <x:f>(VLOOKUP(O636,'Fee Data'!$C$6:$G$50,4,TRUE)+O636*VLOOKUP(O636,'Fee Data'!$C$6:$G$50,5,TRUE)+VLOOKUP(O636,'Fee Data'!$I$6:$J$14,2,TRUE)+'Fee Data'!$J$20+'Fee Data'!$J$21)*'Assumptions'!F37</x:f>
        <x:v>765</x:v>
      </x:c>
      <x:c r="R636" s="27" t="n">
        <x:f>P636*(1-'Assumptions'!$D$14)+Q636*'Assumptions'!$D$14</x:f>
        <x:v>840</x:v>
      </x:c>
      <x:c r="S636" s="27" t="n">
        <x:f>O636*'Carrier Engine'!E93</x:f>
        <x:v>140.75248725003814</x:v>
      </x:c>
      <x:c r="T636" s="28" t="n">
        <x:f>R636+S636</x:f>
        <x:v>980.7524872500381</x:v>
      </x:c>
      <x:c r="U636" s="27" t="n">
        <x:f>N636*'Fleet Engine'!H216</x:f>
        <x:v>0</x:v>
      </x:c>
      <x:c r="V636" s="28" t="n">
        <x:f>U636*T636</x:f>
        <x:v>0</x:v>
      </x:c>
      <x:c r="W636" s="28" t="n">
        <x:f>U636*O636</x:f>
        <x:v>0</x:v>
      </x:c>
    </x:row>
    <x:row r="637" ht="19" customHeight="1">
      <x:c r="A637" s="2"/>
      <x:c r="B637" s="2"/>
      <x:c r="C637" s="46" t="n">
        <x:v>2</x:v>
      </x:c>
      <x:c r="D637" s="46" t="n">
        <x:v>22</x:v>
      </x:c>
      <x:c r="E637" s="46" t="n">
        <x:v>3</x:v>
      </x:c>
      <x:c r="F637" s="46" t="n">
        <x:v>4</x:v>
      </x:c>
      <x:c r="G637" s="12" t="n">
        <x:v>0.1111111111111111</x:v>
      </x:c>
      <x:c r="H637" s="12" t="n">
        <x:v>0.2222222222222222</x:v>
      </x:c>
      <x:c r="I637" s="29" t="n">
        <x:f>'Assumptions'!$D$11+'Assumptions'!$D$12*(0.5-(G637+H637)/2)</x:f>
        <x:v>0.3666666666666667</x:v>
      </x:c>
      <x:c r="J637" s="27" t="n">
        <x:f>'Assumptions'!$D$8*EXP(-'Assumptions'!$D$9*('Fleet Engine'!E216-10))*'Assumptions'!E58*'Assumptions'!F36</x:f>
        <x:v>9048.374180359595</x:v>
      </x:c>
      <x:c r="K637" s="27" t="n">
        <x:f>'Source Data'!F221+LN('Assumptions'!D58)+LN('Assumptions'!F35)</x:f>
        <x:v>8.129564769703762</x:v>
      </x:c>
      <x:c r="L637" s="27" t="n">
        <x:f>J637*(1-I637*(1-'Carrier Engine'!E93))</x:f>
        <x:v>5863.346468873016</x:v>
      </x:c>
      <x:c r="M637" s="29" t="n">
        <x:f>NORM.S.DIST((LN(L637)-K637)/'Assumptions'!$D$10,TRUE)</x:f>
        <x:v>0.6361945348683504</x:v>
      </x:c>
      <x:c r="N637" s="30" t="n">
        <x:f>MAX(0,H637-MAX(G637,M637))</x:f>
        <x:v>0</x:v>
      </x:c>
      <x:c r="O637" s="28" t="n">
        <x:f>J637*I637</x:f>
        <x:v>3317.737199465185</x:v>
      </x:c>
      <x:c r="P637" s="27" t="n">
        <x:f>(VLOOKUP(O637,'Fee Data'!$C$6:$G$50,2,TRUE)+O637*VLOOKUP(O637,'Fee Data'!$C$6:$G$50,3,TRUE)+VLOOKUP(O637,'Fee Data'!$I$6:$J$14,2,TRUE)+'Fee Data'!$J$20+'Fee Data'!$J$21)*'Assumptions'!F37</x:f>
        <x:v>865</x:v>
      </x:c>
      <x:c r="Q637" s="27" t="n">
        <x:f>(VLOOKUP(O637,'Fee Data'!$C$6:$G$50,4,TRUE)+O637*VLOOKUP(O637,'Fee Data'!$C$6:$G$50,5,TRUE)+VLOOKUP(O637,'Fee Data'!$I$6:$J$14,2,TRUE)+'Fee Data'!$J$20+'Fee Data'!$J$21)*'Assumptions'!F37</x:f>
        <x:v>715</x:v>
      </x:c>
      <x:c r="R637" s="27" t="n">
        <x:f>P637*(1-'Assumptions'!$D$14)+Q637*'Assumptions'!$D$14</x:f>
        <x:v>790</x:v>
      </x:c>
      <x:c r="S637" s="27" t="n">
        <x:f>O637*'Carrier Engine'!E93</x:f>
        <x:v>132.7094879786074</x:v>
      </x:c>
      <x:c r="T637" s="28" t="n">
        <x:f>R637+S637</x:f>
        <x:v>922.7094879786074</x:v>
      </x:c>
      <x:c r="U637" s="27" t="n">
        <x:f>N637*'Fleet Engine'!H216</x:f>
        <x:v>0</x:v>
      </x:c>
      <x:c r="V637" s="28" t="n">
        <x:f>U637*T637</x:f>
        <x:v>0</x:v>
      </x:c>
      <x:c r="W637" s="28" t="n">
        <x:f>U637*O637</x:f>
        <x:v>0</x:v>
      </x:c>
    </x:row>
    <x:row r="638" ht="19" customHeight="1">
      <x:c r="A638" s="2"/>
      <x:c r="B638" s="2"/>
      <x:c r="C638" s="46" t="n">
        <x:v>2</x:v>
      </x:c>
      <x:c r="D638" s="46" t="n">
        <x:v>22</x:v>
      </x:c>
      <x:c r="E638" s="46" t="n">
        <x:v>3</x:v>
      </x:c>
      <x:c r="F638" s="46" t="n">
        <x:v>4</x:v>
      </x:c>
      <x:c r="G638" s="12" t="n">
        <x:v>0.2222222222222222</x:v>
      </x:c>
      <x:c r="H638" s="12" t="n">
        <x:v>0.3333333333333333</x:v>
      </x:c>
      <x:c r="I638" s="29" t="n">
        <x:f>'Assumptions'!$D$11+'Assumptions'!$D$12*(0.5-(G638+H638)/2)</x:f>
        <x:v>0.34444444444444444</x:v>
      </x:c>
      <x:c r="J638" s="27" t="n">
        <x:f>'Assumptions'!$D$8*EXP(-'Assumptions'!$D$9*('Fleet Engine'!E216-10))*'Assumptions'!E58*'Assumptions'!F36</x:f>
        <x:v>9048.374180359595</x:v>
      </x:c>
      <x:c r="K638" s="27" t="n">
        <x:f>'Source Data'!F221+LN('Assumptions'!D58)+LN('Assumptions'!F35)</x:f>
        <x:v>8.129564769703762</x:v>
      </x:c>
      <x:c r="L638" s="27" t="n">
        <x:f>J638*(1-I638*(1-'Carrier Engine'!E93))</x:f>
        <x:v>6056.378451387355</x:v>
      </x:c>
      <x:c r="M638" s="29" t="n">
        <x:f>NORM.S.DIST((LN(L638)-K638)/'Assumptions'!$D$10,TRUE)</x:f>
        <x:v>0.6439115766417938</x:v>
      </x:c>
      <x:c r="N638" s="30" t="n">
        <x:f>MAX(0,H638-MAX(G638,M638))</x:f>
        <x:v>0</x:v>
      </x:c>
      <x:c r="O638" s="28" t="n">
        <x:f>J638*I638</x:f>
        <x:v>3116.662217679416</x:v>
      </x:c>
      <x:c r="P638" s="27" t="n">
        <x:f>(VLOOKUP(O638,'Fee Data'!$C$6:$G$50,2,TRUE)+O638*VLOOKUP(O638,'Fee Data'!$C$6:$G$50,3,TRUE)+VLOOKUP(O638,'Fee Data'!$I$6:$J$14,2,TRUE)+'Fee Data'!$J$20+'Fee Data'!$J$21)*'Assumptions'!F37</x:f>
        <x:v>865</x:v>
      </x:c>
      <x:c r="Q638" s="27" t="n">
        <x:f>(VLOOKUP(O638,'Fee Data'!$C$6:$G$50,4,TRUE)+O638*VLOOKUP(O638,'Fee Data'!$C$6:$G$50,5,TRUE)+VLOOKUP(O638,'Fee Data'!$I$6:$J$14,2,TRUE)+'Fee Data'!$J$20+'Fee Data'!$J$21)*'Assumptions'!F37</x:f>
        <x:v>715</x:v>
      </x:c>
      <x:c r="R638" s="27" t="n">
        <x:f>P638*(1-'Assumptions'!$D$14)+Q638*'Assumptions'!$D$14</x:f>
        <x:v>790</x:v>
      </x:c>
      <x:c r="S638" s="27" t="n">
        <x:f>O638*'Carrier Engine'!E93</x:f>
        <x:v>124.66648870717664</x:v>
      </x:c>
      <x:c r="T638" s="28" t="n">
        <x:f>R638+S638</x:f>
        <x:v>914.6664887071767</x:v>
      </x:c>
      <x:c r="U638" s="27" t="n">
        <x:f>N638*'Fleet Engine'!H216</x:f>
        <x:v>0</x:v>
      </x:c>
      <x:c r="V638" s="28" t="n">
        <x:f>U638*T638</x:f>
        <x:v>0</x:v>
      </x:c>
      <x:c r="W638" s="28" t="n">
        <x:f>U638*O638</x:f>
        <x:v>0</x:v>
      </x:c>
    </x:row>
    <x:row r="639" ht="19" customHeight="1">
      <x:c r="A639" s="2"/>
      <x:c r="B639" s="2"/>
      <x:c r="C639" s="46" t="n">
        <x:v>2</x:v>
      </x:c>
      <x:c r="D639" s="46" t="n">
        <x:v>22</x:v>
      </x:c>
      <x:c r="E639" s="46" t="n">
        <x:v>3</x:v>
      </x:c>
      <x:c r="F639" s="46" t="n">
        <x:v>4</x:v>
      </x:c>
      <x:c r="G639" s="12" t="n">
        <x:v>0.3333333333333333</x:v>
      </x:c>
      <x:c r="H639" s="12" t="n">
        <x:v>0.4444444444444444</x:v>
      </x:c>
      <x:c r="I639" s="29" t="n">
        <x:f>'Assumptions'!$D$11+'Assumptions'!$D$12*(0.5-(G639+H639)/2)</x:f>
        <x:v>0.32222222222222224</x:v>
      </x:c>
      <x:c r="J639" s="27" t="n">
        <x:f>'Assumptions'!$D$8*EXP(-'Assumptions'!$D$9*('Fleet Engine'!E216-10))*'Assumptions'!E58*'Assumptions'!F36</x:f>
        <x:v>9048.374180359595</x:v>
      </x:c>
      <x:c r="K639" s="27" t="n">
        <x:f>'Source Data'!F221+LN('Assumptions'!D58)+LN('Assumptions'!F35)</x:f>
        <x:v>8.129564769703762</x:v>
      </x:c>
      <x:c r="L639" s="27" t="n">
        <x:f>J639*(1-I639*(1-'Carrier Engine'!E93))</x:f>
        <x:v>6249.410433901693</x:v>
      </x:c>
      <x:c r="M639" s="29" t="n">
        <x:f>NORM.S.DIST((LN(L639)-K639)/'Assumptions'!$D$10,TRUE)</x:f>
        <x:v>0.651330720808863</x:v>
      </x:c>
      <x:c r="N639" s="30" t="n">
        <x:f>MAX(0,H639-MAX(G639,M639))</x:f>
        <x:v>0</x:v>
      </x:c>
      <x:c r="O639" s="28" t="n">
        <x:f>J639*I639</x:f>
        <x:v>2915.5872358936476</x:v>
      </x:c>
      <x:c r="P639" s="27" t="n">
        <x:f>(VLOOKUP(O639,'Fee Data'!$C$6:$G$50,2,TRUE)+O639*VLOOKUP(O639,'Fee Data'!$C$6:$G$50,3,TRUE)+VLOOKUP(O639,'Fee Data'!$I$6:$J$14,2,TRUE)+'Fee Data'!$J$20+'Fee Data'!$J$21)*'Assumptions'!F37</x:f>
        <x:v>820</x:v>
      </x:c>
      <x:c r="Q639" s="27" t="n">
        <x:f>(VLOOKUP(O639,'Fee Data'!$C$6:$G$50,4,TRUE)+O639*VLOOKUP(O639,'Fee Data'!$C$6:$G$50,5,TRUE)+VLOOKUP(O639,'Fee Data'!$I$6:$J$14,2,TRUE)+'Fee Data'!$J$20+'Fee Data'!$J$21)*'Assumptions'!F37</x:f>
        <x:v>670</x:v>
      </x:c>
      <x:c r="R639" s="27" t="n">
        <x:f>P639*(1-'Assumptions'!$D$14)+Q639*'Assumptions'!$D$14</x:f>
        <x:v>745</x:v>
      </x:c>
      <x:c r="S639" s="27" t="n">
        <x:f>O639*'Carrier Engine'!E93</x:f>
        <x:v>116.62348943574591</x:v>
      </x:c>
      <x:c r="T639" s="28" t="n">
        <x:f>R639+S639</x:f>
        <x:v>861.6234894357459</x:v>
      </x:c>
      <x:c r="U639" s="27" t="n">
        <x:f>N639*'Fleet Engine'!H216</x:f>
        <x:v>0</x:v>
      </x:c>
      <x:c r="V639" s="28" t="n">
        <x:f>U639*T639</x:f>
        <x:v>0</x:v>
      </x:c>
      <x:c r="W639" s="28" t="n">
        <x:f>U639*O639</x:f>
        <x:v>0</x:v>
      </x:c>
    </x:row>
    <x:row r="640" ht="19" customHeight="1">
      <x:c r="A640" s="2"/>
      <x:c r="B640" s="2"/>
      <x:c r="C640" s="46" t="n">
        <x:v>2</x:v>
      </x:c>
      <x:c r="D640" s="46" t="n">
        <x:v>22</x:v>
      </x:c>
      <x:c r="E640" s="46" t="n">
        <x:v>3</x:v>
      </x:c>
      <x:c r="F640" s="46" t="n">
        <x:v>4</x:v>
      </x:c>
      <x:c r="G640" s="12" t="n">
        <x:v>0.4444444444444444</x:v>
      </x:c>
      <x:c r="H640" s="12" t="n">
        <x:v>0.5555555555555556</x:v>
      </x:c>
      <x:c r="I640" s="29" t="n">
        <x:f>'Assumptions'!$D$11+'Assumptions'!$D$12*(0.5-(G640+H640)/2)</x:f>
        <x:v>0.3</x:v>
      </x:c>
      <x:c r="J640" s="27" t="n">
        <x:f>'Assumptions'!$D$8*EXP(-'Assumptions'!$D$9*('Fleet Engine'!E216-10))*'Assumptions'!E58*'Assumptions'!F36</x:f>
        <x:v>9048.374180359595</x:v>
      </x:c>
      <x:c r="K640" s="27" t="n">
        <x:f>'Source Data'!F221+LN('Assumptions'!D58)+LN('Assumptions'!F35)</x:f>
        <x:v>8.129564769703762</x:v>
      </x:c>
      <x:c r="L640" s="27" t="n">
        <x:f>J640*(1-I640*(1-'Carrier Engine'!E93))</x:f>
        <x:v>6442.442416416031</x:v>
      </x:c>
      <x:c r="M640" s="29" t="n">
        <x:f>NORM.S.DIST((LN(L640)-K640)/'Assumptions'!$D$10,TRUE)</x:f>
        <x:v>0.6584693407393539</x:v>
      </x:c>
      <x:c r="N640" s="30" t="n">
        <x:f>MAX(0,H640-MAX(G640,M640))</x:f>
        <x:v>0</x:v>
      </x:c>
      <x:c r="O640" s="28" t="n">
        <x:f>J640*I640</x:f>
        <x:v>2714.5122541078786</x:v>
      </x:c>
      <x:c r="P640" s="27" t="n">
        <x:f>(VLOOKUP(O640,'Fee Data'!$C$6:$G$50,2,TRUE)+O640*VLOOKUP(O640,'Fee Data'!$C$6:$G$50,3,TRUE)+VLOOKUP(O640,'Fee Data'!$I$6:$J$14,2,TRUE)+'Fee Data'!$J$20+'Fee Data'!$J$21)*'Assumptions'!F37</x:f>
        <x:v>820</x:v>
      </x:c>
      <x:c r="Q640" s="27" t="n">
        <x:f>(VLOOKUP(O640,'Fee Data'!$C$6:$G$50,4,TRUE)+O640*VLOOKUP(O640,'Fee Data'!$C$6:$G$50,5,TRUE)+VLOOKUP(O640,'Fee Data'!$I$6:$J$14,2,TRUE)+'Fee Data'!$J$20+'Fee Data'!$J$21)*'Assumptions'!F37</x:f>
        <x:v>670</x:v>
      </x:c>
      <x:c r="R640" s="27" t="n">
        <x:f>P640*(1-'Assumptions'!$D$14)+Q640*'Assumptions'!$D$14</x:f>
        <x:v>745</x:v>
      </x:c>
      <x:c r="S640" s="27" t="n">
        <x:f>O640*'Carrier Engine'!E93</x:f>
        <x:v>108.58049016431515</x:v>
      </x:c>
      <x:c r="T640" s="28" t="n">
        <x:f>R640+S640</x:f>
        <x:v>853.5804901643152</x:v>
      </x:c>
      <x:c r="U640" s="27" t="n">
        <x:f>N640*'Fleet Engine'!H216</x:f>
        <x:v>0</x:v>
      </x:c>
      <x:c r="V640" s="28" t="n">
        <x:f>U640*T640</x:f>
        <x:v>0</x:v>
      </x:c>
      <x:c r="W640" s="28" t="n">
        <x:f>U640*O640</x:f>
        <x:v>0</x:v>
      </x:c>
    </x:row>
    <x:row r="641" ht="19" customHeight="1">
      <x:c r="A641" s="2"/>
      <x:c r="B641" s="2"/>
      <x:c r="C641" s="46" t="n">
        <x:v>2</x:v>
      </x:c>
      <x:c r="D641" s="46" t="n">
        <x:v>22</x:v>
      </x:c>
      <x:c r="E641" s="46" t="n">
        <x:v>3</x:v>
      </x:c>
      <x:c r="F641" s="46" t="n">
        <x:v>4</x:v>
      </x:c>
      <x:c r="G641" s="12" t="n">
        <x:v>0.5555555555555556</x:v>
      </x:c>
      <x:c r="H641" s="12" t="n">
        <x:v>0.6666666666666666</x:v>
      </x:c>
      <x:c r="I641" s="29" t="n">
        <x:f>'Assumptions'!$D$11+'Assumptions'!$D$12*(0.5-(G641+H641)/2)</x:f>
        <x:v>0.27777777777777773</x:v>
      </x:c>
      <x:c r="J641" s="27" t="n">
        <x:f>'Assumptions'!$D$8*EXP(-'Assumptions'!$D$9*('Fleet Engine'!E216-10))*'Assumptions'!E58*'Assumptions'!F36</x:f>
        <x:v>9048.374180359595</x:v>
      </x:c>
      <x:c r="K641" s="27" t="n">
        <x:f>'Source Data'!F221+LN('Assumptions'!D58)+LN('Assumptions'!F35)</x:f>
        <x:v>8.129564769703762</x:v>
      </x:c>
      <x:c r="L641" s="27" t="n">
        <x:f>J641*(1-I641*(1-'Carrier Engine'!E93))</x:f>
        <x:v>6635.47439893037</x:v>
      </x:c>
      <x:c r="M641" s="29" t="n">
        <x:f>NORM.S.DIST((LN(L641)-K641)/'Assumptions'!$D$10,TRUE)</x:f>
        <x:v>0.6653434401742447</x:v>
      </x:c>
      <x:c r="N641" s="30" t="n">
        <x:f>MAX(0,H641-MAX(G641,M641))</x:f>
        <x:v>0.0013232264924218917</x:v>
      </x:c>
      <x:c r="O641" s="28" t="n">
        <x:f>J641*I641</x:f>
        <x:v>2513.4372723221095</x:v>
      </x:c>
      <x:c r="P641" s="27" t="n">
        <x:f>(VLOOKUP(O641,'Fee Data'!$C$6:$G$50,2,TRUE)+O641*VLOOKUP(O641,'Fee Data'!$C$6:$G$50,3,TRUE)+VLOOKUP(O641,'Fee Data'!$I$6:$J$14,2,TRUE)+'Fee Data'!$J$20+'Fee Data'!$J$21)*'Assumptions'!F37</x:f>
        <x:v>820</x:v>
      </x:c>
      <x:c r="Q641" s="27" t="n">
        <x:f>(VLOOKUP(O641,'Fee Data'!$C$6:$G$50,4,TRUE)+O641*VLOOKUP(O641,'Fee Data'!$C$6:$G$50,5,TRUE)+VLOOKUP(O641,'Fee Data'!$I$6:$J$14,2,TRUE)+'Fee Data'!$J$20+'Fee Data'!$J$21)*'Assumptions'!F37</x:f>
        <x:v>670</x:v>
      </x:c>
      <x:c r="R641" s="27" t="n">
        <x:f>P641*(1-'Assumptions'!$D$14)+Q641*'Assumptions'!$D$14</x:f>
        <x:v>745</x:v>
      </x:c>
      <x:c r="S641" s="27" t="n">
        <x:f>O641*'Carrier Engine'!E93</x:f>
        <x:v>100.53749089288438</x:v>
      </x:c>
      <x:c r="T641" s="28" t="n">
        <x:f>R641+S641</x:f>
        <x:v>845.5374908928844</x:v>
      </x:c>
      <x:c r="U641" s="27" t="n">
        <x:f>N641*'Fleet Engine'!H216</x:f>
        <x:v>1.4643975442860035</x:v>
      </x:c>
      <x:c r="V641" s="28" t="n">
        <x:f>U641*T641</x:f>
        <x:v>1238.203025265289</x:v>
      </x:c>
      <x:c r="W641" s="28" t="n">
        <x:f>U641*O641</x:f>
        <x:v>3680.6713693054085</x:v>
      </x:c>
    </x:row>
    <x:row r="642" ht="19" customHeight="1">
      <x:c r="A642" s="2"/>
      <x:c r="B642" s="2"/>
      <x:c r="C642" s="46" t="n">
        <x:v>2</x:v>
      </x:c>
      <x:c r="D642" s="46" t="n">
        <x:v>22</x:v>
      </x:c>
      <x:c r="E642" s="46" t="n">
        <x:v>3</x:v>
      </x:c>
      <x:c r="F642" s="46" t="n">
        <x:v>4</x:v>
      </x:c>
      <x:c r="G642" s="12" t="n">
        <x:v>0.6666666666666666</x:v>
      </x:c>
      <x:c r="H642" s="12" t="n">
        <x:v>0.7777777777777778</x:v>
      </x:c>
      <x:c r="I642" s="29" t="n">
        <x:f>'Assumptions'!$D$11+'Assumptions'!$D$12*(0.5-(G642+H642)/2)</x:f>
        <x:v>0.25555555555555554</x:v>
      </x:c>
      <x:c r="J642" s="27" t="n">
        <x:f>'Assumptions'!$D$8*EXP(-'Assumptions'!$D$9*('Fleet Engine'!E216-10))*'Assumptions'!E58*'Assumptions'!F36</x:f>
        <x:v>9048.374180359595</x:v>
      </x:c>
      <x:c r="K642" s="27" t="n">
        <x:f>'Source Data'!F221+LN('Assumptions'!D58)+LN('Assumptions'!F35)</x:f>
        <x:v>8.129564769703762</x:v>
      </x:c>
      <x:c r="L642" s="27" t="n">
        <x:f>J642*(1-I642*(1-'Carrier Engine'!E93))</x:f>
        <x:v>6828.506381444708</x:v>
      </x:c>
      <x:c r="M642" s="29" t="n">
        <x:f>NORM.S.DIST((LN(L642)-K642)/'Assumptions'!$D$10,TRUE)</x:f>
        <x:v>0.6719677892659592</x:v>
      </x:c>
      <x:c r="N642" s="30" t="n">
        <x:f>MAX(0,H642-MAX(G642,M642))</x:f>
        <x:v>0.10580998851181855</x:v>
      </x:c>
      <x:c r="O642" s="28" t="n">
        <x:f>J642*I642</x:f>
        <x:v>2312.362290536341</x:v>
      </x:c>
      <x:c r="P642" s="27" t="n">
        <x:f>(VLOOKUP(O642,'Fee Data'!$C$6:$G$50,2,TRUE)+O642*VLOOKUP(O642,'Fee Data'!$C$6:$G$50,3,TRUE)+VLOOKUP(O642,'Fee Data'!$I$6:$J$14,2,TRUE)+'Fee Data'!$J$20+'Fee Data'!$J$21)*'Assumptions'!F37</x:f>
        <x:v>745</x:v>
      </x:c>
      <x:c r="Q642" s="27" t="n">
        <x:f>(VLOOKUP(O642,'Fee Data'!$C$6:$G$50,4,TRUE)+O642*VLOOKUP(O642,'Fee Data'!$C$6:$G$50,5,TRUE)+VLOOKUP(O642,'Fee Data'!$I$6:$J$14,2,TRUE)+'Fee Data'!$J$20+'Fee Data'!$J$21)*'Assumptions'!F37</x:f>
        <x:v>600</x:v>
      </x:c>
      <x:c r="R642" s="27" t="n">
        <x:f>P642*(1-'Assumptions'!$D$14)+Q642*'Assumptions'!$D$14</x:f>
        <x:v>672.5</x:v>
      </x:c>
      <x:c r="S642" s="27" t="n">
        <x:f>O642*'Carrier Engine'!E93</x:f>
        <x:v>92.49449162145363</x:v>
      </x:c>
      <x:c r="T642" s="28" t="n">
        <x:f>R642+S642</x:f>
        <x:v>764.9944916214537</x:v>
      </x:c>
      <x:c r="U642" s="27" t="n">
        <x:f>N642*'Fleet Engine'!H216</x:f>
        <x:v>117.09853772201716</x:v>
      </x:c>
      <x:c r="V642" s="28" t="n">
        <x:f>U642*T642</x:f>
        <x:v>89579.73633427013</x:v>
      </x:c>
      <x:c r="W642" s="28" t="n">
        <x:f>U642*O642</x:f>
        <x:v>270774.2429053397</x:v>
      </x:c>
    </x:row>
    <x:row r="643" ht="19" customHeight="1">
      <x:c r="A643" s="2"/>
      <x:c r="B643" s="2"/>
      <x:c r="C643" s="46" t="n">
        <x:v>2</x:v>
      </x:c>
      <x:c r="D643" s="46" t="n">
        <x:v>22</x:v>
      </x:c>
      <x:c r="E643" s="46" t="n">
        <x:v>3</x:v>
      </x:c>
      <x:c r="F643" s="46" t="n">
        <x:v>4</x:v>
      </x:c>
      <x:c r="G643" s="12" t="n">
        <x:v>0.7777777777777778</x:v>
      </x:c>
      <x:c r="H643" s="12" t="n">
        <x:v>0.8888888888888888</x:v>
      </x:c>
      <x:c r="I643" s="29" t="n">
        <x:f>'Assumptions'!$D$11+'Assumptions'!$D$12*(0.5-(G643+H643)/2)</x:f>
        <x:v>0.23333333333333334</x:v>
      </x:c>
      <x:c r="J643" s="27" t="n">
        <x:f>'Assumptions'!$D$8*EXP(-'Assumptions'!$D$9*('Fleet Engine'!E216-10))*'Assumptions'!E58*'Assumptions'!F36</x:f>
        <x:v>9048.374180359595</x:v>
      </x:c>
      <x:c r="K643" s="27" t="n">
        <x:f>'Source Data'!F221+LN('Assumptions'!D58)+LN('Assumptions'!F35)</x:f>
        <x:v>8.129564769703762</x:v>
      </x:c>
      <x:c r="L643" s="27" t="n">
        <x:f>J643*(1-I643*(1-'Carrier Engine'!E93))</x:f>
        <x:v>7021.5383639590455</x:v>
      </x:c>
      <x:c r="M643" s="29" t="n">
        <x:f>NORM.S.DIST((LN(L643)-K643)/'Assumptions'!$D$10,TRUE)</x:f>
        <x:v>0.6783560443804386</x:v>
      </x:c>
      <x:c r="N643" s="30" t="n">
        <x:f>MAX(0,H643-MAX(G643,M643))</x:f>
        <x:v>0.11111111111111105</x:v>
      </x:c>
      <x:c r="O643" s="28" t="n">
        <x:f>J643*I643</x:f>
        <x:v>2111.2873087505723</x:v>
      </x:c>
      <x:c r="P643" s="27" t="n">
        <x:f>(VLOOKUP(O643,'Fee Data'!$C$6:$G$50,2,TRUE)+O643*VLOOKUP(O643,'Fee Data'!$C$6:$G$50,3,TRUE)+VLOOKUP(O643,'Fee Data'!$I$6:$J$14,2,TRUE)+'Fee Data'!$J$20+'Fee Data'!$J$21)*'Assumptions'!F37</x:f>
        <x:v>745</x:v>
      </x:c>
      <x:c r="Q643" s="27" t="n">
        <x:f>(VLOOKUP(O643,'Fee Data'!$C$6:$G$50,4,TRUE)+O643*VLOOKUP(O643,'Fee Data'!$C$6:$G$50,5,TRUE)+VLOOKUP(O643,'Fee Data'!$I$6:$J$14,2,TRUE)+'Fee Data'!$J$20+'Fee Data'!$J$21)*'Assumptions'!F37</x:f>
        <x:v>600</x:v>
      </x:c>
      <x:c r="R643" s="27" t="n">
        <x:f>P643*(1-'Assumptions'!$D$14)+Q643*'Assumptions'!$D$14</x:f>
        <x:v>672.5</x:v>
      </x:c>
      <x:c r="S643" s="27" t="n">
        <x:f>O643*'Carrier Engine'!E93</x:f>
        <x:v>84.45149235002289</x:v>
      </x:c>
      <x:c r="T643" s="28" t="n">
        <x:f>R643+S643</x:f>
        <x:v>756.9514923500229</x:v>
      </x:c>
      <x:c r="U643" s="27" t="n">
        <x:f>N643*'Fleet Engine'!H216</x:f>
        <x:v>122.96522113624846</x:v>
      </x:c>
      <x:c r="V643" s="28" t="n">
        <x:f>U643*T643</x:f>
        <x:v>93078.70764623386</x:v>
      </x:c>
      <x:c r="W643" s="28" t="n">
        <x:f>U643*O643</x:f>
        <x:v>259614.910802669</x:v>
      </x:c>
    </x:row>
    <x:row r="644" ht="19" customHeight="1">
      <x:c r="A644" s="2"/>
      <x:c r="B644" s="2"/>
      <x:c r="C644" s="46" t="n">
        <x:v>2</x:v>
      </x:c>
      <x:c r="D644" s="46" t="n">
        <x:v>22</x:v>
      </x:c>
      <x:c r="E644" s="46" t="n">
        <x:v>3</x:v>
      </x:c>
      <x:c r="F644" s="46" t="n">
        <x:v>4</x:v>
      </x:c>
      <x:c r="G644" s="12" t="n">
        <x:v>0.8888888888888888</x:v>
      </x:c>
      <x:c r="H644" s="12" t="n">
        <x:v>1</x:v>
      </x:c>
      <x:c r="I644" s="29" t="n">
        <x:f>'Assumptions'!$D$11+'Assumptions'!$D$12*(0.5-(G644+H644)/2)</x:f>
        <x:v>0.21111111111111108</x:v>
      </x:c>
      <x:c r="J644" s="27" t="n">
        <x:f>'Assumptions'!$D$8*EXP(-'Assumptions'!$D$9*('Fleet Engine'!E216-10))*'Assumptions'!E58*'Assumptions'!F36</x:f>
        <x:v>9048.374180359595</x:v>
      </x:c>
      <x:c r="K644" s="27" t="n">
        <x:f>'Source Data'!F221+LN('Assumptions'!D58)+LN('Assumptions'!F35)</x:f>
        <x:v>8.129564769703762</x:v>
      </x:c>
      <x:c r="L644" s="27" t="n">
        <x:f>J644*(1-I644*(1-'Carrier Engine'!E93))</x:f>
        <x:v>7214.570346473383</x:v>
      </x:c>
      <x:c r="M644" s="29" t="n">
        <x:f>NORM.S.DIST((LN(L644)-K644)/'Assumptions'!$D$10,TRUE)</x:f>
        <x:v>0.6845208539134946</x:v>
      </x:c>
      <x:c r="N644" s="30" t="n">
        <x:f>MAX(0,H644-MAX(G644,M644))</x:f>
        <x:v>0.11111111111111116</x:v>
      </x:c>
      <x:c r="O644" s="28" t="n">
        <x:f>J644*I644</x:f>
        <x:v>1910.2123269648032</x:v>
      </x:c>
      <x:c r="P644" s="27" t="n">
        <x:f>(VLOOKUP(O644,'Fee Data'!$C$6:$G$50,2,TRUE)+O644*VLOOKUP(O644,'Fee Data'!$C$6:$G$50,3,TRUE)+VLOOKUP(O644,'Fee Data'!$I$6:$J$14,2,TRUE)+'Fee Data'!$J$20+'Fee Data'!$J$21)*'Assumptions'!F37</x:f>
        <x:v>705</x:v>
      </x:c>
      <x:c r="Q644" s="27" t="n">
        <x:f>(VLOOKUP(O644,'Fee Data'!$C$6:$G$50,4,TRUE)+O644*VLOOKUP(O644,'Fee Data'!$C$6:$G$50,5,TRUE)+VLOOKUP(O644,'Fee Data'!$I$6:$J$14,2,TRUE)+'Fee Data'!$J$20+'Fee Data'!$J$21)*'Assumptions'!F37</x:f>
        <x:v>565</x:v>
      </x:c>
      <x:c r="R644" s="27" t="n">
        <x:f>P644*(1-'Assumptions'!$D$14)+Q644*'Assumptions'!$D$14</x:f>
        <x:v>635</x:v>
      </x:c>
      <x:c r="S644" s="27" t="n">
        <x:f>O644*'Carrier Engine'!E93</x:f>
        <x:v>76.40849307859213</x:v>
      </x:c>
      <x:c r="T644" s="28" t="n">
        <x:f>R644+S644</x:f>
        <x:v>711.4084930785921</x:v>
      </x:c>
      <x:c r="U644" s="27" t="n">
        <x:f>N644*'Fleet Engine'!H216</x:f>
        <x:v>122.96522113624859</x:v>
      </x:c>
      <x:c r="V644" s="28" t="n">
        <x:f>U644*T644</x:f>
        <x:v>87478.50266961445</x:v>
      </x:c>
      <x:c r="W644" s="28" t="n">
        <x:f>U644*O644</x:f>
        <x:v>234889.68120241503</x:v>
      </x:c>
    </x:row>
    <x:row r="645" ht="19" customHeight="1">
      <x:c r="A645" s="2"/>
      <x:c r="B645" s="2"/>
      <x:c r="C645" s="46" t="n">
        <x:v>2</x:v>
      </x:c>
      <x:c r="D645" s="46" t="n">
        <x:v>23</x:v>
      </x:c>
      <x:c r="E645" s="46" t="n">
        <x:v>3</x:v>
      </x:c>
      <x:c r="F645" s="46" t="n">
        <x:v>5</x:v>
      </x:c>
      <x:c r="G645" s="12" t="n">
        <x:v>0</x:v>
      </x:c>
      <x:c r="H645" s="12" t="n">
        <x:v>0.1111111111111111</x:v>
      </x:c>
      <x:c r="I645" s="29" t="n">
        <x:f>'Assumptions'!$D$11+'Assumptions'!$D$12*(0.5-(G645+H645)/2)</x:f>
        <x:v>0.3888888888888889</x:v>
      </x:c>
      <x:c r="J645" s="27" t="n">
        <x:f>'Assumptions'!$D$8*EXP(-'Assumptions'!$D$9*('Fleet Engine'!E217-10))*'Assumptions'!E58*'Assumptions'!F36</x:f>
        <x:v>4965.853037914095</x:v>
      </x:c>
      <x:c r="K645" s="27" t="n">
        <x:f>'Source Data'!F222+LN('Assumptions'!D58)+LN('Assumptions'!F35)</x:f>
        <x:v>8.030635919980082</x:v>
      </x:c>
      <x:c r="L645" s="27" t="n">
        <x:f>J645*(1-I645*(1-'Carrier Engine'!E93))</x:f>
        <x:v>3111.9345704261664</x:v>
      </x:c>
      <x:c r="M645" s="29" t="n">
        <x:f>NORM.S.DIST((LN(L645)-K645)/'Assumptions'!$D$10,TRUE)</x:f>
        <x:v>0.5031412742530323</x:v>
      </x:c>
      <x:c r="N645" s="30" t="n">
        <x:f>MAX(0,H645-MAX(G645,M645))</x:f>
        <x:v>0</x:v>
      </x:c>
      <x:c r="O645" s="28" t="n">
        <x:f>J645*I645</x:f>
        <x:v>1931.1650702999257</x:v>
      </x:c>
      <x:c r="P645" s="27" t="n">
        <x:f>(VLOOKUP(O645,'Fee Data'!$C$6:$G$50,2,TRUE)+O645*VLOOKUP(O645,'Fee Data'!$C$6:$G$50,3,TRUE)+VLOOKUP(O645,'Fee Data'!$I$6:$J$14,2,TRUE)+'Fee Data'!$J$20+'Fee Data'!$J$21)*'Assumptions'!F37</x:f>
        <x:v>705</x:v>
      </x:c>
      <x:c r="Q645" s="27" t="n">
        <x:f>(VLOOKUP(O645,'Fee Data'!$C$6:$G$50,4,TRUE)+O645*VLOOKUP(O645,'Fee Data'!$C$6:$G$50,5,TRUE)+VLOOKUP(O645,'Fee Data'!$I$6:$J$14,2,TRUE)+'Fee Data'!$J$20+'Fee Data'!$J$21)*'Assumptions'!F37</x:f>
        <x:v>565</x:v>
      </x:c>
      <x:c r="R645" s="27" t="n">
        <x:f>P645*(1-'Assumptions'!$D$14)+Q645*'Assumptions'!$D$14</x:f>
        <x:v>635</x:v>
      </x:c>
      <x:c r="S645" s="27" t="n">
        <x:f>O645*'Carrier Engine'!E93</x:f>
        <x:v>77.24660281199702</x:v>
      </x:c>
      <x:c r="T645" s="28" t="n">
        <x:f>R645+S645</x:f>
        <x:v>712.246602811997</x:v>
      </x:c>
      <x:c r="U645" s="27" t="n">
        <x:f>N645*'Fleet Engine'!H217</x:f>
        <x:v>0</x:v>
      </x:c>
      <x:c r="V645" s="28" t="n">
        <x:f>U645*T645</x:f>
        <x:v>0</x:v>
      </x:c>
      <x:c r="W645" s="28" t="n">
        <x:f>U645*O645</x:f>
        <x:v>0</x:v>
      </x:c>
    </x:row>
    <x:row r="646" ht="19" customHeight="1">
      <x:c r="A646" s="2"/>
      <x:c r="B646" s="2"/>
      <x:c r="C646" s="46" t="n">
        <x:v>2</x:v>
      </x:c>
      <x:c r="D646" s="46" t="n">
        <x:v>23</x:v>
      </x:c>
      <x:c r="E646" s="46" t="n">
        <x:v>3</x:v>
      </x:c>
      <x:c r="F646" s="46" t="n">
        <x:v>5</x:v>
      </x:c>
      <x:c r="G646" s="12" t="n">
        <x:v>0.1111111111111111</x:v>
      </x:c>
      <x:c r="H646" s="12" t="n">
        <x:v>0.2222222222222222</x:v>
      </x:c>
      <x:c r="I646" s="29" t="n">
        <x:f>'Assumptions'!$D$11+'Assumptions'!$D$12*(0.5-(G646+H646)/2)</x:f>
        <x:v>0.3666666666666667</x:v>
      </x:c>
      <x:c r="J646" s="27" t="n">
        <x:f>'Assumptions'!$D$8*EXP(-'Assumptions'!$D$9*('Fleet Engine'!E217-10))*'Assumptions'!E58*'Assumptions'!F36</x:f>
        <x:v>4965.853037914095</x:v>
      </x:c>
      <x:c r="K646" s="27" t="n">
        <x:f>'Source Data'!F222+LN('Assumptions'!D58)+LN('Assumptions'!F35)</x:f>
        <x:v>8.030635919980082</x:v>
      </x:c>
      <x:c r="L646" s="27" t="n">
        <x:f>J646*(1-I646*(1-'Carrier Engine'!E93))</x:f>
        <x:v>3217.872768568333</x:v>
      </x:c>
      <x:c r="M646" s="29" t="n">
        <x:f>NORM.S.DIST((LN(L646)-K646)/'Assumptions'!$D$10,TRUE)</x:f>
        <x:v>0.511644883114373</x:v>
      </x:c>
      <x:c r="N646" s="30" t="n">
        <x:f>MAX(0,H646-MAX(G646,M646))</x:f>
        <x:v>0</x:v>
      </x:c>
      <x:c r="O646" s="28" t="n">
        <x:f>J646*I646</x:f>
        <x:v>1820.8127805685015</x:v>
      </x:c>
      <x:c r="P646" s="27" t="n">
        <x:f>(VLOOKUP(O646,'Fee Data'!$C$6:$G$50,2,TRUE)+O646*VLOOKUP(O646,'Fee Data'!$C$6:$G$50,3,TRUE)+VLOOKUP(O646,'Fee Data'!$I$6:$J$14,2,TRUE)+'Fee Data'!$J$20+'Fee Data'!$J$21)*'Assumptions'!F37</x:f>
        <x:v>705</x:v>
      </x:c>
      <x:c r="Q646" s="27" t="n">
        <x:f>(VLOOKUP(O646,'Fee Data'!$C$6:$G$50,4,TRUE)+O646*VLOOKUP(O646,'Fee Data'!$C$6:$G$50,5,TRUE)+VLOOKUP(O646,'Fee Data'!$I$6:$J$14,2,TRUE)+'Fee Data'!$J$20+'Fee Data'!$J$21)*'Assumptions'!F37</x:f>
        <x:v>565</x:v>
      </x:c>
      <x:c r="R646" s="27" t="n">
        <x:f>P646*(1-'Assumptions'!$D$14)+Q646*'Assumptions'!$D$14</x:f>
        <x:v>635</x:v>
      </x:c>
      <x:c r="S646" s="27" t="n">
        <x:f>O646*'Carrier Engine'!E93</x:f>
        <x:v>72.83251122274007</x:v>
      </x:c>
      <x:c r="T646" s="28" t="n">
        <x:f>R646+S646</x:f>
        <x:v>707.8325112227401</x:v>
      </x:c>
      <x:c r="U646" s="27" t="n">
        <x:f>N646*'Fleet Engine'!H217</x:f>
        <x:v>0</x:v>
      </x:c>
      <x:c r="V646" s="28" t="n">
        <x:f>U646*T646</x:f>
        <x:v>0</x:v>
      </x:c>
      <x:c r="W646" s="28" t="n">
        <x:f>U646*O646</x:f>
        <x:v>0</x:v>
      </x:c>
    </x:row>
    <x:row r="647" ht="19" customHeight="1">
      <x:c r="A647" s="2"/>
      <x:c r="B647" s="2"/>
      <x:c r="C647" s="46" t="n">
        <x:v>2</x:v>
      </x:c>
      <x:c r="D647" s="46" t="n">
        <x:v>23</x:v>
      </x:c>
      <x:c r="E647" s="46" t="n">
        <x:v>3</x:v>
      </x:c>
      <x:c r="F647" s="46" t="n">
        <x:v>5</x:v>
      </x:c>
      <x:c r="G647" s="12" t="n">
        <x:v>0.2222222222222222</x:v>
      </x:c>
      <x:c r="H647" s="12" t="n">
        <x:v>0.3333333333333333</x:v>
      </x:c>
      <x:c r="I647" s="29" t="n">
        <x:f>'Assumptions'!$D$11+'Assumptions'!$D$12*(0.5-(G647+H647)/2)</x:f>
        <x:v>0.34444444444444444</x:v>
      </x:c>
      <x:c r="J647" s="27" t="n">
        <x:f>'Assumptions'!$D$8*EXP(-'Assumptions'!$D$9*('Fleet Engine'!E217-10))*'Assumptions'!E58*'Assumptions'!F36</x:f>
        <x:v>4965.853037914095</x:v>
      </x:c>
      <x:c r="K647" s="27" t="n">
        <x:f>'Source Data'!F222+LN('Assumptions'!D58)+LN('Assumptions'!F35)</x:f>
        <x:v>8.030635919980082</x:v>
      </x:c>
      <x:c r="L647" s="27" t="n">
        <x:f>J647*(1-I647*(1-'Carrier Engine'!E93))</x:f>
        <x:v>3323.810966710501</x:v>
      </x:c>
      <x:c r="M647" s="29" t="n">
        <x:f>NORM.S.DIST((LN(L647)-K647)/'Assumptions'!$D$10,TRUE)</x:f>
        <x:v>0.5198680257298949</x:v>
      </x:c>
      <x:c r="N647" s="30" t="n">
        <x:f>MAX(0,H647-MAX(G647,M647))</x:f>
        <x:v>0</x:v>
      </x:c>
      <x:c r="O647" s="28" t="n">
        <x:f>J647*I647</x:f>
        <x:v>1710.460490837077</x:v>
      </x:c>
      <x:c r="P647" s="27" t="n">
        <x:f>(VLOOKUP(O647,'Fee Data'!$C$6:$G$50,2,TRUE)+O647*VLOOKUP(O647,'Fee Data'!$C$6:$G$50,3,TRUE)+VLOOKUP(O647,'Fee Data'!$I$6:$J$14,2,TRUE)+'Fee Data'!$J$20+'Fee Data'!$J$21)*'Assumptions'!F37</x:f>
        <x:v>680</x:v>
      </x:c>
      <x:c r="Q647" s="27" t="n">
        <x:f>(VLOOKUP(O647,'Fee Data'!$C$6:$G$50,4,TRUE)+O647*VLOOKUP(O647,'Fee Data'!$C$6:$G$50,5,TRUE)+VLOOKUP(O647,'Fee Data'!$I$6:$J$14,2,TRUE)+'Fee Data'!$J$20+'Fee Data'!$J$21)*'Assumptions'!F37</x:f>
        <x:v>545</x:v>
      </x:c>
      <x:c r="R647" s="27" t="n">
        <x:f>P647*(1-'Assumptions'!$D$14)+Q647*'Assumptions'!$D$14</x:f>
        <x:v>612.5</x:v>
      </x:c>
      <x:c r="S647" s="27" t="n">
        <x:f>O647*'Carrier Engine'!E93</x:f>
        <x:v>68.41841963348308</x:v>
      </x:c>
      <x:c r="T647" s="28" t="n">
        <x:f>R647+S647</x:f>
        <x:v>680.918419633483</x:v>
      </x:c>
      <x:c r="U647" s="27" t="n">
        <x:f>N647*'Fleet Engine'!H217</x:f>
        <x:v>0</x:v>
      </x:c>
      <x:c r="V647" s="28" t="n">
        <x:f>U647*T647</x:f>
        <x:v>0</x:v>
      </x:c>
      <x:c r="W647" s="28" t="n">
        <x:f>U647*O647</x:f>
        <x:v>0</x:v>
      </x:c>
    </x:row>
    <x:row r="648" ht="19" customHeight="1">
      <x:c r="A648" s="2"/>
      <x:c r="B648" s="2"/>
      <x:c r="C648" s="46" t="n">
        <x:v>2</x:v>
      </x:c>
      <x:c r="D648" s="46" t="n">
        <x:v>23</x:v>
      </x:c>
      <x:c r="E648" s="46" t="n">
        <x:v>3</x:v>
      </x:c>
      <x:c r="F648" s="46" t="n">
        <x:v>5</x:v>
      </x:c>
      <x:c r="G648" s="12" t="n">
        <x:v>0.3333333333333333</x:v>
      </x:c>
      <x:c r="H648" s="12" t="n">
        <x:v>0.4444444444444444</x:v>
      </x:c>
      <x:c r="I648" s="29" t="n">
        <x:f>'Assumptions'!$D$11+'Assumptions'!$D$12*(0.5-(G648+H648)/2)</x:f>
        <x:v>0.32222222222222224</x:v>
      </x:c>
      <x:c r="J648" s="27" t="n">
        <x:f>'Assumptions'!$D$8*EXP(-'Assumptions'!$D$9*('Fleet Engine'!E217-10))*'Assumptions'!E58*'Assumptions'!F36</x:f>
        <x:v>4965.853037914095</x:v>
      </x:c>
      <x:c r="K648" s="27" t="n">
        <x:f>'Source Data'!F222+LN('Assumptions'!D58)+LN('Assumptions'!F35)</x:f>
        <x:v>8.030635919980082</x:v>
      </x:c>
      <x:c r="L648" s="27" t="n">
        <x:f>J648*(1-I648*(1-'Carrier Engine'!E93))</x:f>
        <x:v>3429.749164852668</x:v>
      </x:c>
      <x:c r="M648" s="29" t="n">
        <x:f>NORM.S.DIST((LN(L648)-K648)/'Assumptions'!$D$10,TRUE)</x:f>
        <x:v>0.5278251256486162</x:v>
      </x:c>
      <x:c r="N648" s="30" t="n">
        <x:f>MAX(0,H648-MAX(G648,M648))</x:f>
        <x:v>0</x:v>
      </x:c>
      <x:c r="O648" s="28" t="n">
        <x:f>J648*I648</x:f>
        <x:v>1600.1082011056528</x:v>
      </x:c>
      <x:c r="P648" s="27" t="n">
        <x:f>(VLOOKUP(O648,'Fee Data'!$C$6:$G$50,2,TRUE)+O648*VLOOKUP(O648,'Fee Data'!$C$6:$G$50,3,TRUE)+VLOOKUP(O648,'Fee Data'!$I$6:$J$14,2,TRUE)+'Fee Data'!$J$20+'Fee Data'!$J$21)*'Assumptions'!F37</x:f>
        <x:v>660</x:v>
      </x:c>
      <x:c r="Q648" s="27" t="n">
        <x:f>(VLOOKUP(O648,'Fee Data'!$C$6:$G$50,4,TRUE)+O648*VLOOKUP(O648,'Fee Data'!$C$6:$G$50,5,TRUE)+VLOOKUP(O648,'Fee Data'!$I$6:$J$14,2,TRUE)+'Fee Data'!$J$20+'Fee Data'!$J$21)*'Assumptions'!F37</x:f>
        <x:v>525</x:v>
      </x:c>
      <x:c r="R648" s="27" t="n">
        <x:f>P648*(1-'Assumptions'!$D$14)+Q648*'Assumptions'!$D$14</x:f>
        <x:v>592.5</x:v>
      </x:c>
      <x:c r="S648" s="27" t="n">
        <x:f>O648*'Carrier Engine'!E93</x:f>
        <x:v>64.00432804422611</x:v>
      </x:c>
      <x:c r="T648" s="28" t="n">
        <x:f>R648+S648</x:f>
        <x:v>656.5043280442261</x:v>
      </x:c>
      <x:c r="U648" s="27" t="n">
        <x:f>N648*'Fleet Engine'!H217</x:f>
        <x:v>0</x:v>
      </x:c>
      <x:c r="V648" s="28" t="n">
        <x:f>U648*T648</x:f>
        <x:v>0</x:v>
      </x:c>
      <x:c r="W648" s="28" t="n">
        <x:f>U648*O648</x:f>
        <x:v>0</x:v>
      </x:c>
    </x:row>
    <x:row r="649" ht="19" customHeight="1">
      <x:c r="A649" s="2"/>
      <x:c r="B649" s="2"/>
      <x:c r="C649" s="46" t="n">
        <x:v>2</x:v>
      </x:c>
      <x:c r="D649" s="46" t="n">
        <x:v>23</x:v>
      </x:c>
      <x:c r="E649" s="46" t="n">
        <x:v>3</x:v>
      </x:c>
      <x:c r="F649" s="46" t="n">
        <x:v>5</x:v>
      </x:c>
      <x:c r="G649" s="12" t="n">
        <x:v>0.4444444444444444</x:v>
      </x:c>
      <x:c r="H649" s="12" t="n">
        <x:v>0.5555555555555556</x:v>
      </x:c>
      <x:c r="I649" s="29" t="n">
        <x:f>'Assumptions'!$D$11+'Assumptions'!$D$12*(0.5-(G649+H649)/2)</x:f>
        <x:v>0.3</x:v>
      </x:c>
      <x:c r="J649" s="27" t="n">
        <x:f>'Assumptions'!$D$8*EXP(-'Assumptions'!$D$9*('Fleet Engine'!E217-10))*'Assumptions'!E58*'Assumptions'!F36</x:f>
        <x:v>4965.853037914095</x:v>
      </x:c>
      <x:c r="K649" s="27" t="n">
        <x:f>'Source Data'!F222+LN('Assumptions'!D58)+LN('Assumptions'!F35)</x:f>
        <x:v>8.030635919980082</x:v>
      </x:c>
      <x:c r="L649" s="27" t="n">
        <x:f>J649*(1-I649*(1-'Carrier Engine'!E93))</x:f>
        <x:v>3535.6873629948354</x:v>
      </x:c>
      <x:c r="M649" s="29" t="n">
        <x:f>NORM.S.DIST((LN(L649)-K649)/'Assumptions'!$D$10,TRUE)</x:f>
        <x:v>0.5355295877473003</x:v>
      </x:c>
      <x:c r="N649" s="30" t="n">
        <x:f>MAX(0,H649-MAX(G649,M649))</x:f>
        <x:v>0.020025967808255274</x:v>
      </x:c>
      <x:c r="O649" s="28" t="n">
        <x:f>J649*I649</x:f>
        <x:v>1489.7559113742284</x:v>
      </x:c>
      <x:c r="P649" s="27" t="n">
        <x:f>(VLOOKUP(O649,'Fee Data'!$C$6:$G$50,2,TRUE)+O649*VLOOKUP(O649,'Fee Data'!$C$6:$G$50,3,TRUE)+VLOOKUP(O649,'Fee Data'!$I$6:$J$14,2,TRUE)+'Fee Data'!$J$20+'Fee Data'!$J$21)*'Assumptions'!F37</x:f>
        <x:v>615</x:v>
      </x:c>
      <x:c r="Q649" s="27" t="n">
        <x:f>(VLOOKUP(O649,'Fee Data'!$C$6:$G$50,4,TRUE)+O649*VLOOKUP(O649,'Fee Data'!$C$6:$G$50,5,TRUE)+VLOOKUP(O649,'Fee Data'!$I$6:$J$14,2,TRUE)+'Fee Data'!$J$20+'Fee Data'!$J$21)*'Assumptions'!F37</x:f>
        <x:v>485</x:v>
      </x:c>
      <x:c r="R649" s="27" t="n">
        <x:f>P649*(1-'Assumptions'!$D$14)+Q649*'Assumptions'!$D$14</x:f>
        <x:v>550</x:v>
      </x:c>
      <x:c r="S649" s="27" t="n">
        <x:f>O649*'Carrier Engine'!E93</x:f>
        <x:v>59.59023645496914</x:v>
      </x:c>
      <x:c r="T649" s="28" t="n">
        <x:f>R649+S649</x:f>
        <x:v>609.5902364549692</x:v>
      </x:c>
      <x:c r="U649" s="27" t="n">
        <x:f>N649*'Fleet Engine'!H217</x:f>
        <x:v>26.840206123591194</x:v>
      </x:c>
      <x:c r="V649" s="28" t="n">
        <x:f>U649*T649</x:f>
        <x:v>16361.527597380067</x:v>
      </x:c>
      <x:c r="W649" s="28" t="n">
        <x:f>U649*O649</x:f>
        <x:v>39985.35573512274</x:v>
      </x:c>
    </x:row>
    <x:row r="650" ht="19" customHeight="1">
      <x:c r="A650" s="2"/>
      <x:c r="B650" s="2"/>
      <x:c r="C650" s="46" t="n">
        <x:v>2</x:v>
      </x:c>
      <x:c r="D650" s="46" t="n">
        <x:v>23</x:v>
      </x:c>
      <x:c r="E650" s="46" t="n">
        <x:v>3</x:v>
      </x:c>
      <x:c r="F650" s="46" t="n">
        <x:v>5</x:v>
      </x:c>
      <x:c r="G650" s="12" t="n">
        <x:v>0.5555555555555556</x:v>
      </x:c>
      <x:c r="H650" s="12" t="n">
        <x:v>0.6666666666666666</x:v>
      </x:c>
      <x:c r="I650" s="29" t="n">
        <x:f>'Assumptions'!$D$11+'Assumptions'!$D$12*(0.5-(G650+H650)/2)</x:f>
        <x:v>0.27777777777777773</x:v>
      </x:c>
      <x:c r="J650" s="27" t="n">
        <x:f>'Assumptions'!$D$8*EXP(-'Assumptions'!$D$9*('Fleet Engine'!E217-10))*'Assumptions'!E58*'Assumptions'!F36</x:f>
        <x:v>4965.853037914095</x:v>
      </x:c>
      <x:c r="K650" s="27" t="n">
        <x:f>'Source Data'!F222+LN('Assumptions'!D58)+LN('Assumptions'!F35)</x:f>
        <x:v>8.030635919980082</x:v>
      </x:c>
      <x:c r="L650" s="27" t="n">
        <x:f>J650*(1-I650*(1-'Carrier Engine'!E93))</x:f>
        <x:v>3641.625561137003</x:v>
      </x:c>
      <x:c r="M650" s="29" t="n">
        <x:f>NORM.S.DIST((LN(L650)-K650)/'Assumptions'!$D$10,TRUE)</x:f>
        <x:v>0.5429938893858242</x:v>
      </x:c>
      <x:c r="N650" s="30" t="n">
        <x:f>MAX(0,H650-MAX(G650,M650))</x:f>
        <x:v>0.11111111111111105</x:v>
      </x:c>
      <x:c r="O650" s="28" t="n">
        <x:f>J650*I650</x:f>
        <x:v>1379.403621642804</x:v>
      </x:c>
      <x:c r="P650" s="27" t="n">
        <x:f>(VLOOKUP(O650,'Fee Data'!$C$6:$G$50,2,TRUE)+O650*VLOOKUP(O650,'Fee Data'!$C$6:$G$50,3,TRUE)+VLOOKUP(O650,'Fee Data'!$I$6:$J$14,2,TRUE)+'Fee Data'!$J$20+'Fee Data'!$J$21)*'Assumptions'!F37</x:f>
        <x:v>595</x:v>
      </x:c>
      <x:c r="Q650" s="27" t="n">
        <x:f>(VLOOKUP(O650,'Fee Data'!$C$6:$G$50,4,TRUE)+O650*VLOOKUP(O650,'Fee Data'!$C$6:$G$50,5,TRUE)+VLOOKUP(O650,'Fee Data'!$I$6:$J$14,2,TRUE)+'Fee Data'!$J$20+'Fee Data'!$J$21)*'Assumptions'!F37</x:f>
        <x:v>470</x:v>
      </x:c>
      <x:c r="R650" s="27" t="n">
        <x:f>P650*(1-'Assumptions'!$D$14)+Q650*'Assumptions'!$D$14</x:f>
        <x:v>532.5</x:v>
      </x:c>
      <x:c r="S650" s="27" t="n">
        <x:f>O650*'Carrier Engine'!E93</x:f>
        <x:v>55.17614486571216</x:v>
      </x:c>
      <x:c r="T650" s="28" t="n">
        <x:f>R650+S650</x:f>
        <x:v>587.6761448657121</x:v>
      </x:c>
      <x:c r="U650" s="27" t="n">
        <x:f>N650*'Fleet Engine'!H217</x:f>
        <x:v>148.91890136835724</x:v>
      </x:c>
      <x:c r="V650" s="28" t="n">
        <x:f>U650*T650</x:f>
        <x:v>87516.0858537934</x:v>
      </x:c>
      <x:c r="W650" s="28" t="n">
        <x:f>U650*O650</x:f>
        <x:v>205419.2718785795</x:v>
      </x:c>
    </x:row>
    <x:row r="651" ht="19" customHeight="1">
      <x:c r="A651" s="2"/>
      <x:c r="B651" s="2"/>
      <x:c r="C651" s="46" t="n">
        <x:v>2</x:v>
      </x:c>
      <x:c r="D651" s="46" t="n">
        <x:v>23</x:v>
      </x:c>
      <x:c r="E651" s="46" t="n">
        <x:v>3</x:v>
      </x:c>
      <x:c r="F651" s="46" t="n">
        <x:v>5</x:v>
      </x:c>
      <x:c r="G651" s="12" t="n">
        <x:v>0.6666666666666666</x:v>
      </x:c>
      <x:c r="H651" s="12" t="n">
        <x:v>0.7777777777777778</x:v>
      </x:c>
      <x:c r="I651" s="29" t="n">
        <x:f>'Assumptions'!$D$11+'Assumptions'!$D$12*(0.5-(G651+H651)/2)</x:f>
        <x:v>0.25555555555555554</x:v>
      </x:c>
      <x:c r="J651" s="27" t="n">
        <x:f>'Assumptions'!$D$8*EXP(-'Assumptions'!$D$9*('Fleet Engine'!E217-10))*'Assumptions'!E58*'Assumptions'!F36</x:f>
        <x:v>4965.853037914095</x:v>
      </x:c>
      <x:c r="K651" s="27" t="n">
        <x:f>'Source Data'!F222+LN('Assumptions'!D58)+LN('Assumptions'!F35)</x:f>
        <x:v>8.030635919980082</x:v>
      </x:c>
      <x:c r="L651" s="27" t="n">
        <x:f>J651*(1-I651*(1-'Carrier Engine'!E93))</x:f>
        <x:v>3747.5637592791704</x:v>
      </x:c>
      <x:c r="M651" s="29" t="n">
        <x:f>NORM.S.DIST((LN(L651)-K651)/'Assumptions'!$D$10,TRUE)</x:f>
        <x:v>0.5502296617814866</x:v>
      </x:c>
      <x:c r="N651" s="30" t="n">
        <x:f>MAX(0,H651-MAX(G651,M651))</x:f>
        <x:v>0.11111111111111116</x:v>
      </x:c>
      <x:c r="O651" s="28" t="n">
        <x:f>J651*I651</x:f>
        <x:v>1269.0513319113797</x:v>
      </x:c>
      <x:c r="P651" s="27" t="n">
        <x:f>(VLOOKUP(O651,'Fee Data'!$C$6:$G$50,2,TRUE)+O651*VLOOKUP(O651,'Fee Data'!$C$6:$G$50,3,TRUE)+VLOOKUP(O651,'Fee Data'!$I$6:$J$14,2,TRUE)+'Fee Data'!$J$20+'Fee Data'!$J$21)*'Assumptions'!F37</x:f>
        <x:v>580</x:v>
      </x:c>
      <x:c r="Q651" s="27" t="n">
        <x:f>(VLOOKUP(O651,'Fee Data'!$C$6:$G$50,4,TRUE)+O651*VLOOKUP(O651,'Fee Data'!$C$6:$G$50,5,TRUE)+VLOOKUP(O651,'Fee Data'!$I$6:$J$14,2,TRUE)+'Fee Data'!$J$20+'Fee Data'!$J$21)*'Assumptions'!F37</x:f>
        <x:v>455</x:v>
      </x:c>
      <x:c r="R651" s="27" t="n">
        <x:f>P651*(1-'Assumptions'!$D$14)+Q651*'Assumptions'!$D$14</x:f>
        <x:v>517.5</x:v>
      </x:c>
      <x:c r="S651" s="27" t="n">
        <x:f>O651*'Carrier Engine'!E93</x:f>
        <x:v>50.76205327645519</x:v>
      </x:c>
      <x:c r="T651" s="28" t="n">
        <x:f>R651+S651</x:f>
        <x:v>568.2620532764552</x:v>
      </x:c>
      <x:c r="U651" s="27" t="n">
        <x:f>N651*'Fleet Engine'!H217</x:f>
        <x:v>148.9189013683574</x:v>
      </x:c>
      <x:c r="V651" s="28" t="n">
        <x:f>U651*T651</x:f>
        <x:v>84624.96066325669</x:v>
      </x:c>
      <x:c r="W651" s="28" t="n">
        <x:f>U651*O651</x:f>
        <x:v>188985.73012829336</x:v>
      </x:c>
    </x:row>
    <x:row r="652" ht="19" customHeight="1">
      <x:c r="A652" s="2"/>
      <x:c r="B652" s="2"/>
      <x:c r="C652" s="46" t="n">
        <x:v>2</x:v>
      </x:c>
      <x:c r="D652" s="46" t="n">
        <x:v>23</x:v>
      </x:c>
      <x:c r="E652" s="46" t="n">
        <x:v>3</x:v>
      </x:c>
      <x:c r="F652" s="46" t="n">
        <x:v>5</x:v>
      </x:c>
      <x:c r="G652" s="12" t="n">
        <x:v>0.7777777777777778</x:v>
      </x:c>
      <x:c r="H652" s="12" t="n">
        <x:v>0.8888888888888888</x:v>
      </x:c>
      <x:c r="I652" s="29" t="n">
        <x:f>'Assumptions'!$D$11+'Assumptions'!$D$12*(0.5-(G652+H652)/2)</x:f>
        <x:v>0.23333333333333334</x:v>
      </x:c>
      <x:c r="J652" s="27" t="n">
        <x:f>'Assumptions'!$D$8*EXP(-'Assumptions'!$D$9*('Fleet Engine'!E217-10))*'Assumptions'!E58*'Assumptions'!F36</x:f>
        <x:v>4965.853037914095</x:v>
      </x:c>
      <x:c r="K652" s="27" t="n">
        <x:f>'Source Data'!F222+LN('Assumptions'!D58)+LN('Assumptions'!F35)</x:f>
        <x:v>8.030635919980082</x:v>
      </x:c>
      <x:c r="L652" s="27" t="n">
        <x:f>J652*(1-I652*(1-'Carrier Engine'!E93))</x:f>
        <x:v>3853.5019574213375</x:v>
      </x:c>
      <x:c r="M652" s="29" t="n">
        <x:f>NORM.S.DIST((LN(L652)-K652)/'Assumptions'!$D$10,TRUE)</x:f>
        <x:v>0.557247762810186</x:v>
      </x:c>
      <x:c r="N652" s="30" t="n">
        <x:f>MAX(0,H652-MAX(G652,M652))</x:f>
        <x:v>0.11111111111111105</x:v>
      </x:c>
      <x:c r="O652" s="28" t="n">
        <x:f>J652*I652</x:f>
        <x:v>1158.6990421799555</x:v>
      </x:c>
      <x:c r="P652" s="27" t="n">
        <x:f>(VLOOKUP(O652,'Fee Data'!$C$6:$G$50,2,TRUE)+O652*VLOOKUP(O652,'Fee Data'!$C$6:$G$50,3,TRUE)+VLOOKUP(O652,'Fee Data'!$I$6:$J$14,2,TRUE)+'Fee Data'!$J$20+'Fee Data'!$J$21)*'Assumptions'!F37</x:f>
        <x:v>560</x:v>
      </x:c>
      <x:c r="Q652" s="27" t="n">
        <x:f>(VLOOKUP(O652,'Fee Data'!$C$6:$G$50,4,TRUE)+O652*VLOOKUP(O652,'Fee Data'!$C$6:$G$50,5,TRUE)+VLOOKUP(O652,'Fee Data'!$I$6:$J$14,2,TRUE)+'Fee Data'!$J$20+'Fee Data'!$J$21)*'Assumptions'!F37</x:f>
        <x:v>435</x:v>
      </x:c>
      <x:c r="R652" s="27" t="n">
        <x:f>P652*(1-'Assumptions'!$D$14)+Q652*'Assumptions'!$D$14</x:f>
        <x:v>497.5</x:v>
      </x:c>
      <x:c r="S652" s="27" t="n">
        <x:f>O652*'Carrier Engine'!E93</x:f>
        <x:v>46.34796168719822</x:v>
      </x:c>
      <x:c r="T652" s="28" t="n">
        <x:f>R652+S652</x:f>
        <x:v>543.8479616871982</x:v>
      </x:c>
      <x:c r="U652" s="27" t="n">
        <x:f>N652*'Fleet Engine'!H217</x:f>
        <x:v>148.91890136835724</x:v>
      </x:c>
      <x:c r="V652" s="28" t="n">
        <x:f>U652*T652</x:f>
        <x:v>80989.240965878</x:v>
      </x:c>
      <x:c r="W652" s="28" t="n">
        <x:f>U652*O652</x:f>
        <x:v>172552.1883780068</x:v>
      </x:c>
    </x:row>
    <x:row r="653" ht="19" customHeight="1">
      <x:c r="A653" s="2"/>
      <x:c r="B653" s="2"/>
      <x:c r="C653" s="46" t="n">
        <x:v>2</x:v>
      </x:c>
      <x:c r="D653" s="46" t="n">
        <x:v>23</x:v>
      </x:c>
      <x:c r="E653" s="46" t="n">
        <x:v>3</x:v>
      </x:c>
      <x:c r="F653" s="46" t="n">
        <x:v>5</x:v>
      </x:c>
      <x:c r="G653" s="12" t="n">
        <x:v>0.8888888888888888</x:v>
      </x:c>
      <x:c r="H653" s="12" t="n">
        <x:v>1</x:v>
      </x:c>
      <x:c r="I653" s="29" t="n">
        <x:f>'Assumptions'!$D$11+'Assumptions'!$D$12*(0.5-(G653+H653)/2)</x:f>
        <x:v>0.21111111111111108</x:v>
      </x:c>
      <x:c r="J653" s="27" t="n">
        <x:f>'Assumptions'!$D$8*EXP(-'Assumptions'!$D$9*('Fleet Engine'!E217-10))*'Assumptions'!E58*'Assumptions'!F36</x:f>
        <x:v>4965.853037914095</x:v>
      </x:c>
      <x:c r="K653" s="27" t="n">
        <x:f>'Source Data'!F222+LN('Assumptions'!D58)+LN('Assumptions'!F35)</x:f>
        <x:v>8.030635919980082</x:v>
      </x:c>
      <x:c r="L653" s="27" t="n">
        <x:f>J653*(1-I653*(1-'Carrier Engine'!E93))</x:f>
        <x:v>3959.440155563505</x:v>
      </x:c>
      <x:c r="M653" s="29" t="n">
        <x:f>NORM.S.DIST((LN(L653)-K653)/'Assumptions'!$D$10,TRUE)</x:f>
        <x:v>0.5640583422764271</x:v>
      </x:c>
      <x:c r="N653" s="30" t="n">
        <x:f>MAX(0,H653-MAX(G653,M653))</x:f>
        <x:v>0.11111111111111116</x:v>
      </x:c>
      <x:c r="O653" s="28" t="n">
        <x:f>J653*I653</x:f>
        <x:v>1048.3467524485309</x:v>
      </x:c>
      <x:c r="P653" s="27" t="n">
        <x:f>(VLOOKUP(O653,'Fee Data'!$C$6:$G$50,2,TRUE)+O653*VLOOKUP(O653,'Fee Data'!$C$6:$G$50,3,TRUE)+VLOOKUP(O653,'Fee Data'!$I$6:$J$14,2,TRUE)+'Fee Data'!$J$20+'Fee Data'!$J$21)*'Assumptions'!F37</x:f>
        <x:v>560</x:v>
      </x:c>
      <x:c r="Q653" s="27" t="n">
        <x:f>(VLOOKUP(O653,'Fee Data'!$C$6:$G$50,4,TRUE)+O653*VLOOKUP(O653,'Fee Data'!$C$6:$G$50,5,TRUE)+VLOOKUP(O653,'Fee Data'!$I$6:$J$14,2,TRUE)+'Fee Data'!$J$20+'Fee Data'!$J$21)*'Assumptions'!F37</x:f>
        <x:v>435</x:v>
      </x:c>
      <x:c r="R653" s="27" t="n">
        <x:f>P653*(1-'Assumptions'!$D$14)+Q653*'Assumptions'!$D$14</x:f>
        <x:v>497.5</x:v>
      </x:c>
      <x:c r="S653" s="27" t="n">
        <x:f>O653*'Carrier Engine'!E93</x:f>
        <x:v>41.93387009794124</x:v>
      </x:c>
      <x:c r="T653" s="28" t="n">
        <x:f>R653+S653</x:f>
        <x:v>539.4338700979413</x:v>
      </x:c>
      <x:c r="U653" s="27" t="n">
        <x:f>N653*'Fleet Engine'!H217</x:f>
        <x:v>148.9189013683574</x:v>
      </x:c>
      <x:c r="V653" s="28" t="n">
        <x:f>U653*T653</x:f>
        <x:v>80331.89929586663</x:v>
      </x:c>
      <x:c r="W653" s="28" t="n">
        <x:f>U653*O653</x:f>
        <x:v>156118.64662772056</x:v>
      </x:c>
    </x:row>
    <x:row r="654" ht="19" customHeight="1">
      <x:c r="A654" s="2"/>
      <x:c r="B654" s="2"/>
      <x:c r="C654" s="46" t="n">
        <x:v>3</x:v>
      </x:c>
      <x:c r="D654" s="46" t="n">
        <x:v>0</x:v>
      </x:c>
      <x:c r="E654" s="46" t="n">
        <x:v>0</x:v>
      </x:c>
      <x:c r="F654" s="46" t="n">
        <x:v>0</x:v>
      </x:c>
      <x:c r="G654" s="12" t="n">
        <x:v>0</x:v>
      </x:c>
      <x:c r="H654" s="12" t="n">
        <x:v>0.1111111111111111</x:v>
      </x:c>
      <x:c r="I654" s="29" t="n">
        <x:f>'Assumptions'!$D$11+'Assumptions'!$D$12*(0.5-(G654+H654)/2)</x:f>
        <x:v>0.3888888888888889</x:v>
      </x:c>
      <x:c r="J654" s="27" t="n">
        <x:f>'Assumptions'!$D$8*EXP(-'Assumptions'!$D$9*('Fleet Engine'!E194-10))*'Assumptions'!E55*'Assumptions'!G36</x:f>
        <x:v>27182.818284590452</x:v>
      </x:c>
      <x:c r="K654" s="27" t="n">
        <x:f>'Source Data'!F217+LN('Assumptions'!D55)+LN('Assumptions'!G35)</x:f>
        <x:v>8.024343827519704</x:v>
      </x:c>
      <x:c r="L654" s="27" t="n">
        <x:f>J654*(1-I654*(1-'Carrier Engine'!E94))</x:f>
        <x:v>17034.566125010017</x:v>
      </x:c>
      <x:c r="M654" s="29" t="n">
        <x:f>NORM.S.DIST((LN(L654)-K654)/'Assumptions'!$D$10,TRUE)</x:f>
        <x:v>0.8631412857617822</x:v>
      </x:c>
      <x:c r="N654" s="30" t="n">
        <x:f>MAX(0,H654-MAX(G654,M654))</x:f>
        <x:v>0</x:v>
      </x:c>
      <x:c r="O654" s="28" t="n">
        <x:f>J654*I654</x:f>
        <x:v>10571.095999562955</x:v>
      </x:c>
      <x:c r="P654" s="27" t="n">
        <x:f>(VLOOKUP(O654,'Fee Data'!$C$6:$G$50,2,TRUE)+O654*VLOOKUP(O654,'Fee Data'!$C$6:$G$50,3,TRUE)+VLOOKUP(O654,'Fee Data'!$I$6:$J$14,2,TRUE)+'Fee Data'!$J$20+'Fee Data'!$J$21)*'Assumptions'!G37</x:f>
        <x:v>1250</x:v>
      </x:c>
      <x:c r="Q654" s="27" t="n">
        <x:f>(VLOOKUP(O654,'Fee Data'!$C$6:$G$50,4,TRUE)+O654*VLOOKUP(O654,'Fee Data'!$C$6:$G$50,5,TRUE)+VLOOKUP(O654,'Fee Data'!$I$6:$J$14,2,TRUE)+'Fee Data'!$J$20+'Fee Data'!$J$21)*'Assumptions'!G37</x:f>
        <x:v>1100</x:v>
      </x:c>
      <x:c r="R654" s="27" t="n">
        <x:f>P654*(1-'Assumptions'!$D$14)+Q654*'Assumptions'!$D$14</x:f>
        <x:v>1175</x:v>
      </x:c>
      <x:c r="S654" s="27" t="n">
        <x:f>O654*'Carrier Engine'!E94</x:f>
        <x:v>422.8438399825182</x:v>
      </x:c>
      <x:c r="T654" s="28" t="n">
        <x:f>R654+S654</x:f>
        <x:v>1597.8438399825181</x:v>
      </x:c>
      <x:c r="U654" s="27" t="n">
        <x:f>N654*'Fleet Engine'!I194</x:f>
        <x:v>0</x:v>
      </x:c>
      <x:c r="V654" s="28" t="n">
        <x:f>U654*T654</x:f>
        <x:v>0</x:v>
      </x:c>
      <x:c r="W654" s="28" t="n">
        <x:f>U654*O654</x:f>
        <x:v>0</x:v>
      </x:c>
    </x:row>
    <x:row r="655" ht="19" customHeight="1">
      <x:c r="A655" s="2"/>
      <x:c r="B655" s="2"/>
      <x:c r="C655" s="46" t="n">
        <x:v>3</x:v>
      </x:c>
      <x:c r="D655" s="46" t="n">
        <x:v>0</x:v>
      </x:c>
      <x:c r="E655" s="46" t="n">
        <x:v>0</x:v>
      </x:c>
      <x:c r="F655" s="46" t="n">
        <x:v>0</x:v>
      </x:c>
      <x:c r="G655" s="12" t="n">
        <x:v>0.1111111111111111</x:v>
      </x:c>
      <x:c r="H655" s="12" t="n">
        <x:v>0.2222222222222222</x:v>
      </x:c>
      <x:c r="I655" s="29" t="n">
        <x:f>'Assumptions'!$D$11+'Assumptions'!$D$12*(0.5-(G655+H655)/2)</x:f>
        <x:v>0.3666666666666667</x:v>
      </x:c>
      <x:c r="J655" s="27" t="n">
        <x:f>'Assumptions'!$D$8*EXP(-'Assumptions'!$D$9*('Fleet Engine'!E194-10))*'Assumptions'!E55*'Assumptions'!G36</x:f>
        <x:v>27182.818284590452</x:v>
      </x:c>
      <x:c r="K655" s="27" t="n">
        <x:f>'Source Data'!F217+LN('Assumptions'!D55)+LN('Assumptions'!G35)</x:f>
        <x:v>8.024343827519704</x:v>
      </x:c>
      <x:c r="L655" s="27" t="n">
        <x:f>J655*(1-I655*(1-'Carrier Engine'!E94))</x:f>
        <x:v>17614.46624841461</x:v>
      </x:c>
      <x:c r="M655" s="29" t="n">
        <x:f>NORM.S.DIST((LN(L655)-K655)/'Assumptions'!$D$10,TRUE)</x:f>
        <x:v>0.867759233179046</x:v>
      </x:c>
      <x:c r="N655" s="30" t="n">
        <x:f>MAX(0,H655-MAX(G655,M655))</x:f>
        <x:v>0</x:v>
      </x:c>
      <x:c r="O655" s="28" t="n">
        <x:f>J655*I655</x:f>
        <x:v>9967.0333710165</x:v>
      </x:c>
      <x:c r="P655" s="27" t="n">
        <x:f>(VLOOKUP(O655,'Fee Data'!$C$6:$G$50,2,TRUE)+O655*VLOOKUP(O655,'Fee Data'!$C$6:$G$50,3,TRUE)+VLOOKUP(O655,'Fee Data'!$I$6:$J$14,2,TRUE)+'Fee Data'!$J$20+'Fee Data'!$J$21)*'Assumptions'!G37</x:f>
        <x:v>1195</x:v>
      </x:c>
      <x:c r="Q655" s="27" t="n">
        <x:f>(VLOOKUP(O655,'Fee Data'!$C$6:$G$50,4,TRUE)+O655*VLOOKUP(O655,'Fee Data'!$C$6:$G$50,5,TRUE)+VLOOKUP(O655,'Fee Data'!$I$6:$J$14,2,TRUE)+'Fee Data'!$J$20+'Fee Data'!$J$21)*'Assumptions'!G37</x:f>
        <x:v>1070</x:v>
      </x:c>
      <x:c r="R655" s="27" t="n">
        <x:f>P655*(1-'Assumptions'!$D$14)+Q655*'Assumptions'!$D$14</x:f>
        <x:v>1132.5</x:v>
      </x:c>
      <x:c r="S655" s="27" t="n">
        <x:f>O655*'Carrier Engine'!E94</x:f>
        <x:v>398.68133484066</x:v>
      </x:c>
      <x:c r="T655" s="28" t="n">
        <x:f>R655+S655</x:f>
        <x:v>1531.18133484066</x:v>
      </x:c>
      <x:c r="U655" s="27" t="n">
        <x:f>N655*'Fleet Engine'!I194</x:f>
        <x:v>0</x:v>
      </x:c>
      <x:c r="V655" s="28" t="n">
        <x:f>U655*T655</x:f>
        <x:v>0</x:v>
      </x:c>
      <x:c r="W655" s="28" t="n">
        <x:f>U655*O655</x:f>
        <x:v>0</x:v>
      </x:c>
    </x:row>
    <x:row r="656" ht="19" customHeight="1">
      <x:c r="A656" s="2"/>
      <x:c r="B656" s="2"/>
      <x:c r="C656" s="46" t="n">
        <x:v>3</x:v>
      </x:c>
      <x:c r="D656" s="46" t="n">
        <x:v>0</x:v>
      </x:c>
      <x:c r="E656" s="46" t="n">
        <x:v>0</x:v>
      </x:c>
      <x:c r="F656" s="46" t="n">
        <x:v>0</x:v>
      </x:c>
      <x:c r="G656" s="12" t="n">
        <x:v>0.2222222222222222</x:v>
      </x:c>
      <x:c r="H656" s="12" t="n">
        <x:v>0.3333333333333333</x:v>
      </x:c>
      <x:c r="I656" s="29" t="n">
        <x:f>'Assumptions'!$D$11+'Assumptions'!$D$12*(0.5-(G656+H656)/2)</x:f>
        <x:v>0.34444444444444444</x:v>
      </x:c>
      <x:c r="J656" s="27" t="n">
        <x:f>'Assumptions'!$D$8*EXP(-'Assumptions'!$D$9*('Fleet Engine'!E194-10))*'Assumptions'!E55*'Assumptions'!G36</x:f>
        <x:v>27182.818284590452</x:v>
      </x:c>
      <x:c r="K656" s="27" t="n">
        <x:f>'Source Data'!F217+LN('Assumptions'!D55)+LN('Assumptions'!G35)</x:f>
        <x:v>8.024343827519704</x:v>
      </x:c>
      <x:c r="L656" s="27" t="n">
        <x:f>J656*(1-I656*(1-'Carrier Engine'!E94))</x:f>
        <x:v>18194.36637181921</x:v>
      </x:c>
      <x:c r="M656" s="29" t="n">
        <x:f>NORM.S.DIST((LN(L656)-K656)/'Assumptions'!$D$10,TRUE)</x:f>
        <x:v>0.8721242391048682</x:v>
      </x:c>
      <x:c r="N656" s="30" t="n">
        <x:f>MAX(0,H656-MAX(G656,M656))</x:f>
        <x:v>0</x:v>
      </x:c>
      <x:c r="O656" s="28" t="n">
        <x:f>J656*I656</x:f>
        <x:v>9362.970742470045</x:v>
      </x:c>
      <x:c r="P656" s="27" t="n">
        <x:f>(VLOOKUP(O656,'Fee Data'!$C$6:$G$50,2,TRUE)+O656*VLOOKUP(O656,'Fee Data'!$C$6:$G$50,3,TRUE)+VLOOKUP(O656,'Fee Data'!$I$6:$J$14,2,TRUE)+'Fee Data'!$J$20+'Fee Data'!$J$21)*'Assumptions'!G37</x:f>
        <x:v>1195</x:v>
      </x:c>
      <x:c r="Q656" s="27" t="n">
        <x:f>(VLOOKUP(O656,'Fee Data'!$C$6:$G$50,4,TRUE)+O656*VLOOKUP(O656,'Fee Data'!$C$6:$G$50,5,TRUE)+VLOOKUP(O656,'Fee Data'!$I$6:$J$14,2,TRUE)+'Fee Data'!$J$20+'Fee Data'!$J$21)*'Assumptions'!G37</x:f>
        <x:v>1070</x:v>
      </x:c>
      <x:c r="R656" s="27" t="n">
        <x:f>P656*(1-'Assumptions'!$D$14)+Q656*'Assumptions'!$D$14</x:f>
        <x:v>1132.5</x:v>
      </x:c>
      <x:c r="S656" s="27" t="n">
        <x:f>O656*'Carrier Engine'!E94</x:f>
        <x:v>374.51882969880177</x:v>
      </x:c>
      <x:c r="T656" s="28" t="n">
        <x:f>R656+S656</x:f>
        <x:v>1507.0188296988017</x:v>
      </x:c>
      <x:c r="U656" s="27" t="n">
        <x:f>N656*'Fleet Engine'!I194</x:f>
        <x:v>0</x:v>
      </x:c>
      <x:c r="V656" s="28" t="n">
        <x:f>U656*T656</x:f>
        <x:v>0</x:v>
      </x:c>
      <x:c r="W656" s="28" t="n">
        <x:f>U656*O656</x:f>
        <x:v>0</x:v>
      </x:c>
    </x:row>
    <x:row r="657" ht="19" customHeight="1">
      <x:c r="A657" s="2"/>
      <x:c r="B657" s="2"/>
      <x:c r="C657" s="46" t="n">
        <x:v>3</x:v>
      </x:c>
      <x:c r="D657" s="46" t="n">
        <x:v>0</x:v>
      </x:c>
      <x:c r="E657" s="46" t="n">
        <x:v>0</x:v>
      </x:c>
      <x:c r="F657" s="46" t="n">
        <x:v>0</x:v>
      </x:c>
      <x:c r="G657" s="12" t="n">
        <x:v>0.3333333333333333</x:v>
      </x:c>
      <x:c r="H657" s="12" t="n">
        <x:v>0.4444444444444444</x:v>
      </x:c>
      <x:c r="I657" s="29" t="n">
        <x:f>'Assumptions'!$D$11+'Assumptions'!$D$12*(0.5-(G657+H657)/2)</x:f>
        <x:v>0.32222222222222224</x:v>
      </x:c>
      <x:c r="J657" s="27" t="n">
        <x:f>'Assumptions'!$D$8*EXP(-'Assumptions'!$D$9*('Fleet Engine'!E194-10))*'Assumptions'!E55*'Assumptions'!G36</x:f>
        <x:v>27182.818284590452</x:v>
      </x:c>
      <x:c r="K657" s="27" t="n">
        <x:f>'Source Data'!F217+LN('Assumptions'!D55)+LN('Assumptions'!G35)</x:f>
        <x:v>8.024343827519704</x:v>
      </x:c>
      <x:c r="L657" s="27" t="n">
        <x:f>J657*(1-I657*(1-'Carrier Engine'!E94))</x:f>
        <x:v>18774.266495223805</x:v>
      </x:c>
      <x:c r="M657" s="29" t="n">
        <x:f>NORM.S.DIST((LN(L657)-K657)/'Assumptions'!$D$10,TRUE)</x:f>
        <x:v>0.8762558445797033</x:v>
      </x:c>
      <x:c r="N657" s="30" t="n">
        <x:f>MAX(0,H657-MAX(G657,M657))</x:f>
        <x:v>0</x:v>
      </x:c>
      <x:c r="O657" s="28" t="n">
        <x:f>J657*I657</x:f>
        <x:v>8758.908113923591</x:v>
      </x:c>
      <x:c r="P657" s="27" t="n">
        <x:f>(VLOOKUP(O657,'Fee Data'!$C$6:$G$50,2,TRUE)+O657*VLOOKUP(O657,'Fee Data'!$C$6:$G$50,3,TRUE)+VLOOKUP(O657,'Fee Data'!$I$6:$J$14,2,TRUE)+'Fee Data'!$J$20+'Fee Data'!$J$21)*'Assumptions'!G37</x:f>
        <x:v>1195</x:v>
      </x:c>
      <x:c r="Q657" s="27" t="n">
        <x:f>(VLOOKUP(O657,'Fee Data'!$C$6:$G$50,4,TRUE)+O657*VLOOKUP(O657,'Fee Data'!$C$6:$G$50,5,TRUE)+VLOOKUP(O657,'Fee Data'!$I$6:$J$14,2,TRUE)+'Fee Data'!$J$20+'Fee Data'!$J$21)*'Assumptions'!G37</x:f>
        <x:v>1070</x:v>
      </x:c>
      <x:c r="R657" s="27" t="n">
        <x:f>P657*(1-'Assumptions'!$D$14)+Q657*'Assumptions'!$D$14</x:f>
        <x:v>1132.5</x:v>
      </x:c>
      <x:c r="S657" s="27" t="n">
        <x:f>O657*'Carrier Engine'!E94</x:f>
        <x:v>350.35632455694366</x:v>
      </x:c>
      <x:c r="T657" s="28" t="n">
        <x:f>R657+S657</x:f>
        <x:v>1482.8563245569437</x:v>
      </x:c>
      <x:c r="U657" s="27" t="n">
        <x:f>N657*'Fleet Engine'!I194</x:f>
        <x:v>0</x:v>
      </x:c>
      <x:c r="V657" s="28" t="n">
        <x:f>U657*T657</x:f>
        <x:v>0</x:v>
      </x:c>
      <x:c r="W657" s="28" t="n">
        <x:f>U657*O657</x:f>
        <x:v>0</x:v>
      </x:c>
    </x:row>
    <x:row r="658" ht="19" customHeight="1">
      <x:c r="A658" s="2"/>
      <x:c r="B658" s="2"/>
      <x:c r="C658" s="46" t="n">
        <x:v>3</x:v>
      </x:c>
      <x:c r="D658" s="46" t="n">
        <x:v>0</x:v>
      </x:c>
      <x:c r="E658" s="46" t="n">
        <x:v>0</x:v>
      </x:c>
      <x:c r="F658" s="46" t="n">
        <x:v>0</x:v>
      </x:c>
      <x:c r="G658" s="12" t="n">
        <x:v>0.4444444444444444</x:v>
      </x:c>
      <x:c r="H658" s="12" t="n">
        <x:v>0.5555555555555556</x:v>
      </x:c>
      <x:c r="I658" s="29" t="n">
        <x:f>'Assumptions'!$D$11+'Assumptions'!$D$12*(0.5-(G658+H658)/2)</x:f>
        <x:v>0.3</x:v>
      </x:c>
      <x:c r="J658" s="27" t="n">
        <x:f>'Assumptions'!$D$8*EXP(-'Assumptions'!$D$9*('Fleet Engine'!E194-10))*'Assumptions'!E55*'Assumptions'!G36</x:f>
        <x:v>27182.818284590452</x:v>
      </x:c>
      <x:c r="K658" s="27" t="n">
        <x:f>'Source Data'!F217+LN('Assumptions'!D55)+LN('Assumptions'!G35)</x:f>
        <x:v>8.024343827519704</x:v>
      </x:c>
      <x:c r="L658" s="27" t="n">
        <x:f>J658*(1-I658*(1-'Carrier Engine'!E94))</x:f>
        <x:v>19354.166618628402</x:v>
      </x:c>
      <x:c r="M658" s="29" t="n">
        <x:f>NORM.S.DIST((LN(L658)-K658)/'Assumptions'!$D$10,TRUE)</x:f>
        <x:v>0.8801716361024907</x:v>
      </x:c>
      <x:c r="N658" s="30" t="n">
        <x:f>MAX(0,H658-MAX(G658,M658))</x:f>
        <x:v>0</x:v>
      </x:c>
      <x:c r="O658" s="28" t="n">
        <x:f>J658*I658</x:f>
        <x:v>8154.845485377135</x:v>
      </x:c>
      <x:c r="P658" s="27" t="n">
        <x:f>(VLOOKUP(O658,'Fee Data'!$C$6:$G$50,2,TRUE)+O658*VLOOKUP(O658,'Fee Data'!$C$6:$G$50,3,TRUE)+VLOOKUP(O658,'Fee Data'!$I$6:$J$14,2,TRUE)+'Fee Data'!$J$20+'Fee Data'!$J$21)*'Assumptions'!G37</x:f>
        <x:v>1175</x:v>
      </x:c>
      <x:c r="Q658" s="27" t="n">
        <x:f>(VLOOKUP(O658,'Fee Data'!$C$6:$G$50,4,TRUE)+O658*VLOOKUP(O658,'Fee Data'!$C$6:$G$50,5,TRUE)+VLOOKUP(O658,'Fee Data'!$I$6:$J$14,2,TRUE)+'Fee Data'!$J$20+'Fee Data'!$J$21)*'Assumptions'!G37</x:f>
        <x:v>1050</x:v>
      </x:c>
      <x:c r="R658" s="27" t="n">
        <x:f>P658*(1-'Assumptions'!$D$14)+Q658*'Assumptions'!$D$14</x:f>
        <x:v>1112.5</x:v>
      </x:c>
      <x:c r="S658" s="27" t="n">
        <x:f>O658*'Carrier Engine'!E94</x:f>
        <x:v>326.19381941508544</x:v>
      </x:c>
      <x:c r="T658" s="28" t="n">
        <x:f>R658+S658</x:f>
        <x:v>1438.6938194150855</x:v>
      </x:c>
      <x:c r="U658" s="27" t="n">
        <x:f>N658*'Fleet Engine'!I194</x:f>
        <x:v>0</x:v>
      </x:c>
      <x:c r="V658" s="28" t="n">
        <x:f>U658*T658</x:f>
        <x:v>0</x:v>
      </x:c>
      <x:c r="W658" s="28" t="n">
        <x:f>U658*O658</x:f>
        <x:v>0</x:v>
      </x:c>
    </x:row>
    <x:row r="659" ht="19" customHeight="1">
      <x:c r="A659" s="2"/>
      <x:c r="B659" s="2"/>
      <x:c r="C659" s="46" t="n">
        <x:v>3</x:v>
      </x:c>
      <x:c r="D659" s="46" t="n">
        <x:v>0</x:v>
      </x:c>
      <x:c r="E659" s="46" t="n">
        <x:v>0</x:v>
      </x:c>
      <x:c r="F659" s="46" t="n">
        <x:v>0</x:v>
      </x:c>
      <x:c r="G659" s="12" t="n">
        <x:v>0.5555555555555556</x:v>
      </x:c>
      <x:c r="H659" s="12" t="n">
        <x:v>0.6666666666666666</x:v>
      </x:c>
      <x:c r="I659" s="29" t="n">
        <x:f>'Assumptions'!$D$11+'Assumptions'!$D$12*(0.5-(G659+H659)/2)</x:f>
        <x:v>0.27777777777777773</x:v>
      </x:c>
      <x:c r="J659" s="27" t="n">
        <x:f>'Assumptions'!$D$8*EXP(-'Assumptions'!$D$9*('Fleet Engine'!E194-10))*'Assumptions'!E55*'Assumptions'!G36</x:f>
        <x:v>27182.818284590452</x:v>
      </x:c>
      <x:c r="K659" s="27" t="n">
        <x:f>'Source Data'!F217+LN('Assumptions'!D55)+LN('Assumptions'!G35)</x:f>
        <x:v>8.024343827519704</x:v>
      </x:c>
      <x:c r="L659" s="27" t="n">
        <x:f>J659*(1-I659*(1-'Carrier Engine'!E94))</x:f>
        <x:v>19934.066742033</x:v>
      </x:c>
      <x:c r="M659" s="29" t="n">
        <x:f>NORM.S.DIST((LN(L659)-K659)/'Assumptions'!$D$10,TRUE)</x:f>
        <x:v>0.8838874850458363</x:v>
      </x:c>
      <x:c r="N659" s="30" t="n">
        <x:f>MAX(0,H659-MAX(G659,M659))</x:f>
        <x:v>0</x:v>
      </x:c>
      <x:c r="O659" s="28" t="n">
        <x:f>J659*I659</x:f>
        <x:v>7550.7828568306795</x:v>
      </x:c>
      <x:c r="P659" s="27" t="n">
        <x:f>(VLOOKUP(O659,'Fee Data'!$C$6:$G$50,2,TRUE)+O659*VLOOKUP(O659,'Fee Data'!$C$6:$G$50,3,TRUE)+VLOOKUP(O659,'Fee Data'!$I$6:$J$14,2,TRUE)+'Fee Data'!$J$20+'Fee Data'!$J$21)*'Assumptions'!G37</x:f>
        <x:v>1135</x:v>
      </x:c>
      <x:c r="Q659" s="27" t="n">
        <x:f>(VLOOKUP(O659,'Fee Data'!$C$6:$G$50,4,TRUE)+O659*VLOOKUP(O659,'Fee Data'!$C$6:$G$50,5,TRUE)+VLOOKUP(O659,'Fee Data'!$I$6:$J$14,2,TRUE)+'Fee Data'!$J$20+'Fee Data'!$J$21)*'Assumptions'!G37</x:f>
        <x:v>1010</x:v>
      </x:c>
      <x:c r="R659" s="27" t="n">
        <x:f>P659*(1-'Assumptions'!$D$14)+Q659*'Assumptions'!$D$14</x:f>
        <x:v>1072.5</x:v>
      </x:c>
      <x:c r="S659" s="27" t="n">
        <x:f>O659*'Carrier Engine'!E94</x:f>
        <x:v>302.03131427322717</x:v>
      </x:c>
      <x:c r="T659" s="28" t="n">
        <x:f>R659+S659</x:f>
        <x:v>1374.531314273227</x:v>
      </x:c>
      <x:c r="U659" s="27" t="n">
        <x:f>N659*'Fleet Engine'!I194</x:f>
        <x:v>0</x:v>
      </x:c>
      <x:c r="V659" s="28" t="n">
        <x:f>U659*T659</x:f>
        <x:v>0</x:v>
      </x:c>
      <x:c r="W659" s="28" t="n">
        <x:f>U659*O659</x:f>
        <x:v>0</x:v>
      </x:c>
    </x:row>
    <x:row r="660" ht="19" customHeight="1">
      <x:c r="A660" s="2"/>
      <x:c r="B660" s="2"/>
      <x:c r="C660" s="46" t="n">
        <x:v>3</x:v>
      </x:c>
      <x:c r="D660" s="46" t="n">
        <x:v>0</x:v>
      </x:c>
      <x:c r="E660" s="46" t="n">
        <x:v>0</x:v>
      </x:c>
      <x:c r="F660" s="46" t="n">
        <x:v>0</x:v>
      </x:c>
      <x:c r="G660" s="12" t="n">
        <x:v>0.6666666666666666</x:v>
      </x:c>
      <x:c r="H660" s="12" t="n">
        <x:v>0.7777777777777778</x:v>
      </x:c>
      <x:c r="I660" s="29" t="n">
        <x:f>'Assumptions'!$D$11+'Assumptions'!$D$12*(0.5-(G660+H660)/2)</x:f>
        <x:v>0.25555555555555554</x:v>
      </x:c>
      <x:c r="J660" s="27" t="n">
        <x:f>'Assumptions'!$D$8*EXP(-'Assumptions'!$D$9*('Fleet Engine'!E194-10))*'Assumptions'!E55*'Assumptions'!G36</x:f>
        <x:v>27182.818284590452</x:v>
      </x:c>
      <x:c r="K660" s="27" t="n">
        <x:f>'Source Data'!F217+LN('Assumptions'!D55)+LN('Assumptions'!G35)</x:f>
        <x:v>8.024343827519704</x:v>
      </x:c>
      <x:c r="L660" s="27" t="n">
        <x:f>J660*(1-I660*(1-'Carrier Engine'!E94))</x:f>
        <x:v>20513.966865437596</x:v>
      </x:c>
      <x:c r="M660" s="29" t="n">
        <x:f>NORM.S.DIST((LN(L660)-K660)/'Assumptions'!$D$10,TRUE)</x:f>
        <x:v>0.8874177525057891</x:v>
      </x:c>
      <x:c r="N660" s="30" t="n">
        <x:f>MAX(0,H660-MAX(G660,M660))</x:f>
        <x:v>0</x:v>
      </x:c>
      <x:c r="O660" s="28" t="n">
        <x:f>J660*I660</x:f>
        <x:v>6946.720228284226</x:v>
      </x:c>
      <x:c r="P660" s="27" t="n">
        <x:f>(VLOOKUP(O660,'Fee Data'!$C$6:$G$50,2,TRUE)+O660*VLOOKUP(O660,'Fee Data'!$C$6:$G$50,3,TRUE)+VLOOKUP(O660,'Fee Data'!$I$6:$J$14,2,TRUE)+'Fee Data'!$J$20+'Fee Data'!$J$21)*'Assumptions'!G37</x:f>
        <x:v>1080</x:v>
      </x:c>
      <x:c r="Q660" s="27" t="n">
        <x:f>(VLOOKUP(O660,'Fee Data'!$C$6:$G$50,4,TRUE)+O660*VLOOKUP(O660,'Fee Data'!$C$6:$G$50,5,TRUE)+VLOOKUP(O660,'Fee Data'!$I$6:$J$14,2,TRUE)+'Fee Data'!$J$20+'Fee Data'!$J$21)*'Assumptions'!G37</x:f>
        <x:v>955</x:v>
      </x:c>
      <x:c r="R660" s="27" t="n">
        <x:f>P660*(1-'Assumptions'!$D$14)+Q660*'Assumptions'!$D$14</x:f>
        <x:v>1017.5</x:v>
      </x:c>
      <x:c r="S660" s="27" t="n">
        <x:f>O660*'Carrier Engine'!E94</x:f>
        <x:v>277.86880913136906</x:v>
      </x:c>
      <x:c r="T660" s="28" t="n">
        <x:f>R660+S660</x:f>
        <x:v>1295.368809131369</x:v>
      </x:c>
      <x:c r="U660" s="27" t="n">
        <x:f>N660*'Fleet Engine'!I194</x:f>
        <x:v>0</x:v>
      </x:c>
      <x:c r="V660" s="28" t="n">
        <x:f>U660*T660</x:f>
        <x:v>0</x:v>
      </x:c>
      <x:c r="W660" s="28" t="n">
        <x:f>U660*O660</x:f>
        <x:v>0</x:v>
      </x:c>
    </x:row>
    <x:row r="661" ht="19" customHeight="1">
      <x:c r="A661" s="2"/>
      <x:c r="B661" s="2"/>
      <x:c r="C661" s="46" t="n">
        <x:v>3</x:v>
      </x:c>
      <x:c r="D661" s="46" t="n">
        <x:v>0</x:v>
      </x:c>
      <x:c r="E661" s="46" t="n">
        <x:v>0</x:v>
      </x:c>
      <x:c r="F661" s="46" t="n">
        <x:v>0</x:v>
      </x:c>
      <x:c r="G661" s="12" t="n">
        <x:v>0.7777777777777778</x:v>
      </x:c>
      <x:c r="H661" s="12" t="n">
        <x:v>0.8888888888888888</x:v>
      </x:c>
      <x:c r="I661" s="29" t="n">
        <x:f>'Assumptions'!$D$11+'Assumptions'!$D$12*(0.5-(G661+H661)/2)</x:f>
        <x:v>0.23333333333333334</x:v>
      </x:c>
      <x:c r="J661" s="27" t="n">
        <x:f>'Assumptions'!$D$8*EXP(-'Assumptions'!$D$9*('Fleet Engine'!E194-10))*'Assumptions'!E55*'Assumptions'!G36</x:f>
        <x:v>27182.818284590452</x:v>
      </x:c>
      <x:c r="K661" s="27" t="n">
        <x:f>'Source Data'!F217+LN('Assumptions'!D55)+LN('Assumptions'!G35)</x:f>
        <x:v>8.024343827519704</x:v>
      </x:c>
      <x:c r="L661" s="27" t="n">
        <x:f>J661*(1-I661*(1-'Carrier Engine'!E94))</x:f>
        <x:v>21093.86698884219</x:v>
      </x:c>
      <x:c r="M661" s="29" t="n">
        <x:f>NORM.S.DIST((LN(L661)-K661)/'Assumptions'!$D$10,TRUE)</x:f>
        <x:v>0.8907754653078662</x:v>
      </x:c>
      <x:c r="N661" s="30" t="n">
        <x:f>MAX(0,H661-MAX(G661,M661))</x:f>
        <x:v>0</x:v>
      </x:c>
      <x:c r="O661" s="28" t="n">
        <x:f>J661*I661</x:f>
        <x:v>6342.657599737772</x:v>
      </x:c>
      <x:c r="P661" s="27" t="n">
        <x:f>(VLOOKUP(O661,'Fee Data'!$C$6:$G$50,2,TRUE)+O661*VLOOKUP(O661,'Fee Data'!$C$6:$G$50,3,TRUE)+VLOOKUP(O661,'Fee Data'!$I$6:$J$14,2,TRUE)+'Fee Data'!$J$20+'Fee Data'!$J$21)*'Assumptions'!G37</x:f>
        <x:v>1060</x:v>
      </x:c>
      <x:c r="Q661" s="27" t="n">
        <x:f>(VLOOKUP(O661,'Fee Data'!$C$6:$G$50,4,TRUE)+O661*VLOOKUP(O661,'Fee Data'!$C$6:$G$50,5,TRUE)+VLOOKUP(O661,'Fee Data'!$I$6:$J$14,2,TRUE)+'Fee Data'!$J$20+'Fee Data'!$J$21)*'Assumptions'!G37</x:f>
        <x:v>935</x:v>
      </x:c>
      <x:c r="R661" s="27" t="n">
        <x:f>P661*(1-'Assumptions'!$D$14)+Q661*'Assumptions'!$D$14</x:f>
        <x:v>997.5</x:v>
      </x:c>
      <x:c r="S661" s="27" t="n">
        <x:f>O661*'Carrier Engine'!E94</x:f>
        <x:v>253.7063039895109</x:v>
      </x:c>
      <x:c r="T661" s="28" t="n">
        <x:f>R661+S661</x:f>
        <x:v>1251.2063039895108</x:v>
      </x:c>
      <x:c r="U661" s="27" t="n">
        <x:f>N661*'Fleet Engine'!I194</x:f>
        <x:v>0</x:v>
      </x:c>
      <x:c r="V661" s="28" t="n">
        <x:f>U661*T661</x:f>
        <x:v>0</x:v>
      </x:c>
      <x:c r="W661" s="28" t="n">
        <x:f>U661*O661</x:f>
        <x:v>0</x:v>
      </x:c>
    </x:row>
    <x:row r="662" ht="19" customHeight="1">
      <x:c r="A662" s="2"/>
      <x:c r="B662" s="2"/>
      <x:c r="C662" s="46" t="n">
        <x:v>3</x:v>
      </x:c>
      <x:c r="D662" s="46" t="n">
        <x:v>0</x:v>
      </x:c>
      <x:c r="E662" s="46" t="n">
        <x:v>0</x:v>
      </x:c>
      <x:c r="F662" s="46" t="n">
        <x:v>0</x:v>
      </x:c>
      <x:c r="G662" s="12" t="n">
        <x:v>0.8888888888888888</x:v>
      </x:c>
      <x:c r="H662" s="12" t="n">
        <x:v>1</x:v>
      </x:c>
      <x:c r="I662" s="29" t="n">
        <x:f>'Assumptions'!$D$11+'Assumptions'!$D$12*(0.5-(G662+H662)/2)</x:f>
        <x:v>0.21111111111111108</x:v>
      </x:c>
      <x:c r="J662" s="27" t="n">
        <x:f>'Assumptions'!$D$8*EXP(-'Assumptions'!$D$9*('Fleet Engine'!E194-10))*'Assumptions'!E55*'Assumptions'!G36</x:f>
        <x:v>27182.818284590452</x:v>
      </x:c>
      <x:c r="K662" s="27" t="n">
        <x:f>'Source Data'!F217+LN('Assumptions'!D55)+LN('Assumptions'!G35)</x:f>
        <x:v>8.024343827519704</x:v>
      </x:c>
      <x:c r="L662" s="27" t="n">
        <x:f>J662*(1-I662*(1-'Carrier Engine'!E94))</x:f>
        <x:v>21673.767112246787</x:v>
      </x:c>
      <x:c r="M662" s="29" t="n">
        <x:f>NORM.S.DIST((LN(L662)-K662)/'Assumptions'!$D$10,TRUE)</x:f>
        <x:v>0.8939724678273033</x:v>
      </x:c>
      <x:c r="N662" s="30" t="n">
        <x:f>MAX(0,H662-MAX(G662,M662))</x:f>
        <x:v>0.10602753217269667</x:v>
      </x:c>
      <x:c r="O662" s="28" t="n">
        <x:f>J662*I662</x:f>
        <x:v>5738.594971191317</x:v>
      </x:c>
      <x:c r="P662" s="27" t="n">
        <x:f>(VLOOKUP(O662,'Fee Data'!$C$6:$G$50,2,TRUE)+O662*VLOOKUP(O662,'Fee Data'!$C$6:$G$50,3,TRUE)+VLOOKUP(O662,'Fee Data'!$I$6:$J$14,2,TRUE)+'Fee Data'!$J$20+'Fee Data'!$J$21)*'Assumptions'!G37</x:f>
        <x:v>1020</x:v>
      </x:c>
      <x:c r="Q662" s="27" t="n">
        <x:f>(VLOOKUP(O662,'Fee Data'!$C$6:$G$50,4,TRUE)+O662*VLOOKUP(O662,'Fee Data'!$C$6:$G$50,5,TRUE)+VLOOKUP(O662,'Fee Data'!$I$6:$J$14,2,TRUE)+'Fee Data'!$J$20+'Fee Data'!$J$21)*'Assumptions'!G37</x:f>
        <x:v>895</x:v>
      </x:c>
      <x:c r="R662" s="27" t="n">
        <x:f>P662*(1-'Assumptions'!$D$14)+Q662*'Assumptions'!$D$14</x:f>
        <x:v>957.5</x:v>
      </x:c>
      <x:c r="S662" s="27" t="n">
        <x:f>O662*'Carrier Engine'!E94</x:f>
        <x:v>229.54379884765268</x:v>
      </x:c>
      <x:c r="T662" s="28" t="n">
        <x:f>R662+S662</x:f>
        <x:v>1187.0437988476526</x:v>
      </x:c>
      <x:c r="U662" s="27" t="n">
        <x:f>N662*'Fleet Engine'!I194</x:f>
        <x:v>146.55125496910136</x:v>
      </x:c>
      <x:c r="V662" s="28" t="n">
        <x:f>U662*T662</x:f>
        <x:v>173962.758424413</x:v>
      </x:c>
      <x:c r="W662" s="28" t="n">
        <x:f>U662*O662</x:f>
        <x:v>840998.2947874616</x:v>
      </x:c>
    </x:row>
    <x:row r="663" ht="19" customHeight="1">
      <x:c r="A663" s="2"/>
      <x:c r="B663" s="2"/>
      <x:c r="C663" s="46" t="n">
        <x:v>3</x:v>
      </x:c>
      <x:c r="D663" s="46" t="n">
        <x:v>1</x:v>
      </x:c>
      <x:c r="E663" s="46" t="n">
        <x:v>0</x:v>
      </x:c>
      <x:c r="F663" s="46" t="n">
        <x:v>1</x:v>
      </x:c>
      <x:c r="G663" s="12" t="n">
        <x:v>0</x:v>
      </x:c>
      <x:c r="H663" s="12" t="n">
        <x:v>0.1111111111111111</x:v>
      </x:c>
      <x:c r="I663" s="29" t="n">
        <x:f>'Assumptions'!$D$11+'Assumptions'!$D$12*(0.5-(G663+H663)/2)</x:f>
        <x:v>0.3888888888888889</x:v>
      </x:c>
      <x:c r="J663" s="27" t="n">
        <x:f>'Assumptions'!$D$8*EXP(-'Assumptions'!$D$9*('Fleet Engine'!E195-10))*'Assumptions'!E55*'Assumptions'!G36</x:f>
        <x:v>22255.409284924677</x:v>
      </x:c>
      <x:c r="K663" s="27" t="n">
        <x:f>'Source Data'!F218+LN('Assumptions'!D55)+LN('Assumptions'!G35)</x:f>
        <x:v>7.909903025975467</x:v>
      </x:c>
      <x:c r="L663" s="27" t="n">
        <x:f>J663*(1-I663*(1-'Carrier Engine'!E94))</x:f>
        <x:v>13946.723151886132</x:v>
      </x:c>
      <x:c r="M663" s="29" t="n">
        <x:f>NORM.S.DIST((LN(L663)-K663)/'Assumptions'!$D$10,TRUE)</x:f>
        <x:v>0.8508422763569413</x:v>
      </x:c>
      <x:c r="N663" s="30" t="n">
        <x:f>MAX(0,H663-MAX(G663,M663))</x:f>
        <x:v>0</x:v>
      </x:c>
      <x:c r="O663" s="28" t="n">
        <x:f>J663*I663</x:f>
        <x:v>8654.88138858182</x:v>
      </x:c>
      <x:c r="P663" s="27" t="n">
        <x:f>(VLOOKUP(O663,'Fee Data'!$C$6:$G$50,2,TRUE)+O663*VLOOKUP(O663,'Fee Data'!$C$6:$G$50,3,TRUE)+VLOOKUP(O663,'Fee Data'!$I$6:$J$14,2,TRUE)+'Fee Data'!$J$20+'Fee Data'!$J$21)*'Assumptions'!G37</x:f>
        <x:v>1195</x:v>
      </x:c>
      <x:c r="Q663" s="27" t="n">
        <x:f>(VLOOKUP(O663,'Fee Data'!$C$6:$G$50,4,TRUE)+O663*VLOOKUP(O663,'Fee Data'!$C$6:$G$50,5,TRUE)+VLOOKUP(O663,'Fee Data'!$I$6:$J$14,2,TRUE)+'Fee Data'!$J$20+'Fee Data'!$J$21)*'Assumptions'!G37</x:f>
        <x:v>1070</x:v>
      </x:c>
      <x:c r="R663" s="27" t="n">
        <x:f>P663*(1-'Assumptions'!$D$14)+Q663*'Assumptions'!$D$14</x:f>
        <x:v>1132.5</x:v>
      </x:c>
      <x:c r="S663" s="27" t="n">
        <x:f>O663*'Carrier Engine'!E94</x:f>
        <x:v>346.1952555432728</x:v>
      </x:c>
      <x:c r="T663" s="28" t="n">
        <x:f>R663+S663</x:f>
        <x:v>1478.6952555432729</x:v>
      </x:c>
      <x:c r="U663" s="27" t="n">
        <x:f>N663*'Fleet Engine'!I195</x:f>
        <x:v>0</x:v>
      </x:c>
      <x:c r="V663" s="28" t="n">
        <x:f>U663*T663</x:f>
        <x:v>0</x:v>
      </x:c>
      <x:c r="W663" s="28" t="n">
        <x:f>U663*O663</x:f>
        <x:v>0</x:v>
      </x:c>
    </x:row>
    <x:row r="664" ht="19" customHeight="1">
      <x:c r="A664" s="2"/>
      <x:c r="B664" s="2"/>
      <x:c r="C664" s="46" t="n">
        <x:v>3</x:v>
      </x:c>
      <x:c r="D664" s="46" t="n">
        <x:v>1</x:v>
      </x:c>
      <x:c r="E664" s="46" t="n">
        <x:v>0</x:v>
      </x:c>
      <x:c r="F664" s="46" t="n">
        <x:v>1</x:v>
      </x:c>
      <x:c r="G664" s="12" t="n">
        <x:v>0.1111111111111111</x:v>
      </x:c>
      <x:c r="H664" s="12" t="n">
        <x:v>0.2222222222222222</x:v>
      </x:c>
      <x:c r="I664" s="29" t="n">
        <x:f>'Assumptions'!$D$11+'Assumptions'!$D$12*(0.5-(G664+H664)/2)</x:f>
        <x:v>0.3666666666666667</x:v>
      </x:c>
      <x:c r="J664" s="27" t="n">
        <x:f>'Assumptions'!$D$8*EXP(-'Assumptions'!$D$9*('Fleet Engine'!E195-10))*'Assumptions'!E55*'Assumptions'!G36</x:f>
        <x:v>22255.409284924677</x:v>
      </x:c>
      <x:c r="K664" s="27" t="n">
        <x:f>'Source Data'!F218+LN('Assumptions'!D55)+LN('Assumptions'!G35)</x:f>
        <x:v>7.909903025975467</x:v>
      </x:c>
      <x:c r="L664" s="27" t="n">
        <x:f>J664*(1-I664*(1-'Carrier Engine'!E94))</x:f>
        <x:v>14421.505216631189</x:v>
      </x:c>
      <x:c r="M664" s="29" t="n">
        <x:f>NORM.S.DIST((LN(L664)-K664)/'Assumptions'!$D$10,TRUE)</x:f>
        <x:v>0.8557395814099102</x:v>
      </x:c>
      <x:c r="N664" s="30" t="n">
        <x:f>MAX(0,H664-MAX(G664,M664))</x:f>
        <x:v>0</x:v>
      </x:c>
      <x:c r="O664" s="28" t="n">
        <x:f>J664*I664</x:f>
        <x:v>8160.316737805716</x:v>
      </x:c>
      <x:c r="P664" s="27" t="n">
        <x:f>(VLOOKUP(O664,'Fee Data'!$C$6:$G$50,2,TRUE)+O664*VLOOKUP(O664,'Fee Data'!$C$6:$G$50,3,TRUE)+VLOOKUP(O664,'Fee Data'!$I$6:$J$14,2,TRUE)+'Fee Data'!$J$20+'Fee Data'!$J$21)*'Assumptions'!G37</x:f>
        <x:v>1175</x:v>
      </x:c>
      <x:c r="Q664" s="27" t="n">
        <x:f>(VLOOKUP(O664,'Fee Data'!$C$6:$G$50,4,TRUE)+O664*VLOOKUP(O664,'Fee Data'!$C$6:$G$50,5,TRUE)+VLOOKUP(O664,'Fee Data'!$I$6:$J$14,2,TRUE)+'Fee Data'!$J$20+'Fee Data'!$J$21)*'Assumptions'!G37</x:f>
        <x:v>1050</x:v>
      </x:c>
      <x:c r="R664" s="27" t="n">
        <x:f>P664*(1-'Assumptions'!$D$14)+Q664*'Assumptions'!$D$14</x:f>
        <x:v>1112.5</x:v>
      </x:c>
      <x:c r="S664" s="27" t="n">
        <x:f>O664*'Carrier Engine'!E94</x:f>
        <x:v>326.41266951222866</x:v>
      </x:c>
      <x:c r="T664" s="28" t="n">
        <x:f>R664+S664</x:f>
        <x:v>1438.9126695122286</x:v>
      </x:c>
      <x:c r="U664" s="27" t="n">
        <x:f>N664*'Fleet Engine'!I195</x:f>
        <x:v>0</x:v>
      </x:c>
      <x:c r="V664" s="28" t="n">
        <x:f>U664*T664</x:f>
        <x:v>0</x:v>
      </x:c>
      <x:c r="W664" s="28" t="n">
        <x:f>U664*O664</x:f>
        <x:v>0</x:v>
      </x:c>
    </x:row>
    <x:row r="665" ht="19" customHeight="1">
      <x:c r="A665" s="2"/>
      <x:c r="B665" s="2"/>
      <x:c r="C665" s="46" t="n">
        <x:v>3</x:v>
      </x:c>
      <x:c r="D665" s="46" t="n">
        <x:v>1</x:v>
      </x:c>
      <x:c r="E665" s="46" t="n">
        <x:v>0</x:v>
      </x:c>
      <x:c r="F665" s="46" t="n">
        <x:v>1</x:v>
      </x:c>
      <x:c r="G665" s="12" t="n">
        <x:v>0.2222222222222222</x:v>
      </x:c>
      <x:c r="H665" s="12" t="n">
        <x:v>0.3333333333333333</x:v>
      </x:c>
      <x:c r="I665" s="29" t="n">
        <x:f>'Assumptions'!$D$11+'Assumptions'!$D$12*(0.5-(G665+H665)/2)</x:f>
        <x:v>0.34444444444444444</x:v>
      </x:c>
      <x:c r="J665" s="27" t="n">
        <x:f>'Assumptions'!$D$8*EXP(-'Assumptions'!$D$9*('Fleet Engine'!E195-10))*'Assumptions'!E55*'Assumptions'!G36</x:f>
        <x:v>22255.409284924677</x:v>
      </x:c>
      <x:c r="K665" s="27" t="n">
        <x:f>'Source Data'!F218+LN('Assumptions'!D55)+LN('Assumptions'!G35)</x:f>
        <x:v>7.909903025975467</x:v>
      </x:c>
      <x:c r="L665" s="27" t="n">
        <x:f>J665*(1-I665*(1-'Carrier Engine'!E94))</x:f>
        <x:v>14896.287281376251</x:v>
      </x:c>
      <x:c r="M665" s="29" t="n">
        <x:f>NORM.S.DIST((LN(L665)-K665)/'Assumptions'!$D$10,TRUE)</x:f>
        <x:v>0.8603739374321665</x:v>
      </x:c>
      <x:c r="N665" s="30" t="n">
        <x:f>MAX(0,H665-MAX(G665,M665))</x:f>
        <x:v>0</x:v>
      </x:c>
      <x:c r="O665" s="28" t="n">
        <x:f>J665*I665</x:f>
        <x:v>7665.752087029611</x:v>
      </x:c>
      <x:c r="P665" s="27" t="n">
        <x:f>(VLOOKUP(O665,'Fee Data'!$C$6:$G$50,2,TRUE)+O665*VLOOKUP(O665,'Fee Data'!$C$6:$G$50,3,TRUE)+VLOOKUP(O665,'Fee Data'!$I$6:$J$14,2,TRUE)+'Fee Data'!$J$20+'Fee Data'!$J$21)*'Assumptions'!G37</x:f>
        <x:v>1135</x:v>
      </x:c>
      <x:c r="Q665" s="27" t="n">
        <x:f>(VLOOKUP(O665,'Fee Data'!$C$6:$G$50,4,TRUE)+O665*VLOOKUP(O665,'Fee Data'!$C$6:$G$50,5,TRUE)+VLOOKUP(O665,'Fee Data'!$I$6:$J$14,2,TRUE)+'Fee Data'!$J$20+'Fee Data'!$J$21)*'Assumptions'!G37</x:f>
        <x:v>1010</x:v>
      </x:c>
      <x:c r="R665" s="27" t="n">
        <x:f>P665*(1-'Assumptions'!$D$14)+Q665*'Assumptions'!$D$14</x:f>
        <x:v>1072.5</x:v>
      </x:c>
      <x:c r="S665" s="27" t="n">
        <x:f>O665*'Carrier Engine'!E94</x:f>
        <x:v>306.63008348118444</x:v>
      </x:c>
      <x:c r="T665" s="28" t="n">
        <x:f>R665+S665</x:f>
        <x:v>1379.1300834811846</x:v>
      </x:c>
      <x:c r="U665" s="27" t="n">
        <x:f>N665*'Fleet Engine'!I195</x:f>
        <x:v>0</x:v>
      </x:c>
      <x:c r="V665" s="28" t="n">
        <x:f>U665*T665</x:f>
        <x:v>0</x:v>
      </x:c>
      <x:c r="W665" s="28" t="n">
        <x:f>U665*O665</x:f>
        <x:v>0</x:v>
      </x:c>
    </x:row>
    <x:row r="666" ht="19" customHeight="1">
      <x:c r="A666" s="2"/>
      <x:c r="B666" s="2"/>
      <x:c r="C666" s="46" t="n">
        <x:v>3</x:v>
      </x:c>
      <x:c r="D666" s="46" t="n">
        <x:v>1</x:v>
      </x:c>
      <x:c r="E666" s="46" t="n">
        <x:v>0</x:v>
      </x:c>
      <x:c r="F666" s="46" t="n">
        <x:v>1</x:v>
      </x:c>
      <x:c r="G666" s="12" t="n">
        <x:v>0.3333333333333333</x:v>
      </x:c>
      <x:c r="H666" s="12" t="n">
        <x:v>0.4444444444444444</x:v>
      </x:c>
      <x:c r="I666" s="29" t="n">
        <x:f>'Assumptions'!$D$11+'Assumptions'!$D$12*(0.5-(G666+H666)/2)</x:f>
        <x:v>0.32222222222222224</x:v>
      </x:c>
      <x:c r="J666" s="27" t="n">
        <x:f>'Assumptions'!$D$8*EXP(-'Assumptions'!$D$9*('Fleet Engine'!E195-10))*'Assumptions'!E55*'Assumptions'!G36</x:f>
        <x:v>22255.409284924677</x:v>
      </x:c>
      <x:c r="K666" s="27" t="n">
        <x:f>'Source Data'!F218+LN('Assumptions'!D55)+LN('Assumptions'!G35)</x:f>
        <x:v>7.909903025975467</x:v>
      </x:c>
      <x:c r="L666" s="27" t="n">
        <x:f>J666*(1-I666*(1-'Carrier Engine'!E94))</x:f>
        <x:v>15371.06934612131</x:v>
      </x:c>
      <x:c r="M666" s="29" t="n">
        <x:f>NORM.S.DIST((LN(L666)-K666)/'Assumptions'!$D$10,TRUE)</x:f>
        <x:v>0.8647653470677638</x:v>
      </x:c>
      <x:c r="N666" s="30" t="n">
        <x:f>MAX(0,H666-MAX(G666,M666))</x:f>
        <x:v>0</x:v>
      </x:c>
      <x:c r="O666" s="28" t="n">
        <x:f>J666*I666</x:f>
        <x:v>7171.187436253507</x:v>
      </x:c>
      <x:c r="P666" s="27" t="n">
        <x:f>(VLOOKUP(O666,'Fee Data'!$C$6:$G$50,2,TRUE)+O666*VLOOKUP(O666,'Fee Data'!$C$6:$G$50,3,TRUE)+VLOOKUP(O666,'Fee Data'!$I$6:$J$14,2,TRUE)+'Fee Data'!$J$20+'Fee Data'!$J$21)*'Assumptions'!G37</x:f>
        <x:v>1115</x:v>
      </x:c>
      <x:c r="Q666" s="27" t="n">
        <x:f>(VLOOKUP(O666,'Fee Data'!$C$6:$G$50,4,TRUE)+O666*VLOOKUP(O666,'Fee Data'!$C$6:$G$50,5,TRUE)+VLOOKUP(O666,'Fee Data'!$I$6:$J$14,2,TRUE)+'Fee Data'!$J$20+'Fee Data'!$J$21)*'Assumptions'!G37</x:f>
        <x:v>990</x:v>
      </x:c>
      <x:c r="R666" s="27" t="n">
        <x:f>P666*(1-'Assumptions'!$D$14)+Q666*'Assumptions'!$D$14</x:f>
        <x:v>1052.5</x:v>
      </x:c>
      <x:c r="S666" s="27" t="n">
        <x:f>O666*'Carrier Engine'!E94</x:f>
        <x:v>286.8474974501403</x:v>
      </x:c>
      <x:c r="T666" s="28" t="n">
        <x:f>R666+S666</x:f>
        <x:v>1339.3474974501403</x:v>
      </x:c>
      <x:c r="U666" s="27" t="n">
        <x:f>N666*'Fleet Engine'!I195</x:f>
        <x:v>0</x:v>
      </x:c>
      <x:c r="V666" s="28" t="n">
        <x:f>U666*T666</x:f>
        <x:v>0</x:v>
      </x:c>
      <x:c r="W666" s="28" t="n">
        <x:f>U666*O666</x:f>
        <x:v>0</x:v>
      </x:c>
    </x:row>
    <x:row r="667" ht="19" customHeight="1">
      <x:c r="A667" s="2"/>
      <x:c r="B667" s="2"/>
      <x:c r="C667" s="46" t="n">
        <x:v>3</x:v>
      </x:c>
      <x:c r="D667" s="46" t="n">
        <x:v>1</x:v>
      </x:c>
      <x:c r="E667" s="46" t="n">
        <x:v>0</x:v>
      </x:c>
      <x:c r="F667" s="46" t="n">
        <x:v>1</x:v>
      </x:c>
      <x:c r="G667" s="12" t="n">
        <x:v>0.4444444444444444</x:v>
      </x:c>
      <x:c r="H667" s="12" t="n">
        <x:v>0.5555555555555556</x:v>
      </x:c>
      <x:c r="I667" s="29" t="n">
        <x:f>'Assumptions'!$D$11+'Assumptions'!$D$12*(0.5-(G667+H667)/2)</x:f>
        <x:v>0.3</x:v>
      </x:c>
      <x:c r="J667" s="27" t="n">
        <x:f>'Assumptions'!$D$8*EXP(-'Assumptions'!$D$9*('Fleet Engine'!E195-10))*'Assumptions'!E55*'Assumptions'!G36</x:f>
        <x:v>22255.409284924677</x:v>
      </x:c>
      <x:c r="K667" s="27" t="n">
        <x:f>'Source Data'!F218+LN('Assumptions'!D55)+LN('Assumptions'!G35)</x:f>
        <x:v>7.909903025975467</x:v>
      </x:c>
      <x:c r="L667" s="27" t="n">
        <x:f>J667*(1-I667*(1-'Carrier Engine'!E94))</x:f>
        <x:v>15845.85141086637</x:v>
      </x:c>
      <x:c r="M667" s="29" t="n">
        <x:f>NORM.S.DIST((LN(L667)-K667)/'Assumptions'!$D$10,TRUE)</x:f>
        <x:v>0.8689318372553634</x:v>
      </x:c>
      <x:c r="N667" s="30" t="n">
        <x:f>MAX(0,H667-MAX(G667,M667))</x:f>
        <x:v>0</x:v>
      </x:c>
      <x:c r="O667" s="28" t="n">
        <x:f>J667*I667</x:f>
        <x:v>6676.622785477403</x:v>
      </x:c>
      <x:c r="P667" s="27" t="n">
        <x:f>(VLOOKUP(O667,'Fee Data'!$C$6:$G$50,2,TRUE)+O667*VLOOKUP(O667,'Fee Data'!$C$6:$G$50,3,TRUE)+VLOOKUP(O667,'Fee Data'!$I$6:$J$14,2,TRUE)+'Fee Data'!$J$20+'Fee Data'!$J$21)*'Assumptions'!G37</x:f>
        <x:v>1080</x:v>
      </x:c>
      <x:c r="Q667" s="27" t="n">
        <x:f>(VLOOKUP(O667,'Fee Data'!$C$6:$G$50,4,TRUE)+O667*VLOOKUP(O667,'Fee Data'!$C$6:$G$50,5,TRUE)+VLOOKUP(O667,'Fee Data'!$I$6:$J$14,2,TRUE)+'Fee Data'!$J$20+'Fee Data'!$J$21)*'Assumptions'!G37</x:f>
        <x:v>955</x:v>
      </x:c>
      <x:c r="R667" s="27" t="n">
        <x:f>P667*(1-'Assumptions'!$D$14)+Q667*'Assumptions'!$D$14</x:f>
        <x:v>1017.5</x:v>
      </x:c>
      <x:c r="S667" s="27" t="n">
        <x:f>O667*'Carrier Engine'!E94</x:f>
        <x:v>267.0649114190961</x:v>
      </x:c>
      <x:c r="T667" s="28" t="n">
        <x:f>R667+S667</x:f>
        <x:v>1284.564911419096</x:v>
      </x:c>
      <x:c r="U667" s="27" t="n">
        <x:f>N667*'Fleet Engine'!I195</x:f>
        <x:v>0</x:v>
      </x:c>
      <x:c r="V667" s="28" t="n">
        <x:f>U667*T667</x:f>
        <x:v>0</x:v>
      </x:c>
      <x:c r="W667" s="28" t="n">
        <x:f>U667*O667</x:f>
        <x:v>0</x:v>
      </x:c>
    </x:row>
    <x:row r="668" ht="19" customHeight="1">
      <x:c r="A668" s="2"/>
      <x:c r="B668" s="2"/>
      <x:c r="C668" s="46" t="n">
        <x:v>3</x:v>
      </x:c>
      <x:c r="D668" s="46" t="n">
        <x:v>1</x:v>
      </x:c>
      <x:c r="E668" s="46" t="n">
        <x:v>0</x:v>
      </x:c>
      <x:c r="F668" s="46" t="n">
        <x:v>1</x:v>
      </x:c>
      <x:c r="G668" s="12" t="n">
        <x:v>0.5555555555555556</x:v>
      </x:c>
      <x:c r="H668" s="12" t="n">
        <x:v>0.6666666666666666</x:v>
      </x:c>
      <x:c r="I668" s="29" t="n">
        <x:f>'Assumptions'!$D$11+'Assumptions'!$D$12*(0.5-(G668+H668)/2)</x:f>
        <x:v>0.27777777777777773</x:v>
      </x:c>
      <x:c r="J668" s="27" t="n">
        <x:f>'Assumptions'!$D$8*EXP(-'Assumptions'!$D$9*('Fleet Engine'!E195-10))*'Assumptions'!E55*'Assumptions'!G36</x:f>
        <x:v>22255.409284924677</x:v>
      </x:c>
      <x:c r="K668" s="27" t="n">
        <x:f>'Source Data'!F218+LN('Assumptions'!D55)+LN('Assumptions'!G35)</x:f>
        <x:v>7.909903025975467</x:v>
      </x:c>
      <x:c r="L668" s="27" t="n">
        <x:f>J668*(1-I668*(1-'Carrier Engine'!E94))</x:f>
        <x:v>16320.633475611432</x:v>
      </x:c>
      <x:c r="M668" s="29" t="n">
        <x:f>NORM.S.DIST((LN(L668)-K668)/'Assumptions'!$D$10,TRUE)</x:f>
        <x:v>0.8728896986796358</x:v>
      </x:c>
      <x:c r="N668" s="30" t="n">
        <x:f>MAX(0,H668-MAX(G668,M668))</x:f>
        <x:v>0</x:v>
      </x:c>
      <x:c r="O668" s="28" t="n">
        <x:f>J668*I668</x:f>
        <x:v>6182.0581347012985</x:v>
      </x:c>
      <x:c r="P668" s="27" t="n">
        <x:f>(VLOOKUP(O668,'Fee Data'!$C$6:$G$50,2,TRUE)+O668*VLOOKUP(O668,'Fee Data'!$C$6:$G$50,3,TRUE)+VLOOKUP(O668,'Fee Data'!$I$6:$J$14,2,TRUE)+'Fee Data'!$J$20+'Fee Data'!$J$21)*'Assumptions'!G37</x:f>
        <x:v>1060</x:v>
      </x:c>
      <x:c r="Q668" s="27" t="n">
        <x:f>(VLOOKUP(O668,'Fee Data'!$C$6:$G$50,4,TRUE)+O668*VLOOKUP(O668,'Fee Data'!$C$6:$G$50,5,TRUE)+VLOOKUP(O668,'Fee Data'!$I$6:$J$14,2,TRUE)+'Fee Data'!$J$20+'Fee Data'!$J$21)*'Assumptions'!G37</x:f>
        <x:v>935</x:v>
      </x:c>
      <x:c r="R668" s="27" t="n">
        <x:f>P668*(1-'Assumptions'!$D$14)+Q668*'Assumptions'!$D$14</x:f>
        <x:v>997.5</x:v>
      </x:c>
      <x:c r="S668" s="27" t="n">
        <x:f>O668*'Carrier Engine'!E94</x:f>
        <x:v>247.28232538805196</x:v>
      </x:c>
      <x:c r="T668" s="28" t="n">
        <x:f>R668+S668</x:f>
        <x:v>1244.782325388052</x:v>
      </x:c>
      <x:c r="U668" s="27" t="n">
        <x:f>N668*'Fleet Engine'!I195</x:f>
        <x:v>0</x:v>
      </x:c>
      <x:c r="V668" s="28" t="n">
        <x:f>U668*T668</x:f>
        <x:v>0</x:v>
      </x:c>
      <x:c r="W668" s="28" t="n">
        <x:f>U668*O668</x:f>
        <x:v>0</x:v>
      </x:c>
    </x:row>
    <x:row r="669" ht="19" customHeight="1">
      <x:c r="A669" s="2"/>
      <x:c r="B669" s="2"/>
      <x:c r="C669" s="46" t="n">
        <x:v>3</x:v>
      </x:c>
      <x:c r="D669" s="46" t="n">
        <x:v>1</x:v>
      </x:c>
      <x:c r="E669" s="46" t="n">
        <x:v>0</x:v>
      </x:c>
      <x:c r="F669" s="46" t="n">
        <x:v>1</x:v>
      </x:c>
      <x:c r="G669" s="12" t="n">
        <x:v>0.6666666666666666</x:v>
      </x:c>
      <x:c r="H669" s="12" t="n">
        <x:v>0.7777777777777778</x:v>
      </x:c>
      <x:c r="I669" s="29" t="n">
        <x:f>'Assumptions'!$D$11+'Assumptions'!$D$12*(0.5-(G669+H669)/2)</x:f>
        <x:v>0.25555555555555554</x:v>
      </x:c>
      <x:c r="J669" s="27" t="n">
        <x:f>'Assumptions'!$D$8*EXP(-'Assumptions'!$D$9*('Fleet Engine'!E195-10))*'Assumptions'!E55*'Assumptions'!G36</x:f>
        <x:v>22255.409284924677</x:v>
      </x:c>
      <x:c r="K669" s="27" t="n">
        <x:f>'Source Data'!F218+LN('Assumptions'!D55)+LN('Assumptions'!G35)</x:f>
        <x:v>7.909903025975467</x:v>
      </x:c>
      <x:c r="L669" s="27" t="n">
        <x:f>J669*(1-I669*(1-'Carrier Engine'!E94))</x:f>
        <x:v>16795.41554035649</x:v>
      </x:c>
      <x:c r="M669" s="29" t="n">
        <x:f>NORM.S.DIST((LN(L669)-K669)/'Assumptions'!$D$10,TRUE)</x:f>
        <x:v>0.8766536909691995</x:v>
      </x:c>
      <x:c r="N669" s="30" t="n">
        <x:f>MAX(0,H669-MAX(G669,M669))</x:f>
        <x:v>0</x:v>
      </x:c>
      <x:c r="O669" s="28" t="n">
        <x:f>J669*I669</x:f>
        <x:v>5687.493483925195</x:v>
      </x:c>
      <x:c r="P669" s="27" t="n">
        <x:f>(VLOOKUP(O669,'Fee Data'!$C$6:$G$50,2,TRUE)+O669*VLOOKUP(O669,'Fee Data'!$C$6:$G$50,3,TRUE)+VLOOKUP(O669,'Fee Data'!$I$6:$J$14,2,TRUE)+'Fee Data'!$J$20+'Fee Data'!$J$21)*'Assumptions'!G37</x:f>
        <x:v>1020</x:v>
      </x:c>
      <x:c r="Q669" s="27" t="n">
        <x:f>(VLOOKUP(O669,'Fee Data'!$C$6:$G$50,4,TRUE)+O669*VLOOKUP(O669,'Fee Data'!$C$6:$G$50,5,TRUE)+VLOOKUP(O669,'Fee Data'!$I$6:$J$14,2,TRUE)+'Fee Data'!$J$20+'Fee Data'!$J$21)*'Assumptions'!G37</x:f>
        <x:v>895</x:v>
      </x:c>
      <x:c r="R669" s="27" t="n">
        <x:f>P669*(1-'Assumptions'!$D$14)+Q669*'Assumptions'!$D$14</x:f>
        <x:v>957.5</x:v>
      </x:c>
      <x:c r="S669" s="27" t="n">
        <x:f>O669*'Carrier Engine'!E94</x:f>
        <x:v>227.4997393570078</x:v>
      </x:c>
      <x:c r="T669" s="28" t="n">
        <x:f>R669+S669</x:f>
        <x:v>1184.999739357008</x:v>
      </x:c>
      <x:c r="U669" s="27" t="n">
        <x:f>N669*'Fleet Engine'!I195</x:f>
        <x:v>0</x:v>
      </x:c>
      <x:c r="V669" s="28" t="n">
        <x:f>U669*T669</x:f>
        <x:v>0</x:v>
      </x:c>
      <x:c r="W669" s="28" t="n">
        <x:f>U669*O669</x:f>
        <x:v>0</x:v>
      </x:c>
    </x:row>
    <x:row r="670" ht="19" customHeight="1">
      <x:c r="A670" s="2"/>
      <x:c r="B670" s="2"/>
      <x:c r="C670" s="46" t="n">
        <x:v>3</x:v>
      </x:c>
      <x:c r="D670" s="46" t="n">
        <x:v>1</x:v>
      </x:c>
      <x:c r="E670" s="46" t="n">
        <x:v>0</x:v>
      </x:c>
      <x:c r="F670" s="46" t="n">
        <x:v>1</x:v>
      </x:c>
      <x:c r="G670" s="12" t="n">
        <x:v>0.7777777777777778</x:v>
      </x:c>
      <x:c r="H670" s="12" t="n">
        <x:v>0.8888888888888888</x:v>
      </x:c>
      <x:c r="I670" s="29" t="n">
        <x:f>'Assumptions'!$D$11+'Assumptions'!$D$12*(0.5-(G670+H670)/2)</x:f>
        <x:v>0.23333333333333334</x:v>
      </x:c>
      <x:c r="J670" s="27" t="n">
        <x:f>'Assumptions'!$D$8*EXP(-'Assumptions'!$D$9*('Fleet Engine'!E195-10))*'Assumptions'!E55*'Assumptions'!G36</x:f>
        <x:v>22255.409284924677</x:v>
      </x:c>
      <x:c r="K670" s="27" t="n">
        <x:f>'Source Data'!F218+LN('Assumptions'!D55)+LN('Assumptions'!G35)</x:f>
        <x:v>7.909903025975467</x:v>
      </x:c>
      <x:c r="L670" s="27" t="n">
        <x:f>J670*(1-I670*(1-'Carrier Engine'!E94))</x:f>
        <x:v>17270.19760510155</x:v>
      </x:c>
      <x:c r="M670" s="29" t="n">
        <x:f>NORM.S.DIST((LN(L670)-K670)/'Assumptions'!$D$10,TRUE)</x:f>
        <x:v>0.880237219264955</x:v>
      </x:c>
      <x:c r="N670" s="30" t="n">
        <x:f>MAX(0,H670-MAX(G670,M670))</x:f>
        <x:v>0.008651669623933822</x:v>
      </x:c>
      <x:c r="O670" s="28" t="n">
        <x:f>J670*I670</x:f>
        <x:v>5192.928833149092</x:v>
      </x:c>
      <x:c r="P670" s="27" t="n">
        <x:f>(VLOOKUP(O670,'Fee Data'!$C$6:$G$50,2,TRUE)+O670*VLOOKUP(O670,'Fee Data'!$C$6:$G$50,3,TRUE)+VLOOKUP(O670,'Fee Data'!$I$6:$J$14,2,TRUE)+'Fee Data'!$J$20+'Fee Data'!$J$21)*'Assumptions'!G37</x:f>
        <x:v>995</x:v>
      </x:c>
      <x:c r="Q670" s="27" t="n">
        <x:f>(VLOOKUP(O670,'Fee Data'!$C$6:$G$50,4,TRUE)+O670*VLOOKUP(O670,'Fee Data'!$C$6:$G$50,5,TRUE)+VLOOKUP(O670,'Fee Data'!$I$6:$J$14,2,TRUE)+'Fee Data'!$J$20+'Fee Data'!$J$21)*'Assumptions'!G37</x:f>
        <x:v>870</x:v>
      </x:c>
      <x:c r="R670" s="27" t="n">
        <x:f>P670*(1-'Assumptions'!$D$14)+Q670*'Assumptions'!$D$14</x:f>
        <x:v>932.5</x:v>
      </x:c>
      <x:c r="S670" s="27" t="n">
        <x:f>O670*'Carrier Engine'!E94</x:f>
        <x:v>207.71715332596366</x:v>
      </x:c>
      <x:c r="T670" s="28" t="n">
        <x:f>R670+S670</x:f>
        <x:v>1140.2171533259636</x:v>
      </x:c>
      <x:c r="U670" s="27" t="n">
        <x:f>N670*'Fleet Engine'!I195</x:f>
        <x:v>78.17967977835991</x:v>
      </x:c>
      <x:c r="V670" s="28" t="n">
        <x:f>U670*T670</x:f>
        <x:v>89141.81192481694</x:v>
      </x:c>
      <x:c r="W670" s="28" t="n">
        <x:f>U670*O670</x:f>
        <x:v>405981.51328740816</x:v>
      </x:c>
    </x:row>
    <x:row r="671" ht="19" customHeight="1">
      <x:c r="A671" s="2"/>
      <x:c r="B671" s="2"/>
      <x:c r="C671" s="46" t="n">
        <x:v>3</x:v>
      </x:c>
      <x:c r="D671" s="46" t="n">
        <x:v>1</x:v>
      </x:c>
      <x:c r="E671" s="46" t="n">
        <x:v>0</x:v>
      </x:c>
      <x:c r="F671" s="46" t="n">
        <x:v>1</x:v>
      </x:c>
      <x:c r="G671" s="12" t="n">
        <x:v>0.8888888888888888</x:v>
      </x:c>
      <x:c r="H671" s="12" t="n">
        <x:v>1</x:v>
      </x:c>
      <x:c r="I671" s="29" t="n">
        <x:f>'Assumptions'!$D$11+'Assumptions'!$D$12*(0.5-(G671+H671)/2)</x:f>
        <x:v>0.21111111111111108</x:v>
      </x:c>
      <x:c r="J671" s="27" t="n">
        <x:f>'Assumptions'!$D$8*EXP(-'Assumptions'!$D$9*('Fleet Engine'!E195-10))*'Assumptions'!E55*'Assumptions'!G36</x:f>
        <x:v>22255.409284924677</x:v>
      </x:c>
      <x:c r="K671" s="27" t="n">
        <x:f>'Source Data'!F218+LN('Assumptions'!D55)+LN('Assumptions'!G35)</x:f>
        <x:v>7.909903025975467</x:v>
      </x:c>
      <x:c r="L671" s="27" t="n">
        <x:f>J671*(1-I671*(1-'Carrier Engine'!E94))</x:f>
        <x:v>17744.97966984661</x:v>
      </x:c>
      <x:c r="M671" s="29" t="n">
        <x:f>NORM.S.DIST((LN(L671)-K671)/'Assumptions'!$D$10,TRUE)</x:f>
        <x:v>0.8836524867448694</x:v>
      </x:c>
      <x:c r="N671" s="30" t="n">
        <x:f>MAX(0,H671-MAX(G671,M671))</x:f>
        <x:v>0.11111111111111116</x:v>
      </x:c>
      <x:c r="O671" s="28" t="n">
        <x:f>J671*I671</x:f>
        <x:v>4698.364182372987</x:v>
      </x:c>
      <x:c r="P671" s="27" t="n">
        <x:f>(VLOOKUP(O671,'Fee Data'!$C$6:$G$50,2,TRUE)+O671*VLOOKUP(O671,'Fee Data'!$C$6:$G$50,3,TRUE)+VLOOKUP(O671,'Fee Data'!$I$6:$J$14,2,TRUE)+'Fee Data'!$J$20+'Fee Data'!$J$21)*'Assumptions'!G37</x:f>
        <x:v>970</x:v>
      </x:c>
      <x:c r="Q671" s="27" t="n">
        <x:f>(VLOOKUP(O671,'Fee Data'!$C$6:$G$50,4,TRUE)+O671*VLOOKUP(O671,'Fee Data'!$C$6:$G$50,5,TRUE)+VLOOKUP(O671,'Fee Data'!$I$6:$J$14,2,TRUE)+'Fee Data'!$J$20+'Fee Data'!$J$21)*'Assumptions'!G37</x:f>
        <x:v>845</x:v>
      </x:c>
      <x:c r="R671" s="27" t="n">
        <x:f>P671*(1-'Assumptions'!$D$14)+Q671*'Assumptions'!$D$14</x:f>
        <x:v>907.5</x:v>
      </x:c>
      <x:c r="S671" s="27" t="n">
        <x:f>O671*'Carrier Engine'!E94</x:f>
        <x:v>187.93456729491947</x:v>
      </x:c>
      <x:c r="T671" s="28" t="n">
        <x:f>R671+S671</x:f>
        <x:v>1095.4345672949194</x:v>
      </x:c>
      <x:c r="U671" s="27" t="n">
        <x:f>N671*'Fleet Engine'!I195</x:f>
        <x:v>1004.0410075823861</x:v>
      </x:c>
      <x:c r="V671" s="28" t="n">
        <x:f>U671*T671</x:f>
        <x:v>1099861.226687366</x:v>
      </x:c>
      <x:c r="W671" s="28" t="n">
        <x:f>U671*O671</x:f>
        <x:v>4717350.307658767</x:v>
      </x:c>
    </x:row>
    <x:row r="672" ht="19" customHeight="1">
      <x:c r="A672" s="2"/>
      <x:c r="B672" s="2"/>
      <x:c r="C672" s="46" t="n">
        <x:v>3</x:v>
      </x:c>
      <x:c r="D672" s="46" t="n">
        <x:v>2</x:v>
      </x:c>
      <x:c r="E672" s="46" t="n">
        <x:v>0</x:v>
      </x:c>
      <x:c r="F672" s="46" t="n">
        <x:v>2</x:v>
      </x:c>
      <x:c r="G672" s="12" t="n">
        <x:v>0</x:v>
      </x:c>
      <x:c r="H672" s="12" t="n">
        <x:v>0.1111111111111111</x:v>
      </x:c>
      <x:c r="I672" s="29" t="n">
        <x:f>'Assumptions'!$D$11+'Assumptions'!$D$12*(0.5-(G672+H672)/2)</x:f>
        <x:v>0.3888888888888889</x:v>
      </x:c>
      <x:c r="J672" s="27" t="n">
        <x:f>'Assumptions'!$D$8*EXP(-'Assumptions'!$D$9*('Fleet Engine'!E196-10))*'Assumptions'!E55*'Assumptions'!G36</x:f>
        <x:v>16487.212707001283</x:v>
      </x:c>
      <x:c r="K672" s="27" t="n">
        <x:f>'Source Data'!F219+LN('Assumptions'!D55)+LN('Assumptions'!G35)</x:f>
        <x:v>7.955584867261274</x:v>
      </x:c>
      <x:c r="L672" s="27" t="n">
        <x:f>J672*(1-I672*(1-'Carrier Engine'!E94))</x:f>
        <x:v>10331.986629720805</x:v>
      </x:c>
      <x:c r="M672" s="29" t="n">
        <x:f>NORM.S.DIST((LN(L672)-K672)/'Assumptions'!$D$10,TRUE)</x:f>
        <x:v>0.7938640109511643</x:v>
      </x:c>
      <x:c r="N672" s="30" t="n">
        <x:f>MAX(0,H672-MAX(G672,M672))</x:f>
        <x:v>0</x:v>
      </x:c>
      <x:c r="O672" s="28" t="n">
        <x:f>J672*I672</x:f>
        <x:v>6411.693830500499</x:v>
      </x:c>
      <x:c r="P672" s="27" t="n">
        <x:f>(VLOOKUP(O672,'Fee Data'!$C$6:$G$50,2,TRUE)+O672*VLOOKUP(O672,'Fee Data'!$C$6:$G$50,3,TRUE)+VLOOKUP(O672,'Fee Data'!$I$6:$J$14,2,TRUE)+'Fee Data'!$J$20+'Fee Data'!$J$21)*'Assumptions'!G37</x:f>
        <x:v>1060</x:v>
      </x:c>
      <x:c r="Q672" s="27" t="n">
        <x:f>(VLOOKUP(O672,'Fee Data'!$C$6:$G$50,4,TRUE)+O672*VLOOKUP(O672,'Fee Data'!$C$6:$G$50,5,TRUE)+VLOOKUP(O672,'Fee Data'!$I$6:$J$14,2,TRUE)+'Fee Data'!$J$20+'Fee Data'!$J$21)*'Assumptions'!G37</x:f>
        <x:v>935</x:v>
      </x:c>
      <x:c r="R672" s="27" t="n">
        <x:f>P672*(1-'Assumptions'!$D$14)+Q672*'Assumptions'!$D$14</x:f>
        <x:v>997.5</x:v>
      </x:c>
      <x:c r="S672" s="27" t="n">
        <x:f>O672*'Carrier Engine'!E94</x:f>
        <x:v>256.46775322002</x:v>
      </x:c>
      <x:c r="T672" s="28" t="n">
        <x:f>R672+S672</x:f>
        <x:v>1253.9677532200199</x:v>
      </x:c>
      <x:c r="U672" s="27" t="n">
        <x:f>N672*'Fleet Engine'!I196</x:f>
        <x:v>0</x:v>
      </x:c>
      <x:c r="V672" s="28" t="n">
        <x:f>U672*T672</x:f>
        <x:v>0</x:v>
      </x:c>
      <x:c r="W672" s="28" t="n">
        <x:f>U672*O672</x:f>
        <x:v>0</x:v>
      </x:c>
    </x:row>
    <x:row r="673" ht="19" customHeight="1">
      <x:c r="A673" s="2"/>
      <x:c r="B673" s="2"/>
      <x:c r="C673" s="46" t="n">
        <x:v>3</x:v>
      </x:c>
      <x:c r="D673" s="46" t="n">
        <x:v>2</x:v>
      </x:c>
      <x:c r="E673" s="46" t="n">
        <x:v>0</x:v>
      </x:c>
      <x:c r="F673" s="46" t="n">
        <x:v>2</x:v>
      </x:c>
      <x:c r="G673" s="12" t="n">
        <x:v>0.1111111111111111</x:v>
      </x:c>
      <x:c r="H673" s="12" t="n">
        <x:v>0.2222222222222222</x:v>
      </x:c>
      <x:c r="I673" s="29" t="n">
        <x:f>'Assumptions'!$D$11+'Assumptions'!$D$12*(0.5-(G673+H673)/2)</x:f>
        <x:v>0.3666666666666667</x:v>
      </x:c>
      <x:c r="J673" s="27" t="n">
        <x:f>'Assumptions'!$D$8*EXP(-'Assumptions'!$D$9*('Fleet Engine'!E196-10))*'Assumptions'!E55*'Assumptions'!G36</x:f>
        <x:v>16487.212707001283</x:v>
      </x:c>
      <x:c r="K673" s="27" t="n">
        <x:f>'Source Data'!F219+LN('Assumptions'!D55)+LN('Assumptions'!G35)</x:f>
        <x:v>7.955584867261274</x:v>
      </x:c>
      <x:c r="L673" s="27" t="n">
        <x:f>J673*(1-I673*(1-'Carrier Engine'!E94))</x:f>
        <x:v>10683.71383413683</x:v>
      </x:c>
      <x:c r="M673" s="29" t="n">
        <x:f>NORM.S.DIST((LN(L673)-K673)/'Assumptions'!$D$10,TRUE)</x:f>
        <x:v>0.7998880565872375</x:v>
      </x:c>
      <x:c r="N673" s="30" t="n">
        <x:f>MAX(0,H673-MAX(G673,M673))</x:f>
        <x:v>0</x:v>
      </x:c>
      <x:c r="O673" s="28" t="n">
        <x:f>J673*I673</x:f>
        <x:v>6045.311325900471</x:v>
      </x:c>
      <x:c r="P673" s="27" t="n">
        <x:f>(VLOOKUP(O673,'Fee Data'!$C$6:$G$50,2,TRUE)+O673*VLOOKUP(O673,'Fee Data'!$C$6:$G$50,3,TRUE)+VLOOKUP(O673,'Fee Data'!$I$6:$J$14,2,TRUE)+'Fee Data'!$J$20+'Fee Data'!$J$21)*'Assumptions'!G37</x:f>
        <x:v>1060</x:v>
      </x:c>
      <x:c r="Q673" s="27" t="n">
        <x:f>(VLOOKUP(O673,'Fee Data'!$C$6:$G$50,4,TRUE)+O673*VLOOKUP(O673,'Fee Data'!$C$6:$G$50,5,TRUE)+VLOOKUP(O673,'Fee Data'!$I$6:$J$14,2,TRUE)+'Fee Data'!$J$20+'Fee Data'!$J$21)*'Assumptions'!G37</x:f>
        <x:v>935</x:v>
      </x:c>
      <x:c r="R673" s="27" t="n">
        <x:f>P673*(1-'Assumptions'!$D$14)+Q673*'Assumptions'!$D$14</x:f>
        <x:v>997.5</x:v>
      </x:c>
      <x:c r="S673" s="27" t="n">
        <x:f>O673*'Carrier Engine'!E94</x:f>
        <x:v>241.81245303601887</x:v>
      </x:c>
      <x:c r="T673" s="28" t="n">
        <x:f>R673+S673</x:f>
        <x:v>1239.312453036019</x:v>
      </x:c>
      <x:c r="U673" s="27" t="n">
        <x:f>N673*'Fleet Engine'!I196</x:f>
        <x:v>0</x:v>
      </x:c>
      <x:c r="V673" s="28" t="n">
        <x:f>U673*T673</x:f>
        <x:v>0</x:v>
      </x:c>
      <x:c r="W673" s="28" t="n">
        <x:f>U673*O673</x:f>
        <x:v>0</x:v>
      </x:c>
    </x:row>
    <x:row r="674" ht="19" customHeight="1">
      <x:c r="A674" s="2"/>
      <x:c r="B674" s="2"/>
      <x:c r="C674" s="46" t="n">
        <x:v>3</x:v>
      </x:c>
      <x:c r="D674" s="46" t="n">
        <x:v>2</x:v>
      </x:c>
      <x:c r="E674" s="46" t="n">
        <x:v>0</x:v>
      </x:c>
      <x:c r="F674" s="46" t="n">
        <x:v>2</x:v>
      </x:c>
      <x:c r="G674" s="12" t="n">
        <x:v>0.2222222222222222</x:v>
      </x:c>
      <x:c r="H674" s="12" t="n">
        <x:v>0.3333333333333333</x:v>
      </x:c>
      <x:c r="I674" s="29" t="n">
        <x:f>'Assumptions'!$D$11+'Assumptions'!$D$12*(0.5-(G674+H674)/2)</x:f>
        <x:v>0.34444444444444444</x:v>
      </x:c>
      <x:c r="J674" s="27" t="n">
        <x:f>'Assumptions'!$D$8*EXP(-'Assumptions'!$D$9*('Fleet Engine'!E196-10))*'Assumptions'!E55*'Assumptions'!G36</x:f>
        <x:v>16487.212707001283</x:v>
      </x:c>
      <x:c r="K674" s="27" t="n">
        <x:f>'Source Data'!F219+LN('Assumptions'!D55)+LN('Assumptions'!G35)</x:f>
        <x:v>7.955584867261274</x:v>
      </x:c>
      <x:c r="L674" s="27" t="n">
        <x:f>J674*(1-I674*(1-'Carrier Engine'!E94))</x:f>
        <x:v>11035.441038552859</x:v>
      </x:c>
      <x:c r="M674" s="29" t="n">
        <x:f>NORM.S.DIST((LN(L674)-K674)/'Assumptions'!$D$10,TRUE)</x:f>
        <x:v>0.8056150406948284</x:v>
      </x:c>
      <x:c r="N674" s="30" t="n">
        <x:f>MAX(0,H674-MAX(G674,M674))</x:f>
        <x:v>0</x:v>
      </x:c>
      <x:c r="O674" s="28" t="n">
        <x:f>J674*I674</x:f>
        <x:v>5678.928821300442</x:v>
      </x:c>
      <x:c r="P674" s="27" t="n">
        <x:f>(VLOOKUP(O674,'Fee Data'!$C$6:$G$50,2,TRUE)+O674*VLOOKUP(O674,'Fee Data'!$C$6:$G$50,3,TRUE)+VLOOKUP(O674,'Fee Data'!$I$6:$J$14,2,TRUE)+'Fee Data'!$J$20+'Fee Data'!$J$21)*'Assumptions'!G37</x:f>
        <x:v>1020</x:v>
      </x:c>
      <x:c r="Q674" s="27" t="n">
        <x:f>(VLOOKUP(O674,'Fee Data'!$C$6:$G$50,4,TRUE)+O674*VLOOKUP(O674,'Fee Data'!$C$6:$G$50,5,TRUE)+VLOOKUP(O674,'Fee Data'!$I$6:$J$14,2,TRUE)+'Fee Data'!$J$20+'Fee Data'!$J$21)*'Assumptions'!G37</x:f>
        <x:v>895</x:v>
      </x:c>
      <x:c r="R674" s="27" t="n">
        <x:f>P674*(1-'Assumptions'!$D$14)+Q674*'Assumptions'!$D$14</x:f>
        <x:v>957.5</x:v>
      </x:c>
      <x:c r="S674" s="27" t="n">
        <x:f>O674*'Carrier Engine'!E94</x:f>
        <x:v>227.15715285201767</x:v>
      </x:c>
      <x:c r="T674" s="28" t="n">
        <x:f>R674+S674</x:f>
        <x:v>1184.6571528520176</x:v>
      </x:c>
      <x:c r="U674" s="27" t="n">
        <x:f>N674*'Fleet Engine'!I196</x:f>
        <x:v>0</x:v>
      </x:c>
      <x:c r="V674" s="28" t="n">
        <x:f>U674*T674</x:f>
        <x:v>0</x:v>
      </x:c>
      <x:c r="W674" s="28" t="n">
        <x:f>U674*O674</x:f>
        <x:v>0</x:v>
      </x:c>
    </x:row>
    <x:row r="675" ht="19" customHeight="1">
      <x:c r="A675" s="2"/>
      <x:c r="B675" s="2"/>
      <x:c r="C675" s="46" t="n">
        <x:v>3</x:v>
      </x:c>
      <x:c r="D675" s="46" t="n">
        <x:v>2</x:v>
      </x:c>
      <x:c r="E675" s="46" t="n">
        <x:v>0</x:v>
      </x:c>
      <x:c r="F675" s="46" t="n">
        <x:v>2</x:v>
      </x:c>
      <x:c r="G675" s="12" t="n">
        <x:v>0.3333333333333333</x:v>
      </x:c>
      <x:c r="H675" s="12" t="n">
        <x:v>0.4444444444444444</x:v>
      </x:c>
      <x:c r="I675" s="29" t="n">
        <x:f>'Assumptions'!$D$11+'Assumptions'!$D$12*(0.5-(G675+H675)/2)</x:f>
        <x:v>0.32222222222222224</x:v>
      </x:c>
      <x:c r="J675" s="27" t="n">
        <x:f>'Assumptions'!$D$8*EXP(-'Assumptions'!$D$9*('Fleet Engine'!E196-10))*'Assumptions'!E55*'Assumptions'!G36</x:f>
        <x:v>16487.212707001283</x:v>
      </x:c>
      <x:c r="K675" s="27" t="n">
        <x:f>'Source Data'!F219+LN('Assumptions'!D55)+LN('Assumptions'!G35)</x:f>
        <x:v>7.955584867261274</x:v>
      </x:c>
      <x:c r="L675" s="27" t="n">
        <x:f>J675*(1-I675*(1-'Carrier Engine'!E94))</x:f>
        <x:v>11387.168242968886</x:v>
      </x:c>
      <x:c r="M675" s="29" t="n">
        <x:f>NORM.S.DIST((LN(L675)-K675)/'Assumptions'!$D$10,TRUE)</x:f>
        <x:v>0.8110661143853564</x:v>
      </x:c>
      <x:c r="N675" s="30" t="n">
        <x:f>MAX(0,H675-MAX(G675,M675))</x:f>
        <x:v>0</x:v>
      </x:c>
      <x:c r="O675" s="28" t="n">
        <x:f>J675*I675</x:f>
        <x:v>5312.546316700414</x:v>
      </x:c>
      <x:c r="P675" s="27" t="n">
        <x:f>(VLOOKUP(O675,'Fee Data'!$C$6:$G$50,2,TRUE)+O675*VLOOKUP(O675,'Fee Data'!$C$6:$G$50,3,TRUE)+VLOOKUP(O675,'Fee Data'!$I$6:$J$14,2,TRUE)+'Fee Data'!$J$20+'Fee Data'!$J$21)*'Assumptions'!G37</x:f>
        <x:v>995</x:v>
      </x:c>
      <x:c r="Q675" s="27" t="n">
        <x:f>(VLOOKUP(O675,'Fee Data'!$C$6:$G$50,4,TRUE)+O675*VLOOKUP(O675,'Fee Data'!$C$6:$G$50,5,TRUE)+VLOOKUP(O675,'Fee Data'!$I$6:$J$14,2,TRUE)+'Fee Data'!$J$20+'Fee Data'!$J$21)*'Assumptions'!G37</x:f>
        <x:v>870</x:v>
      </x:c>
      <x:c r="R675" s="27" t="n">
        <x:f>P675*(1-'Assumptions'!$D$14)+Q675*'Assumptions'!$D$14</x:f>
        <x:v>932.5</x:v>
      </x:c>
      <x:c r="S675" s="27" t="n">
        <x:f>O675*'Carrier Engine'!E94</x:f>
        <x:v>212.50185266801654</x:v>
      </x:c>
      <x:c r="T675" s="28" t="n">
        <x:f>R675+S675</x:f>
        <x:v>1145.0018526680165</x:v>
      </x:c>
      <x:c r="U675" s="27" t="n">
        <x:f>N675*'Fleet Engine'!I196</x:f>
        <x:v>0</x:v>
      </x:c>
      <x:c r="V675" s="28" t="n">
        <x:f>U675*T675</x:f>
        <x:v>0</x:v>
      </x:c>
      <x:c r="W675" s="28" t="n">
        <x:f>U675*O675</x:f>
        <x:v>0</x:v>
      </x:c>
    </x:row>
    <x:row r="676" ht="19" customHeight="1">
      <x:c r="A676" s="2"/>
      <x:c r="B676" s="2"/>
      <x:c r="C676" s="46" t="n">
        <x:v>3</x:v>
      </x:c>
      <x:c r="D676" s="46" t="n">
        <x:v>2</x:v>
      </x:c>
      <x:c r="E676" s="46" t="n">
        <x:v>0</x:v>
      </x:c>
      <x:c r="F676" s="46" t="n">
        <x:v>2</x:v>
      </x:c>
      <x:c r="G676" s="12" t="n">
        <x:v>0.4444444444444444</x:v>
      </x:c>
      <x:c r="H676" s="12" t="n">
        <x:v>0.5555555555555556</x:v>
      </x:c>
      <x:c r="I676" s="29" t="n">
        <x:f>'Assumptions'!$D$11+'Assumptions'!$D$12*(0.5-(G676+H676)/2)</x:f>
        <x:v>0.3</x:v>
      </x:c>
      <x:c r="J676" s="27" t="n">
        <x:f>'Assumptions'!$D$8*EXP(-'Assumptions'!$D$9*('Fleet Engine'!E196-10))*'Assumptions'!E55*'Assumptions'!G36</x:f>
        <x:v>16487.212707001283</x:v>
      </x:c>
      <x:c r="K676" s="27" t="n">
        <x:f>'Source Data'!F219+LN('Assumptions'!D55)+LN('Assumptions'!G35)</x:f>
        <x:v>7.955584867261274</x:v>
      </x:c>
      <x:c r="L676" s="27" t="n">
        <x:f>J676*(1-I676*(1-'Carrier Engine'!E94))</x:f>
        <x:v>11738.895447384913</x:v>
      </x:c>
      <x:c r="M676" s="29" t="n">
        <x:f>NORM.S.DIST((LN(L676)-K676)/'Assumptions'!$D$10,TRUE)</x:f>
        <x:v>0.816260449587562</x:v>
      </x:c>
      <x:c r="N676" s="30" t="n">
        <x:f>MAX(0,H676-MAX(G676,M676))</x:f>
        <x:v>0</x:v>
      </x:c>
      <x:c r="O676" s="28" t="n">
        <x:f>J676*I676</x:f>
        <x:v>4946.163812100384</x:v>
      </x:c>
      <x:c r="P676" s="27" t="n">
        <x:f>(VLOOKUP(O676,'Fee Data'!$C$6:$G$50,2,TRUE)+O676*VLOOKUP(O676,'Fee Data'!$C$6:$G$50,3,TRUE)+VLOOKUP(O676,'Fee Data'!$I$6:$J$14,2,TRUE)+'Fee Data'!$J$20+'Fee Data'!$J$21)*'Assumptions'!G37</x:f>
        <x:v>970</x:v>
      </x:c>
      <x:c r="Q676" s="27" t="n">
        <x:f>(VLOOKUP(O676,'Fee Data'!$C$6:$G$50,4,TRUE)+O676*VLOOKUP(O676,'Fee Data'!$C$6:$G$50,5,TRUE)+VLOOKUP(O676,'Fee Data'!$I$6:$J$14,2,TRUE)+'Fee Data'!$J$20+'Fee Data'!$J$21)*'Assumptions'!G37</x:f>
        <x:v>845</x:v>
      </x:c>
      <x:c r="R676" s="27" t="n">
        <x:f>P676*(1-'Assumptions'!$D$14)+Q676*'Assumptions'!$D$14</x:f>
        <x:v>907.5</x:v>
      </x:c>
      <x:c r="S676" s="27" t="n">
        <x:f>O676*'Carrier Engine'!E94</x:f>
        <x:v>197.84655248401538</x:v>
      </x:c>
      <x:c r="T676" s="28" t="n">
        <x:f>R676+S676</x:f>
        <x:v>1105.3465524840153</x:v>
      </x:c>
      <x:c r="U676" s="27" t="n">
        <x:f>N676*'Fleet Engine'!I196</x:f>
        <x:v>0</x:v>
      </x:c>
      <x:c r="V676" s="28" t="n">
        <x:f>U676*T676</x:f>
        <x:v>0</x:v>
      </x:c>
      <x:c r="W676" s="28" t="n">
        <x:f>U676*O676</x:f>
        <x:v>0</x:v>
      </x:c>
    </x:row>
    <x:row r="677" ht="19" customHeight="1">
      <x:c r="A677" s="2"/>
      <x:c r="B677" s="2"/>
      <x:c r="C677" s="46" t="n">
        <x:v>3</x:v>
      </x:c>
      <x:c r="D677" s="46" t="n">
        <x:v>2</x:v>
      </x:c>
      <x:c r="E677" s="46" t="n">
        <x:v>0</x:v>
      </x:c>
      <x:c r="F677" s="46" t="n">
        <x:v>2</x:v>
      </x:c>
      <x:c r="G677" s="12" t="n">
        <x:v>0.5555555555555556</x:v>
      </x:c>
      <x:c r="H677" s="12" t="n">
        <x:v>0.6666666666666666</x:v>
      </x:c>
      <x:c r="I677" s="29" t="n">
        <x:f>'Assumptions'!$D$11+'Assumptions'!$D$12*(0.5-(G677+H677)/2)</x:f>
        <x:v>0.27777777777777773</x:v>
      </x:c>
      <x:c r="J677" s="27" t="n">
        <x:f>'Assumptions'!$D$8*EXP(-'Assumptions'!$D$9*('Fleet Engine'!E196-10))*'Assumptions'!E55*'Assumptions'!G36</x:f>
        <x:v>16487.212707001283</x:v>
      </x:c>
      <x:c r="K677" s="27" t="n">
        <x:f>'Source Data'!F219+LN('Assumptions'!D55)+LN('Assumptions'!G35)</x:f>
        <x:v>7.955584867261274</x:v>
      </x:c>
      <x:c r="L677" s="27" t="n">
        <x:f>J677*(1-I677*(1-'Carrier Engine'!E94))</x:f>
        <x:v>12090.622651800943</x:v>
      </x:c>
      <x:c r="M677" s="29" t="n">
        <x:f>NORM.S.DIST((LN(L677)-K677)/'Assumptions'!$D$10,TRUE)</x:f>
        <x:v>0.8212154681565336</x:v>
      </x:c>
      <x:c r="N677" s="30" t="n">
        <x:f>MAX(0,H677-MAX(G677,M677))</x:f>
        <x:v>0</x:v>
      </x:c>
      <x:c r="O677" s="28" t="n">
        <x:f>J677*I677</x:f>
        <x:v>4579.781307500356</x:v>
      </x:c>
      <x:c r="P677" s="27" t="n">
        <x:f>(VLOOKUP(O677,'Fee Data'!$C$6:$G$50,2,TRUE)+O677*VLOOKUP(O677,'Fee Data'!$C$6:$G$50,3,TRUE)+VLOOKUP(O677,'Fee Data'!$I$6:$J$14,2,TRUE)+'Fee Data'!$J$20+'Fee Data'!$J$21)*'Assumptions'!G37</x:f>
        <x:v>970</x:v>
      </x:c>
      <x:c r="Q677" s="27" t="n">
        <x:f>(VLOOKUP(O677,'Fee Data'!$C$6:$G$50,4,TRUE)+O677*VLOOKUP(O677,'Fee Data'!$C$6:$G$50,5,TRUE)+VLOOKUP(O677,'Fee Data'!$I$6:$J$14,2,TRUE)+'Fee Data'!$J$20+'Fee Data'!$J$21)*'Assumptions'!G37</x:f>
        <x:v>845</x:v>
      </x:c>
      <x:c r="R677" s="27" t="n">
        <x:f>P677*(1-'Assumptions'!$D$14)+Q677*'Assumptions'!$D$14</x:f>
        <x:v>907.5</x:v>
      </x:c>
      <x:c r="S677" s="27" t="n">
        <x:f>O677*'Carrier Engine'!E94</x:f>
        <x:v>183.19125230001424</x:v>
      </x:c>
      <x:c r="T677" s="28" t="n">
        <x:f>R677+S677</x:f>
        <x:v>1090.6912523000142</x:v>
      </x:c>
      <x:c r="U677" s="27" t="n">
        <x:f>N677*'Fleet Engine'!I196</x:f>
        <x:v>0</x:v>
      </x:c>
      <x:c r="V677" s="28" t="n">
        <x:f>U677*T677</x:f>
        <x:v>0</x:v>
      </x:c>
      <x:c r="W677" s="28" t="n">
        <x:f>U677*O677</x:f>
        <x:v>0</x:v>
      </x:c>
    </x:row>
    <x:row r="678" ht="19" customHeight="1">
      <x:c r="A678" s="2"/>
      <x:c r="B678" s="2"/>
      <x:c r="C678" s="46" t="n">
        <x:v>3</x:v>
      </x:c>
      <x:c r="D678" s="46" t="n">
        <x:v>2</x:v>
      </x:c>
      <x:c r="E678" s="46" t="n">
        <x:v>0</x:v>
      </x:c>
      <x:c r="F678" s="46" t="n">
        <x:v>2</x:v>
      </x:c>
      <x:c r="G678" s="12" t="n">
        <x:v>0.6666666666666666</x:v>
      </x:c>
      <x:c r="H678" s="12" t="n">
        <x:v>0.7777777777777778</x:v>
      </x:c>
      <x:c r="I678" s="29" t="n">
        <x:f>'Assumptions'!$D$11+'Assumptions'!$D$12*(0.5-(G678+H678)/2)</x:f>
        <x:v>0.25555555555555554</x:v>
      </x:c>
      <x:c r="J678" s="27" t="n">
        <x:f>'Assumptions'!$D$8*EXP(-'Assumptions'!$D$9*('Fleet Engine'!E196-10))*'Assumptions'!E55*'Assumptions'!G36</x:f>
        <x:v>16487.212707001283</x:v>
      </x:c>
      <x:c r="K678" s="27" t="n">
        <x:f>'Source Data'!F219+LN('Assumptions'!D55)+LN('Assumptions'!G35)</x:f>
        <x:v>7.955584867261274</x:v>
      </x:c>
      <x:c r="L678" s="27" t="n">
        <x:f>J678*(1-I678*(1-'Carrier Engine'!E94))</x:f>
        <x:v>12442.34985621697</x:v>
      </x:c>
      <x:c r="M678" s="29" t="n">
        <x:f>NORM.S.DIST((LN(L678)-K678)/'Assumptions'!$D$10,TRUE)</x:f>
        <x:v>0.8259470394978756</x:v>
      </x:c>
      <x:c r="N678" s="30" t="n">
        <x:f>MAX(0,H678-MAX(G678,M678))</x:f>
        <x:v>0</x:v>
      </x:c>
      <x:c r="O678" s="28" t="n">
        <x:f>J678*I678</x:f>
        <x:v>4213.398802900328</x:v>
      </x:c>
      <x:c r="P678" s="27" t="n">
        <x:f>(VLOOKUP(O678,'Fee Data'!$C$6:$G$50,2,TRUE)+O678*VLOOKUP(O678,'Fee Data'!$C$6:$G$50,3,TRUE)+VLOOKUP(O678,'Fee Data'!$I$6:$J$14,2,TRUE)+'Fee Data'!$J$20+'Fee Data'!$J$21)*'Assumptions'!G37</x:f>
        <x:v>945</x:v>
      </x:c>
      <x:c r="Q678" s="27" t="n">
        <x:f>(VLOOKUP(O678,'Fee Data'!$C$6:$G$50,4,TRUE)+O678*VLOOKUP(O678,'Fee Data'!$C$6:$G$50,5,TRUE)+VLOOKUP(O678,'Fee Data'!$I$6:$J$14,2,TRUE)+'Fee Data'!$J$20+'Fee Data'!$J$21)*'Assumptions'!G37</x:f>
        <x:v>820</x:v>
      </x:c>
      <x:c r="R678" s="27" t="n">
        <x:f>P678*(1-'Assumptions'!$D$14)+Q678*'Assumptions'!$D$14</x:f>
        <x:v>882.5</x:v>
      </x:c>
      <x:c r="S678" s="27" t="n">
        <x:f>O678*'Carrier Engine'!E94</x:f>
        <x:v>168.5359521160131</x:v>
      </x:c>
      <x:c r="T678" s="28" t="n">
        <x:f>R678+S678</x:f>
        <x:v>1051.035952116013</x:v>
      </x:c>
      <x:c r="U678" s="27" t="n">
        <x:f>N678*'Fleet Engine'!I196</x:f>
        <x:v>0</x:v>
      </x:c>
      <x:c r="V678" s="28" t="n">
        <x:f>U678*T678</x:f>
        <x:v>0</x:v>
      </x:c>
      <x:c r="W678" s="28" t="n">
        <x:f>U678*O678</x:f>
        <x:v>0</x:v>
      </x:c>
    </x:row>
    <x:row r="679" ht="19" customHeight="1">
      <x:c r="A679" s="2"/>
      <x:c r="B679" s="2"/>
      <x:c r="C679" s="46" t="n">
        <x:v>3</x:v>
      </x:c>
      <x:c r="D679" s="46" t="n">
        <x:v>2</x:v>
      </x:c>
      <x:c r="E679" s="46" t="n">
        <x:v>0</x:v>
      </x:c>
      <x:c r="F679" s="46" t="n">
        <x:v>2</x:v>
      </x:c>
      <x:c r="G679" s="12" t="n">
        <x:v>0.7777777777777778</x:v>
      </x:c>
      <x:c r="H679" s="12" t="n">
        <x:v>0.8888888888888888</x:v>
      </x:c>
      <x:c r="I679" s="29" t="n">
        <x:f>'Assumptions'!$D$11+'Assumptions'!$D$12*(0.5-(G679+H679)/2)</x:f>
        <x:v>0.23333333333333334</x:v>
      </x:c>
      <x:c r="J679" s="27" t="n">
        <x:f>'Assumptions'!$D$8*EXP(-'Assumptions'!$D$9*('Fleet Engine'!E196-10))*'Assumptions'!E55*'Assumptions'!G36</x:f>
        <x:v>16487.212707001283</x:v>
      </x:c>
      <x:c r="K679" s="27" t="n">
        <x:f>'Source Data'!F219+LN('Assumptions'!D55)+LN('Assumptions'!G35)</x:f>
        <x:v>7.955584867261274</x:v>
      </x:c>
      <x:c r="L679" s="27" t="n">
        <x:f>J679*(1-I679*(1-'Carrier Engine'!E94))</x:f>
        <x:v>12794.077060632995</x:v>
      </x:c>
      <x:c r="M679" s="29" t="n">
        <x:f>NORM.S.DIST((LN(L679)-K679)/'Assumptions'!$D$10,TRUE)</x:f>
        <x:v>0.8304696516941905</x:v>
      </x:c>
      <x:c r="N679" s="30" t="n">
        <x:f>MAX(0,H679-MAX(G679,M679))</x:f>
        <x:v>0.058419237194698326</x:v>
      </x:c>
      <x:c r="O679" s="28" t="n">
        <x:f>J679*I679</x:f>
        <x:v>3847.0162983002992</x:v>
      </x:c>
      <x:c r="P679" s="27" t="n">
        <x:f>(VLOOKUP(O679,'Fee Data'!$C$6:$G$50,2,TRUE)+O679*VLOOKUP(O679,'Fee Data'!$C$6:$G$50,3,TRUE)+VLOOKUP(O679,'Fee Data'!$I$6:$J$14,2,TRUE)+'Fee Data'!$J$20+'Fee Data'!$J$21)*'Assumptions'!G37</x:f>
        <x:v>915</x:v>
      </x:c>
      <x:c r="Q679" s="27" t="n">
        <x:f>(VLOOKUP(O679,'Fee Data'!$C$6:$G$50,4,TRUE)+O679*VLOOKUP(O679,'Fee Data'!$C$6:$G$50,5,TRUE)+VLOOKUP(O679,'Fee Data'!$I$6:$J$14,2,TRUE)+'Fee Data'!$J$20+'Fee Data'!$J$21)*'Assumptions'!G37</x:f>
        <x:v>765</x:v>
      </x:c>
      <x:c r="R679" s="27" t="n">
        <x:f>P679*(1-'Assumptions'!$D$14)+Q679*'Assumptions'!$D$14</x:f>
        <x:v>840</x:v>
      </x:c>
      <x:c r="S679" s="27" t="n">
        <x:f>O679*'Carrier Engine'!E94</x:f>
        <x:v>153.88065193201197</x:v>
      </x:c>
      <x:c r="T679" s="28" t="n">
        <x:f>R679+S679</x:f>
        <x:v>993.8806519320119</x:v>
      </x:c>
      <x:c r="U679" s="27" t="n">
        <x:f>N679*'Fleet Engine'!I196</x:f>
        <x:v>611.7480700116231</x:v>
      </x:c>
      <x:c r="V679" s="28" t="n">
        <x:f>U679*T679</x:f>
        <x:v>608004.570641302</x:v>
      </x:c>
      <x:c r="W679" s="28" t="n">
        <x:f>U679*O679</x:f>
        <x:v>2353404.7957884665</x:v>
      </x:c>
    </x:row>
    <x:row r="680" ht="19" customHeight="1">
      <x:c r="A680" s="2"/>
      <x:c r="B680" s="2"/>
      <x:c r="C680" s="46" t="n">
        <x:v>3</x:v>
      </x:c>
      <x:c r="D680" s="46" t="n">
        <x:v>2</x:v>
      </x:c>
      <x:c r="E680" s="46" t="n">
        <x:v>0</x:v>
      </x:c>
      <x:c r="F680" s="46" t="n">
        <x:v>2</x:v>
      </x:c>
      <x:c r="G680" s="12" t="n">
        <x:v>0.8888888888888888</x:v>
      </x:c>
      <x:c r="H680" s="12" t="n">
        <x:v>1</x:v>
      </x:c>
      <x:c r="I680" s="29" t="n">
        <x:f>'Assumptions'!$D$11+'Assumptions'!$D$12*(0.5-(G680+H680)/2)</x:f>
        <x:v>0.21111111111111108</x:v>
      </x:c>
      <x:c r="J680" s="27" t="n">
        <x:f>'Assumptions'!$D$8*EXP(-'Assumptions'!$D$9*('Fleet Engine'!E196-10))*'Assumptions'!E55*'Assumptions'!G36</x:f>
        <x:v>16487.212707001283</x:v>
      </x:c>
      <x:c r="K680" s="27" t="n">
        <x:f>'Source Data'!F219+LN('Assumptions'!D55)+LN('Assumptions'!G35)</x:f>
        <x:v>7.955584867261274</x:v>
      </x:c>
      <x:c r="L680" s="27" t="n">
        <x:f>J680*(1-I680*(1-'Carrier Engine'!E94))</x:f>
        <x:v>13145.804265049022</x:v>
      </x:c>
      <x:c r="M680" s="29" t="n">
        <x:f>NORM.S.DIST((LN(L680)-K680)/'Assumptions'!$D$10,TRUE)</x:f>
        <x:v>0.8347965602302723</x:v>
      </x:c>
      <x:c r="N680" s="30" t="n">
        <x:f>MAX(0,H680-MAX(G680,M680))</x:f>
        <x:v>0.11111111111111116</x:v>
      </x:c>
      <x:c r="O680" s="28" t="n">
        <x:f>J680*I680</x:f>
        <x:v>3480.6337937002704</x:v>
      </x:c>
      <x:c r="P680" s="27" t="n">
        <x:f>(VLOOKUP(O680,'Fee Data'!$C$6:$G$50,2,TRUE)+O680*VLOOKUP(O680,'Fee Data'!$C$6:$G$50,3,TRUE)+VLOOKUP(O680,'Fee Data'!$I$6:$J$14,2,TRUE)+'Fee Data'!$J$20+'Fee Data'!$J$21)*'Assumptions'!G37</x:f>
        <x:v>865</x:v>
      </x:c>
      <x:c r="Q680" s="27" t="n">
        <x:f>(VLOOKUP(O680,'Fee Data'!$C$6:$G$50,4,TRUE)+O680*VLOOKUP(O680,'Fee Data'!$C$6:$G$50,5,TRUE)+VLOOKUP(O680,'Fee Data'!$I$6:$J$14,2,TRUE)+'Fee Data'!$J$20+'Fee Data'!$J$21)*'Assumptions'!G37</x:f>
        <x:v>715</x:v>
      </x:c>
      <x:c r="R680" s="27" t="n">
        <x:f>P680*(1-'Assumptions'!$D$14)+Q680*'Assumptions'!$D$14</x:f>
        <x:v>790</x:v>
      </x:c>
      <x:c r="S680" s="27" t="n">
        <x:f>O680*'Carrier Engine'!E94</x:f>
        <x:v>139.2253517480108</x:v>
      </x:c>
      <x:c r="T680" s="28" t="n">
        <x:f>R680+S680</x:f>
        <x:v>929.2253517480108</x:v>
      </x:c>
      <x:c r="U680" s="27" t="n">
        <x:f>N680*'Fleet Engine'!I196</x:f>
        <x:v>1163.520974307379</x:v>
      </x:c>
      <x:c r="V680" s="28" t="n">
        <x:f>U680*T680</x:f>
        <x:v>1081173.1866169625</x:v>
      </x:c>
      <x:c r="W680" s="28" t="n">
        <x:f>U680*O680</x:f>
        <x:v>4049790.4228533274</x:v>
      </x:c>
    </x:row>
    <x:row r="681" ht="19" customHeight="1">
      <x:c r="A681" s="2"/>
      <x:c r="B681" s="2"/>
      <x:c r="C681" s="46" t="n">
        <x:v>3</x:v>
      </x:c>
      <x:c r="D681" s="46" t="n">
        <x:v>3</x:v>
      </x:c>
      <x:c r="E681" s="46" t="n">
        <x:v>0</x:v>
      </x:c>
      <x:c r="F681" s="46" t="n">
        <x:v>3</x:v>
      </x:c>
      <x:c r="G681" s="12" t="n">
        <x:v>0</x:v>
      </x:c>
      <x:c r="H681" s="12" t="n">
        <x:v>0.1111111111111111</x:v>
      </x:c>
      <x:c r="I681" s="29" t="n">
        <x:f>'Assumptions'!$D$11+'Assumptions'!$D$12*(0.5-(G681+H681)/2)</x:f>
        <x:v>0.3888888888888889</x:v>
      </x:c>
      <x:c r="J681" s="27" t="n">
        <x:f>'Assumptions'!$D$8*EXP(-'Assumptions'!$D$9*('Fleet Engine'!E197-10))*'Assumptions'!E55*'Assumptions'!G36</x:f>
        <x:v>12214.027581601698</x:v>
      </x:c>
      <x:c r="K681" s="27" t="n">
        <x:f>'Source Data'!F220+LN('Assumptions'!D55)+LN('Assumptions'!G35)</x:f>
        <x:v>8.062717438528928</x:v>
      </x:c>
      <x:c r="L681" s="27" t="n">
        <x:f>J681*(1-I681*(1-'Carrier Engine'!E94))</x:f>
        <x:v>7654.123951137065</x:v>
      </x:c>
      <x:c r="M681" s="29" t="n">
        <x:f>NORM.S.DIST((LN(L681)-K681)/'Assumptions'!$D$10,TRUE)</x:f>
        <x:v>0.7124702952152316</x:v>
      </x:c>
      <x:c r="N681" s="30" t="n">
        <x:f>MAX(0,H681-MAX(G681,M681))</x:f>
        <x:v>0</x:v>
      </x:c>
      <x:c r="O681" s="28" t="n">
        <x:f>J681*I681</x:f>
        <x:v>4749.899615067327</x:v>
      </x:c>
      <x:c r="P681" s="27" t="n">
        <x:f>(VLOOKUP(O681,'Fee Data'!$C$6:$G$50,2,TRUE)+O681*VLOOKUP(O681,'Fee Data'!$C$6:$G$50,3,TRUE)+VLOOKUP(O681,'Fee Data'!$I$6:$J$14,2,TRUE)+'Fee Data'!$J$20+'Fee Data'!$J$21)*'Assumptions'!G37</x:f>
        <x:v>970</x:v>
      </x:c>
      <x:c r="Q681" s="27" t="n">
        <x:f>(VLOOKUP(O681,'Fee Data'!$C$6:$G$50,4,TRUE)+O681*VLOOKUP(O681,'Fee Data'!$C$6:$G$50,5,TRUE)+VLOOKUP(O681,'Fee Data'!$I$6:$J$14,2,TRUE)+'Fee Data'!$J$20+'Fee Data'!$J$21)*'Assumptions'!G37</x:f>
        <x:v>845</x:v>
      </x:c>
      <x:c r="R681" s="27" t="n">
        <x:f>P681*(1-'Assumptions'!$D$14)+Q681*'Assumptions'!$D$14</x:f>
        <x:v>907.5</x:v>
      </x:c>
      <x:c r="S681" s="27" t="n">
        <x:f>O681*'Carrier Engine'!E94</x:f>
        <x:v>189.9959846026931</x:v>
      </x:c>
      <x:c r="T681" s="28" t="n">
        <x:f>R681+S681</x:f>
        <x:v>1097.4959846026932</x:v>
      </x:c>
      <x:c r="U681" s="27" t="n">
        <x:f>N681*'Fleet Engine'!I197</x:f>
        <x:v>0</x:v>
      </x:c>
      <x:c r="V681" s="28" t="n">
        <x:f>U681*T681</x:f>
        <x:v>0</x:v>
      </x:c>
      <x:c r="W681" s="28" t="n">
        <x:f>U681*O681</x:f>
        <x:v>0</x:v>
      </x:c>
    </x:row>
    <x:row r="682" ht="19" customHeight="1">
      <x:c r="A682" s="2"/>
      <x:c r="B682" s="2"/>
      <x:c r="C682" s="46" t="n">
        <x:v>3</x:v>
      </x:c>
      <x:c r="D682" s="46" t="n">
        <x:v>3</x:v>
      </x:c>
      <x:c r="E682" s="46" t="n">
        <x:v>0</x:v>
      </x:c>
      <x:c r="F682" s="46" t="n">
        <x:v>3</x:v>
      </x:c>
      <x:c r="G682" s="12" t="n">
        <x:v>0.1111111111111111</x:v>
      </x:c>
      <x:c r="H682" s="12" t="n">
        <x:v>0.2222222222222222</x:v>
      </x:c>
      <x:c r="I682" s="29" t="n">
        <x:f>'Assumptions'!$D$11+'Assumptions'!$D$12*(0.5-(G682+H682)/2)</x:f>
        <x:v>0.3666666666666667</x:v>
      </x:c>
      <x:c r="J682" s="27" t="n">
        <x:f>'Assumptions'!$D$8*EXP(-'Assumptions'!$D$9*('Fleet Engine'!E197-10))*'Assumptions'!E55*'Assumptions'!G36</x:f>
        <x:v>12214.027581601698</x:v>
      </x:c>
      <x:c r="K682" s="27" t="n">
        <x:f>'Source Data'!F220+LN('Assumptions'!D55)+LN('Assumptions'!G35)</x:f>
        <x:v>8.062717438528928</x:v>
      </x:c>
      <x:c r="L682" s="27" t="n">
        <x:f>J682*(1-I682*(1-'Carrier Engine'!E94))</x:f>
        <x:v>7914.6898728779</x:v>
      </x:c>
      <x:c r="M682" s="29" t="n">
        <x:f>NORM.S.DIST((LN(L682)-K682)/'Assumptions'!$D$10,TRUE)</x:f>
        <x:v>0.7196948864067317</x:v>
      </x:c>
      <x:c r="N682" s="30" t="n">
        <x:f>MAX(0,H682-MAX(G682,M682))</x:f>
        <x:v>0</x:v>
      </x:c>
      <x:c r="O682" s="28" t="n">
        <x:f>J682*I682</x:f>
        <x:v>4478.476779920623</x:v>
      </x:c>
      <x:c r="P682" s="27" t="n">
        <x:f>(VLOOKUP(O682,'Fee Data'!$C$6:$G$50,2,TRUE)+O682*VLOOKUP(O682,'Fee Data'!$C$6:$G$50,3,TRUE)+VLOOKUP(O682,'Fee Data'!$I$6:$J$14,2,TRUE)+'Fee Data'!$J$20+'Fee Data'!$J$21)*'Assumptions'!G37</x:f>
        <x:v>945</x:v>
      </x:c>
      <x:c r="Q682" s="27" t="n">
        <x:f>(VLOOKUP(O682,'Fee Data'!$C$6:$G$50,4,TRUE)+O682*VLOOKUP(O682,'Fee Data'!$C$6:$G$50,5,TRUE)+VLOOKUP(O682,'Fee Data'!$I$6:$J$14,2,TRUE)+'Fee Data'!$J$20+'Fee Data'!$J$21)*'Assumptions'!G37</x:f>
        <x:v>820</x:v>
      </x:c>
      <x:c r="R682" s="27" t="n">
        <x:f>P682*(1-'Assumptions'!$D$14)+Q682*'Assumptions'!$D$14</x:f>
        <x:v>882.5</x:v>
      </x:c>
      <x:c r="S682" s="27" t="n">
        <x:f>O682*'Carrier Engine'!E94</x:f>
        <x:v>179.13907119682491</x:v>
      </x:c>
      <x:c r="T682" s="28" t="n">
        <x:f>R682+S682</x:f>
        <x:v>1061.639071196825</x:v>
      </x:c>
      <x:c r="U682" s="27" t="n">
        <x:f>N682*'Fleet Engine'!I197</x:f>
        <x:v>0</x:v>
      </x:c>
      <x:c r="V682" s="28" t="n">
        <x:f>U682*T682</x:f>
        <x:v>0</x:v>
      </x:c>
      <x:c r="W682" s="28" t="n">
        <x:f>U682*O682</x:f>
        <x:v>0</x:v>
      </x:c>
    </x:row>
    <x:row r="683" ht="19" customHeight="1">
      <x:c r="A683" s="2"/>
      <x:c r="B683" s="2"/>
      <x:c r="C683" s="46" t="n">
        <x:v>3</x:v>
      </x:c>
      <x:c r="D683" s="46" t="n">
        <x:v>3</x:v>
      </x:c>
      <x:c r="E683" s="46" t="n">
        <x:v>0</x:v>
      </x:c>
      <x:c r="F683" s="46" t="n">
        <x:v>3</x:v>
      </x:c>
      <x:c r="G683" s="12" t="n">
        <x:v>0.2222222222222222</x:v>
      </x:c>
      <x:c r="H683" s="12" t="n">
        <x:v>0.3333333333333333</x:v>
      </x:c>
      <x:c r="I683" s="29" t="n">
        <x:f>'Assumptions'!$D$11+'Assumptions'!$D$12*(0.5-(G683+H683)/2)</x:f>
        <x:v>0.34444444444444444</x:v>
      </x:c>
      <x:c r="J683" s="27" t="n">
        <x:f>'Assumptions'!$D$8*EXP(-'Assumptions'!$D$9*('Fleet Engine'!E197-10))*'Assumptions'!E55*'Assumptions'!G36</x:f>
        <x:v>12214.027581601698</x:v>
      </x:c>
      <x:c r="K683" s="27" t="n">
        <x:f>'Source Data'!F220+LN('Assumptions'!D55)+LN('Assumptions'!G35)</x:f>
        <x:v>8.062717438528928</x:v>
      </x:c>
      <x:c r="L683" s="27" t="n">
        <x:f>J683*(1-I683*(1-'Carrier Engine'!E94))</x:f>
        <x:v>8175.255794618737</x:v>
      </x:c>
      <x:c r="M683" s="29" t="n">
        <x:f>NORM.S.DIST((LN(L683)-K683)/'Assumptions'!$D$10,TRUE)</x:f>
        <x:v>0.7266006694983298</x:v>
      </x:c>
      <x:c r="N683" s="30" t="n">
        <x:f>MAX(0,H683-MAX(G683,M683))</x:f>
        <x:v>0</x:v>
      </x:c>
      <x:c r="O683" s="28" t="n">
        <x:f>J683*I683</x:f>
        <x:v>4207.053944773918</x:v>
      </x:c>
      <x:c r="P683" s="27" t="n">
        <x:f>(VLOOKUP(O683,'Fee Data'!$C$6:$G$50,2,TRUE)+O683*VLOOKUP(O683,'Fee Data'!$C$6:$G$50,3,TRUE)+VLOOKUP(O683,'Fee Data'!$I$6:$J$14,2,TRUE)+'Fee Data'!$J$20+'Fee Data'!$J$21)*'Assumptions'!G37</x:f>
        <x:v>945</x:v>
      </x:c>
      <x:c r="Q683" s="27" t="n">
        <x:f>(VLOOKUP(O683,'Fee Data'!$C$6:$G$50,4,TRUE)+O683*VLOOKUP(O683,'Fee Data'!$C$6:$G$50,5,TRUE)+VLOOKUP(O683,'Fee Data'!$I$6:$J$14,2,TRUE)+'Fee Data'!$J$20+'Fee Data'!$J$21)*'Assumptions'!G37</x:f>
        <x:v>820</x:v>
      </x:c>
      <x:c r="R683" s="27" t="n">
        <x:f>P683*(1-'Assumptions'!$D$14)+Q683*'Assumptions'!$D$14</x:f>
        <x:v>882.5</x:v>
      </x:c>
      <x:c r="S683" s="27" t="n">
        <x:f>O683*'Carrier Engine'!E94</x:f>
        <x:v>168.28215779095675</x:v>
      </x:c>
      <x:c r="T683" s="28" t="n">
        <x:f>R683+S683</x:f>
        <x:v>1050.7821577909567</x:v>
      </x:c>
      <x:c r="U683" s="27" t="n">
        <x:f>N683*'Fleet Engine'!I197</x:f>
        <x:v>0</x:v>
      </x:c>
      <x:c r="V683" s="28" t="n">
        <x:f>U683*T683</x:f>
        <x:v>0</x:v>
      </x:c>
      <x:c r="W683" s="28" t="n">
        <x:f>U683*O683</x:f>
        <x:v>0</x:v>
      </x:c>
    </x:row>
    <x:row r="684" ht="19" customHeight="1">
      <x:c r="A684" s="2"/>
      <x:c r="B684" s="2"/>
      <x:c r="C684" s="46" t="n">
        <x:v>3</x:v>
      </x:c>
      <x:c r="D684" s="46" t="n">
        <x:v>3</x:v>
      </x:c>
      <x:c r="E684" s="46" t="n">
        <x:v>0</x:v>
      </x:c>
      <x:c r="F684" s="46" t="n">
        <x:v>3</x:v>
      </x:c>
      <x:c r="G684" s="12" t="n">
        <x:v>0.3333333333333333</x:v>
      </x:c>
      <x:c r="H684" s="12" t="n">
        <x:v>0.4444444444444444</x:v>
      </x:c>
      <x:c r="I684" s="29" t="n">
        <x:f>'Assumptions'!$D$11+'Assumptions'!$D$12*(0.5-(G684+H684)/2)</x:f>
        <x:v>0.32222222222222224</x:v>
      </x:c>
      <x:c r="J684" s="27" t="n">
        <x:f>'Assumptions'!$D$8*EXP(-'Assumptions'!$D$9*('Fleet Engine'!E197-10))*'Assumptions'!E55*'Assumptions'!G36</x:f>
        <x:v>12214.027581601698</x:v>
      </x:c>
      <x:c r="K684" s="27" t="n">
        <x:f>'Source Data'!F220+LN('Assumptions'!D55)+LN('Assumptions'!G35)</x:f>
        <x:v>8.062717438528928</x:v>
      </x:c>
      <x:c r="L684" s="27" t="n">
        <x:f>J684*(1-I684*(1-'Carrier Engine'!E94))</x:f>
        <x:v>8435.821716359573</x:v>
      </x:c>
      <x:c r="M684" s="29" t="n">
        <x:f>NORM.S.DIST((LN(L684)-K684)/'Assumptions'!$D$10,TRUE)</x:f>
        <x:v>0.7332084499624358</x:v>
      </x:c>
      <x:c r="N684" s="30" t="n">
        <x:f>MAX(0,H684-MAX(G684,M684))</x:f>
        <x:v>0</x:v>
      </x:c>
      <x:c r="O684" s="28" t="n">
        <x:f>J684*I684</x:f>
        <x:v>3935.6311096272143</x:v>
      </x:c>
      <x:c r="P684" s="27" t="n">
        <x:f>(VLOOKUP(O684,'Fee Data'!$C$6:$G$50,2,TRUE)+O684*VLOOKUP(O684,'Fee Data'!$C$6:$G$50,3,TRUE)+VLOOKUP(O684,'Fee Data'!$I$6:$J$14,2,TRUE)+'Fee Data'!$J$20+'Fee Data'!$J$21)*'Assumptions'!G37</x:f>
        <x:v>915</x:v>
      </x:c>
      <x:c r="Q684" s="27" t="n">
        <x:f>(VLOOKUP(O684,'Fee Data'!$C$6:$G$50,4,TRUE)+O684*VLOOKUP(O684,'Fee Data'!$C$6:$G$50,5,TRUE)+VLOOKUP(O684,'Fee Data'!$I$6:$J$14,2,TRUE)+'Fee Data'!$J$20+'Fee Data'!$J$21)*'Assumptions'!G37</x:f>
        <x:v>765</x:v>
      </x:c>
      <x:c r="R684" s="27" t="n">
        <x:f>P684*(1-'Assumptions'!$D$14)+Q684*'Assumptions'!$D$14</x:f>
        <x:v>840</x:v>
      </x:c>
      <x:c r="S684" s="27" t="n">
        <x:f>O684*'Carrier Engine'!E94</x:f>
        <x:v>157.42524438508858</x:v>
      </x:c>
      <x:c r="T684" s="28" t="n">
        <x:f>R684+S684</x:f>
        <x:v>997.4252443850886</x:v>
      </x:c>
      <x:c r="U684" s="27" t="n">
        <x:f>N684*'Fleet Engine'!I197</x:f>
        <x:v>0</x:v>
      </x:c>
      <x:c r="V684" s="28" t="n">
        <x:f>U684*T684</x:f>
        <x:v>0</x:v>
      </x:c>
      <x:c r="W684" s="28" t="n">
        <x:f>U684*O684</x:f>
        <x:v>0</x:v>
      </x:c>
    </x:row>
    <x:row r="685" ht="19" customHeight="1">
      <x:c r="A685" s="2"/>
      <x:c r="B685" s="2"/>
      <x:c r="C685" s="46" t="n">
        <x:v>3</x:v>
      </x:c>
      <x:c r="D685" s="46" t="n">
        <x:v>3</x:v>
      </x:c>
      <x:c r="E685" s="46" t="n">
        <x:v>0</x:v>
      </x:c>
      <x:c r="F685" s="46" t="n">
        <x:v>3</x:v>
      </x:c>
      <x:c r="G685" s="12" t="n">
        <x:v>0.4444444444444444</x:v>
      </x:c>
      <x:c r="H685" s="12" t="n">
        <x:v>0.5555555555555556</x:v>
      </x:c>
      <x:c r="I685" s="29" t="n">
        <x:f>'Assumptions'!$D$11+'Assumptions'!$D$12*(0.5-(G685+H685)/2)</x:f>
        <x:v>0.3</x:v>
      </x:c>
      <x:c r="J685" s="27" t="n">
        <x:f>'Assumptions'!$D$8*EXP(-'Assumptions'!$D$9*('Fleet Engine'!E197-10))*'Assumptions'!E55*'Assumptions'!G36</x:f>
        <x:v>12214.027581601698</x:v>
      </x:c>
      <x:c r="K685" s="27" t="n">
        <x:f>'Source Data'!F220+LN('Assumptions'!D55)+LN('Assumptions'!G35)</x:f>
        <x:v>8.062717438528928</x:v>
      </x:c>
      <x:c r="L685" s="27" t="n">
        <x:f>J685*(1-I685*(1-'Carrier Engine'!E94))</x:f>
        <x:v>8696.387638100408</x:v>
      </x:c>
      <x:c r="M685" s="29" t="n">
        <x:f>NORM.S.DIST((LN(L685)-K685)/'Assumptions'!$D$10,TRUE)</x:f>
        <x:v>0.7395372219077186</x:v>
      </x:c>
      <x:c r="N685" s="30" t="n">
        <x:f>MAX(0,H685-MAX(G685,M685))</x:f>
        <x:v>0</x:v>
      </x:c>
      <x:c r="O685" s="28" t="n">
        <x:f>J685*I685</x:f>
        <x:v>3664.2082744805093</x:v>
      </x:c>
      <x:c r="P685" s="27" t="n">
        <x:f>(VLOOKUP(O685,'Fee Data'!$C$6:$G$50,2,TRUE)+O685*VLOOKUP(O685,'Fee Data'!$C$6:$G$50,3,TRUE)+VLOOKUP(O685,'Fee Data'!$I$6:$J$14,2,TRUE)+'Fee Data'!$J$20+'Fee Data'!$J$21)*'Assumptions'!G37</x:f>
        <x:v>915</x:v>
      </x:c>
      <x:c r="Q685" s="27" t="n">
        <x:f>(VLOOKUP(O685,'Fee Data'!$C$6:$G$50,4,TRUE)+O685*VLOOKUP(O685,'Fee Data'!$C$6:$G$50,5,TRUE)+VLOOKUP(O685,'Fee Data'!$I$6:$J$14,2,TRUE)+'Fee Data'!$J$20+'Fee Data'!$J$21)*'Assumptions'!G37</x:f>
        <x:v>765</x:v>
      </x:c>
      <x:c r="R685" s="27" t="n">
        <x:f>P685*(1-'Assumptions'!$D$14)+Q685*'Assumptions'!$D$14</x:f>
        <x:v>840</x:v>
      </x:c>
      <x:c r="S685" s="27" t="n">
        <x:f>O685*'Carrier Engine'!E94</x:f>
        <x:v>146.56833097922038</x:v>
      </x:c>
      <x:c r="T685" s="28" t="n">
        <x:f>R685+S685</x:f>
        <x:v>986.5683309792204</x:v>
      </x:c>
      <x:c r="U685" s="27" t="n">
        <x:f>N685*'Fleet Engine'!I197</x:f>
        <x:v>0</x:v>
      </x:c>
      <x:c r="V685" s="28" t="n">
        <x:f>U685*T685</x:f>
        <x:v>0</x:v>
      </x:c>
      <x:c r="W685" s="28" t="n">
        <x:f>U685*O685</x:f>
        <x:v>0</x:v>
      </x:c>
    </x:row>
    <x:row r="686" ht="19" customHeight="1">
      <x:c r="A686" s="2"/>
      <x:c r="B686" s="2"/>
      <x:c r="C686" s="46" t="n">
        <x:v>3</x:v>
      </x:c>
      <x:c r="D686" s="46" t="n">
        <x:v>3</x:v>
      </x:c>
      <x:c r="E686" s="46" t="n">
        <x:v>0</x:v>
      </x:c>
      <x:c r="F686" s="46" t="n">
        <x:v>3</x:v>
      </x:c>
      <x:c r="G686" s="12" t="n">
        <x:v>0.5555555555555556</x:v>
      </x:c>
      <x:c r="H686" s="12" t="n">
        <x:v>0.6666666666666666</x:v>
      </x:c>
      <x:c r="I686" s="29" t="n">
        <x:f>'Assumptions'!$D$11+'Assumptions'!$D$12*(0.5-(G686+H686)/2)</x:f>
        <x:v>0.27777777777777773</x:v>
      </x:c>
      <x:c r="J686" s="27" t="n">
        <x:f>'Assumptions'!$D$8*EXP(-'Assumptions'!$D$9*('Fleet Engine'!E197-10))*'Assumptions'!E55*'Assumptions'!G36</x:f>
        <x:v>12214.027581601698</x:v>
      </x:c>
      <x:c r="K686" s="27" t="n">
        <x:f>'Source Data'!F220+LN('Assumptions'!D55)+LN('Assumptions'!G35)</x:f>
        <x:v>8.062717438528928</x:v>
      </x:c>
      <x:c r="L686" s="27" t="n">
        <x:f>J686*(1-I686*(1-'Carrier Engine'!E94))</x:f>
        <x:v>8956.953559841246</x:v>
      </x:c>
      <x:c r="M686" s="29" t="n">
        <x:f>NORM.S.DIST((LN(L686)-K686)/'Assumptions'!$D$10,TRUE)</x:f>
        <x:v>0.7456043651066011</x:v>
      </x:c>
      <x:c r="N686" s="30" t="n">
        <x:f>MAX(0,H686-MAX(G686,M686))</x:f>
        <x:v>0</x:v>
      </x:c>
      <x:c r="O686" s="28" t="n">
        <x:f>J686*I686</x:f>
        <x:v>3392.785439333805</x:v>
      </x:c>
      <x:c r="P686" s="27" t="n">
        <x:f>(VLOOKUP(O686,'Fee Data'!$C$6:$G$50,2,TRUE)+O686*VLOOKUP(O686,'Fee Data'!$C$6:$G$50,3,TRUE)+VLOOKUP(O686,'Fee Data'!$I$6:$J$14,2,TRUE)+'Fee Data'!$J$20+'Fee Data'!$J$21)*'Assumptions'!G37</x:f>
        <x:v>865</x:v>
      </x:c>
      <x:c r="Q686" s="27" t="n">
        <x:f>(VLOOKUP(O686,'Fee Data'!$C$6:$G$50,4,TRUE)+O686*VLOOKUP(O686,'Fee Data'!$C$6:$G$50,5,TRUE)+VLOOKUP(O686,'Fee Data'!$I$6:$J$14,2,TRUE)+'Fee Data'!$J$20+'Fee Data'!$J$21)*'Assumptions'!G37</x:f>
        <x:v>715</x:v>
      </x:c>
      <x:c r="R686" s="27" t="n">
        <x:f>P686*(1-'Assumptions'!$D$14)+Q686*'Assumptions'!$D$14</x:f>
        <x:v>790</x:v>
      </x:c>
      <x:c r="S686" s="27" t="n">
        <x:f>O686*'Carrier Engine'!E94</x:f>
        <x:v>135.7114175733522</x:v>
      </x:c>
      <x:c r="T686" s="28" t="n">
        <x:f>R686+S686</x:f>
        <x:v>925.7114175733523</x:v>
      </x:c>
      <x:c r="U686" s="27" t="n">
        <x:f>N686*'Fleet Engine'!I197</x:f>
        <x:v>0</x:v>
      </x:c>
      <x:c r="V686" s="28" t="n">
        <x:f>U686*T686</x:f>
        <x:v>0</x:v>
      </x:c>
      <x:c r="W686" s="28" t="n">
        <x:f>U686*O686</x:f>
        <x:v>0</x:v>
      </x:c>
    </x:row>
    <x:row r="687" ht="19" customHeight="1">
      <x:c r="A687" s="2"/>
      <x:c r="B687" s="2"/>
      <x:c r="C687" s="46" t="n">
        <x:v>3</x:v>
      </x:c>
      <x:c r="D687" s="46" t="n">
        <x:v>3</x:v>
      </x:c>
      <x:c r="E687" s="46" t="n">
        <x:v>0</x:v>
      </x:c>
      <x:c r="F687" s="46" t="n">
        <x:v>3</x:v>
      </x:c>
      <x:c r="G687" s="12" t="n">
        <x:v>0.6666666666666666</x:v>
      </x:c>
      <x:c r="H687" s="12" t="n">
        <x:v>0.7777777777777778</x:v>
      </x:c>
      <x:c r="I687" s="29" t="n">
        <x:f>'Assumptions'!$D$11+'Assumptions'!$D$12*(0.5-(G687+H687)/2)</x:f>
        <x:v>0.25555555555555554</x:v>
      </x:c>
      <x:c r="J687" s="27" t="n">
        <x:f>'Assumptions'!$D$8*EXP(-'Assumptions'!$D$9*('Fleet Engine'!E197-10))*'Assumptions'!E55*'Assumptions'!G36</x:f>
        <x:v>12214.027581601698</x:v>
      </x:c>
      <x:c r="K687" s="27" t="n">
        <x:f>'Source Data'!F220+LN('Assumptions'!D55)+LN('Assumptions'!G35)</x:f>
        <x:v>8.062717438528928</x:v>
      </x:c>
      <x:c r="L687" s="27" t="n">
        <x:f>J687*(1-I687*(1-'Carrier Engine'!E94))</x:f>
        <x:v>9217.519481582081</x:v>
      </x:c>
      <x:c r="M687" s="29" t="n">
        <x:f>NORM.S.DIST((LN(L687)-K687)/'Assumptions'!$D$10,TRUE)</x:f>
        <x:v>0.7514258164078012</x:v>
      </x:c>
      <x:c r="N687" s="30" t="n">
        <x:f>MAX(0,H687-MAX(G687,M687))</x:f>
        <x:v>0.02635196136997664</x:v>
      </x:c>
      <x:c r="O687" s="28" t="n">
        <x:f>J687*I687</x:f>
        <x:v>3121.3626041871003</x:v>
      </x:c>
      <x:c r="P687" s="27" t="n">
        <x:f>(VLOOKUP(O687,'Fee Data'!$C$6:$G$50,2,TRUE)+O687*VLOOKUP(O687,'Fee Data'!$C$6:$G$50,3,TRUE)+VLOOKUP(O687,'Fee Data'!$I$6:$J$14,2,TRUE)+'Fee Data'!$J$20+'Fee Data'!$J$21)*'Assumptions'!G37</x:f>
        <x:v>865</x:v>
      </x:c>
      <x:c r="Q687" s="27" t="n">
        <x:f>(VLOOKUP(O687,'Fee Data'!$C$6:$G$50,4,TRUE)+O687*VLOOKUP(O687,'Fee Data'!$C$6:$G$50,5,TRUE)+VLOOKUP(O687,'Fee Data'!$I$6:$J$14,2,TRUE)+'Fee Data'!$J$20+'Fee Data'!$J$21)*'Assumptions'!G37</x:f>
        <x:v>715</x:v>
      </x:c>
      <x:c r="R687" s="27" t="n">
        <x:f>P687*(1-'Assumptions'!$D$14)+Q687*'Assumptions'!$D$14</x:f>
        <x:v>790</x:v>
      </x:c>
      <x:c r="S687" s="27" t="n">
        <x:f>O687*'Carrier Engine'!E94</x:f>
        <x:v>124.85450416748401</x:v>
      </x:c>
      <x:c r="T687" s="28" t="n">
        <x:f>R687+S687</x:f>
        <x:v>914.854504167484</x:v>
      </x:c>
      <x:c r="U687" s="27" t="n">
        <x:f>N687*'Fleet Engine'!I197</x:f>
        <x:v>361.0372264889338</x:v>
      </x:c>
      <x:c r="V687" s="28" t="n">
        <x:f>U687*T687</x:f>
        <x:v>330296.5328255372</x:v>
      </x:c>
      <x:c r="W687" s="28" t="n">
        <x:f>U687*O687</x:f>
        <x:v>1126928.0974819863</x:v>
      </x:c>
    </x:row>
    <x:row r="688" ht="19" customHeight="1">
      <x:c r="A688" s="2"/>
      <x:c r="B688" s="2"/>
      <x:c r="C688" s="46" t="n">
        <x:v>3</x:v>
      </x:c>
      <x:c r="D688" s="46" t="n">
        <x:v>3</x:v>
      </x:c>
      <x:c r="E688" s="46" t="n">
        <x:v>0</x:v>
      </x:c>
      <x:c r="F688" s="46" t="n">
        <x:v>3</x:v>
      </x:c>
      <x:c r="G688" s="12" t="n">
        <x:v>0.7777777777777778</x:v>
      </x:c>
      <x:c r="H688" s="12" t="n">
        <x:v>0.8888888888888888</x:v>
      </x:c>
      <x:c r="I688" s="29" t="n">
        <x:f>'Assumptions'!$D$11+'Assumptions'!$D$12*(0.5-(G688+H688)/2)</x:f>
        <x:v>0.23333333333333334</x:v>
      </x:c>
      <x:c r="J688" s="27" t="n">
        <x:f>'Assumptions'!$D$8*EXP(-'Assumptions'!$D$9*('Fleet Engine'!E197-10))*'Assumptions'!E55*'Assumptions'!G36</x:f>
        <x:v>12214.027581601698</x:v>
      </x:c>
      <x:c r="K688" s="27" t="n">
        <x:f>'Source Data'!F220+LN('Assumptions'!D55)+LN('Assumptions'!G35)</x:f>
        <x:v>8.062717438528928</x:v>
      </x:c>
      <x:c r="L688" s="27" t="n">
        <x:f>J688*(1-I688*(1-'Carrier Engine'!E94))</x:f>
        <x:v>9478.085403322919</x:v>
      </x:c>
      <x:c r="M688" s="29" t="n">
        <x:f>NORM.S.DIST((LN(L688)-K688)/'Assumptions'!$D$10,TRUE)</x:f>
        <x:v>0.7570162193907342</x:v>
      </x:c>
      <x:c r="N688" s="30" t="n">
        <x:f>MAX(0,H688-MAX(G688,M688))</x:f>
        <x:v>0.11111111111111105</x:v>
      </x:c>
      <x:c r="O688" s="28" t="n">
        <x:f>J688*I688</x:f>
        <x:v>2849.939769040396</x:v>
      </x:c>
      <x:c r="P688" s="27" t="n">
        <x:f>(VLOOKUP(O688,'Fee Data'!$C$6:$G$50,2,TRUE)+O688*VLOOKUP(O688,'Fee Data'!$C$6:$G$50,3,TRUE)+VLOOKUP(O688,'Fee Data'!$I$6:$J$14,2,TRUE)+'Fee Data'!$J$20+'Fee Data'!$J$21)*'Assumptions'!G37</x:f>
        <x:v>820</x:v>
      </x:c>
      <x:c r="Q688" s="27" t="n">
        <x:f>(VLOOKUP(O688,'Fee Data'!$C$6:$G$50,4,TRUE)+O688*VLOOKUP(O688,'Fee Data'!$C$6:$G$50,5,TRUE)+VLOOKUP(O688,'Fee Data'!$I$6:$J$14,2,TRUE)+'Fee Data'!$J$20+'Fee Data'!$J$21)*'Assumptions'!G37</x:f>
        <x:v>670</x:v>
      </x:c>
      <x:c r="R688" s="27" t="n">
        <x:f>P688*(1-'Assumptions'!$D$14)+Q688*'Assumptions'!$D$14</x:f>
        <x:v>745</x:v>
      </x:c>
      <x:c r="S688" s="27" t="n">
        <x:f>O688*'Carrier Engine'!E94</x:f>
        <x:v>113.99759076161585</x:v>
      </x:c>
      <x:c r="T688" s="28" t="n">
        <x:f>R688+S688</x:f>
        <x:v>858.9975907616158</x:v>
      </x:c>
      <x:c r="U688" s="27" t="n">
        <x:f>N688*'Fleet Engine'!I197</x:f>
        <x:v>1522.286968489695</x:v>
      </x:c>
      <x:c r="V688" s="28" t="n">
        <x:f>U688*T688</x:f>
        <x:v>1307640.8383804518</x:v>
      </x:c>
      <x:c r="W688" s="28" t="n">
        <x:f>U688*O688</x:f>
        <x:v>4338426.171390726</x:v>
      </x:c>
    </x:row>
    <x:row r="689" ht="19" customHeight="1">
      <x:c r="A689" s="2"/>
      <x:c r="B689" s="2"/>
      <x:c r="C689" s="46" t="n">
        <x:v>3</x:v>
      </x:c>
      <x:c r="D689" s="46" t="n">
        <x:v>3</x:v>
      </x:c>
      <x:c r="E689" s="46" t="n">
        <x:v>0</x:v>
      </x:c>
      <x:c r="F689" s="46" t="n">
        <x:v>3</x:v>
      </x:c>
      <x:c r="G689" s="12" t="n">
        <x:v>0.8888888888888888</x:v>
      </x:c>
      <x:c r="H689" s="12" t="n">
        <x:v>1</x:v>
      </x:c>
      <x:c r="I689" s="29" t="n">
        <x:f>'Assumptions'!$D$11+'Assumptions'!$D$12*(0.5-(G689+H689)/2)</x:f>
        <x:v>0.21111111111111108</x:v>
      </x:c>
      <x:c r="J689" s="27" t="n">
        <x:f>'Assumptions'!$D$8*EXP(-'Assumptions'!$D$9*('Fleet Engine'!E197-10))*'Assumptions'!E55*'Assumptions'!G36</x:f>
        <x:v>12214.027581601698</x:v>
      </x:c>
      <x:c r="K689" s="27" t="n">
        <x:f>'Source Data'!F220+LN('Assumptions'!D55)+LN('Assumptions'!G35)</x:f>
        <x:v>8.062717438528928</x:v>
      </x:c>
      <x:c r="L689" s="27" t="n">
        <x:f>J689*(1-I689*(1-'Carrier Engine'!E94))</x:f>
        <x:v>9738.651325063754</x:v>
      </x:c>
      <x:c r="M689" s="29" t="n">
        <x:f>NORM.S.DIST((LN(L689)-K689)/'Assumptions'!$D$10,TRUE)</x:f>
        <x:v>0.76238905546153</x:v>
      </x:c>
      <x:c r="N689" s="30" t="n">
        <x:f>MAX(0,H689-MAX(G689,M689))</x:f>
        <x:v>0.11111111111111116</x:v>
      </x:c>
      <x:c r="O689" s="28" t="n">
        <x:f>J689*I689</x:f>
        <x:v>2578.5169338936917</x:v>
      </x:c>
      <x:c r="P689" s="27" t="n">
        <x:f>(VLOOKUP(O689,'Fee Data'!$C$6:$G$50,2,TRUE)+O689*VLOOKUP(O689,'Fee Data'!$C$6:$G$50,3,TRUE)+VLOOKUP(O689,'Fee Data'!$I$6:$J$14,2,TRUE)+'Fee Data'!$J$20+'Fee Data'!$J$21)*'Assumptions'!G37</x:f>
        <x:v>820</x:v>
      </x:c>
      <x:c r="Q689" s="27" t="n">
        <x:f>(VLOOKUP(O689,'Fee Data'!$C$6:$G$50,4,TRUE)+O689*VLOOKUP(O689,'Fee Data'!$C$6:$G$50,5,TRUE)+VLOOKUP(O689,'Fee Data'!$I$6:$J$14,2,TRUE)+'Fee Data'!$J$20+'Fee Data'!$J$21)*'Assumptions'!G37</x:f>
        <x:v>670</x:v>
      </x:c>
      <x:c r="R689" s="27" t="n">
        <x:f>P689*(1-'Assumptions'!$D$14)+Q689*'Assumptions'!$D$14</x:f>
        <x:v>745</x:v>
      </x:c>
      <x:c r="S689" s="27" t="n">
        <x:f>O689*'Carrier Engine'!E94</x:f>
        <x:v>103.14067735574767</x:v>
      </x:c>
      <x:c r="T689" s="28" t="n">
        <x:f>R689+S689</x:f>
        <x:v>848.1406773557477</x:v>
      </x:c>
      <x:c r="U689" s="27" t="n">
        <x:f>N689*'Fleet Engine'!I197</x:f>
        <x:v>1522.2869684896966</x:v>
      </x:c>
      <x:c r="V689" s="28" t="n">
        <x:f>U689*T689</x:f>
        <x:v>1291113.500584679</x:v>
      </x:c>
      <x:c r="W689" s="28" t="n">
        <x:f>U689*O689</x:f>
        <x:v>3925242.726496375</x:v>
      </x:c>
    </x:row>
    <x:row r="690" ht="19" customHeight="1">
      <x:c r="A690" s="2"/>
      <x:c r="B690" s="2"/>
      <x:c r="C690" s="46" t="n">
        <x:v>3</x:v>
      </x:c>
      <x:c r="D690" s="46" t="n">
        <x:v>4</x:v>
      </x:c>
      <x:c r="E690" s="46" t="n">
        <x:v>0</x:v>
      </x:c>
      <x:c r="F690" s="46" t="n">
        <x:v>4</x:v>
      </x:c>
      <x:c r="G690" s="12" t="n">
        <x:v>0</x:v>
      </x:c>
      <x:c r="H690" s="12" t="n">
        <x:v>0.1111111111111111</x:v>
      </x:c>
      <x:c r="I690" s="29" t="n">
        <x:f>'Assumptions'!$D$11+'Assumptions'!$D$12*(0.5-(G690+H690)/2)</x:f>
        <x:v>0.3888888888888889</x:v>
      </x:c>
      <x:c r="J690" s="27" t="n">
        <x:f>'Assumptions'!$D$8*EXP(-'Assumptions'!$D$9*('Fleet Engine'!E198-10))*'Assumptions'!E55*'Assumptions'!G36</x:f>
        <x:v>9048.374180359595</x:v>
      </x:c>
      <x:c r="K690" s="27" t="n">
        <x:f>'Source Data'!F221+LN('Assumptions'!D55)+LN('Assumptions'!G35)</x:f>
        <x:v>8.14856556744418</x:v>
      </x:c>
      <x:c r="L690" s="27" t="n">
        <x:f>J690*(1-I690*(1-'Carrier Engine'!E94))</x:f>
        <x:v>5670.3144863586795</x:v>
      </x:c>
      <x:c r="M690" s="29" t="n">
        <x:f>NORM.S.DIST((LN(L690)-K690)/'Assumptions'!$D$10,TRUE)</x:f>
        <x:v>0.6235755127669419</x:v>
      </x:c>
      <x:c r="N690" s="30" t="n">
        <x:f>MAX(0,H690-MAX(G690,M690))</x:f>
        <x:v>0</x:v>
      </x:c>
      <x:c r="O690" s="28" t="n">
        <x:f>J690*I690</x:f>
        <x:v>3518.8121812509535</x:v>
      </x:c>
      <x:c r="P690" s="27" t="n">
        <x:f>(VLOOKUP(O690,'Fee Data'!$C$6:$G$50,2,TRUE)+O690*VLOOKUP(O690,'Fee Data'!$C$6:$G$50,3,TRUE)+VLOOKUP(O690,'Fee Data'!$I$6:$J$14,2,TRUE)+'Fee Data'!$J$20+'Fee Data'!$J$21)*'Assumptions'!G37</x:f>
        <x:v>915</x:v>
      </x:c>
      <x:c r="Q690" s="27" t="n">
        <x:f>(VLOOKUP(O690,'Fee Data'!$C$6:$G$50,4,TRUE)+O690*VLOOKUP(O690,'Fee Data'!$C$6:$G$50,5,TRUE)+VLOOKUP(O690,'Fee Data'!$I$6:$J$14,2,TRUE)+'Fee Data'!$J$20+'Fee Data'!$J$21)*'Assumptions'!G37</x:f>
        <x:v>765</x:v>
      </x:c>
      <x:c r="R690" s="27" t="n">
        <x:f>P690*(1-'Assumptions'!$D$14)+Q690*'Assumptions'!$D$14</x:f>
        <x:v>840</x:v>
      </x:c>
      <x:c r="S690" s="27" t="n">
        <x:f>O690*'Carrier Engine'!E94</x:f>
        <x:v>140.75248725003814</x:v>
      </x:c>
      <x:c r="T690" s="28" t="n">
        <x:f>R690+S690</x:f>
        <x:v>980.7524872500381</x:v>
      </x:c>
      <x:c r="U690" s="27" t="n">
        <x:f>N690*'Fleet Engine'!I198</x:f>
        <x:v>0</x:v>
      </x:c>
      <x:c r="V690" s="28" t="n">
        <x:f>U690*T690</x:f>
        <x:v>0</x:v>
      </x:c>
      <x:c r="W690" s="28" t="n">
        <x:f>U690*O690</x:f>
        <x:v>0</x:v>
      </x:c>
    </x:row>
    <x:row r="691" ht="19" customHeight="1">
      <x:c r="A691" s="2"/>
      <x:c r="B691" s="2"/>
      <x:c r="C691" s="46" t="n">
        <x:v>3</x:v>
      </x:c>
      <x:c r="D691" s="46" t="n">
        <x:v>4</x:v>
      </x:c>
      <x:c r="E691" s="46" t="n">
        <x:v>0</x:v>
      </x:c>
      <x:c r="F691" s="46" t="n">
        <x:v>4</x:v>
      </x:c>
      <x:c r="G691" s="12" t="n">
        <x:v>0.1111111111111111</x:v>
      </x:c>
      <x:c r="H691" s="12" t="n">
        <x:v>0.2222222222222222</x:v>
      </x:c>
      <x:c r="I691" s="29" t="n">
        <x:f>'Assumptions'!$D$11+'Assumptions'!$D$12*(0.5-(G691+H691)/2)</x:f>
        <x:v>0.3666666666666667</x:v>
      </x:c>
      <x:c r="J691" s="27" t="n">
        <x:f>'Assumptions'!$D$8*EXP(-'Assumptions'!$D$9*('Fleet Engine'!E198-10))*'Assumptions'!E55*'Assumptions'!G36</x:f>
        <x:v>9048.374180359595</x:v>
      </x:c>
      <x:c r="K691" s="27" t="n">
        <x:f>'Source Data'!F221+LN('Assumptions'!D55)+LN('Assumptions'!G35)</x:f>
        <x:v>8.14856556744418</x:v>
      </x:c>
      <x:c r="L691" s="27" t="n">
        <x:f>J691*(1-I691*(1-'Carrier Engine'!E94))</x:f>
        <x:v>5863.346468873016</x:v>
      </x:c>
      <x:c r="M691" s="29" t="n">
        <x:f>NORM.S.DIST((LN(L691)-K691)/'Assumptions'!$D$10,TRUE)</x:f>
        <x:v>0.6316416500338942</x:v>
      </x:c>
      <x:c r="N691" s="30" t="n">
        <x:f>MAX(0,H691-MAX(G691,M691))</x:f>
        <x:v>0</x:v>
      </x:c>
      <x:c r="O691" s="28" t="n">
        <x:f>J691*I691</x:f>
        <x:v>3317.737199465185</x:v>
      </x:c>
      <x:c r="P691" s="27" t="n">
        <x:f>(VLOOKUP(O691,'Fee Data'!$C$6:$G$50,2,TRUE)+O691*VLOOKUP(O691,'Fee Data'!$C$6:$G$50,3,TRUE)+VLOOKUP(O691,'Fee Data'!$I$6:$J$14,2,TRUE)+'Fee Data'!$J$20+'Fee Data'!$J$21)*'Assumptions'!G37</x:f>
        <x:v>865</x:v>
      </x:c>
      <x:c r="Q691" s="27" t="n">
        <x:f>(VLOOKUP(O691,'Fee Data'!$C$6:$G$50,4,TRUE)+O691*VLOOKUP(O691,'Fee Data'!$C$6:$G$50,5,TRUE)+VLOOKUP(O691,'Fee Data'!$I$6:$J$14,2,TRUE)+'Fee Data'!$J$20+'Fee Data'!$J$21)*'Assumptions'!G37</x:f>
        <x:v>715</x:v>
      </x:c>
      <x:c r="R691" s="27" t="n">
        <x:f>P691*(1-'Assumptions'!$D$14)+Q691*'Assumptions'!$D$14</x:f>
        <x:v>790</x:v>
      </x:c>
      <x:c r="S691" s="27" t="n">
        <x:f>O691*'Carrier Engine'!E94</x:f>
        <x:v>132.7094879786074</x:v>
      </x:c>
      <x:c r="T691" s="28" t="n">
        <x:f>R691+S691</x:f>
        <x:v>922.7094879786074</x:v>
      </x:c>
      <x:c r="U691" s="27" t="n">
        <x:f>N691*'Fleet Engine'!I198</x:f>
        <x:v>0</x:v>
      </x:c>
      <x:c r="V691" s="28" t="n">
        <x:f>U691*T691</x:f>
        <x:v>0</x:v>
      </x:c>
      <x:c r="W691" s="28" t="n">
        <x:f>U691*O691</x:f>
        <x:v>0</x:v>
      </x:c>
    </x:row>
    <x:row r="692" ht="19" customHeight="1">
      <x:c r="A692" s="2"/>
      <x:c r="B692" s="2"/>
      <x:c r="C692" s="46" t="n">
        <x:v>3</x:v>
      </x:c>
      <x:c r="D692" s="46" t="n">
        <x:v>4</x:v>
      </x:c>
      <x:c r="E692" s="46" t="n">
        <x:v>0</x:v>
      </x:c>
      <x:c r="F692" s="46" t="n">
        <x:v>4</x:v>
      </x:c>
      <x:c r="G692" s="12" t="n">
        <x:v>0.2222222222222222</x:v>
      </x:c>
      <x:c r="H692" s="12" t="n">
        <x:v>0.3333333333333333</x:v>
      </x:c>
      <x:c r="I692" s="29" t="n">
        <x:f>'Assumptions'!$D$11+'Assumptions'!$D$12*(0.5-(G692+H692)/2)</x:f>
        <x:v>0.34444444444444444</x:v>
      </x:c>
      <x:c r="J692" s="27" t="n">
        <x:f>'Assumptions'!$D$8*EXP(-'Assumptions'!$D$9*('Fleet Engine'!E198-10))*'Assumptions'!E55*'Assumptions'!G36</x:f>
        <x:v>9048.374180359595</x:v>
      </x:c>
      <x:c r="K692" s="27" t="n">
        <x:f>'Source Data'!F221+LN('Assumptions'!D55)+LN('Assumptions'!G35)</x:f>
        <x:v>8.14856556744418</x:v>
      </x:c>
      <x:c r="L692" s="27" t="n">
        <x:f>J692*(1-I692*(1-'Carrier Engine'!E94))</x:f>
        <x:v>6056.378451387355</x:v>
      </x:c>
      <x:c r="M692" s="29" t="n">
        <x:f>NORM.S.DIST((LN(L692)-K692)/'Assumptions'!$D$10,TRUE)</x:f>
        <x:v>0.6393916848110384</x:v>
      </x:c>
      <x:c r="N692" s="30" t="n">
        <x:f>MAX(0,H692-MAX(G692,M692))</x:f>
        <x:v>0</x:v>
      </x:c>
      <x:c r="O692" s="28" t="n">
        <x:f>J692*I692</x:f>
        <x:v>3116.662217679416</x:v>
      </x:c>
      <x:c r="P692" s="27" t="n">
        <x:f>(VLOOKUP(O692,'Fee Data'!$C$6:$G$50,2,TRUE)+O692*VLOOKUP(O692,'Fee Data'!$C$6:$G$50,3,TRUE)+VLOOKUP(O692,'Fee Data'!$I$6:$J$14,2,TRUE)+'Fee Data'!$J$20+'Fee Data'!$J$21)*'Assumptions'!G37</x:f>
        <x:v>865</x:v>
      </x:c>
      <x:c r="Q692" s="27" t="n">
        <x:f>(VLOOKUP(O692,'Fee Data'!$C$6:$G$50,4,TRUE)+O692*VLOOKUP(O692,'Fee Data'!$C$6:$G$50,5,TRUE)+VLOOKUP(O692,'Fee Data'!$I$6:$J$14,2,TRUE)+'Fee Data'!$J$20+'Fee Data'!$J$21)*'Assumptions'!G37</x:f>
        <x:v>715</x:v>
      </x:c>
      <x:c r="R692" s="27" t="n">
        <x:f>P692*(1-'Assumptions'!$D$14)+Q692*'Assumptions'!$D$14</x:f>
        <x:v>790</x:v>
      </x:c>
      <x:c r="S692" s="27" t="n">
        <x:f>O692*'Carrier Engine'!E94</x:f>
        <x:v>124.66648870717664</x:v>
      </x:c>
      <x:c r="T692" s="28" t="n">
        <x:f>R692+S692</x:f>
        <x:v>914.6664887071767</x:v>
      </x:c>
      <x:c r="U692" s="27" t="n">
        <x:f>N692*'Fleet Engine'!I198</x:f>
        <x:v>0</x:v>
      </x:c>
      <x:c r="V692" s="28" t="n">
        <x:f>U692*T692</x:f>
        <x:v>0</x:v>
      </x:c>
      <x:c r="W692" s="28" t="n">
        <x:f>U692*O692</x:f>
        <x:v>0</x:v>
      </x:c>
    </x:row>
    <x:row r="693" ht="19" customHeight="1">
      <x:c r="A693" s="2"/>
      <x:c r="B693" s="2"/>
      <x:c r="C693" s="46" t="n">
        <x:v>3</x:v>
      </x:c>
      <x:c r="D693" s="46" t="n">
        <x:v>4</x:v>
      </x:c>
      <x:c r="E693" s="46" t="n">
        <x:v>0</x:v>
      </x:c>
      <x:c r="F693" s="46" t="n">
        <x:v>4</x:v>
      </x:c>
      <x:c r="G693" s="12" t="n">
        <x:v>0.3333333333333333</x:v>
      </x:c>
      <x:c r="H693" s="12" t="n">
        <x:v>0.4444444444444444</x:v>
      </x:c>
      <x:c r="I693" s="29" t="n">
        <x:f>'Assumptions'!$D$11+'Assumptions'!$D$12*(0.5-(G693+H693)/2)</x:f>
        <x:v>0.32222222222222224</x:v>
      </x:c>
      <x:c r="J693" s="27" t="n">
        <x:f>'Assumptions'!$D$8*EXP(-'Assumptions'!$D$9*('Fleet Engine'!E198-10))*'Assumptions'!E55*'Assumptions'!G36</x:f>
        <x:v>9048.374180359595</x:v>
      </x:c>
      <x:c r="K693" s="27" t="n">
        <x:f>'Source Data'!F221+LN('Assumptions'!D55)+LN('Assumptions'!G35)</x:f>
        <x:v>8.14856556744418</x:v>
      </x:c>
      <x:c r="L693" s="27" t="n">
        <x:f>J693*(1-I693*(1-'Carrier Engine'!E94))</x:f>
        <x:v>6249.410433901693</x:v>
      </x:c>
      <x:c r="M693" s="29" t="n">
        <x:f>NORM.S.DIST((LN(L693)-K693)/'Assumptions'!$D$10,TRUE)</x:f>
        <x:v>0.6468443793490292</x:v>
      </x:c>
      <x:c r="N693" s="30" t="n">
        <x:f>MAX(0,H693-MAX(G693,M693))</x:f>
        <x:v>0</x:v>
      </x:c>
      <x:c r="O693" s="28" t="n">
        <x:f>J693*I693</x:f>
        <x:v>2915.5872358936476</x:v>
      </x:c>
      <x:c r="P693" s="27" t="n">
        <x:f>(VLOOKUP(O693,'Fee Data'!$C$6:$G$50,2,TRUE)+O693*VLOOKUP(O693,'Fee Data'!$C$6:$G$50,3,TRUE)+VLOOKUP(O693,'Fee Data'!$I$6:$J$14,2,TRUE)+'Fee Data'!$J$20+'Fee Data'!$J$21)*'Assumptions'!G37</x:f>
        <x:v>820</x:v>
      </x:c>
      <x:c r="Q693" s="27" t="n">
        <x:f>(VLOOKUP(O693,'Fee Data'!$C$6:$G$50,4,TRUE)+O693*VLOOKUP(O693,'Fee Data'!$C$6:$G$50,5,TRUE)+VLOOKUP(O693,'Fee Data'!$I$6:$J$14,2,TRUE)+'Fee Data'!$J$20+'Fee Data'!$J$21)*'Assumptions'!G37</x:f>
        <x:v>670</x:v>
      </x:c>
      <x:c r="R693" s="27" t="n">
        <x:f>P693*(1-'Assumptions'!$D$14)+Q693*'Assumptions'!$D$14</x:f>
        <x:v>745</x:v>
      </x:c>
      <x:c r="S693" s="27" t="n">
        <x:f>O693*'Carrier Engine'!E94</x:f>
        <x:v>116.62348943574591</x:v>
      </x:c>
      <x:c r="T693" s="28" t="n">
        <x:f>R693+S693</x:f>
        <x:v>861.6234894357459</x:v>
      </x:c>
      <x:c r="U693" s="27" t="n">
        <x:f>N693*'Fleet Engine'!I198</x:f>
        <x:v>0</x:v>
      </x:c>
      <x:c r="V693" s="28" t="n">
        <x:f>U693*T693</x:f>
        <x:v>0</x:v>
      </x:c>
      <x:c r="W693" s="28" t="n">
        <x:f>U693*O693</x:f>
        <x:v>0</x:v>
      </x:c>
    </x:row>
    <x:row r="694" ht="19" customHeight="1">
      <x:c r="A694" s="2"/>
      <x:c r="B694" s="2"/>
      <x:c r="C694" s="46" t="n">
        <x:v>3</x:v>
      </x:c>
      <x:c r="D694" s="46" t="n">
        <x:v>4</x:v>
      </x:c>
      <x:c r="E694" s="46" t="n">
        <x:v>0</x:v>
      </x:c>
      <x:c r="F694" s="46" t="n">
        <x:v>4</x:v>
      </x:c>
      <x:c r="G694" s="12" t="n">
        <x:v>0.4444444444444444</x:v>
      </x:c>
      <x:c r="H694" s="12" t="n">
        <x:v>0.5555555555555556</x:v>
      </x:c>
      <x:c r="I694" s="29" t="n">
        <x:f>'Assumptions'!$D$11+'Assumptions'!$D$12*(0.5-(G694+H694)/2)</x:f>
        <x:v>0.3</x:v>
      </x:c>
      <x:c r="J694" s="27" t="n">
        <x:f>'Assumptions'!$D$8*EXP(-'Assumptions'!$D$9*('Fleet Engine'!E198-10))*'Assumptions'!E55*'Assumptions'!G36</x:f>
        <x:v>9048.374180359595</x:v>
      </x:c>
      <x:c r="K694" s="27" t="n">
        <x:f>'Source Data'!F221+LN('Assumptions'!D55)+LN('Assumptions'!G35)</x:f>
        <x:v>8.14856556744418</x:v>
      </x:c>
      <x:c r="L694" s="27" t="n">
        <x:f>J694*(1-I694*(1-'Carrier Engine'!E94))</x:f>
        <x:v>6442.442416416031</x:v>
      </x:c>
      <x:c r="M694" s="29" t="n">
        <x:f>NORM.S.DIST((LN(L694)-K694)/'Assumptions'!$D$10,TRUE)</x:f>
        <x:v>0.654016988796613</x:v>
      </x:c>
      <x:c r="N694" s="30" t="n">
        <x:f>MAX(0,H694-MAX(G694,M694))</x:f>
        <x:v>0</x:v>
      </x:c>
      <x:c r="O694" s="28" t="n">
        <x:f>J694*I694</x:f>
        <x:v>2714.5122541078786</x:v>
      </x:c>
      <x:c r="P694" s="27" t="n">
        <x:f>(VLOOKUP(O694,'Fee Data'!$C$6:$G$50,2,TRUE)+O694*VLOOKUP(O694,'Fee Data'!$C$6:$G$50,3,TRUE)+VLOOKUP(O694,'Fee Data'!$I$6:$J$14,2,TRUE)+'Fee Data'!$J$20+'Fee Data'!$J$21)*'Assumptions'!G37</x:f>
        <x:v>820</x:v>
      </x:c>
      <x:c r="Q694" s="27" t="n">
        <x:f>(VLOOKUP(O694,'Fee Data'!$C$6:$G$50,4,TRUE)+O694*VLOOKUP(O694,'Fee Data'!$C$6:$G$50,5,TRUE)+VLOOKUP(O694,'Fee Data'!$I$6:$J$14,2,TRUE)+'Fee Data'!$J$20+'Fee Data'!$J$21)*'Assumptions'!G37</x:f>
        <x:v>670</x:v>
      </x:c>
      <x:c r="R694" s="27" t="n">
        <x:f>P694*(1-'Assumptions'!$D$14)+Q694*'Assumptions'!$D$14</x:f>
        <x:v>745</x:v>
      </x:c>
      <x:c r="S694" s="27" t="n">
        <x:f>O694*'Carrier Engine'!E94</x:f>
        <x:v>108.58049016431515</x:v>
      </x:c>
      <x:c r="T694" s="28" t="n">
        <x:f>R694+S694</x:f>
        <x:v>853.5804901643152</x:v>
      </x:c>
      <x:c r="U694" s="27" t="n">
        <x:f>N694*'Fleet Engine'!I198</x:f>
        <x:v>0</x:v>
      </x:c>
      <x:c r="V694" s="28" t="n">
        <x:f>U694*T694</x:f>
        <x:v>0</x:v>
      </x:c>
      <x:c r="W694" s="28" t="n">
        <x:f>U694*O694</x:f>
        <x:v>0</x:v>
      </x:c>
    </x:row>
    <x:row r="695" ht="19" customHeight="1">
      <x:c r="A695" s="2"/>
      <x:c r="B695" s="2"/>
      <x:c r="C695" s="46" t="n">
        <x:v>3</x:v>
      </x:c>
      <x:c r="D695" s="46" t="n">
        <x:v>4</x:v>
      </x:c>
      <x:c r="E695" s="46" t="n">
        <x:v>0</x:v>
      </x:c>
      <x:c r="F695" s="46" t="n">
        <x:v>4</x:v>
      </x:c>
      <x:c r="G695" s="12" t="n">
        <x:v>0.5555555555555556</x:v>
      </x:c>
      <x:c r="H695" s="12" t="n">
        <x:v>0.6666666666666666</x:v>
      </x:c>
      <x:c r="I695" s="29" t="n">
        <x:f>'Assumptions'!$D$11+'Assumptions'!$D$12*(0.5-(G695+H695)/2)</x:f>
        <x:v>0.27777777777777773</x:v>
      </x:c>
      <x:c r="J695" s="27" t="n">
        <x:f>'Assumptions'!$D$8*EXP(-'Assumptions'!$D$9*('Fleet Engine'!E198-10))*'Assumptions'!E55*'Assumptions'!G36</x:f>
        <x:v>9048.374180359595</x:v>
      </x:c>
      <x:c r="K695" s="27" t="n">
        <x:f>'Source Data'!F221+LN('Assumptions'!D55)+LN('Assumptions'!G35)</x:f>
        <x:v>8.14856556744418</x:v>
      </x:c>
      <x:c r="L695" s="27" t="n">
        <x:f>J695*(1-I695*(1-'Carrier Engine'!E94))</x:f>
        <x:v>6635.47439893037</x:v>
      </x:c>
      <x:c r="M695" s="29" t="n">
        <x:f>NORM.S.DIST((LN(L695)-K695)/'Assumptions'!$D$10,TRUE)</x:f>
        <x:v>0.6609254137826943</x:v>
      </x:c>
      <x:c r="N695" s="30" t="n">
        <x:f>MAX(0,H695-MAX(G695,M695))</x:f>
        <x:v>0.005741252883972314</x:v>
      </x:c>
      <x:c r="O695" s="28" t="n">
        <x:f>J695*I695</x:f>
        <x:v>2513.4372723221095</x:v>
      </x:c>
      <x:c r="P695" s="27" t="n">
        <x:f>(VLOOKUP(O695,'Fee Data'!$C$6:$G$50,2,TRUE)+O695*VLOOKUP(O695,'Fee Data'!$C$6:$G$50,3,TRUE)+VLOOKUP(O695,'Fee Data'!$I$6:$J$14,2,TRUE)+'Fee Data'!$J$20+'Fee Data'!$J$21)*'Assumptions'!G37</x:f>
        <x:v>820</x:v>
      </x:c>
      <x:c r="Q695" s="27" t="n">
        <x:f>(VLOOKUP(O695,'Fee Data'!$C$6:$G$50,4,TRUE)+O695*VLOOKUP(O695,'Fee Data'!$C$6:$G$50,5,TRUE)+VLOOKUP(O695,'Fee Data'!$I$6:$J$14,2,TRUE)+'Fee Data'!$J$20+'Fee Data'!$J$21)*'Assumptions'!G37</x:f>
        <x:v>670</x:v>
      </x:c>
      <x:c r="R695" s="27" t="n">
        <x:f>P695*(1-'Assumptions'!$D$14)+Q695*'Assumptions'!$D$14</x:f>
        <x:v>745</x:v>
      </x:c>
      <x:c r="S695" s="27" t="n">
        <x:f>O695*'Carrier Engine'!E94</x:f>
        <x:v>100.53749089288438</x:v>
      </x:c>
      <x:c r="T695" s="28" t="n">
        <x:f>R695+S695</x:f>
        <x:v>845.5374908928844</x:v>
      </x:c>
      <x:c r="U695" s="27" t="n">
        <x:f>N695*'Fleet Engine'!I198</x:f>
        <x:v>74.29550125814167</x:v>
      </x:c>
      <x:c r="V695" s="28" t="n">
        <x:f>U695*T695</x:f>
        <x:v>62819.63171843824</x:v>
      </x:c>
      <x:c r="W695" s="28" t="n">
        <x:f>U695*O695</x:f>
        <x:v>186737.08202806744</x:v>
      </x:c>
    </x:row>
    <x:row r="696" ht="19" customHeight="1">
      <x:c r="A696" s="2"/>
      <x:c r="B696" s="2"/>
      <x:c r="C696" s="46" t="n">
        <x:v>3</x:v>
      </x:c>
      <x:c r="D696" s="46" t="n">
        <x:v>4</x:v>
      </x:c>
      <x:c r="E696" s="46" t="n">
        <x:v>0</x:v>
      </x:c>
      <x:c r="F696" s="46" t="n">
        <x:v>4</x:v>
      </x:c>
      <x:c r="G696" s="12" t="n">
        <x:v>0.6666666666666666</x:v>
      </x:c>
      <x:c r="H696" s="12" t="n">
        <x:v>0.7777777777777778</x:v>
      </x:c>
      <x:c r="I696" s="29" t="n">
        <x:f>'Assumptions'!$D$11+'Assumptions'!$D$12*(0.5-(G696+H696)/2)</x:f>
        <x:v>0.25555555555555554</x:v>
      </x:c>
      <x:c r="J696" s="27" t="n">
        <x:f>'Assumptions'!$D$8*EXP(-'Assumptions'!$D$9*('Fleet Engine'!E198-10))*'Assumptions'!E55*'Assumptions'!G36</x:f>
        <x:v>9048.374180359595</x:v>
      </x:c>
      <x:c r="K696" s="27" t="n">
        <x:f>'Source Data'!F221+LN('Assumptions'!D55)+LN('Assumptions'!G35)</x:f>
        <x:v>8.14856556744418</x:v>
      </x:c>
      <x:c r="L696" s="27" t="n">
        <x:f>J696*(1-I696*(1-'Carrier Engine'!E94))</x:f>
        <x:v>6828.506381444708</x:v>
      </x:c>
      <x:c r="M696" s="29" t="n">
        <x:f>NORM.S.DIST((LN(L696)-K696)/'Assumptions'!$D$10,TRUE)</x:f>
        <x:v>0.6675843344367494</x:v>
      </x:c>
      <x:c r="N696" s="30" t="n">
        <x:f>MAX(0,H696-MAX(G696,M696))</x:f>
        <x:v>0.11019344334102843</x:v>
      </x:c>
      <x:c r="O696" s="28" t="n">
        <x:f>J696*I696</x:f>
        <x:v>2312.362290536341</x:v>
      </x:c>
      <x:c r="P696" s="27" t="n">
        <x:f>(VLOOKUP(O696,'Fee Data'!$C$6:$G$50,2,TRUE)+O696*VLOOKUP(O696,'Fee Data'!$C$6:$G$50,3,TRUE)+VLOOKUP(O696,'Fee Data'!$I$6:$J$14,2,TRUE)+'Fee Data'!$J$20+'Fee Data'!$J$21)*'Assumptions'!G37</x:f>
        <x:v>745</x:v>
      </x:c>
      <x:c r="Q696" s="27" t="n">
        <x:f>(VLOOKUP(O696,'Fee Data'!$C$6:$G$50,4,TRUE)+O696*VLOOKUP(O696,'Fee Data'!$C$6:$G$50,5,TRUE)+VLOOKUP(O696,'Fee Data'!$I$6:$J$14,2,TRUE)+'Fee Data'!$J$20+'Fee Data'!$J$21)*'Assumptions'!G37</x:f>
        <x:v>600</x:v>
      </x:c>
      <x:c r="R696" s="27" t="n">
        <x:f>P696*(1-'Assumptions'!$D$14)+Q696*'Assumptions'!$D$14</x:f>
        <x:v>672.5</x:v>
      </x:c>
      <x:c r="S696" s="27" t="n">
        <x:f>O696*'Carrier Engine'!E94</x:f>
        <x:v>92.49449162145363</x:v>
      </x:c>
      <x:c r="T696" s="28" t="n">
        <x:f>R696+S696</x:f>
        <x:v>764.9944916214537</x:v>
      </x:c>
      <x:c r="U696" s="27" t="n">
        <x:f>N696*'Fleet Engine'!I198</x:f>
        <x:v>1425.973959662603</x:v>
      </x:c>
      <x:c r="V696" s="28" t="n">
        <x:f>U696*T696</x:f>
        <x:v>1090862.2243375243</x:v>
      </x:c>
      <x:c r="W696" s="28" t="n">
        <x:f>U696*O696</x:f>
        <x:v>3297368.411610592</x:v>
      </x:c>
    </x:row>
    <x:row r="697" ht="19" customHeight="1">
      <x:c r="A697" s="2"/>
      <x:c r="B697" s="2"/>
      <x:c r="C697" s="46" t="n">
        <x:v>3</x:v>
      </x:c>
      <x:c r="D697" s="46" t="n">
        <x:v>4</x:v>
      </x:c>
      <x:c r="E697" s="46" t="n">
        <x:v>0</x:v>
      </x:c>
      <x:c r="F697" s="46" t="n">
        <x:v>4</x:v>
      </x:c>
      <x:c r="G697" s="12" t="n">
        <x:v>0.7777777777777778</x:v>
      </x:c>
      <x:c r="H697" s="12" t="n">
        <x:v>0.8888888888888888</x:v>
      </x:c>
      <x:c r="I697" s="29" t="n">
        <x:f>'Assumptions'!$D$11+'Assumptions'!$D$12*(0.5-(G697+H697)/2)</x:f>
        <x:v>0.23333333333333334</x:v>
      </x:c>
      <x:c r="J697" s="27" t="n">
        <x:f>'Assumptions'!$D$8*EXP(-'Assumptions'!$D$9*('Fleet Engine'!E198-10))*'Assumptions'!E55*'Assumptions'!G36</x:f>
        <x:v>9048.374180359595</x:v>
      </x:c>
      <x:c r="K697" s="27" t="n">
        <x:f>'Source Data'!F221+LN('Assumptions'!D55)+LN('Assumptions'!G35)</x:f>
        <x:v>8.14856556744418</x:v>
      </x:c>
      <x:c r="L697" s="27" t="n">
        <x:f>J697*(1-I697*(1-'Carrier Engine'!E94))</x:f>
        <x:v>7021.5383639590455</x:v>
      </x:c>
      <x:c r="M697" s="29" t="n">
        <x:f>NORM.S.DIST((LN(L697)-K697)/'Assumptions'!$D$10,TRUE)</x:f>
        <x:v>0.6740073284704973</x:v>
      </x:c>
      <x:c r="N697" s="30" t="n">
        <x:f>MAX(0,H697-MAX(G697,M697))</x:f>
        <x:v>0.11111111111111105</x:v>
      </x:c>
      <x:c r="O697" s="28" t="n">
        <x:f>J697*I697</x:f>
        <x:v>2111.2873087505723</x:v>
      </x:c>
      <x:c r="P697" s="27" t="n">
        <x:f>(VLOOKUP(O697,'Fee Data'!$C$6:$G$50,2,TRUE)+O697*VLOOKUP(O697,'Fee Data'!$C$6:$G$50,3,TRUE)+VLOOKUP(O697,'Fee Data'!$I$6:$J$14,2,TRUE)+'Fee Data'!$J$20+'Fee Data'!$J$21)*'Assumptions'!G37</x:f>
        <x:v>745</x:v>
      </x:c>
      <x:c r="Q697" s="27" t="n">
        <x:f>(VLOOKUP(O697,'Fee Data'!$C$6:$G$50,4,TRUE)+O697*VLOOKUP(O697,'Fee Data'!$C$6:$G$50,5,TRUE)+VLOOKUP(O697,'Fee Data'!$I$6:$J$14,2,TRUE)+'Fee Data'!$J$20+'Fee Data'!$J$21)*'Assumptions'!G37</x:f>
        <x:v>600</x:v>
      </x:c>
      <x:c r="R697" s="27" t="n">
        <x:f>P697*(1-'Assumptions'!$D$14)+Q697*'Assumptions'!$D$14</x:f>
        <x:v>672.5</x:v>
      </x:c>
      <x:c r="S697" s="27" t="n">
        <x:f>O697*'Carrier Engine'!E94</x:f>
        <x:v>84.45149235002289</x:v>
      </x:c>
      <x:c r="T697" s="28" t="n">
        <x:f>R697+S697</x:f>
        <x:v>756.9514923500229</x:v>
      </x:c>
      <x:c r="U697" s="27" t="n">
        <x:f>N697*'Fleet Engine'!I198</x:f>
        <x:v>1437.8491702385143</x:v>
      </x:c>
      <x:c r="V697" s="28" t="n">
        <x:f>U697*T697</x:f>
        <x:v>1088382.0751862857</x:v>
      </x:c>
      <x:c r="W697" s="28" t="n">
        <x:f>U697*O697</x:f>
        <x:v>3035712.705022116</x:v>
      </x:c>
    </x:row>
    <x:row r="698" ht="19" customHeight="1">
      <x:c r="A698" s="2"/>
      <x:c r="B698" s="2"/>
      <x:c r="C698" s="46" t="n">
        <x:v>3</x:v>
      </x:c>
      <x:c r="D698" s="46" t="n">
        <x:v>4</x:v>
      </x:c>
      <x:c r="E698" s="46" t="n">
        <x:v>0</x:v>
      </x:c>
      <x:c r="F698" s="46" t="n">
        <x:v>4</x:v>
      </x:c>
      <x:c r="G698" s="12" t="n">
        <x:v>0.8888888888888888</x:v>
      </x:c>
      <x:c r="H698" s="12" t="n">
        <x:v>1</x:v>
      </x:c>
      <x:c r="I698" s="29" t="n">
        <x:f>'Assumptions'!$D$11+'Assumptions'!$D$12*(0.5-(G698+H698)/2)</x:f>
        <x:v>0.21111111111111108</x:v>
      </x:c>
      <x:c r="J698" s="27" t="n">
        <x:f>'Assumptions'!$D$8*EXP(-'Assumptions'!$D$9*('Fleet Engine'!E198-10))*'Assumptions'!E55*'Assumptions'!G36</x:f>
        <x:v>9048.374180359595</x:v>
      </x:c>
      <x:c r="K698" s="27" t="n">
        <x:f>'Source Data'!F221+LN('Assumptions'!D55)+LN('Assumptions'!G35)</x:f>
        <x:v>8.14856556744418</x:v>
      </x:c>
      <x:c r="L698" s="27" t="n">
        <x:f>J698*(1-I698*(1-'Carrier Engine'!E94))</x:f>
        <x:v>7214.570346473383</x:v>
      </x:c>
      <x:c r="M698" s="29" t="n">
        <x:f>NORM.S.DIST((LN(L698)-K698)/'Assumptions'!$D$10,TRUE)</x:f>
        <x:v>0.680206975523874</x:v>
      </x:c>
      <x:c r="N698" s="30" t="n">
        <x:f>MAX(0,H698-MAX(G698,M698))</x:f>
        <x:v>0.11111111111111116</x:v>
      </x:c>
      <x:c r="O698" s="28" t="n">
        <x:f>J698*I698</x:f>
        <x:v>1910.2123269648032</x:v>
      </x:c>
      <x:c r="P698" s="27" t="n">
        <x:f>(VLOOKUP(O698,'Fee Data'!$C$6:$G$50,2,TRUE)+O698*VLOOKUP(O698,'Fee Data'!$C$6:$G$50,3,TRUE)+VLOOKUP(O698,'Fee Data'!$I$6:$J$14,2,TRUE)+'Fee Data'!$J$20+'Fee Data'!$J$21)*'Assumptions'!G37</x:f>
        <x:v>705</x:v>
      </x:c>
      <x:c r="Q698" s="27" t="n">
        <x:f>(VLOOKUP(O698,'Fee Data'!$C$6:$G$50,4,TRUE)+O698*VLOOKUP(O698,'Fee Data'!$C$6:$G$50,5,TRUE)+VLOOKUP(O698,'Fee Data'!$I$6:$J$14,2,TRUE)+'Fee Data'!$J$20+'Fee Data'!$J$21)*'Assumptions'!G37</x:f>
        <x:v>565</x:v>
      </x:c>
      <x:c r="R698" s="27" t="n">
        <x:f>P698*(1-'Assumptions'!$D$14)+Q698*'Assumptions'!$D$14</x:f>
        <x:v>635</x:v>
      </x:c>
      <x:c r="S698" s="27" t="n">
        <x:f>O698*'Carrier Engine'!E94</x:f>
        <x:v>76.40849307859213</x:v>
      </x:c>
      <x:c r="T698" s="28" t="n">
        <x:f>R698+S698</x:f>
        <x:v>711.4084930785921</x:v>
      </x:c>
      <x:c r="U698" s="27" t="n">
        <x:f>N698*'Fleet Engine'!I198</x:f>
        <x:v>1437.8491702385156</x:v>
      </x:c>
      <x:c r="V698" s="28" t="n">
        <x:f>U698*T698</x:f>
        <x:v>1022898.1114736864</x:v>
      </x:c>
      <x:c r="W698" s="28" t="n">
        <x:f>U698*O698</x:f>
        <x:v>2746597.2093057265</x:v>
      </x:c>
    </x:row>
    <x:row r="699" ht="19" customHeight="1">
      <x:c r="A699" s="2"/>
      <x:c r="B699" s="2"/>
      <x:c r="C699" s="46" t="n">
        <x:v>3</x:v>
      </x:c>
      <x:c r="D699" s="46" t="n">
        <x:v>5</x:v>
      </x:c>
      <x:c r="E699" s="46" t="n">
        <x:v>0</x:v>
      </x:c>
      <x:c r="F699" s="46" t="n">
        <x:v>5</x:v>
      </x:c>
      <x:c r="G699" s="12" t="n">
        <x:v>0</x:v>
      </x:c>
      <x:c r="H699" s="12" t="n">
        <x:v>0.1111111111111111</x:v>
      </x:c>
      <x:c r="I699" s="29" t="n">
        <x:f>'Assumptions'!$D$11+'Assumptions'!$D$12*(0.5-(G699+H699)/2)</x:f>
        <x:v>0.3888888888888889</x:v>
      </x:c>
      <x:c r="J699" s="27" t="n">
        <x:f>'Assumptions'!$D$8*EXP(-'Assumptions'!$D$9*('Fleet Engine'!E199-10))*'Assumptions'!E55*'Assumptions'!G36</x:f>
        <x:v>4965.853037914095</x:v>
      </x:c>
      <x:c r="K699" s="27" t="n">
        <x:f>'Source Data'!F222+LN('Assumptions'!D55)+LN('Assumptions'!G35)</x:f>
        <x:v>8.0496367177205</x:v>
      </x:c>
      <x:c r="L699" s="27" t="n">
        <x:f>J699*(1-I699*(1-'Carrier Engine'!E94))</x:f>
        <x:v>3111.9345704261664</x:v>
      </x:c>
      <x:c r="M699" s="29" t="n">
        <x:f>NORM.S.DIST((LN(L699)-K699)/'Assumptions'!$D$10,TRUE)</x:f>
        <x:v>0.4983137783845791</x:v>
      </x:c>
      <x:c r="N699" s="30" t="n">
        <x:f>MAX(0,H699-MAX(G699,M699))</x:f>
        <x:v>0</x:v>
      </x:c>
      <x:c r="O699" s="28" t="n">
        <x:f>J699*I699</x:f>
        <x:v>1931.1650702999257</x:v>
      </x:c>
      <x:c r="P699" s="27" t="n">
        <x:f>(VLOOKUP(O699,'Fee Data'!$C$6:$G$50,2,TRUE)+O699*VLOOKUP(O699,'Fee Data'!$C$6:$G$50,3,TRUE)+VLOOKUP(O699,'Fee Data'!$I$6:$J$14,2,TRUE)+'Fee Data'!$J$20+'Fee Data'!$J$21)*'Assumptions'!G37</x:f>
        <x:v>705</x:v>
      </x:c>
      <x:c r="Q699" s="27" t="n">
        <x:f>(VLOOKUP(O699,'Fee Data'!$C$6:$G$50,4,TRUE)+O699*VLOOKUP(O699,'Fee Data'!$C$6:$G$50,5,TRUE)+VLOOKUP(O699,'Fee Data'!$I$6:$J$14,2,TRUE)+'Fee Data'!$J$20+'Fee Data'!$J$21)*'Assumptions'!G37</x:f>
        <x:v>565</x:v>
      </x:c>
      <x:c r="R699" s="27" t="n">
        <x:f>P699*(1-'Assumptions'!$D$14)+Q699*'Assumptions'!$D$14</x:f>
        <x:v>635</x:v>
      </x:c>
      <x:c r="S699" s="27" t="n">
        <x:f>O699*'Carrier Engine'!E94</x:f>
        <x:v>77.24660281199702</x:v>
      </x:c>
      <x:c r="T699" s="28" t="n">
        <x:f>R699+S699</x:f>
        <x:v>712.246602811997</x:v>
      </x:c>
      <x:c r="U699" s="27" t="n">
        <x:f>N699*'Fleet Engine'!I199</x:f>
        <x:v>0</x:v>
      </x:c>
      <x:c r="V699" s="28" t="n">
        <x:f>U699*T699</x:f>
        <x:v>0</x:v>
      </x:c>
      <x:c r="W699" s="28" t="n">
        <x:f>U699*O699</x:f>
        <x:v>0</x:v>
      </x:c>
    </x:row>
    <x:row r="700" ht="19" customHeight="1">
      <x:c r="A700" s="2"/>
      <x:c r="B700" s="2"/>
      <x:c r="C700" s="46" t="n">
        <x:v>3</x:v>
      </x:c>
      <x:c r="D700" s="46" t="n">
        <x:v>5</x:v>
      </x:c>
      <x:c r="E700" s="46" t="n">
        <x:v>0</x:v>
      </x:c>
      <x:c r="F700" s="46" t="n">
        <x:v>5</x:v>
      </x:c>
      <x:c r="G700" s="12" t="n">
        <x:v>0.1111111111111111</x:v>
      </x:c>
      <x:c r="H700" s="12" t="n">
        <x:v>0.2222222222222222</x:v>
      </x:c>
      <x:c r="I700" s="29" t="n">
        <x:f>'Assumptions'!$D$11+'Assumptions'!$D$12*(0.5-(G700+H700)/2)</x:f>
        <x:v>0.3666666666666667</x:v>
      </x:c>
      <x:c r="J700" s="27" t="n">
        <x:f>'Assumptions'!$D$8*EXP(-'Assumptions'!$D$9*('Fleet Engine'!E199-10))*'Assumptions'!E55*'Assumptions'!G36</x:f>
        <x:v>4965.853037914095</x:v>
      </x:c>
      <x:c r="K700" s="27" t="n">
        <x:f>'Source Data'!F222+LN('Assumptions'!D55)+LN('Assumptions'!G35)</x:f>
        <x:v>8.0496367177205</x:v>
      </x:c>
      <x:c r="L700" s="27" t="n">
        <x:f>J700*(1-I700*(1-'Carrier Engine'!E94))</x:f>
        <x:v>3217.872768568333</x:v>
      </x:c>
      <x:c r="M700" s="29" t="n">
        <x:f>NORM.S.DIST((LN(L700)-K700)/'Assumptions'!$D$10,TRUE)</x:f>
        <x:v>0.5068186718451688</x:v>
      </x:c>
      <x:c r="N700" s="30" t="n">
        <x:f>MAX(0,H700-MAX(G700,M700))</x:f>
        <x:v>0</x:v>
      </x:c>
      <x:c r="O700" s="28" t="n">
        <x:f>J700*I700</x:f>
        <x:v>1820.8127805685015</x:v>
      </x:c>
      <x:c r="P700" s="27" t="n">
        <x:f>(VLOOKUP(O700,'Fee Data'!$C$6:$G$50,2,TRUE)+O700*VLOOKUP(O700,'Fee Data'!$C$6:$G$50,3,TRUE)+VLOOKUP(O700,'Fee Data'!$I$6:$J$14,2,TRUE)+'Fee Data'!$J$20+'Fee Data'!$J$21)*'Assumptions'!G37</x:f>
        <x:v>705</x:v>
      </x:c>
      <x:c r="Q700" s="27" t="n">
        <x:f>(VLOOKUP(O700,'Fee Data'!$C$6:$G$50,4,TRUE)+O700*VLOOKUP(O700,'Fee Data'!$C$6:$G$50,5,TRUE)+VLOOKUP(O700,'Fee Data'!$I$6:$J$14,2,TRUE)+'Fee Data'!$J$20+'Fee Data'!$J$21)*'Assumptions'!G37</x:f>
        <x:v>565</x:v>
      </x:c>
      <x:c r="R700" s="27" t="n">
        <x:f>P700*(1-'Assumptions'!$D$14)+Q700*'Assumptions'!$D$14</x:f>
        <x:v>635</x:v>
      </x:c>
      <x:c r="S700" s="27" t="n">
        <x:f>O700*'Carrier Engine'!E94</x:f>
        <x:v>72.83251122274007</x:v>
      </x:c>
      <x:c r="T700" s="28" t="n">
        <x:f>R700+S700</x:f>
        <x:v>707.8325112227401</x:v>
      </x:c>
      <x:c r="U700" s="27" t="n">
        <x:f>N700*'Fleet Engine'!I199</x:f>
        <x:v>0</x:v>
      </x:c>
      <x:c r="V700" s="28" t="n">
        <x:f>U700*T700</x:f>
        <x:v>0</x:v>
      </x:c>
      <x:c r="W700" s="28" t="n">
        <x:f>U700*O700</x:f>
        <x:v>0</x:v>
      </x:c>
    </x:row>
    <x:row r="701" ht="19" customHeight="1">
      <x:c r="A701" s="2"/>
      <x:c r="B701" s="2"/>
      <x:c r="C701" s="46" t="n">
        <x:v>3</x:v>
      </x:c>
      <x:c r="D701" s="46" t="n">
        <x:v>5</x:v>
      </x:c>
      <x:c r="E701" s="46" t="n">
        <x:v>0</x:v>
      </x:c>
      <x:c r="F701" s="46" t="n">
        <x:v>5</x:v>
      </x:c>
      <x:c r="G701" s="12" t="n">
        <x:v>0.2222222222222222</x:v>
      </x:c>
      <x:c r="H701" s="12" t="n">
        <x:v>0.3333333333333333</x:v>
      </x:c>
      <x:c r="I701" s="29" t="n">
        <x:f>'Assumptions'!$D$11+'Assumptions'!$D$12*(0.5-(G701+H701)/2)</x:f>
        <x:v>0.34444444444444444</x:v>
      </x:c>
      <x:c r="J701" s="27" t="n">
        <x:f>'Assumptions'!$D$8*EXP(-'Assumptions'!$D$9*('Fleet Engine'!E199-10))*'Assumptions'!E55*'Assumptions'!G36</x:f>
        <x:v>4965.853037914095</x:v>
      </x:c>
      <x:c r="K701" s="27" t="n">
        <x:f>'Source Data'!F222+LN('Assumptions'!D55)+LN('Assumptions'!G35)</x:f>
        <x:v>8.0496367177205</x:v>
      </x:c>
      <x:c r="L701" s="27" t="n">
        <x:f>J701*(1-I701*(1-'Carrier Engine'!E94))</x:f>
        <x:v>3323.810966710501</x:v>
      </x:c>
      <x:c r="M701" s="29" t="n">
        <x:f>NORM.S.DIST((LN(L701)-K701)/'Assumptions'!$D$10,TRUE)</x:f>
        <x:v>0.5150451442708714</x:v>
      </x:c>
      <x:c r="N701" s="30" t="n">
        <x:f>MAX(0,H701-MAX(G701,M701))</x:f>
        <x:v>0</x:v>
      </x:c>
      <x:c r="O701" s="28" t="n">
        <x:f>J701*I701</x:f>
        <x:v>1710.460490837077</x:v>
      </x:c>
      <x:c r="P701" s="27" t="n">
        <x:f>(VLOOKUP(O701,'Fee Data'!$C$6:$G$50,2,TRUE)+O701*VLOOKUP(O701,'Fee Data'!$C$6:$G$50,3,TRUE)+VLOOKUP(O701,'Fee Data'!$I$6:$J$14,2,TRUE)+'Fee Data'!$J$20+'Fee Data'!$J$21)*'Assumptions'!G37</x:f>
        <x:v>680</x:v>
      </x:c>
      <x:c r="Q701" s="27" t="n">
        <x:f>(VLOOKUP(O701,'Fee Data'!$C$6:$G$50,4,TRUE)+O701*VLOOKUP(O701,'Fee Data'!$C$6:$G$50,5,TRUE)+VLOOKUP(O701,'Fee Data'!$I$6:$J$14,2,TRUE)+'Fee Data'!$J$20+'Fee Data'!$J$21)*'Assumptions'!G37</x:f>
        <x:v>545</x:v>
      </x:c>
      <x:c r="R701" s="27" t="n">
        <x:f>P701*(1-'Assumptions'!$D$14)+Q701*'Assumptions'!$D$14</x:f>
        <x:v>612.5</x:v>
      </x:c>
      <x:c r="S701" s="27" t="n">
        <x:f>O701*'Carrier Engine'!E94</x:f>
        <x:v>68.41841963348308</x:v>
      </x:c>
      <x:c r="T701" s="28" t="n">
        <x:f>R701+S701</x:f>
        <x:v>680.918419633483</x:v>
      </x:c>
      <x:c r="U701" s="27" t="n">
        <x:f>N701*'Fleet Engine'!I199</x:f>
        <x:v>0</x:v>
      </x:c>
      <x:c r="V701" s="28" t="n">
        <x:f>U701*T701</x:f>
        <x:v>0</x:v>
      </x:c>
      <x:c r="W701" s="28" t="n">
        <x:f>U701*O701</x:f>
        <x:v>0</x:v>
      </x:c>
    </x:row>
    <x:row r="702" ht="19" customHeight="1">
      <x:c r="A702" s="2"/>
      <x:c r="B702" s="2"/>
      <x:c r="C702" s="46" t="n">
        <x:v>3</x:v>
      </x:c>
      <x:c r="D702" s="46" t="n">
        <x:v>5</x:v>
      </x:c>
      <x:c r="E702" s="46" t="n">
        <x:v>0</x:v>
      </x:c>
      <x:c r="F702" s="46" t="n">
        <x:v>5</x:v>
      </x:c>
      <x:c r="G702" s="12" t="n">
        <x:v>0.3333333333333333</x:v>
      </x:c>
      <x:c r="H702" s="12" t="n">
        <x:v>0.4444444444444444</x:v>
      </x:c>
      <x:c r="I702" s="29" t="n">
        <x:f>'Assumptions'!$D$11+'Assumptions'!$D$12*(0.5-(G702+H702)/2)</x:f>
        <x:v>0.32222222222222224</x:v>
      </x:c>
      <x:c r="J702" s="27" t="n">
        <x:f>'Assumptions'!$D$8*EXP(-'Assumptions'!$D$9*('Fleet Engine'!E199-10))*'Assumptions'!E55*'Assumptions'!G36</x:f>
        <x:v>4965.853037914095</x:v>
      </x:c>
      <x:c r="K702" s="27" t="n">
        <x:f>'Source Data'!F222+LN('Assumptions'!D55)+LN('Assumptions'!G35)</x:f>
        <x:v>8.0496367177205</x:v>
      </x:c>
      <x:c r="L702" s="27" t="n">
        <x:f>J702*(1-I702*(1-'Carrier Engine'!E94))</x:f>
        <x:v>3429.749164852668</x:v>
      </x:c>
      <x:c r="M702" s="29" t="n">
        <x:f>NORM.S.DIST((LN(L702)-K702)/'Assumptions'!$D$10,TRUE)</x:f>
        <x:v>0.5230074223798904</x:v>
      </x:c>
      <x:c r="N702" s="30" t="n">
        <x:f>MAX(0,H702-MAX(G702,M702))</x:f>
        <x:v>0</x:v>
      </x:c>
      <x:c r="O702" s="28" t="n">
        <x:f>J702*I702</x:f>
        <x:v>1600.1082011056528</x:v>
      </x:c>
      <x:c r="P702" s="27" t="n">
        <x:f>(VLOOKUP(O702,'Fee Data'!$C$6:$G$50,2,TRUE)+O702*VLOOKUP(O702,'Fee Data'!$C$6:$G$50,3,TRUE)+VLOOKUP(O702,'Fee Data'!$I$6:$J$14,2,TRUE)+'Fee Data'!$J$20+'Fee Data'!$J$21)*'Assumptions'!G37</x:f>
        <x:v>660</x:v>
      </x:c>
      <x:c r="Q702" s="27" t="n">
        <x:f>(VLOOKUP(O702,'Fee Data'!$C$6:$G$50,4,TRUE)+O702*VLOOKUP(O702,'Fee Data'!$C$6:$G$50,5,TRUE)+VLOOKUP(O702,'Fee Data'!$I$6:$J$14,2,TRUE)+'Fee Data'!$J$20+'Fee Data'!$J$21)*'Assumptions'!G37</x:f>
        <x:v>525</x:v>
      </x:c>
      <x:c r="R702" s="27" t="n">
        <x:f>P702*(1-'Assumptions'!$D$14)+Q702*'Assumptions'!$D$14</x:f>
        <x:v>592.5</x:v>
      </x:c>
      <x:c r="S702" s="27" t="n">
        <x:f>O702*'Carrier Engine'!E94</x:f>
        <x:v>64.00432804422611</x:v>
      </x:c>
      <x:c r="T702" s="28" t="n">
        <x:f>R702+S702</x:f>
        <x:v>656.5043280442261</x:v>
      </x:c>
      <x:c r="U702" s="27" t="n">
        <x:f>N702*'Fleet Engine'!I199</x:f>
        <x:v>0</x:v>
      </x:c>
      <x:c r="V702" s="28" t="n">
        <x:f>U702*T702</x:f>
        <x:v>0</x:v>
      </x:c>
      <x:c r="W702" s="28" t="n">
        <x:f>U702*O702</x:f>
        <x:v>0</x:v>
      </x:c>
    </x:row>
    <x:row r="703" ht="19" customHeight="1">
      <x:c r="A703" s="2"/>
      <x:c r="B703" s="2"/>
      <x:c r="C703" s="46" t="n">
        <x:v>3</x:v>
      </x:c>
      <x:c r="D703" s="46" t="n">
        <x:v>5</x:v>
      </x:c>
      <x:c r="E703" s="46" t="n">
        <x:v>0</x:v>
      </x:c>
      <x:c r="F703" s="46" t="n">
        <x:v>5</x:v>
      </x:c>
      <x:c r="G703" s="12" t="n">
        <x:v>0.4444444444444444</x:v>
      </x:c>
      <x:c r="H703" s="12" t="n">
        <x:v>0.5555555555555556</x:v>
      </x:c>
      <x:c r="I703" s="29" t="n">
        <x:f>'Assumptions'!$D$11+'Assumptions'!$D$12*(0.5-(G703+H703)/2)</x:f>
        <x:v>0.3</x:v>
      </x:c>
      <x:c r="J703" s="27" t="n">
        <x:f>'Assumptions'!$D$8*EXP(-'Assumptions'!$D$9*('Fleet Engine'!E199-10))*'Assumptions'!E55*'Assumptions'!G36</x:f>
        <x:v>4965.853037914095</x:v>
      </x:c>
      <x:c r="K703" s="27" t="n">
        <x:f>'Source Data'!F222+LN('Assumptions'!D55)+LN('Assumptions'!G35)</x:f>
        <x:v>8.0496367177205</x:v>
      </x:c>
      <x:c r="L703" s="27" t="n">
        <x:f>J703*(1-I703*(1-'Carrier Engine'!E94))</x:f>
        <x:v>3535.6873629948354</x:v>
      </x:c>
      <x:c r="M703" s="29" t="n">
        <x:f>NORM.S.DIST((LN(L703)-K703)/'Assumptions'!$D$10,TRUE)</x:f>
        <x:v>0.530718734175407</x:v>
      </x:c>
      <x:c r="N703" s="30" t="n">
        <x:f>MAX(0,H703-MAX(G703,M703))</x:f>
        <x:v>0.024836821380148533</x:v>
      </x:c>
      <x:c r="O703" s="28" t="n">
        <x:f>J703*I703</x:f>
        <x:v>1489.7559113742284</x:v>
      </x:c>
      <x:c r="P703" s="27" t="n">
        <x:f>(VLOOKUP(O703,'Fee Data'!$C$6:$G$50,2,TRUE)+O703*VLOOKUP(O703,'Fee Data'!$C$6:$G$50,3,TRUE)+VLOOKUP(O703,'Fee Data'!$I$6:$J$14,2,TRUE)+'Fee Data'!$J$20+'Fee Data'!$J$21)*'Assumptions'!G37</x:f>
        <x:v>615</x:v>
      </x:c>
      <x:c r="Q703" s="27" t="n">
        <x:f>(VLOOKUP(O703,'Fee Data'!$C$6:$G$50,4,TRUE)+O703*VLOOKUP(O703,'Fee Data'!$C$6:$G$50,5,TRUE)+VLOOKUP(O703,'Fee Data'!$I$6:$J$14,2,TRUE)+'Fee Data'!$J$20+'Fee Data'!$J$21)*'Assumptions'!G37</x:f>
        <x:v>485</x:v>
      </x:c>
      <x:c r="R703" s="27" t="n">
        <x:f>P703*(1-'Assumptions'!$D$14)+Q703*'Assumptions'!$D$14</x:f>
        <x:v>550</x:v>
      </x:c>
      <x:c r="S703" s="27" t="n">
        <x:f>O703*'Carrier Engine'!E94</x:f>
        <x:v>59.59023645496914</x:v>
      </x:c>
      <x:c r="T703" s="28" t="n">
        <x:f>R703+S703</x:f>
        <x:v>609.5902364549692</x:v>
      </x:c>
      <x:c r="U703" s="27" t="n">
        <x:f>N703*'Fleet Engine'!I199</x:f>
        <x:v>445.44483867872157</x:v>
      </x:c>
      <x:c r="V703" s="28" t="n">
        <x:f>U703*T703</x:f>
        <x:v>271538.8245378075</x:v>
      </x:c>
      <x:c r="W703" s="28" t="n">
        <x:f>U703*O703</x:f>
        <x:v>663604.081612765</x:v>
      </x:c>
    </x:row>
    <x:row r="704" ht="19" customHeight="1">
      <x:c r="A704" s="2"/>
      <x:c r="B704" s="2"/>
      <x:c r="C704" s="46" t="n">
        <x:v>3</x:v>
      </x:c>
      <x:c r="D704" s="46" t="n">
        <x:v>5</x:v>
      </x:c>
      <x:c r="E704" s="46" t="n">
        <x:v>0</x:v>
      </x:c>
      <x:c r="F704" s="46" t="n">
        <x:v>5</x:v>
      </x:c>
      <x:c r="G704" s="12" t="n">
        <x:v>0.5555555555555556</x:v>
      </x:c>
      <x:c r="H704" s="12" t="n">
        <x:v>0.6666666666666666</x:v>
      </x:c>
      <x:c r="I704" s="29" t="n">
        <x:f>'Assumptions'!$D$11+'Assumptions'!$D$12*(0.5-(G704+H704)/2)</x:f>
        <x:v>0.27777777777777773</x:v>
      </x:c>
      <x:c r="J704" s="27" t="n">
        <x:f>'Assumptions'!$D$8*EXP(-'Assumptions'!$D$9*('Fleet Engine'!E199-10))*'Assumptions'!E55*'Assumptions'!G36</x:f>
        <x:v>4965.853037914095</x:v>
      </x:c>
      <x:c r="K704" s="27" t="n">
        <x:f>'Source Data'!F222+LN('Assumptions'!D55)+LN('Assumptions'!G35)</x:f>
        <x:v>8.0496367177205</x:v>
      </x:c>
      <x:c r="L704" s="27" t="n">
        <x:f>J704*(1-I704*(1-'Carrier Engine'!E94))</x:f>
        <x:v>3641.625561137003</x:v>
      </x:c>
      <x:c r="M704" s="29" t="n">
        <x:f>NORM.S.DIST((LN(L704)-K704)/'Assumptions'!$D$10,TRUE)</x:f>
        <x:v>0.5381913977645012</x:v>
      </x:c>
      <x:c r="N704" s="30" t="n">
        <x:f>MAX(0,H704-MAX(G704,M704))</x:f>
        <x:v>0.11111111111111105</x:v>
      </x:c>
      <x:c r="O704" s="28" t="n">
        <x:f>J704*I704</x:f>
        <x:v>1379.403621642804</x:v>
      </x:c>
      <x:c r="P704" s="27" t="n">
        <x:f>(VLOOKUP(O704,'Fee Data'!$C$6:$G$50,2,TRUE)+O704*VLOOKUP(O704,'Fee Data'!$C$6:$G$50,3,TRUE)+VLOOKUP(O704,'Fee Data'!$I$6:$J$14,2,TRUE)+'Fee Data'!$J$20+'Fee Data'!$J$21)*'Assumptions'!G37</x:f>
        <x:v>595</x:v>
      </x:c>
      <x:c r="Q704" s="27" t="n">
        <x:f>(VLOOKUP(O704,'Fee Data'!$C$6:$G$50,4,TRUE)+O704*VLOOKUP(O704,'Fee Data'!$C$6:$G$50,5,TRUE)+VLOOKUP(O704,'Fee Data'!$I$6:$J$14,2,TRUE)+'Fee Data'!$J$20+'Fee Data'!$J$21)*'Assumptions'!G37</x:f>
        <x:v>470</x:v>
      </x:c>
      <x:c r="R704" s="27" t="n">
        <x:f>P704*(1-'Assumptions'!$D$14)+Q704*'Assumptions'!$D$14</x:f>
        <x:v>532.5</x:v>
      </x:c>
      <x:c r="S704" s="27" t="n">
        <x:f>O704*'Carrier Engine'!E94</x:f>
        <x:v>55.17614486571216</x:v>
      </x:c>
      <x:c r="T704" s="28" t="n">
        <x:f>R704+S704</x:f>
        <x:v>587.6761448657121</x:v>
      </x:c>
      <x:c r="U704" s="27" t="n">
        <x:f>N704*'Fleet Engine'!I199</x:f>
        <x:v>1992.7618839285776</x:v>
      </x:c>
      <x:c r="V704" s="28" t="n">
        <x:f>U704*T704</x:f>
        <x:v>1171098.6215824801</x:v>
      </x:c>
      <x:c r="W704" s="28" t="n">
        <x:f>U704*O704</x:f>
        <x:v>2748822.959762817</x:v>
      </x:c>
    </x:row>
    <x:row r="705" ht="19" customHeight="1">
      <x:c r="A705" s="2"/>
      <x:c r="B705" s="2"/>
      <x:c r="C705" s="46" t="n">
        <x:v>3</x:v>
      </x:c>
      <x:c r="D705" s="46" t="n">
        <x:v>5</x:v>
      </x:c>
      <x:c r="E705" s="46" t="n">
        <x:v>0</x:v>
      </x:c>
      <x:c r="F705" s="46" t="n">
        <x:v>5</x:v>
      </x:c>
      <x:c r="G705" s="12" t="n">
        <x:v>0.6666666666666666</x:v>
      </x:c>
      <x:c r="H705" s="12" t="n">
        <x:v>0.7777777777777778</x:v>
      </x:c>
      <x:c r="I705" s="29" t="n">
        <x:f>'Assumptions'!$D$11+'Assumptions'!$D$12*(0.5-(G705+H705)/2)</x:f>
        <x:v>0.25555555555555554</x:v>
      </x:c>
      <x:c r="J705" s="27" t="n">
        <x:f>'Assumptions'!$D$8*EXP(-'Assumptions'!$D$9*('Fleet Engine'!E199-10))*'Assumptions'!E55*'Assumptions'!G36</x:f>
        <x:v>4965.853037914095</x:v>
      </x:c>
      <x:c r="K705" s="27" t="n">
        <x:f>'Source Data'!F222+LN('Assumptions'!D55)+LN('Assumptions'!G35)</x:f>
        <x:v>8.0496367177205</x:v>
      </x:c>
      <x:c r="L705" s="27" t="n">
        <x:f>J705*(1-I705*(1-'Carrier Engine'!E94))</x:f>
        <x:v>3747.5637592791704</x:v>
      </x:c>
      <x:c r="M705" s="29" t="n">
        <x:f>NORM.S.DIST((LN(L705)-K705)/'Assumptions'!$D$10,TRUE)</x:f>
        <x:v>0.5454369007114661</x:v>
      </x:c>
      <x:c r="N705" s="30" t="n">
        <x:f>MAX(0,H705-MAX(G705,M705))</x:f>
        <x:v>0.11111111111111116</x:v>
      </x:c>
      <x:c r="O705" s="28" t="n">
        <x:f>J705*I705</x:f>
        <x:v>1269.0513319113797</x:v>
      </x:c>
      <x:c r="P705" s="27" t="n">
        <x:f>(VLOOKUP(O705,'Fee Data'!$C$6:$G$50,2,TRUE)+O705*VLOOKUP(O705,'Fee Data'!$C$6:$G$50,3,TRUE)+VLOOKUP(O705,'Fee Data'!$I$6:$J$14,2,TRUE)+'Fee Data'!$J$20+'Fee Data'!$J$21)*'Assumptions'!G37</x:f>
        <x:v>580</x:v>
      </x:c>
      <x:c r="Q705" s="27" t="n">
        <x:f>(VLOOKUP(O705,'Fee Data'!$C$6:$G$50,4,TRUE)+O705*VLOOKUP(O705,'Fee Data'!$C$6:$G$50,5,TRUE)+VLOOKUP(O705,'Fee Data'!$I$6:$J$14,2,TRUE)+'Fee Data'!$J$20+'Fee Data'!$J$21)*'Assumptions'!G37</x:f>
        <x:v>455</x:v>
      </x:c>
      <x:c r="R705" s="27" t="n">
        <x:f>P705*(1-'Assumptions'!$D$14)+Q705*'Assumptions'!$D$14</x:f>
        <x:v>517.5</x:v>
      </x:c>
      <x:c r="S705" s="27" t="n">
        <x:f>O705*'Carrier Engine'!E94</x:f>
        <x:v>50.76205327645519</x:v>
      </x:c>
      <x:c r="T705" s="28" t="n">
        <x:f>R705+S705</x:f>
        <x:v>568.2620532764552</x:v>
      </x:c>
      <x:c r="U705" s="27" t="n">
        <x:f>N705*'Fleet Engine'!I199</x:f>
        <x:v>1992.7618839285797</x:v>
      </x:c>
      <x:c r="V705" s="28" t="n">
        <x:f>U705*T705</x:f>
        <x:v>1132410.9598523118</x:v>
      </x:c>
      <x:c r="W705" s="28" t="n">
        <x:f>U705*O705</x:f>
        <x:v>2528917.122981794</x:v>
      </x:c>
    </x:row>
    <x:row r="706" ht="19" customHeight="1">
      <x:c r="A706" s="2"/>
      <x:c r="B706" s="2"/>
      <x:c r="C706" s="46" t="n">
        <x:v>3</x:v>
      </x:c>
      <x:c r="D706" s="46" t="n">
        <x:v>5</x:v>
      </x:c>
      <x:c r="E706" s="46" t="n">
        <x:v>0</x:v>
      </x:c>
      <x:c r="F706" s="46" t="n">
        <x:v>5</x:v>
      </x:c>
      <x:c r="G706" s="12" t="n">
        <x:v>0.7777777777777778</x:v>
      </x:c>
      <x:c r="H706" s="12" t="n">
        <x:v>0.8888888888888888</x:v>
      </x:c>
      <x:c r="I706" s="29" t="n">
        <x:f>'Assumptions'!$D$11+'Assumptions'!$D$12*(0.5-(G706+H706)/2)</x:f>
        <x:v>0.23333333333333334</x:v>
      </x:c>
      <x:c r="J706" s="27" t="n">
        <x:f>'Assumptions'!$D$8*EXP(-'Assumptions'!$D$9*('Fleet Engine'!E199-10))*'Assumptions'!E55*'Assumptions'!G36</x:f>
        <x:v>4965.853037914095</x:v>
      </x:c>
      <x:c r="K706" s="27" t="n">
        <x:f>'Source Data'!F222+LN('Assumptions'!D55)+LN('Assumptions'!G35)</x:f>
        <x:v>8.0496367177205</x:v>
      </x:c>
      <x:c r="L706" s="27" t="n">
        <x:f>J706*(1-I706*(1-'Carrier Engine'!E94))</x:f>
        <x:v>3853.5019574213375</x:v>
      </x:c>
      <x:c r="M706" s="29" t="n">
        <x:f>NORM.S.DIST((LN(L706)-K706)/'Assumptions'!$D$10,TRUE)</x:f>
        <x:v>0.5524659710850595</x:v>
      </x:c>
      <x:c r="N706" s="30" t="n">
        <x:f>MAX(0,H706-MAX(G706,M706))</x:f>
        <x:v>0.11111111111111105</x:v>
      </x:c>
      <x:c r="O706" s="28" t="n">
        <x:f>J706*I706</x:f>
        <x:v>1158.6990421799555</x:v>
      </x:c>
      <x:c r="P706" s="27" t="n">
        <x:f>(VLOOKUP(O706,'Fee Data'!$C$6:$G$50,2,TRUE)+O706*VLOOKUP(O706,'Fee Data'!$C$6:$G$50,3,TRUE)+VLOOKUP(O706,'Fee Data'!$I$6:$J$14,2,TRUE)+'Fee Data'!$J$20+'Fee Data'!$J$21)*'Assumptions'!G37</x:f>
        <x:v>560</x:v>
      </x:c>
      <x:c r="Q706" s="27" t="n">
        <x:f>(VLOOKUP(O706,'Fee Data'!$C$6:$G$50,4,TRUE)+O706*VLOOKUP(O706,'Fee Data'!$C$6:$G$50,5,TRUE)+VLOOKUP(O706,'Fee Data'!$I$6:$J$14,2,TRUE)+'Fee Data'!$J$20+'Fee Data'!$J$21)*'Assumptions'!G37</x:f>
        <x:v>435</x:v>
      </x:c>
      <x:c r="R706" s="27" t="n">
        <x:f>P706*(1-'Assumptions'!$D$14)+Q706*'Assumptions'!$D$14</x:f>
        <x:v>497.5</x:v>
      </x:c>
      <x:c r="S706" s="27" t="n">
        <x:f>O706*'Carrier Engine'!E94</x:f>
        <x:v>46.34796168719822</x:v>
      </x:c>
      <x:c r="T706" s="28" t="n">
        <x:f>R706+S706</x:f>
        <x:v>543.8479616871982</x:v>
      </x:c>
      <x:c r="U706" s="27" t="n">
        <x:f>N706*'Fleet Engine'!I199</x:f>
        <x:v>1992.7618839285776</x:v>
      </x:c>
      <x:c r="V706" s="28" t="n">
        <x:f>U706*T706</x:f>
        <x:v>1083759.4887024981</x:v>
      </x:c>
      <x:c r="W706" s="28" t="n">
        <x:f>U706*O706</x:f>
        <x:v>2309011.2862007665</x:v>
      </x:c>
    </x:row>
    <x:row r="707" ht="19" customHeight="1">
      <x:c r="A707" s="2"/>
      <x:c r="B707" s="2"/>
      <x:c r="C707" s="46" t="n">
        <x:v>3</x:v>
      </x:c>
      <x:c r="D707" s="46" t="n">
        <x:v>5</x:v>
      </x:c>
      <x:c r="E707" s="46" t="n">
        <x:v>0</x:v>
      </x:c>
      <x:c r="F707" s="46" t="n">
        <x:v>5</x:v>
      </x:c>
      <x:c r="G707" s="12" t="n">
        <x:v>0.8888888888888888</x:v>
      </x:c>
      <x:c r="H707" s="12" t="n">
        <x:v>1</x:v>
      </x:c>
      <x:c r="I707" s="29" t="n">
        <x:f>'Assumptions'!$D$11+'Assumptions'!$D$12*(0.5-(G707+H707)/2)</x:f>
        <x:v>0.21111111111111108</x:v>
      </x:c>
      <x:c r="J707" s="27" t="n">
        <x:f>'Assumptions'!$D$8*EXP(-'Assumptions'!$D$9*('Fleet Engine'!E199-10))*'Assumptions'!E55*'Assumptions'!G36</x:f>
        <x:v>4965.853037914095</x:v>
      </x:c>
      <x:c r="K707" s="27" t="n">
        <x:f>'Source Data'!F222+LN('Assumptions'!D55)+LN('Assumptions'!G35)</x:f>
        <x:v>8.0496367177205</x:v>
      </x:c>
      <x:c r="L707" s="27" t="n">
        <x:f>J707*(1-I707*(1-'Carrier Engine'!E94))</x:f>
        <x:v>3959.440155563505</x:v>
      </x:c>
      <x:c r="M707" s="29" t="n">
        <x:f>NORM.S.DIST((LN(L707)-K707)/'Assumptions'!$D$10,TRUE)</x:f>
        <x:v>0.5592886412015461</x:v>
      </x:c>
      <x:c r="N707" s="30" t="n">
        <x:f>MAX(0,H707-MAX(G707,M707))</x:f>
        <x:v>0.11111111111111116</x:v>
      </x:c>
      <x:c r="O707" s="28" t="n">
        <x:f>J707*I707</x:f>
        <x:v>1048.3467524485309</x:v>
      </x:c>
      <x:c r="P707" s="27" t="n">
        <x:f>(VLOOKUP(O707,'Fee Data'!$C$6:$G$50,2,TRUE)+O707*VLOOKUP(O707,'Fee Data'!$C$6:$G$50,3,TRUE)+VLOOKUP(O707,'Fee Data'!$I$6:$J$14,2,TRUE)+'Fee Data'!$J$20+'Fee Data'!$J$21)*'Assumptions'!G37</x:f>
        <x:v>560</x:v>
      </x:c>
      <x:c r="Q707" s="27" t="n">
        <x:f>(VLOOKUP(O707,'Fee Data'!$C$6:$G$50,4,TRUE)+O707*VLOOKUP(O707,'Fee Data'!$C$6:$G$50,5,TRUE)+VLOOKUP(O707,'Fee Data'!$I$6:$J$14,2,TRUE)+'Fee Data'!$J$20+'Fee Data'!$J$21)*'Assumptions'!G37</x:f>
        <x:v>435</x:v>
      </x:c>
      <x:c r="R707" s="27" t="n">
        <x:f>P707*(1-'Assumptions'!$D$14)+Q707*'Assumptions'!$D$14</x:f>
        <x:v>497.5</x:v>
      </x:c>
      <x:c r="S707" s="27" t="n">
        <x:f>O707*'Carrier Engine'!E94</x:f>
        <x:v>41.93387009794124</x:v>
      </x:c>
      <x:c r="T707" s="28" t="n">
        <x:f>R707+S707</x:f>
        <x:v>539.4338700979413</x:v>
      </x:c>
      <x:c r="U707" s="27" t="n">
        <x:f>N707*'Fleet Engine'!I199</x:f>
        <x:v>1992.7618839285797</x:v>
      </x:c>
      <x:c r="V707" s="28" t="n">
        <x:f>U707*T707</x:f>
        <x:v>1074963.2552312582</x:v>
      </x:c>
      <x:c r="W707" s="28" t="n">
        <x:f>U707*O707</x:f>
        <x:v>2089105.4494197427</x:v>
      </x:c>
    </x:row>
    <x:row r="708" ht="19" customHeight="1">
      <x:c r="A708" s="2"/>
      <x:c r="B708" s="2"/>
      <x:c r="C708" s="46" t="n">
        <x:v>3</x:v>
      </x:c>
      <x:c r="D708" s="46" t="n">
        <x:v>6</x:v>
      </x:c>
      <x:c r="E708" s="46" t="n">
        <x:v>1</x:v>
      </x:c>
      <x:c r="F708" s="46" t="n">
        <x:v>0</x:v>
      </x:c>
      <x:c r="G708" s="12" t="n">
        <x:v>0</x:v>
      </x:c>
      <x:c r="H708" s="12" t="n">
        <x:v>0.1111111111111111</x:v>
      </x:c>
      <x:c r="I708" s="29" t="n">
        <x:f>'Assumptions'!$D$11+'Assumptions'!$D$12*(0.5-(G708+H708)/2)</x:f>
        <x:v>0.3888888888888889</x:v>
      </x:c>
      <x:c r="J708" s="27" t="n">
        <x:f>'Assumptions'!$D$8*EXP(-'Assumptions'!$D$9*('Fleet Engine'!E200-10))*'Assumptions'!E56*'Assumptions'!G36</x:f>
        <x:v>30662.21902501803</x:v>
      </x:c>
      <x:c r="K708" s="27" t="n">
        <x:f>'Source Data'!F217+LN('Assumptions'!D56)+LN('Assumptions'!G35)</x:f>
        <x:v>8.031104662881733</x:v>
      </x:c>
      <x:c r="L708" s="27" t="n">
        <x:f>J708*(1-I708*(1-'Carrier Engine'!E94))</x:f>
        <x:v>19214.9905890113</x:v>
      </x:c>
      <x:c r="M708" s="29" t="n">
        <x:f>NORM.S.DIST((LN(L708)-K708)/'Assumptions'!$D$10,TRUE)</x:f>
        <x:v>0.8783833710855731</x:v>
      </x:c>
      <x:c r="N708" s="30" t="n">
        <x:f>MAX(0,H708-MAX(G708,M708))</x:f>
        <x:v>0</x:v>
      </x:c>
      <x:c r="O708" s="28" t="n">
        <x:f>J708*I708</x:f>
        <x:v>11924.196287507011</x:v>
      </x:c>
      <x:c r="P708" s="27" t="n">
        <x:f>(VLOOKUP(O708,'Fee Data'!$C$6:$G$50,2,TRUE)+O708*VLOOKUP(O708,'Fee Data'!$C$6:$G$50,3,TRUE)+VLOOKUP(O708,'Fee Data'!$I$6:$J$14,2,TRUE)+'Fee Data'!$J$20+'Fee Data'!$J$21)*'Assumptions'!G37</x:f>
        <x:v>1250</x:v>
      </x:c>
      <x:c r="Q708" s="27" t="n">
        <x:f>(VLOOKUP(O708,'Fee Data'!$C$6:$G$50,4,TRUE)+O708*VLOOKUP(O708,'Fee Data'!$C$6:$G$50,5,TRUE)+VLOOKUP(O708,'Fee Data'!$I$6:$J$14,2,TRUE)+'Fee Data'!$J$20+'Fee Data'!$J$21)*'Assumptions'!G37</x:f>
        <x:v>1110</x:v>
      </x:c>
      <x:c r="R708" s="27" t="n">
        <x:f>P708*(1-'Assumptions'!$D$14)+Q708*'Assumptions'!$D$14</x:f>
        <x:v>1180</x:v>
      </x:c>
      <x:c r="S708" s="27" t="n">
        <x:f>O708*'Carrier Engine'!E94</x:f>
        <x:v>476.96785150028046</x:v>
      </x:c>
      <x:c r="T708" s="28" t="n">
        <x:f>R708+S708</x:f>
        <x:v>1656.9678515002804</x:v>
      </x:c>
      <x:c r="U708" s="27" t="n">
        <x:f>N708*'Fleet Engine'!I200</x:f>
        <x:v>0</x:v>
      </x:c>
      <x:c r="V708" s="28" t="n">
        <x:f>U708*T708</x:f>
        <x:v>0</x:v>
      </x:c>
      <x:c r="W708" s="28" t="n">
        <x:f>U708*O708</x:f>
        <x:v>0</x:v>
      </x:c>
    </x:row>
    <x:row r="709" ht="19" customHeight="1">
      <x:c r="A709" s="2"/>
      <x:c r="B709" s="2"/>
      <x:c r="C709" s="46" t="n">
        <x:v>3</x:v>
      </x:c>
      <x:c r="D709" s="46" t="n">
        <x:v>6</x:v>
      </x:c>
      <x:c r="E709" s="46" t="n">
        <x:v>1</x:v>
      </x:c>
      <x:c r="F709" s="46" t="n">
        <x:v>0</x:v>
      </x:c>
      <x:c r="G709" s="12" t="n">
        <x:v>0.1111111111111111</x:v>
      </x:c>
      <x:c r="H709" s="12" t="n">
        <x:v>0.2222222222222222</x:v>
      </x:c>
      <x:c r="I709" s="29" t="n">
        <x:f>'Assumptions'!$D$11+'Assumptions'!$D$12*(0.5-(G709+H709)/2)</x:f>
        <x:v>0.3666666666666667</x:v>
      </x:c>
      <x:c r="J709" s="27" t="n">
        <x:f>'Assumptions'!$D$8*EXP(-'Assumptions'!$D$9*('Fleet Engine'!E200-10))*'Assumptions'!E56*'Assumptions'!G36</x:f>
        <x:v>30662.21902501803</x:v>
      </x:c>
      <x:c r="K709" s="27" t="n">
        <x:f>'Source Data'!F217+LN('Assumptions'!D56)+LN('Assumptions'!G35)</x:f>
        <x:v>8.031104662881733</x:v>
      </x:c>
      <x:c r="L709" s="27" t="n">
        <x:f>J709*(1-I709*(1-'Carrier Engine'!E94))</x:f>
        <x:v>19869.11792821168</x:v>
      </x:c>
      <x:c r="M709" s="29" t="n">
        <x:f>NORM.S.DIST((LN(L709)-K709)/'Assumptions'!$D$10,TRUE)</x:f>
        <x:v>0.8826350510019572</x:v>
      </x:c>
      <x:c r="N709" s="30" t="n">
        <x:f>MAX(0,H709-MAX(G709,M709))</x:f>
        <x:v>0</x:v>
      </x:c>
      <x:c r="O709" s="28" t="n">
        <x:f>J709*I709</x:f>
        <x:v>11242.813642506611</x:v>
      </x:c>
      <x:c r="P709" s="27" t="n">
        <x:f>(VLOOKUP(O709,'Fee Data'!$C$6:$G$50,2,TRUE)+O709*VLOOKUP(O709,'Fee Data'!$C$6:$G$50,3,TRUE)+VLOOKUP(O709,'Fee Data'!$I$6:$J$14,2,TRUE)+'Fee Data'!$J$20+'Fee Data'!$J$21)*'Assumptions'!G37</x:f>
        <x:v>1250</x:v>
      </x:c>
      <x:c r="Q709" s="27" t="n">
        <x:f>(VLOOKUP(O709,'Fee Data'!$C$6:$G$50,4,TRUE)+O709*VLOOKUP(O709,'Fee Data'!$C$6:$G$50,5,TRUE)+VLOOKUP(O709,'Fee Data'!$I$6:$J$14,2,TRUE)+'Fee Data'!$J$20+'Fee Data'!$J$21)*'Assumptions'!G37</x:f>
        <x:v>1100</x:v>
      </x:c>
      <x:c r="R709" s="27" t="n">
        <x:f>P709*(1-'Assumptions'!$D$14)+Q709*'Assumptions'!$D$14</x:f>
        <x:v>1175</x:v>
      </x:c>
      <x:c r="S709" s="27" t="n">
        <x:f>O709*'Carrier Engine'!E94</x:f>
        <x:v>449.71254570026446</x:v>
      </x:c>
      <x:c r="T709" s="28" t="n">
        <x:f>R709+S709</x:f>
        <x:v>1624.7125457002644</x:v>
      </x:c>
      <x:c r="U709" s="27" t="n">
        <x:f>N709*'Fleet Engine'!I200</x:f>
        <x:v>0</x:v>
      </x:c>
      <x:c r="V709" s="28" t="n">
        <x:f>U709*T709</x:f>
        <x:v>0</x:v>
      </x:c>
      <x:c r="W709" s="28" t="n">
        <x:f>U709*O709</x:f>
        <x:v>0</x:v>
      </x:c>
    </x:row>
    <x:row r="710" ht="19" customHeight="1">
      <x:c r="A710" s="2"/>
      <x:c r="B710" s="2"/>
      <x:c r="C710" s="46" t="n">
        <x:v>3</x:v>
      </x:c>
      <x:c r="D710" s="46" t="n">
        <x:v>6</x:v>
      </x:c>
      <x:c r="E710" s="46" t="n">
        <x:v>1</x:v>
      </x:c>
      <x:c r="F710" s="46" t="n">
        <x:v>0</x:v>
      </x:c>
      <x:c r="G710" s="12" t="n">
        <x:v>0.2222222222222222</x:v>
      </x:c>
      <x:c r="H710" s="12" t="n">
        <x:v>0.3333333333333333</x:v>
      </x:c>
      <x:c r="I710" s="29" t="n">
        <x:f>'Assumptions'!$D$11+'Assumptions'!$D$12*(0.5-(G710+H710)/2)</x:f>
        <x:v>0.34444444444444444</x:v>
      </x:c>
      <x:c r="J710" s="27" t="n">
        <x:f>'Assumptions'!$D$8*EXP(-'Assumptions'!$D$9*('Fleet Engine'!E200-10))*'Assumptions'!E56*'Assumptions'!G36</x:f>
        <x:v>30662.21902501803</x:v>
      </x:c>
      <x:c r="K710" s="27" t="n">
        <x:f>'Source Data'!F217+LN('Assumptions'!D56)+LN('Assumptions'!G35)</x:f>
        <x:v>8.031104662881733</x:v>
      </x:c>
      <x:c r="L710" s="27" t="n">
        <x:f>J710*(1-I710*(1-'Carrier Engine'!E94))</x:f>
        <x:v>20523.24526741207</x:v>
      </x:c>
      <x:c r="M710" s="29" t="n">
        <x:f>NORM.S.DIST((LN(L710)-K710)/'Assumptions'!$D$10,TRUE)</x:f>
        <x:v>0.8866477524669126</x:v>
      </x:c>
      <x:c r="N710" s="30" t="n">
        <x:f>MAX(0,H710-MAX(G710,M710))</x:f>
        <x:v>0</x:v>
      </x:c>
      <x:c r="O710" s="28" t="n">
        <x:f>J710*I710</x:f>
        <x:v>10561.43099750621</x:v>
      </x:c>
      <x:c r="P710" s="27" t="n">
        <x:f>(VLOOKUP(O710,'Fee Data'!$C$6:$G$50,2,TRUE)+O710*VLOOKUP(O710,'Fee Data'!$C$6:$G$50,3,TRUE)+VLOOKUP(O710,'Fee Data'!$I$6:$J$14,2,TRUE)+'Fee Data'!$J$20+'Fee Data'!$J$21)*'Assumptions'!G37</x:f>
        <x:v>1250</x:v>
      </x:c>
      <x:c r="Q710" s="27" t="n">
        <x:f>(VLOOKUP(O710,'Fee Data'!$C$6:$G$50,4,TRUE)+O710*VLOOKUP(O710,'Fee Data'!$C$6:$G$50,5,TRUE)+VLOOKUP(O710,'Fee Data'!$I$6:$J$14,2,TRUE)+'Fee Data'!$J$20+'Fee Data'!$J$21)*'Assumptions'!G37</x:f>
        <x:v>1100</x:v>
      </x:c>
      <x:c r="R710" s="27" t="n">
        <x:f>P710*(1-'Assumptions'!$D$14)+Q710*'Assumptions'!$D$14</x:f>
        <x:v>1175</x:v>
      </x:c>
      <x:c r="S710" s="27" t="n">
        <x:f>O710*'Carrier Engine'!E94</x:f>
        <x:v>422.4572399002484</x:v>
      </x:c>
      <x:c r="T710" s="28" t="n">
        <x:f>R710+S710</x:f>
        <x:v>1597.4572399002484</x:v>
      </x:c>
      <x:c r="U710" s="27" t="n">
        <x:f>N710*'Fleet Engine'!I200</x:f>
        <x:v>0</x:v>
      </x:c>
      <x:c r="V710" s="28" t="n">
        <x:f>U710*T710</x:f>
        <x:v>0</x:v>
      </x:c>
      <x:c r="W710" s="28" t="n">
        <x:f>U710*O710</x:f>
        <x:v>0</x:v>
      </x:c>
    </x:row>
    <x:row r="711" ht="19" customHeight="1">
      <x:c r="A711" s="2"/>
      <x:c r="B711" s="2"/>
      <x:c r="C711" s="46" t="n">
        <x:v>3</x:v>
      </x:c>
      <x:c r="D711" s="46" t="n">
        <x:v>6</x:v>
      </x:c>
      <x:c r="E711" s="46" t="n">
        <x:v>1</x:v>
      </x:c>
      <x:c r="F711" s="46" t="n">
        <x:v>0</x:v>
      </x:c>
      <x:c r="G711" s="12" t="n">
        <x:v>0.3333333333333333</x:v>
      </x:c>
      <x:c r="H711" s="12" t="n">
        <x:v>0.4444444444444444</x:v>
      </x:c>
      <x:c r="I711" s="29" t="n">
        <x:f>'Assumptions'!$D$11+'Assumptions'!$D$12*(0.5-(G711+H711)/2)</x:f>
        <x:v>0.32222222222222224</x:v>
      </x:c>
      <x:c r="J711" s="27" t="n">
        <x:f>'Assumptions'!$D$8*EXP(-'Assumptions'!$D$9*('Fleet Engine'!E200-10))*'Assumptions'!E56*'Assumptions'!G36</x:f>
        <x:v>30662.21902501803</x:v>
      </x:c>
      <x:c r="K711" s="27" t="n">
        <x:f>'Source Data'!F217+LN('Assumptions'!D56)+LN('Assumptions'!G35)</x:f>
        <x:v>8.031104662881733</x:v>
      </x:c>
      <x:c r="L711" s="27" t="n">
        <x:f>J711*(1-I711*(1-'Carrier Engine'!E94))</x:f>
        <x:v>21177.37260661245</x:v>
      </x:c>
      <x:c r="M711" s="29" t="n">
        <x:f>NORM.S.DIST((LN(L711)-K711)/'Assumptions'!$D$10,TRUE)</x:f>
        <x:v>0.8904403113358262</x:v>
      </x:c>
      <x:c r="N711" s="30" t="n">
        <x:f>MAX(0,H711-MAX(G711,M711))</x:f>
        <x:v>0</x:v>
      </x:c>
      <x:c r="O711" s="28" t="n">
        <x:f>J711*I711</x:f>
        <x:v>9880.04835250581</x:v>
      </x:c>
      <x:c r="P711" s="27" t="n">
        <x:f>(VLOOKUP(O711,'Fee Data'!$C$6:$G$50,2,TRUE)+O711*VLOOKUP(O711,'Fee Data'!$C$6:$G$50,3,TRUE)+VLOOKUP(O711,'Fee Data'!$I$6:$J$14,2,TRUE)+'Fee Data'!$J$20+'Fee Data'!$J$21)*'Assumptions'!G37</x:f>
        <x:v>1195</x:v>
      </x:c>
      <x:c r="Q711" s="27" t="n">
        <x:f>(VLOOKUP(O711,'Fee Data'!$C$6:$G$50,4,TRUE)+O711*VLOOKUP(O711,'Fee Data'!$C$6:$G$50,5,TRUE)+VLOOKUP(O711,'Fee Data'!$I$6:$J$14,2,TRUE)+'Fee Data'!$J$20+'Fee Data'!$J$21)*'Assumptions'!G37</x:f>
        <x:v>1070</x:v>
      </x:c>
      <x:c r="R711" s="27" t="n">
        <x:f>P711*(1-'Assumptions'!$D$14)+Q711*'Assumptions'!$D$14</x:f>
        <x:v>1132.5</x:v>
      </x:c>
      <x:c r="S711" s="27" t="n">
        <x:f>O711*'Carrier Engine'!E94</x:f>
        <x:v>395.2019341002324</x:v>
      </x:c>
      <x:c r="T711" s="28" t="n">
        <x:f>R711+S711</x:f>
        <x:v>1527.7019341002324</x:v>
      </x:c>
      <x:c r="U711" s="27" t="n">
        <x:f>N711*'Fleet Engine'!I200</x:f>
        <x:v>0</x:v>
      </x:c>
      <x:c r="V711" s="28" t="n">
        <x:f>U711*T711</x:f>
        <x:v>0</x:v>
      </x:c>
      <x:c r="W711" s="28" t="n">
        <x:f>U711*O711</x:f>
        <x:v>0</x:v>
      </x:c>
    </x:row>
    <x:row r="712" ht="19" customHeight="1">
      <x:c r="A712" s="2"/>
      <x:c r="B712" s="2"/>
      <x:c r="C712" s="46" t="n">
        <x:v>3</x:v>
      </x:c>
      <x:c r="D712" s="46" t="n">
        <x:v>6</x:v>
      </x:c>
      <x:c r="E712" s="46" t="n">
        <x:v>1</x:v>
      </x:c>
      <x:c r="F712" s="46" t="n">
        <x:v>0</x:v>
      </x:c>
      <x:c r="G712" s="12" t="n">
        <x:v>0.4444444444444444</x:v>
      </x:c>
      <x:c r="H712" s="12" t="n">
        <x:v>0.5555555555555556</x:v>
      </x:c>
      <x:c r="I712" s="29" t="n">
        <x:f>'Assumptions'!$D$11+'Assumptions'!$D$12*(0.5-(G712+H712)/2)</x:f>
        <x:v>0.3</x:v>
      </x:c>
      <x:c r="J712" s="27" t="n">
        <x:f>'Assumptions'!$D$8*EXP(-'Assumptions'!$D$9*('Fleet Engine'!E200-10))*'Assumptions'!E56*'Assumptions'!G36</x:f>
        <x:v>30662.21902501803</x:v>
      </x:c>
      <x:c r="K712" s="27" t="n">
        <x:f>'Source Data'!F217+LN('Assumptions'!D56)+LN('Assumptions'!G35)</x:f>
        <x:v>8.031104662881733</x:v>
      </x:c>
      <x:c r="L712" s="27" t="n">
        <x:f>J712*(1-I712*(1-'Carrier Engine'!E94))</x:f>
        <x:v>21831.499945812837</x:v>
      </x:c>
      <x:c r="M712" s="29" t="n">
        <x:f>NORM.S.DIST((LN(L712)-K712)/'Assumptions'!$D$10,TRUE)</x:f>
        <x:v>0.8940296485335917</x:v>
      </x:c>
      <x:c r="N712" s="30" t="n">
        <x:f>MAX(0,H712-MAX(G712,M712))</x:f>
        <x:v>0</x:v>
      </x:c>
      <x:c r="O712" s="28" t="n">
        <x:f>J712*I712</x:f>
        <x:v>9198.665707505408</x:v>
      </x:c>
      <x:c r="P712" s="27" t="n">
        <x:f>(VLOOKUP(O712,'Fee Data'!$C$6:$G$50,2,TRUE)+O712*VLOOKUP(O712,'Fee Data'!$C$6:$G$50,3,TRUE)+VLOOKUP(O712,'Fee Data'!$I$6:$J$14,2,TRUE)+'Fee Data'!$J$20+'Fee Data'!$J$21)*'Assumptions'!G37</x:f>
        <x:v>1195</x:v>
      </x:c>
      <x:c r="Q712" s="27" t="n">
        <x:f>(VLOOKUP(O712,'Fee Data'!$C$6:$G$50,4,TRUE)+O712*VLOOKUP(O712,'Fee Data'!$C$6:$G$50,5,TRUE)+VLOOKUP(O712,'Fee Data'!$I$6:$J$14,2,TRUE)+'Fee Data'!$J$20+'Fee Data'!$J$21)*'Assumptions'!G37</x:f>
        <x:v>1070</x:v>
      </x:c>
      <x:c r="R712" s="27" t="n">
        <x:f>P712*(1-'Assumptions'!$D$14)+Q712*'Assumptions'!$D$14</x:f>
        <x:v>1132.5</x:v>
      </x:c>
      <x:c r="S712" s="27" t="n">
        <x:f>O712*'Carrier Engine'!E94</x:f>
        <x:v>367.94662830021633</x:v>
      </x:c>
      <x:c r="T712" s="28" t="n">
        <x:f>R712+S712</x:f>
        <x:v>1500.4466283002164</x:v>
      </x:c>
      <x:c r="U712" s="27" t="n">
        <x:f>N712*'Fleet Engine'!I200</x:f>
        <x:v>0</x:v>
      </x:c>
      <x:c r="V712" s="28" t="n">
        <x:f>U712*T712</x:f>
        <x:v>0</x:v>
      </x:c>
      <x:c r="W712" s="28" t="n">
        <x:f>U712*O712</x:f>
        <x:v>0</x:v>
      </x:c>
    </x:row>
    <x:row r="713" ht="19" customHeight="1">
      <x:c r="A713" s="2"/>
      <x:c r="B713" s="2"/>
      <x:c r="C713" s="46" t="n">
        <x:v>3</x:v>
      </x:c>
      <x:c r="D713" s="46" t="n">
        <x:v>6</x:v>
      </x:c>
      <x:c r="E713" s="46" t="n">
        <x:v>1</x:v>
      </x:c>
      <x:c r="F713" s="46" t="n">
        <x:v>0</x:v>
      </x:c>
      <x:c r="G713" s="12" t="n">
        <x:v>0.5555555555555556</x:v>
      </x:c>
      <x:c r="H713" s="12" t="n">
        <x:v>0.6666666666666666</x:v>
      </x:c>
      <x:c r="I713" s="29" t="n">
        <x:f>'Assumptions'!$D$11+'Assumptions'!$D$12*(0.5-(G713+H713)/2)</x:f>
        <x:v>0.27777777777777773</x:v>
      </x:c>
      <x:c r="J713" s="27" t="n">
        <x:f>'Assumptions'!$D$8*EXP(-'Assumptions'!$D$9*('Fleet Engine'!E200-10))*'Assumptions'!E56*'Assumptions'!G36</x:f>
        <x:v>30662.21902501803</x:v>
      </x:c>
      <x:c r="K713" s="27" t="n">
        <x:f>'Source Data'!F217+LN('Assumptions'!D56)+LN('Assumptions'!G35)</x:f>
        <x:v>8.031104662881733</x:v>
      </x:c>
      <x:c r="L713" s="27" t="n">
        <x:f>J713*(1-I713*(1-'Carrier Engine'!E94))</x:f>
        <x:v>22485.627285013223</x:v>
      </x:c>
      <x:c r="M713" s="29" t="n">
        <x:f>NORM.S.DIST((LN(L713)-K713)/'Assumptions'!$D$10,TRUE)</x:f>
        <x:v>0.8974310078578442</x:v>
      </x:c>
      <x:c r="N713" s="30" t="n">
        <x:f>MAX(0,H713-MAX(G713,M713))</x:f>
        <x:v>0</x:v>
      </x:c>
      <x:c r="O713" s="28" t="n">
        <x:f>J713*I713</x:f>
        <x:v>8517.283062505006</x:v>
      </x:c>
      <x:c r="P713" s="27" t="n">
        <x:f>(VLOOKUP(O713,'Fee Data'!$C$6:$G$50,2,TRUE)+O713*VLOOKUP(O713,'Fee Data'!$C$6:$G$50,3,TRUE)+VLOOKUP(O713,'Fee Data'!$I$6:$J$14,2,TRUE)+'Fee Data'!$J$20+'Fee Data'!$J$21)*'Assumptions'!G37</x:f>
        <x:v>1195</x:v>
      </x:c>
      <x:c r="Q713" s="27" t="n">
        <x:f>(VLOOKUP(O713,'Fee Data'!$C$6:$G$50,4,TRUE)+O713*VLOOKUP(O713,'Fee Data'!$C$6:$G$50,5,TRUE)+VLOOKUP(O713,'Fee Data'!$I$6:$J$14,2,TRUE)+'Fee Data'!$J$20+'Fee Data'!$J$21)*'Assumptions'!G37</x:f>
        <x:v>1070</x:v>
      </x:c>
      <x:c r="R713" s="27" t="n">
        <x:f>P713*(1-'Assumptions'!$D$14)+Q713*'Assumptions'!$D$14</x:f>
        <x:v>1132.5</x:v>
      </x:c>
      <x:c r="S713" s="27" t="n">
        <x:f>O713*'Carrier Engine'!E94</x:f>
        <x:v>340.6913225002003</x:v>
      </x:c>
      <x:c r="T713" s="28" t="n">
        <x:f>R713+S713</x:f>
        <x:v>1473.1913225002004</x:v>
      </x:c>
      <x:c r="U713" s="27" t="n">
        <x:f>N713*'Fleet Engine'!I200</x:f>
        <x:v>0</x:v>
      </x:c>
      <x:c r="V713" s="28" t="n">
        <x:f>U713*T713</x:f>
        <x:v>0</x:v>
      </x:c>
      <x:c r="W713" s="28" t="n">
        <x:f>U713*O713</x:f>
        <x:v>0</x:v>
      </x:c>
    </x:row>
    <x:row r="714" ht="19" customHeight="1">
      <x:c r="A714" s="2"/>
      <x:c r="B714" s="2"/>
      <x:c r="C714" s="46" t="n">
        <x:v>3</x:v>
      </x:c>
      <x:c r="D714" s="46" t="n">
        <x:v>6</x:v>
      </x:c>
      <x:c r="E714" s="46" t="n">
        <x:v>1</x:v>
      </x:c>
      <x:c r="F714" s="46" t="n">
        <x:v>0</x:v>
      </x:c>
      <x:c r="G714" s="12" t="n">
        <x:v>0.6666666666666666</x:v>
      </x:c>
      <x:c r="H714" s="12" t="n">
        <x:v>0.7777777777777778</x:v>
      </x:c>
      <x:c r="I714" s="29" t="n">
        <x:f>'Assumptions'!$D$11+'Assumptions'!$D$12*(0.5-(G714+H714)/2)</x:f>
        <x:v>0.25555555555555554</x:v>
      </x:c>
      <x:c r="J714" s="27" t="n">
        <x:f>'Assumptions'!$D$8*EXP(-'Assumptions'!$D$9*('Fleet Engine'!E200-10))*'Assumptions'!E56*'Assumptions'!G36</x:f>
        <x:v>30662.21902501803</x:v>
      </x:c>
      <x:c r="K714" s="27" t="n">
        <x:f>'Source Data'!F217+LN('Assumptions'!D56)+LN('Assumptions'!G35)</x:f>
        <x:v>8.031104662881733</x:v>
      </x:c>
      <x:c r="L714" s="27" t="n">
        <x:f>J714*(1-I714*(1-'Carrier Engine'!E94))</x:f>
        <x:v>23139.754624213605</x:v>
      </x:c>
      <x:c r="M714" s="29" t="n">
        <x:f>NORM.S.DIST((LN(L714)-K714)/'Assumptions'!$D$10,TRUE)</x:f>
        <x:v>0.9006581590391973</x:v>
      </x:c>
      <x:c r="N714" s="30" t="n">
        <x:f>MAX(0,H714-MAX(G714,M714))</x:f>
        <x:v>0</x:v>
      </x:c>
      <x:c r="O714" s="28" t="n">
        <x:f>J714*I714</x:f>
        <x:v>7835.900417504607</x:v>
      </x:c>
      <x:c r="P714" s="27" t="n">
        <x:f>(VLOOKUP(O714,'Fee Data'!$C$6:$G$50,2,TRUE)+O714*VLOOKUP(O714,'Fee Data'!$C$6:$G$50,3,TRUE)+VLOOKUP(O714,'Fee Data'!$I$6:$J$14,2,TRUE)+'Fee Data'!$J$20+'Fee Data'!$J$21)*'Assumptions'!G37</x:f>
        <x:v>1135</x:v>
      </x:c>
      <x:c r="Q714" s="27" t="n">
        <x:f>(VLOOKUP(O714,'Fee Data'!$C$6:$G$50,4,TRUE)+O714*VLOOKUP(O714,'Fee Data'!$C$6:$G$50,5,TRUE)+VLOOKUP(O714,'Fee Data'!$I$6:$J$14,2,TRUE)+'Fee Data'!$J$20+'Fee Data'!$J$21)*'Assumptions'!G37</x:f>
        <x:v>1010</x:v>
      </x:c>
      <x:c r="R714" s="27" t="n">
        <x:f>P714*(1-'Assumptions'!$D$14)+Q714*'Assumptions'!$D$14</x:f>
        <x:v>1072.5</x:v>
      </x:c>
      <x:c r="S714" s="27" t="n">
        <x:f>O714*'Carrier Engine'!E94</x:f>
        <x:v>313.43601670018427</x:v>
      </x:c>
      <x:c r="T714" s="28" t="n">
        <x:f>R714+S714</x:f>
        <x:v>1385.9360167001842</x:v>
      </x:c>
      <x:c r="U714" s="27" t="n">
        <x:f>N714*'Fleet Engine'!I200</x:f>
        <x:v>0</x:v>
      </x:c>
      <x:c r="V714" s="28" t="n">
        <x:f>U714*T714</x:f>
        <x:v>0</x:v>
      </x:c>
      <x:c r="W714" s="28" t="n">
        <x:f>U714*O714</x:f>
        <x:v>0</x:v>
      </x:c>
    </x:row>
    <x:row r="715" ht="19" customHeight="1">
      <x:c r="A715" s="2"/>
      <x:c r="B715" s="2"/>
      <x:c r="C715" s="46" t="n">
        <x:v>3</x:v>
      </x:c>
      <x:c r="D715" s="46" t="n">
        <x:v>6</x:v>
      </x:c>
      <x:c r="E715" s="46" t="n">
        <x:v>1</x:v>
      </x:c>
      <x:c r="F715" s="46" t="n">
        <x:v>0</x:v>
      </x:c>
      <x:c r="G715" s="12" t="n">
        <x:v>0.7777777777777778</x:v>
      </x:c>
      <x:c r="H715" s="12" t="n">
        <x:v>0.8888888888888888</x:v>
      </x:c>
      <x:c r="I715" s="29" t="n">
        <x:f>'Assumptions'!$D$11+'Assumptions'!$D$12*(0.5-(G715+H715)/2)</x:f>
        <x:v>0.23333333333333334</x:v>
      </x:c>
      <x:c r="J715" s="27" t="n">
        <x:f>'Assumptions'!$D$8*EXP(-'Assumptions'!$D$9*('Fleet Engine'!E200-10))*'Assumptions'!E56*'Assumptions'!G36</x:f>
        <x:v>30662.21902501803</x:v>
      </x:c>
      <x:c r="K715" s="27" t="n">
        <x:f>'Source Data'!F217+LN('Assumptions'!D56)+LN('Assumptions'!G35)</x:f>
        <x:v>8.031104662881733</x:v>
      </x:c>
      <x:c r="L715" s="27" t="n">
        <x:f>J715*(1-I715*(1-'Carrier Engine'!E94))</x:f>
        <x:v>23793.88196341399</x:v>
      </x:c>
      <x:c r="M715" s="29" t="n">
        <x:f>NORM.S.DIST((LN(L715)-K715)/'Assumptions'!$D$10,TRUE)</x:f>
        <x:v>0.9037235718702767</x:v>
      </x:c>
      <x:c r="N715" s="30" t="n">
        <x:f>MAX(0,H715-MAX(G715,M715))</x:f>
        <x:v>0</x:v>
      </x:c>
      <x:c r="O715" s="28" t="n">
        <x:f>J715*I715</x:f>
        <x:v>7154.517772504207</x:v>
      </x:c>
      <x:c r="P715" s="27" t="n">
        <x:f>(VLOOKUP(O715,'Fee Data'!$C$6:$G$50,2,TRUE)+O715*VLOOKUP(O715,'Fee Data'!$C$6:$G$50,3,TRUE)+VLOOKUP(O715,'Fee Data'!$I$6:$J$14,2,TRUE)+'Fee Data'!$J$20+'Fee Data'!$J$21)*'Assumptions'!G37</x:f>
        <x:v>1115</x:v>
      </x:c>
      <x:c r="Q715" s="27" t="n">
        <x:f>(VLOOKUP(O715,'Fee Data'!$C$6:$G$50,4,TRUE)+O715*VLOOKUP(O715,'Fee Data'!$C$6:$G$50,5,TRUE)+VLOOKUP(O715,'Fee Data'!$I$6:$J$14,2,TRUE)+'Fee Data'!$J$20+'Fee Data'!$J$21)*'Assumptions'!G37</x:f>
        <x:v>990</x:v>
      </x:c>
      <x:c r="R715" s="27" t="n">
        <x:f>P715*(1-'Assumptions'!$D$14)+Q715*'Assumptions'!$D$14</x:f>
        <x:v>1052.5</x:v>
      </x:c>
      <x:c r="S715" s="27" t="n">
        <x:f>O715*'Carrier Engine'!E94</x:f>
        <x:v>286.18071090016826</x:v>
      </x:c>
      <x:c r="T715" s="28" t="n">
        <x:f>R715+S715</x:f>
        <x:v>1338.6807109001684</x:v>
      </x:c>
      <x:c r="U715" s="27" t="n">
        <x:f>N715*'Fleet Engine'!I200</x:f>
        <x:v>0</x:v>
      </x:c>
      <x:c r="V715" s="28" t="n">
        <x:f>U715*T715</x:f>
        <x:v>0</x:v>
      </x:c>
      <x:c r="W715" s="28" t="n">
        <x:f>U715*O715</x:f>
        <x:v>0</x:v>
      </x:c>
    </x:row>
    <x:row r="716" ht="19" customHeight="1">
      <x:c r="A716" s="2"/>
      <x:c r="B716" s="2"/>
      <x:c r="C716" s="46" t="n">
        <x:v>3</x:v>
      </x:c>
      <x:c r="D716" s="46" t="n">
        <x:v>6</x:v>
      </x:c>
      <x:c r="E716" s="46" t="n">
        <x:v>1</x:v>
      </x:c>
      <x:c r="F716" s="46" t="n">
        <x:v>0</x:v>
      </x:c>
      <x:c r="G716" s="12" t="n">
        <x:v>0.8888888888888888</x:v>
      </x:c>
      <x:c r="H716" s="12" t="n">
        <x:v>1</x:v>
      </x:c>
      <x:c r="I716" s="29" t="n">
        <x:f>'Assumptions'!$D$11+'Assumptions'!$D$12*(0.5-(G716+H716)/2)</x:f>
        <x:v>0.21111111111111108</x:v>
      </x:c>
      <x:c r="J716" s="27" t="n">
        <x:f>'Assumptions'!$D$8*EXP(-'Assumptions'!$D$9*('Fleet Engine'!E200-10))*'Assumptions'!E56*'Assumptions'!G36</x:f>
        <x:v>30662.21902501803</x:v>
      </x:c>
      <x:c r="K716" s="27" t="n">
        <x:f>'Source Data'!F217+LN('Assumptions'!D56)+LN('Assumptions'!G35)</x:f>
        <x:v>8.031104662881733</x:v>
      </x:c>
      <x:c r="L716" s="27" t="n">
        <x:f>J716*(1-I716*(1-'Carrier Engine'!E94))</x:f>
        <x:v>24448.009302614373</x:v>
      </x:c>
      <x:c r="M716" s="29" t="n">
        <x:f>NORM.S.DIST((LN(L716)-K716)/'Assumptions'!$D$10,TRUE)</x:f>
        <x:v>0.9066385661246656</x:v>
      </x:c>
      <x:c r="N716" s="30" t="n">
        <x:f>MAX(0,H716-MAX(G716,M716))</x:f>
        <x:v>0.09336143387533435</x:v>
      </x:c>
      <x:c r="O716" s="28" t="n">
        <x:f>J716*I716</x:f>
        <x:v>6473.135127503805</x:v>
      </x:c>
      <x:c r="P716" s="27" t="n">
        <x:f>(VLOOKUP(O716,'Fee Data'!$C$6:$G$50,2,TRUE)+O716*VLOOKUP(O716,'Fee Data'!$C$6:$G$50,3,TRUE)+VLOOKUP(O716,'Fee Data'!$I$6:$J$14,2,TRUE)+'Fee Data'!$J$20+'Fee Data'!$J$21)*'Assumptions'!G37</x:f>
        <x:v>1060</x:v>
      </x:c>
      <x:c r="Q716" s="27" t="n">
        <x:f>(VLOOKUP(O716,'Fee Data'!$C$6:$G$50,4,TRUE)+O716*VLOOKUP(O716,'Fee Data'!$C$6:$G$50,5,TRUE)+VLOOKUP(O716,'Fee Data'!$I$6:$J$14,2,TRUE)+'Fee Data'!$J$20+'Fee Data'!$J$21)*'Assumptions'!G37</x:f>
        <x:v>935</x:v>
      </x:c>
      <x:c r="R716" s="27" t="n">
        <x:f>P716*(1-'Assumptions'!$D$14)+Q716*'Assumptions'!$D$14</x:f>
        <x:v>997.5</x:v>
      </x:c>
      <x:c r="S716" s="27" t="n">
        <x:f>O716*'Carrier Engine'!E94</x:f>
        <x:v>258.9254051001522</x:v>
      </x:c>
      <x:c r="T716" s="28" t="n">
        <x:f>R716+S716</x:f>
        <x:v>1256.4254051001521</x:v>
      </x:c>
      <x:c r="U716" s="27" t="n">
        <x:f>N716*'Fleet Engine'!I200</x:f>
        <x:v>442.352628946311</x:v>
      </x:c>
      <x:c r="V716" s="28" t="n">
        <x:f>U716*T716</x:f>
        <x:v>555783.0810209861</x:v>
      </x:c>
      <x:c r="W716" s="28" t="n">
        <x:f>U716*O716</x:f>
        <x:v>2863408.341176022</x:v>
      </x:c>
    </x:row>
    <x:row r="717" ht="19" customHeight="1">
      <x:c r="A717" s="2"/>
      <x:c r="B717" s="2"/>
      <x:c r="C717" s="46" t="n">
        <x:v>3</x:v>
      </x:c>
      <x:c r="D717" s="46" t="n">
        <x:v>7</x:v>
      </x:c>
      <x:c r="E717" s="46" t="n">
        <x:v>1</x:v>
      </x:c>
      <x:c r="F717" s="46" t="n">
        <x:v>1</x:v>
      </x:c>
      <x:c r="G717" s="12" t="n">
        <x:v>0</x:v>
      </x:c>
      <x:c r="H717" s="12" t="n">
        <x:v>0.1111111111111111</x:v>
      </x:c>
      <x:c r="I717" s="29" t="n">
        <x:f>'Assumptions'!$D$11+'Assumptions'!$D$12*(0.5-(G717+H717)/2)</x:f>
        <x:v>0.3888888888888889</x:v>
      </x:c>
      <x:c r="J717" s="27" t="n">
        <x:f>'Assumptions'!$D$8*EXP(-'Assumptions'!$D$9*('Fleet Engine'!E201-10))*'Assumptions'!E56*'Assumptions'!G36</x:f>
        <x:v>25104.101673395035</x:v>
      </x:c>
      <x:c r="K717" s="27" t="n">
        <x:f>'Source Data'!F218+LN('Assumptions'!D56)+LN('Assumptions'!G35)</x:f>
        <x:v>7.916663861337495</x:v>
      </x:c>
      <x:c r="L717" s="27" t="n">
        <x:f>J717*(1-I717*(1-'Carrier Engine'!E94))</x:f>
        <x:v>15731.903715327557</x:v>
      </x:c>
      <x:c r="M717" s="29" t="n">
        <x:f>NORM.S.DIST((LN(L717)-K717)/'Assumptions'!$D$10,TRUE)</x:f>
        <x:v>0.867028537246276</x:v>
      </x:c>
      <x:c r="N717" s="30" t="n">
        <x:f>MAX(0,H717-MAX(G717,M717))</x:f>
        <x:v>0</x:v>
      </x:c>
      <x:c r="O717" s="28" t="n">
        <x:f>J717*I717</x:f>
        <x:v>9762.706206320292</x:v>
      </x:c>
      <x:c r="P717" s="27" t="n">
        <x:f>(VLOOKUP(O717,'Fee Data'!$C$6:$G$50,2,TRUE)+O717*VLOOKUP(O717,'Fee Data'!$C$6:$G$50,3,TRUE)+VLOOKUP(O717,'Fee Data'!$I$6:$J$14,2,TRUE)+'Fee Data'!$J$20+'Fee Data'!$J$21)*'Assumptions'!G37</x:f>
        <x:v>1195</x:v>
      </x:c>
      <x:c r="Q717" s="27" t="n">
        <x:f>(VLOOKUP(O717,'Fee Data'!$C$6:$G$50,4,TRUE)+O717*VLOOKUP(O717,'Fee Data'!$C$6:$G$50,5,TRUE)+VLOOKUP(O717,'Fee Data'!$I$6:$J$14,2,TRUE)+'Fee Data'!$J$20+'Fee Data'!$J$21)*'Assumptions'!G37</x:f>
        <x:v>1070</x:v>
      </x:c>
      <x:c r="R717" s="27" t="n">
        <x:f>P717*(1-'Assumptions'!$D$14)+Q717*'Assumptions'!$D$14</x:f>
        <x:v>1132.5</x:v>
      </x:c>
      <x:c r="S717" s="27" t="n">
        <x:f>O717*'Carrier Engine'!E94</x:f>
        <x:v>390.5082482528117</x:v>
      </x:c>
      <x:c r="T717" s="28" t="n">
        <x:f>R717+S717</x:f>
        <x:v>1523.0082482528117</x:v>
      </x:c>
      <x:c r="U717" s="27" t="n">
        <x:f>N717*'Fleet Engine'!I201</x:f>
        <x:v>0</x:v>
      </x:c>
      <x:c r="V717" s="28" t="n">
        <x:f>U717*T717</x:f>
        <x:v>0</x:v>
      </x:c>
      <x:c r="W717" s="28" t="n">
        <x:f>U717*O717</x:f>
        <x:v>0</x:v>
      </x:c>
    </x:row>
    <x:row r="718" ht="19" customHeight="1">
      <x:c r="A718" s="2"/>
      <x:c r="B718" s="2"/>
      <x:c r="C718" s="46" t="n">
        <x:v>3</x:v>
      </x:c>
      <x:c r="D718" s="46" t="n">
        <x:v>7</x:v>
      </x:c>
      <x:c r="E718" s="46" t="n">
        <x:v>1</x:v>
      </x:c>
      <x:c r="F718" s="46" t="n">
        <x:v>1</x:v>
      </x:c>
      <x:c r="G718" s="12" t="n">
        <x:v>0.1111111111111111</x:v>
      </x:c>
      <x:c r="H718" s="12" t="n">
        <x:v>0.2222222222222222</x:v>
      </x:c>
      <x:c r="I718" s="29" t="n">
        <x:f>'Assumptions'!$D$11+'Assumptions'!$D$12*(0.5-(G718+H718)/2)</x:f>
        <x:v>0.3666666666666667</x:v>
      </x:c>
      <x:c r="J718" s="27" t="n">
        <x:f>'Assumptions'!$D$8*EXP(-'Assumptions'!$D$9*('Fleet Engine'!E201-10))*'Assumptions'!E56*'Assumptions'!G36</x:f>
        <x:v>25104.101673395035</x:v>
      </x:c>
      <x:c r="K718" s="27" t="n">
        <x:f>'Source Data'!F218+LN('Assumptions'!D56)+LN('Assumptions'!G35)</x:f>
        <x:v>7.916663861337495</x:v>
      </x:c>
      <x:c r="L718" s="27" t="n">
        <x:f>J718*(1-I718*(1-'Carrier Engine'!E94))</x:f>
        <x:v>16267.45788435998</x:v>
      </x:c>
      <x:c r="M718" s="29" t="n">
        <x:f>NORM.S.DIST((LN(L718)-K718)/'Assumptions'!$D$10,TRUE)</x:f>
        <x:v>0.8715552402854367</x:v>
      </x:c>
      <x:c r="N718" s="30" t="n">
        <x:f>MAX(0,H718-MAX(G718,M718))</x:f>
        <x:v>0</x:v>
      </x:c>
      <x:c r="O718" s="28" t="n">
        <x:f>J718*I718</x:f>
        <x:v>9204.837280244847</x:v>
      </x:c>
      <x:c r="P718" s="27" t="n">
        <x:f>(VLOOKUP(O718,'Fee Data'!$C$6:$G$50,2,TRUE)+O718*VLOOKUP(O718,'Fee Data'!$C$6:$G$50,3,TRUE)+VLOOKUP(O718,'Fee Data'!$I$6:$J$14,2,TRUE)+'Fee Data'!$J$20+'Fee Data'!$J$21)*'Assumptions'!G37</x:f>
        <x:v>1195</x:v>
      </x:c>
      <x:c r="Q718" s="27" t="n">
        <x:f>(VLOOKUP(O718,'Fee Data'!$C$6:$G$50,4,TRUE)+O718*VLOOKUP(O718,'Fee Data'!$C$6:$G$50,5,TRUE)+VLOOKUP(O718,'Fee Data'!$I$6:$J$14,2,TRUE)+'Fee Data'!$J$20+'Fee Data'!$J$21)*'Assumptions'!G37</x:f>
        <x:v>1070</x:v>
      </x:c>
      <x:c r="R718" s="27" t="n">
        <x:f>P718*(1-'Assumptions'!$D$14)+Q718*'Assumptions'!$D$14</x:f>
        <x:v>1132.5</x:v>
      </x:c>
      <x:c r="S718" s="27" t="n">
        <x:f>O718*'Carrier Engine'!E94</x:f>
        <x:v>368.1934912097939</x:v>
      </x:c>
      <x:c r="T718" s="28" t="n">
        <x:f>R718+S718</x:f>
        <x:v>1500.6934912097938</x:v>
      </x:c>
      <x:c r="U718" s="27" t="n">
        <x:f>N718*'Fleet Engine'!I201</x:f>
        <x:v>0</x:v>
      </x:c>
      <x:c r="V718" s="28" t="n">
        <x:f>U718*T718</x:f>
        <x:v>0</x:v>
      </x:c>
      <x:c r="W718" s="28" t="n">
        <x:f>U718*O718</x:f>
        <x:v>0</x:v>
      </x:c>
    </x:row>
    <x:row r="719" ht="19" customHeight="1">
      <x:c r="A719" s="2"/>
      <x:c r="B719" s="2"/>
      <x:c r="C719" s="46" t="n">
        <x:v>3</x:v>
      </x:c>
      <x:c r="D719" s="46" t="n">
        <x:v>7</x:v>
      </x:c>
      <x:c r="E719" s="46" t="n">
        <x:v>1</x:v>
      </x:c>
      <x:c r="F719" s="46" t="n">
        <x:v>1</x:v>
      </x:c>
      <x:c r="G719" s="12" t="n">
        <x:v>0.2222222222222222</x:v>
      </x:c>
      <x:c r="H719" s="12" t="n">
        <x:v>0.3333333333333333</x:v>
      </x:c>
      <x:c r="I719" s="29" t="n">
        <x:f>'Assumptions'!$D$11+'Assumptions'!$D$12*(0.5-(G719+H719)/2)</x:f>
        <x:v>0.34444444444444444</x:v>
      </x:c>
      <x:c r="J719" s="27" t="n">
        <x:f>'Assumptions'!$D$8*EXP(-'Assumptions'!$D$9*('Fleet Engine'!E201-10))*'Assumptions'!E56*'Assumptions'!G36</x:f>
        <x:v>25104.101673395035</x:v>
      </x:c>
      <x:c r="K719" s="27" t="n">
        <x:f>'Source Data'!F218+LN('Assumptions'!D56)+LN('Assumptions'!G35)</x:f>
        <x:v>7.916663861337495</x:v>
      </x:c>
      <x:c r="L719" s="27" t="n">
        <x:f>J719*(1-I719*(1-'Carrier Engine'!E94))</x:f>
        <x:v>16803.01205339241</x:v>
      </x:c>
      <x:c r="M719" s="29" t="n">
        <x:f>NORM.S.DIST((LN(L719)-K719)/'Assumptions'!$D$10,TRUE)</x:f>
        <x:v>0.8758323922514895</x:v>
      </x:c>
      <x:c r="N719" s="30" t="n">
        <x:f>MAX(0,H719-MAX(G719,M719))</x:f>
        <x:v>0</x:v>
      </x:c>
      <x:c r="O719" s="28" t="n">
        <x:f>J719*I719</x:f>
        <x:v>8646.968354169401</x:v>
      </x:c>
      <x:c r="P719" s="27" t="n">
        <x:f>(VLOOKUP(O719,'Fee Data'!$C$6:$G$50,2,TRUE)+O719*VLOOKUP(O719,'Fee Data'!$C$6:$G$50,3,TRUE)+VLOOKUP(O719,'Fee Data'!$I$6:$J$14,2,TRUE)+'Fee Data'!$J$20+'Fee Data'!$J$21)*'Assumptions'!G37</x:f>
        <x:v>1195</x:v>
      </x:c>
      <x:c r="Q719" s="27" t="n">
        <x:f>(VLOOKUP(O719,'Fee Data'!$C$6:$G$50,4,TRUE)+O719*VLOOKUP(O719,'Fee Data'!$C$6:$G$50,5,TRUE)+VLOOKUP(O719,'Fee Data'!$I$6:$J$14,2,TRUE)+'Fee Data'!$J$20+'Fee Data'!$J$21)*'Assumptions'!G37</x:f>
        <x:v>1070</x:v>
      </x:c>
      <x:c r="R719" s="27" t="n">
        <x:f>P719*(1-'Assumptions'!$D$14)+Q719*'Assumptions'!$D$14</x:f>
        <x:v>1132.5</x:v>
      </x:c>
      <x:c r="S719" s="27" t="n">
        <x:f>O719*'Carrier Engine'!E94</x:f>
        <x:v>345.87873416677604</x:v>
      </x:c>
      <x:c r="T719" s="28" t="n">
        <x:f>R719+S719</x:f>
        <x:v>1478.378734166776</x:v>
      </x:c>
      <x:c r="U719" s="27" t="n">
        <x:f>N719*'Fleet Engine'!I201</x:f>
        <x:v>0</x:v>
      </x:c>
      <x:c r="V719" s="28" t="n">
        <x:f>U719*T719</x:f>
        <x:v>0</x:v>
      </x:c>
      <x:c r="W719" s="28" t="n">
        <x:f>U719*O719</x:f>
        <x:v>0</x:v>
      </x:c>
    </x:row>
    <x:row r="720" ht="19" customHeight="1">
      <x:c r="A720" s="2"/>
      <x:c r="B720" s="2"/>
      <x:c r="C720" s="46" t="n">
        <x:v>3</x:v>
      </x:c>
      <x:c r="D720" s="46" t="n">
        <x:v>7</x:v>
      </x:c>
      <x:c r="E720" s="46" t="n">
        <x:v>1</x:v>
      </x:c>
      <x:c r="F720" s="46" t="n">
        <x:v>1</x:v>
      </x:c>
      <x:c r="G720" s="12" t="n">
        <x:v>0.3333333333333333</x:v>
      </x:c>
      <x:c r="H720" s="12" t="n">
        <x:v>0.4444444444444444</x:v>
      </x:c>
      <x:c r="I720" s="29" t="n">
        <x:f>'Assumptions'!$D$11+'Assumptions'!$D$12*(0.5-(G720+H720)/2)</x:f>
        <x:v>0.32222222222222224</x:v>
      </x:c>
      <x:c r="J720" s="27" t="n">
        <x:f>'Assumptions'!$D$8*EXP(-'Assumptions'!$D$9*('Fleet Engine'!E201-10))*'Assumptions'!E56*'Assumptions'!G36</x:f>
        <x:v>25104.101673395035</x:v>
      </x:c>
      <x:c r="K720" s="27" t="n">
        <x:f>'Source Data'!F218+LN('Assumptions'!D56)+LN('Assumptions'!G35)</x:f>
        <x:v>7.916663861337495</x:v>
      </x:c>
      <x:c r="L720" s="27" t="n">
        <x:f>J720*(1-I720*(1-'Carrier Engine'!E94))</x:f>
        <x:v>17338.566222424837</x:v>
      </x:c>
      <x:c r="M720" s="29" t="n">
        <x:f>NORM.S.DIST((LN(L720)-K720)/'Assumptions'!$D$10,TRUE)</x:f>
        <x:v>0.8798793690489362</x:v>
      </x:c>
      <x:c r="N720" s="30" t="n">
        <x:f>MAX(0,H720-MAX(G720,M720))</x:f>
        <x:v>0</x:v>
      </x:c>
      <x:c r="O720" s="28" t="n">
        <x:f>J720*I720</x:f>
        <x:v>8089.099428093956</x:v>
      </x:c>
      <x:c r="P720" s="27" t="n">
        <x:f>(VLOOKUP(O720,'Fee Data'!$C$6:$G$50,2,TRUE)+O720*VLOOKUP(O720,'Fee Data'!$C$6:$G$50,3,TRUE)+VLOOKUP(O720,'Fee Data'!$I$6:$J$14,2,TRUE)+'Fee Data'!$J$20+'Fee Data'!$J$21)*'Assumptions'!G37</x:f>
        <x:v>1175</x:v>
      </x:c>
      <x:c r="Q720" s="27" t="n">
        <x:f>(VLOOKUP(O720,'Fee Data'!$C$6:$G$50,4,TRUE)+O720*VLOOKUP(O720,'Fee Data'!$C$6:$G$50,5,TRUE)+VLOOKUP(O720,'Fee Data'!$I$6:$J$14,2,TRUE)+'Fee Data'!$J$20+'Fee Data'!$J$21)*'Assumptions'!G37</x:f>
        <x:v>1050</x:v>
      </x:c>
      <x:c r="R720" s="27" t="n">
        <x:f>P720*(1-'Assumptions'!$D$14)+Q720*'Assumptions'!$D$14</x:f>
        <x:v>1112.5</x:v>
      </x:c>
      <x:c r="S720" s="27" t="n">
        <x:f>O720*'Carrier Engine'!E94</x:f>
        <x:v>323.56397712375826</x:v>
      </x:c>
      <x:c r="T720" s="28" t="n">
        <x:f>R720+S720</x:f>
        <x:v>1436.0639771237584</x:v>
      </x:c>
      <x:c r="U720" s="27" t="n">
        <x:f>N720*'Fleet Engine'!I201</x:f>
        <x:v>0</x:v>
      </x:c>
      <x:c r="V720" s="28" t="n">
        <x:f>U720*T720</x:f>
        <x:v>0</x:v>
      </x:c>
      <x:c r="W720" s="28" t="n">
        <x:f>U720*O720</x:f>
        <x:v>0</x:v>
      </x:c>
    </x:row>
    <x:row r="721" ht="19" customHeight="1">
      <x:c r="A721" s="2"/>
      <x:c r="B721" s="2"/>
      <x:c r="C721" s="46" t="n">
        <x:v>3</x:v>
      </x:c>
      <x:c r="D721" s="46" t="n">
        <x:v>7</x:v>
      </x:c>
      <x:c r="E721" s="46" t="n">
        <x:v>1</x:v>
      </x:c>
      <x:c r="F721" s="46" t="n">
        <x:v>1</x:v>
      </x:c>
      <x:c r="G721" s="12" t="n">
        <x:v>0.4444444444444444</x:v>
      </x:c>
      <x:c r="H721" s="12" t="n">
        <x:v>0.5555555555555556</x:v>
      </x:c>
      <x:c r="I721" s="29" t="n">
        <x:f>'Assumptions'!$D$11+'Assumptions'!$D$12*(0.5-(G721+H721)/2)</x:f>
        <x:v>0.3</x:v>
      </x:c>
      <x:c r="J721" s="27" t="n">
        <x:f>'Assumptions'!$D$8*EXP(-'Assumptions'!$D$9*('Fleet Engine'!E201-10))*'Assumptions'!E56*'Assumptions'!G36</x:f>
        <x:v>25104.101673395035</x:v>
      </x:c>
      <x:c r="K721" s="27" t="n">
        <x:f>'Source Data'!F218+LN('Assumptions'!D56)+LN('Assumptions'!G35)</x:f>
        <x:v>7.916663861337495</x:v>
      </x:c>
      <x:c r="L721" s="27" t="n">
        <x:f>J721*(1-I721*(1-'Carrier Engine'!E94))</x:f>
        <x:v>17874.120391457265</x:v>
      </x:c>
      <x:c r="M721" s="29" t="n">
        <x:f>NORM.S.DIST((LN(L721)-K721)/'Assumptions'!$D$10,TRUE)</x:f>
        <x:v>0.883713600649329</x:v>
      </x:c>
      <x:c r="N721" s="30" t="n">
        <x:f>MAX(0,H721-MAX(G721,M721))</x:f>
        <x:v>0</x:v>
      </x:c>
      <x:c r="O721" s="28" t="n">
        <x:f>J721*I721</x:f>
        <x:v>7531.23050201851</x:v>
      </x:c>
      <x:c r="P721" s="27" t="n">
        <x:f>(VLOOKUP(O721,'Fee Data'!$C$6:$G$50,2,TRUE)+O721*VLOOKUP(O721,'Fee Data'!$C$6:$G$50,3,TRUE)+VLOOKUP(O721,'Fee Data'!$I$6:$J$14,2,TRUE)+'Fee Data'!$J$20+'Fee Data'!$J$21)*'Assumptions'!G37</x:f>
        <x:v>1135</x:v>
      </x:c>
      <x:c r="Q721" s="27" t="n">
        <x:f>(VLOOKUP(O721,'Fee Data'!$C$6:$G$50,4,TRUE)+O721*VLOOKUP(O721,'Fee Data'!$C$6:$G$50,5,TRUE)+VLOOKUP(O721,'Fee Data'!$I$6:$J$14,2,TRUE)+'Fee Data'!$J$20+'Fee Data'!$J$21)*'Assumptions'!G37</x:f>
        <x:v>1010</x:v>
      </x:c>
      <x:c r="R721" s="27" t="n">
        <x:f>P721*(1-'Assumptions'!$D$14)+Q721*'Assumptions'!$D$14</x:f>
        <x:v>1072.5</x:v>
      </x:c>
      <x:c r="S721" s="27" t="n">
        <x:f>O721*'Carrier Engine'!E94</x:f>
        <x:v>301.24922008074043</x:v>
      </x:c>
      <x:c r="T721" s="28" t="n">
        <x:f>R721+S721</x:f>
        <x:v>1373.7492200807405</x:v>
      </x:c>
      <x:c r="U721" s="27" t="n">
        <x:f>N721*'Fleet Engine'!I201</x:f>
        <x:v>0</x:v>
      </x:c>
      <x:c r="V721" s="28" t="n">
        <x:f>U721*T721</x:f>
        <x:v>0</x:v>
      </x:c>
      <x:c r="W721" s="28" t="n">
        <x:f>U721*O721</x:f>
        <x:v>0</x:v>
      </x:c>
    </x:row>
    <x:row r="722" ht="19" customHeight="1">
      <x:c r="A722" s="2"/>
      <x:c r="B722" s="2"/>
      <x:c r="C722" s="46" t="n">
        <x:v>3</x:v>
      </x:c>
      <x:c r="D722" s="46" t="n">
        <x:v>7</x:v>
      </x:c>
      <x:c r="E722" s="46" t="n">
        <x:v>1</x:v>
      </x:c>
      <x:c r="F722" s="46" t="n">
        <x:v>1</x:v>
      </x:c>
      <x:c r="G722" s="12" t="n">
        <x:v>0.5555555555555556</x:v>
      </x:c>
      <x:c r="H722" s="12" t="n">
        <x:v>0.6666666666666666</x:v>
      </x:c>
      <x:c r="I722" s="29" t="n">
        <x:f>'Assumptions'!$D$11+'Assumptions'!$D$12*(0.5-(G722+H722)/2)</x:f>
        <x:v>0.27777777777777773</x:v>
      </x:c>
      <x:c r="J722" s="27" t="n">
        <x:f>'Assumptions'!$D$8*EXP(-'Assumptions'!$D$9*('Fleet Engine'!E201-10))*'Assumptions'!E56*'Assumptions'!G36</x:f>
        <x:v>25104.101673395035</x:v>
      </x:c>
      <x:c r="K722" s="27" t="n">
        <x:f>'Source Data'!F218+LN('Assumptions'!D56)+LN('Assumptions'!G35)</x:f>
        <x:v>7.916663861337495</x:v>
      </x:c>
      <x:c r="L722" s="27" t="n">
        <x:f>J722*(1-I722*(1-'Carrier Engine'!E94))</x:f>
        <x:v>18409.674560489693</x:v>
      </x:c>
      <x:c r="M722" s="29" t="n">
        <x:f>NORM.S.DIST((LN(L722)-K722)/'Assumptions'!$D$10,TRUE)</x:f>
        <x:v>0.8873508102719798</x:v>
      </x:c>
      <x:c r="N722" s="30" t="n">
        <x:f>MAX(0,H722-MAX(G722,M722))</x:f>
        <x:v>0</x:v>
      </x:c>
      <x:c r="O722" s="28" t="n">
        <x:f>J722*I722</x:f>
        <x:v>6973.361575943064</x:v>
      </x:c>
      <x:c r="P722" s="27" t="n">
        <x:f>(VLOOKUP(O722,'Fee Data'!$C$6:$G$50,2,TRUE)+O722*VLOOKUP(O722,'Fee Data'!$C$6:$G$50,3,TRUE)+VLOOKUP(O722,'Fee Data'!$I$6:$J$14,2,TRUE)+'Fee Data'!$J$20+'Fee Data'!$J$21)*'Assumptions'!G37</x:f>
        <x:v>1080</x:v>
      </x:c>
      <x:c r="Q722" s="27" t="n">
        <x:f>(VLOOKUP(O722,'Fee Data'!$C$6:$G$50,4,TRUE)+O722*VLOOKUP(O722,'Fee Data'!$C$6:$G$50,5,TRUE)+VLOOKUP(O722,'Fee Data'!$I$6:$J$14,2,TRUE)+'Fee Data'!$J$20+'Fee Data'!$J$21)*'Assumptions'!G37</x:f>
        <x:v>955</x:v>
      </x:c>
      <x:c r="R722" s="27" t="n">
        <x:f>P722*(1-'Assumptions'!$D$14)+Q722*'Assumptions'!$D$14</x:f>
        <x:v>1017.5</x:v>
      </x:c>
      <x:c r="S722" s="27" t="n">
        <x:f>O722*'Carrier Engine'!E94</x:f>
        <x:v>278.9344630377226</x:v>
      </x:c>
      <x:c r="T722" s="28" t="n">
        <x:f>R722+S722</x:f>
        <x:v>1296.4344630377227</x:v>
      </x:c>
      <x:c r="U722" s="27" t="n">
        <x:f>N722*'Fleet Engine'!I201</x:f>
        <x:v>0</x:v>
      </x:c>
      <x:c r="V722" s="28" t="n">
        <x:f>U722*T722</x:f>
        <x:v>0</x:v>
      </x:c>
      <x:c r="W722" s="28" t="n">
        <x:f>U722*O722</x:f>
        <x:v>0</x:v>
      </x:c>
    </x:row>
    <x:row r="723" ht="19" customHeight="1">
      <x:c r="A723" s="2"/>
      <x:c r="B723" s="2"/>
      <x:c r="C723" s="46" t="n">
        <x:v>3</x:v>
      </x:c>
      <x:c r="D723" s="46" t="n">
        <x:v>7</x:v>
      </x:c>
      <x:c r="E723" s="46" t="n">
        <x:v>1</x:v>
      </x:c>
      <x:c r="F723" s="46" t="n">
        <x:v>1</x:v>
      </x:c>
      <x:c r="G723" s="12" t="n">
        <x:v>0.6666666666666666</x:v>
      </x:c>
      <x:c r="H723" s="12" t="n">
        <x:v>0.7777777777777778</x:v>
      </x:c>
      <x:c r="I723" s="29" t="n">
        <x:f>'Assumptions'!$D$11+'Assumptions'!$D$12*(0.5-(G723+H723)/2)</x:f>
        <x:v>0.25555555555555554</x:v>
      </x:c>
      <x:c r="J723" s="27" t="n">
        <x:f>'Assumptions'!$D$8*EXP(-'Assumptions'!$D$9*('Fleet Engine'!E201-10))*'Assumptions'!E56*'Assumptions'!G36</x:f>
        <x:v>25104.101673395035</x:v>
      </x:c>
      <x:c r="K723" s="27" t="n">
        <x:f>'Source Data'!F218+LN('Assumptions'!D56)+LN('Assumptions'!G35)</x:f>
        <x:v>7.916663861337495</x:v>
      </x:c>
      <x:c r="L723" s="27" t="n">
        <x:f>J723*(1-I723*(1-'Carrier Engine'!E94))</x:f>
        <x:v>18945.22872952212</x:v>
      </x:c>
      <x:c r="M723" s="29" t="n">
        <x:f>NORM.S.DIST((LN(L723)-K723)/'Assumptions'!$D$10,TRUE)</x:f>
        <x:v>0.8908052189301703</x:v>
      </x:c>
      <x:c r="N723" s="30" t="n">
        <x:f>MAX(0,H723-MAX(G723,M723))</x:f>
        <x:v>0</x:v>
      </x:c>
      <x:c r="O723" s="28" t="n">
        <x:f>J723*I723</x:f>
        <x:v>6415.49264986762</x:v>
      </x:c>
      <x:c r="P723" s="27" t="n">
        <x:f>(VLOOKUP(O723,'Fee Data'!$C$6:$G$50,2,TRUE)+O723*VLOOKUP(O723,'Fee Data'!$C$6:$G$50,3,TRUE)+VLOOKUP(O723,'Fee Data'!$I$6:$J$14,2,TRUE)+'Fee Data'!$J$20+'Fee Data'!$J$21)*'Assumptions'!G37</x:f>
        <x:v>1060</x:v>
      </x:c>
      <x:c r="Q723" s="27" t="n">
        <x:f>(VLOOKUP(O723,'Fee Data'!$C$6:$G$50,4,TRUE)+O723*VLOOKUP(O723,'Fee Data'!$C$6:$G$50,5,TRUE)+VLOOKUP(O723,'Fee Data'!$I$6:$J$14,2,TRUE)+'Fee Data'!$J$20+'Fee Data'!$J$21)*'Assumptions'!G37</x:f>
        <x:v>935</x:v>
      </x:c>
      <x:c r="R723" s="27" t="n">
        <x:f>P723*(1-'Assumptions'!$D$14)+Q723*'Assumptions'!$D$14</x:f>
        <x:v>997.5</x:v>
      </x:c>
      <x:c r="S723" s="27" t="n">
        <x:f>O723*'Carrier Engine'!E94</x:f>
        <x:v>256.61970599470476</x:v>
      </x:c>
      <x:c r="T723" s="28" t="n">
        <x:f>R723+S723</x:f>
        <x:v>1254.1197059947049</x:v>
      </x:c>
      <x:c r="U723" s="27" t="n">
        <x:f>N723*'Fleet Engine'!I201</x:f>
        <x:v>0</x:v>
      </x:c>
      <x:c r="V723" s="28" t="n">
        <x:f>U723*T723</x:f>
        <x:v>0</x:v>
      </x:c>
      <x:c r="W723" s="28" t="n">
        <x:f>U723*O723</x:f>
        <x:v>0</x:v>
      </x:c>
    </x:row>
    <x:row r="724" ht="19" customHeight="1">
      <x:c r="A724" s="2"/>
      <x:c r="B724" s="2"/>
      <x:c r="C724" s="46" t="n">
        <x:v>3</x:v>
      </x:c>
      <x:c r="D724" s="46" t="n">
        <x:v>7</x:v>
      </x:c>
      <x:c r="E724" s="46" t="n">
        <x:v>1</x:v>
      </x:c>
      <x:c r="F724" s="46" t="n">
        <x:v>1</x:v>
      </x:c>
      <x:c r="G724" s="12" t="n">
        <x:v>0.7777777777777778</x:v>
      </x:c>
      <x:c r="H724" s="12" t="n">
        <x:v>0.8888888888888888</x:v>
      </x:c>
      <x:c r="I724" s="29" t="n">
        <x:f>'Assumptions'!$D$11+'Assumptions'!$D$12*(0.5-(G724+H724)/2)</x:f>
        <x:v>0.23333333333333334</x:v>
      </x:c>
      <x:c r="J724" s="27" t="n">
        <x:f>'Assumptions'!$D$8*EXP(-'Assumptions'!$D$9*('Fleet Engine'!E201-10))*'Assumptions'!E56*'Assumptions'!G36</x:f>
        <x:v>25104.101673395035</x:v>
      </x:c>
      <x:c r="K724" s="27" t="n">
        <x:f>'Source Data'!F218+LN('Assumptions'!D56)+LN('Assumptions'!G35)</x:f>
        <x:v>7.916663861337495</x:v>
      </x:c>
      <x:c r="L724" s="27" t="n">
        <x:f>J724*(1-I724*(1-'Carrier Engine'!E94))</x:f>
        <x:v>19480.782898554546</x:v>
      </x:c>
      <x:c r="M724" s="29" t="n">
        <x:f>NORM.S.DIST((LN(L724)-K724)/'Assumptions'!$D$10,TRUE)</x:f>
        <x:v>0.8940897210910779</x:v>
      </x:c>
      <x:c r="N724" s="30" t="n">
        <x:f>MAX(0,H724-MAX(G724,M724))</x:f>
        <x:v>0</x:v>
      </x:c>
      <x:c r="O724" s="28" t="n">
        <x:f>J724*I724</x:f>
        <x:v>5857.623723792175</x:v>
      </x:c>
      <x:c r="P724" s="27" t="n">
        <x:f>(VLOOKUP(O724,'Fee Data'!$C$6:$G$50,2,TRUE)+O724*VLOOKUP(O724,'Fee Data'!$C$6:$G$50,3,TRUE)+VLOOKUP(O724,'Fee Data'!$I$6:$J$14,2,TRUE)+'Fee Data'!$J$20+'Fee Data'!$J$21)*'Assumptions'!G37</x:f>
        <x:v>1020</x:v>
      </x:c>
      <x:c r="Q724" s="27" t="n">
        <x:f>(VLOOKUP(O724,'Fee Data'!$C$6:$G$50,4,TRUE)+O724*VLOOKUP(O724,'Fee Data'!$C$6:$G$50,5,TRUE)+VLOOKUP(O724,'Fee Data'!$I$6:$J$14,2,TRUE)+'Fee Data'!$J$20+'Fee Data'!$J$21)*'Assumptions'!G37</x:f>
        <x:v>895</x:v>
      </x:c>
      <x:c r="R724" s="27" t="n">
        <x:f>P724*(1-'Assumptions'!$D$14)+Q724*'Assumptions'!$D$14</x:f>
        <x:v>957.5</x:v>
      </x:c>
      <x:c r="S724" s="27" t="n">
        <x:f>O724*'Carrier Engine'!E94</x:f>
        <x:v>234.304948951687</x:v>
      </x:c>
      <x:c r="T724" s="28" t="n">
        <x:f>R724+S724</x:f>
        <x:v>1191.804948951687</x:v>
      </x:c>
      <x:c r="U724" s="27" t="n">
        <x:f>N724*'Fleet Engine'!I201</x:f>
        <x:v>0</x:v>
      </x:c>
      <x:c r="V724" s="28" t="n">
        <x:f>U724*T724</x:f>
        <x:v>0</x:v>
      </x:c>
      <x:c r="W724" s="28" t="n">
        <x:f>U724*O724</x:f>
        <x:v>0</x:v>
      </x:c>
    </x:row>
    <x:row r="725" ht="19" customHeight="1">
      <x:c r="A725" s="2"/>
      <x:c r="B725" s="2"/>
      <x:c r="C725" s="46" t="n">
        <x:v>3</x:v>
      </x:c>
      <x:c r="D725" s="46" t="n">
        <x:v>7</x:v>
      </x:c>
      <x:c r="E725" s="46" t="n">
        <x:v>1</x:v>
      </x:c>
      <x:c r="F725" s="46" t="n">
        <x:v>1</x:v>
      </x:c>
      <x:c r="G725" s="12" t="n">
        <x:v>0.8888888888888888</x:v>
      </x:c>
      <x:c r="H725" s="12" t="n">
        <x:v>1</x:v>
      </x:c>
      <x:c r="I725" s="29" t="n">
        <x:f>'Assumptions'!$D$11+'Assumptions'!$D$12*(0.5-(G725+H725)/2)</x:f>
        <x:v>0.21111111111111108</x:v>
      </x:c>
      <x:c r="J725" s="27" t="n">
        <x:f>'Assumptions'!$D$8*EXP(-'Assumptions'!$D$9*('Fleet Engine'!E201-10))*'Assumptions'!E56*'Assumptions'!G36</x:f>
        <x:v>25104.101673395035</x:v>
      </x:c>
      <x:c r="K725" s="27" t="n">
        <x:f>'Source Data'!F218+LN('Assumptions'!D56)+LN('Assumptions'!G35)</x:f>
        <x:v>7.916663861337495</x:v>
      </x:c>
      <x:c r="L725" s="27" t="n">
        <x:f>J725*(1-I725*(1-'Carrier Engine'!E94))</x:f>
        <x:v>20016.337067586974</x:v>
      </x:c>
      <x:c r="M725" s="29" t="n">
        <x:f>NORM.S.DIST((LN(L725)-K725)/'Assumptions'!$D$10,TRUE)</x:f>
        <x:v>0.897216036126494</x:v>
      </x:c>
      <x:c r="N725" s="30" t="n">
        <x:f>MAX(0,H725-MAX(G725,M725))</x:f>
        <x:v>0.10278396387350597</x:v>
      </x:c>
      <x:c r="O725" s="28" t="n">
        <x:f>J725*I725</x:f>
        <x:v>5299.754797716729</x:v>
      </x:c>
      <x:c r="P725" s="27" t="n">
        <x:f>(VLOOKUP(O725,'Fee Data'!$C$6:$G$50,2,TRUE)+O725*VLOOKUP(O725,'Fee Data'!$C$6:$G$50,3,TRUE)+VLOOKUP(O725,'Fee Data'!$I$6:$J$14,2,TRUE)+'Fee Data'!$J$20+'Fee Data'!$J$21)*'Assumptions'!G37</x:f>
        <x:v>995</x:v>
      </x:c>
      <x:c r="Q725" s="27" t="n">
        <x:f>(VLOOKUP(O725,'Fee Data'!$C$6:$G$50,4,TRUE)+O725*VLOOKUP(O725,'Fee Data'!$C$6:$G$50,5,TRUE)+VLOOKUP(O725,'Fee Data'!$I$6:$J$14,2,TRUE)+'Fee Data'!$J$20+'Fee Data'!$J$21)*'Assumptions'!G37</x:f>
        <x:v>870</x:v>
      </x:c>
      <x:c r="R725" s="27" t="n">
        <x:f>P725*(1-'Assumptions'!$D$14)+Q725*'Assumptions'!$D$14</x:f>
        <x:v>932.5</x:v>
      </x:c>
      <x:c r="S725" s="27" t="n">
        <x:f>O725*'Carrier Engine'!E94</x:f>
        <x:v>211.99019190866915</x:v>
      </x:c>
      <x:c r="T725" s="28" t="n">
        <x:f>R725+S725</x:f>
        <x:v>1144.4901919086692</x:v>
      </x:c>
      <x:c r="U725" s="27" t="n">
        <x:f>N725*'Fleet Engine'!I201</x:f>
        <x:v>2646.542902847593</x:v>
      </x:c>
      <x:c r="V725" s="28" t="n">
        <x:f>U725*T725</x:f>
        <x:v>3028942.394774568</x:v>
      </x:c>
      <x:c r="W725" s="28" t="n">
        <x:f>U725*O725</x:f>
        <x:v>14026028.446729688</x:v>
      </x:c>
    </x:row>
    <x:row r="726" ht="19" customHeight="1">
      <x:c r="A726" s="2"/>
      <x:c r="B726" s="2"/>
      <x:c r="C726" s="46" t="n">
        <x:v>3</x:v>
      </x:c>
      <x:c r="D726" s="46" t="n">
        <x:v>8</x:v>
      </x:c>
      <x:c r="E726" s="46" t="n">
        <x:v>1</x:v>
      </x:c>
      <x:c r="F726" s="46" t="n">
        <x:v>2</x:v>
      </x:c>
      <x:c r="G726" s="12" t="n">
        <x:v>0</x:v>
      </x:c>
      <x:c r="H726" s="12" t="n">
        <x:v>0.1111111111111111</x:v>
      </x:c>
      <x:c r="I726" s="29" t="n">
        <x:f>'Assumptions'!$D$11+'Assumptions'!$D$12*(0.5-(G726+H726)/2)</x:f>
        <x:v>0.3888888888888889</x:v>
      </x:c>
      <x:c r="J726" s="27" t="n">
        <x:f>'Assumptions'!$D$8*EXP(-'Assumptions'!$D$9*('Fleet Engine'!E202-10))*'Assumptions'!E56*'Assumptions'!G36</x:f>
        <x:v>18597.575933497446</x:v>
      </x:c>
      <x:c r="K726" s="27" t="n">
        <x:f>'Source Data'!F219+LN('Assumptions'!D56)+LN('Assumptions'!G35)</x:f>
        <x:v>7.962345702623303</x:v>
      </x:c>
      <x:c r="L726" s="27" t="n">
        <x:f>J726*(1-I726*(1-'Carrier Engine'!E94))</x:f>
        <x:v>11654.480918325067</x:v>
      </x:c>
      <x:c r="M726" s="29" t="n">
        <x:f>NORM.S.DIST((LN(L726)-K726)/'Assumptions'!$D$10,TRUE)</x:f>
        <x:v>0.8138848687134156</x:v>
      </x:c>
      <x:c r="N726" s="30" t="n">
        <x:f>MAX(0,H726-MAX(G726,M726))</x:f>
        <x:v>0</x:v>
      </x:c>
      <x:c r="O726" s="28" t="n">
        <x:f>J726*I726</x:f>
        <x:v>7232.390640804562</x:v>
      </x:c>
      <x:c r="P726" s="27" t="n">
        <x:f>(VLOOKUP(O726,'Fee Data'!$C$6:$G$50,2,TRUE)+O726*VLOOKUP(O726,'Fee Data'!$C$6:$G$50,3,TRUE)+VLOOKUP(O726,'Fee Data'!$I$6:$J$14,2,TRUE)+'Fee Data'!$J$20+'Fee Data'!$J$21)*'Assumptions'!G37</x:f>
        <x:v>1115</x:v>
      </x:c>
      <x:c r="Q726" s="27" t="n">
        <x:f>(VLOOKUP(O726,'Fee Data'!$C$6:$G$50,4,TRUE)+O726*VLOOKUP(O726,'Fee Data'!$C$6:$G$50,5,TRUE)+VLOOKUP(O726,'Fee Data'!$I$6:$J$14,2,TRUE)+'Fee Data'!$J$20+'Fee Data'!$J$21)*'Assumptions'!G37</x:f>
        <x:v>990</x:v>
      </x:c>
      <x:c r="R726" s="27" t="n">
        <x:f>P726*(1-'Assumptions'!$D$14)+Q726*'Assumptions'!$D$14</x:f>
        <x:v>1052.5</x:v>
      </x:c>
      <x:c r="S726" s="27" t="n">
        <x:f>O726*'Carrier Engine'!E94</x:f>
        <x:v>289.2956256321825</x:v>
      </x:c>
      <x:c r="T726" s="28" t="n">
        <x:f>R726+S726</x:f>
        <x:v>1341.7956256321825</x:v>
      </x:c>
      <x:c r="U726" s="27" t="n">
        <x:f>N726*'Fleet Engine'!I202</x:f>
        <x:v>0</x:v>
      </x:c>
      <x:c r="V726" s="28" t="n">
        <x:f>U726*T726</x:f>
        <x:v>0</x:v>
      </x:c>
      <x:c r="W726" s="28" t="n">
        <x:f>U726*O726</x:f>
        <x:v>0</x:v>
      </x:c>
    </x:row>
    <x:row r="727" ht="19" customHeight="1">
      <x:c r="A727" s="2"/>
      <x:c r="B727" s="2"/>
      <x:c r="C727" s="46" t="n">
        <x:v>3</x:v>
      </x:c>
      <x:c r="D727" s="46" t="n">
        <x:v>8</x:v>
      </x:c>
      <x:c r="E727" s="46" t="n">
        <x:v>1</x:v>
      </x:c>
      <x:c r="F727" s="46" t="n">
        <x:v>2</x:v>
      </x:c>
      <x:c r="G727" s="12" t="n">
        <x:v>0.1111111111111111</x:v>
      </x:c>
      <x:c r="H727" s="12" t="n">
        <x:v>0.2222222222222222</x:v>
      </x:c>
      <x:c r="I727" s="29" t="n">
        <x:f>'Assumptions'!$D$11+'Assumptions'!$D$12*(0.5-(G727+H727)/2)</x:f>
        <x:v>0.3666666666666667</x:v>
      </x:c>
      <x:c r="J727" s="27" t="n">
        <x:f>'Assumptions'!$D$8*EXP(-'Assumptions'!$D$9*('Fleet Engine'!E202-10))*'Assumptions'!E56*'Assumptions'!G36</x:f>
        <x:v>18597.575933497446</x:v>
      </x:c>
      <x:c r="K727" s="27" t="n">
        <x:f>'Source Data'!F219+LN('Assumptions'!D56)+LN('Assumptions'!G35)</x:f>
        <x:v>7.962345702623303</x:v>
      </x:c>
      <x:c r="L727" s="27" t="n">
        <x:f>J727*(1-I727*(1-'Carrier Engine'!E94))</x:f>
        <x:v>12051.229204906344</x:v>
      </x:c>
      <x:c r="M727" s="29" t="n">
        <x:f>NORM.S.DIST((LN(L727)-K727)/'Assumptions'!$D$10,TRUE)</x:f>
        <x:v>0.8195425068236845</x:v>
      </x:c>
      <x:c r="N727" s="30" t="n">
        <x:f>MAX(0,H727-MAX(G727,M727))</x:f>
        <x:v>0</x:v>
      </x:c>
      <x:c r="O727" s="28" t="n">
        <x:f>J727*I727</x:f>
        <x:v>6819.111175615731</x:v>
      </x:c>
      <x:c r="P727" s="27" t="n">
        <x:f>(VLOOKUP(O727,'Fee Data'!$C$6:$G$50,2,TRUE)+O727*VLOOKUP(O727,'Fee Data'!$C$6:$G$50,3,TRUE)+VLOOKUP(O727,'Fee Data'!$I$6:$J$14,2,TRUE)+'Fee Data'!$J$20+'Fee Data'!$J$21)*'Assumptions'!G37</x:f>
        <x:v>1080</x:v>
      </x:c>
      <x:c r="Q727" s="27" t="n">
        <x:f>(VLOOKUP(O727,'Fee Data'!$C$6:$G$50,4,TRUE)+O727*VLOOKUP(O727,'Fee Data'!$C$6:$G$50,5,TRUE)+VLOOKUP(O727,'Fee Data'!$I$6:$J$14,2,TRUE)+'Fee Data'!$J$20+'Fee Data'!$J$21)*'Assumptions'!G37</x:f>
        <x:v>955</x:v>
      </x:c>
      <x:c r="R727" s="27" t="n">
        <x:f>P727*(1-'Assumptions'!$D$14)+Q727*'Assumptions'!$D$14</x:f>
        <x:v>1017.5</x:v>
      </x:c>
      <x:c r="S727" s="27" t="n">
        <x:f>O727*'Carrier Engine'!E94</x:f>
        <x:v>272.76444702462925</x:v>
      </x:c>
      <x:c r="T727" s="28" t="n">
        <x:f>R727+S727</x:f>
        <x:v>1290.2644470246291</x:v>
      </x:c>
      <x:c r="U727" s="27" t="n">
        <x:f>N727*'Fleet Engine'!I202</x:f>
        <x:v>0</x:v>
      </x:c>
      <x:c r="V727" s="28" t="n">
        <x:f>U727*T727</x:f>
        <x:v>0</x:v>
      </x:c>
      <x:c r="W727" s="28" t="n">
        <x:f>U727*O727</x:f>
        <x:v>0</x:v>
      </x:c>
    </x:row>
    <x:row r="728" ht="19" customHeight="1">
      <x:c r="A728" s="2"/>
      <x:c r="B728" s="2"/>
      <x:c r="C728" s="46" t="n">
        <x:v>3</x:v>
      </x:c>
      <x:c r="D728" s="46" t="n">
        <x:v>8</x:v>
      </x:c>
      <x:c r="E728" s="46" t="n">
        <x:v>1</x:v>
      </x:c>
      <x:c r="F728" s="46" t="n">
        <x:v>2</x:v>
      </x:c>
      <x:c r="G728" s="12" t="n">
        <x:v>0.2222222222222222</x:v>
      </x:c>
      <x:c r="H728" s="12" t="n">
        <x:v>0.3333333333333333</x:v>
      </x:c>
      <x:c r="I728" s="29" t="n">
        <x:f>'Assumptions'!$D$11+'Assumptions'!$D$12*(0.5-(G728+H728)/2)</x:f>
        <x:v>0.34444444444444444</x:v>
      </x:c>
      <x:c r="J728" s="27" t="n">
        <x:f>'Assumptions'!$D$8*EXP(-'Assumptions'!$D$9*('Fleet Engine'!E202-10))*'Assumptions'!E56*'Assumptions'!G36</x:f>
        <x:v>18597.575933497446</x:v>
      </x:c>
      <x:c r="K728" s="27" t="n">
        <x:f>'Source Data'!F219+LN('Assumptions'!D56)+LN('Assumptions'!G35)</x:f>
        <x:v>7.962345702623303</x:v>
      </x:c>
      <x:c r="L728" s="27" t="n">
        <x:f>J728*(1-I728*(1-'Carrier Engine'!E94))</x:f>
        <x:v>12447.977491487623</x:v>
      </x:c>
      <x:c r="M728" s="29" t="n">
        <x:f>NORM.S.DIST((LN(L728)-K728)/'Assumptions'!$D$10,TRUE)</x:f>
        <x:v>0.8249129898049964</x:v>
      </x:c>
      <x:c r="N728" s="30" t="n">
        <x:f>MAX(0,H728-MAX(G728,M728))</x:f>
        <x:v>0</x:v>
      </x:c>
      <x:c r="O728" s="28" t="n">
        <x:f>J728*I728</x:f>
        <x:v>6405.831710426898</x:v>
      </x:c>
      <x:c r="P728" s="27" t="n">
        <x:f>(VLOOKUP(O728,'Fee Data'!$C$6:$G$50,2,TRUE)+O728*VLOOKUP(O728,'Fee Data'!$C$6:$G$50,3,TRUE)+VLOOKUP(O728,'Fee Data'!$I$6:$J$14,2,TRUE)+'Fee Data'!$J$20+'Fee Data'!$J$21)*'Assumptions'!G37</x:f>
        <x:v>1060</x:v>
      </x:c>
      <x:c r="Q728" s="27" t="n">
        <x:f>(VLOOKUP(O728,'Fee Data'!$C$6:$G$50,4,TRUE)+O728*VLOOKUP(O728,'Fee Data'!$C$6:$G$50,5,TRUE)+VLOOKUP(O728,'Fee Data'!$I$6:$J$14,2,TRUE)+'Fee Data'!$J$20+'Fee Data'!$J$21)*'Assumptions'!G37</x:f>
        <x:v>935</x:v>
      </x:c>
      <x:c r="R728" s="27" t="n">
        <x:f>P728*(1-'Assumptions'!$D$14)+Q728*'Assumptions'!$D$14</x:f>
        <x:v>997.5</x:v>
      </x:c>
      <x:c r="S728" s="27" t="n">
        <x:f>O728*'Carrier Engine'!E94</x:f>
        <x:v>256.2332684170759</x:v>
      </x:c>
      <x:c r="T728" s="28" t="n">
        <x:f>R728+S728</x:f>
        <x:v>1253.733268417076</x:v>
      </x:c>
      <x:c r="U728" s="27" t="n">
        <x:f>N728*'Fleet Engine'!I202</x:f>
        <x:v>0</x:v>
      </x:c>
      <x:c r="V728" s="28" t="n">
        <x:f>U728*T728</x:f>
        <x:v>0</x:v>
      </x:c>
      <x:c r="W728" s="28" t="n">
        <x:f>U728*O728</x:f>
        <x:v>0</x:v>
      </x:c>
    </x:row>
    <x:row r="729" ht="19" customHeight="1">
      <x:c r="A729" s="2"/>
      <x:c r="B729" s="2"/>
      <x:c r="C729" s="46" t="n">
        <x:v>3</x:v>
      </x:c>
      <x:c r="D729" s="46" t="n">
        <x:v>8</x:v>
      </x:c>
      <x:c r="E729" s="46" t="n">
        <x:v>1</x:v>
      </x:c>
      <x:c r="F729" s="46" t="n">
        <x:v>2</x:v>
      </x:c>
      <x:c r="G729" s="12" t="n">
        <x:v>0.3333333333333333</x:v>
      </x:c>
      <x:c r="H729" s="12" t="n">
        <x:v>0.4444444444444444</x:v>
      </x:c>
      <x:c r="I729" s="29" t="n">
        <x:f>'Assumptions'!$D$11+'Assumptions'!$D$12*(0.5-(G729+H729)/2)</x:f>
        <x:v>0.32222222222222224</x:v>
      </x:c>
      <x:c r="J729" s="27" t="n">
        <x:f>'Assumptions'!$D$8*EXP(-'Assumptions'!$D$9*('Fleet Engine'!E202-10))*'Assumptions'!E56*'Assumptions'!G36</x:f>
        <x:v>18597.575933497446</x:v>
      </x:c>
      <x:c r="K729" s="27" t="n">
        <x:f>'Source Data'!F219+LN('Assumptions'!D56)+LN('Assumptions'!G35)</x:f>
        <x:v>7.962345702623303</x:v>
      </x:c>
      <x:c r="L729" s="27" t="n">
        <x:f>J729*(1-I729*(1-'Carrier Engine'!E94))</x:f>
        <x:v>12844.725778068903</x:v>
      </x:c>
      <x:c r="M729" s="29" t="n">
        <x:f>NORM.S.DIST((LN(L729)-K729)/'Assumptions'!$D$10,TRUE)</x:f>
        <x:v>0.8300172277569353</x:v>
      </x:c>
      <x:c r="N729" s="30" t="n">
        <x:f>MAX(0,H729-MAX(G729,M729))</x:f>
        <x:v>0</x:v>
      </x:c>
      <x:c r="O729" s="28" t="n">
        <x:f>J729*I729</x:f>
        <x:v>5992.5522452380665</x:v>
      </x:c>
      <x:c r="P729" s="27" t="n">
        <x:f>(VLOOKUP(O729,'Fee Data'!$C$6:$G$50,2,TRUE)+O729*VLOOKUP(O729,'Fee Data'!$C$6:$G$50,3,TRUE)+VLOOKUP(O729,'Fee Data'!$I$6:$J$14,2,TRUE)+'Fee Data'!$J$20+'Fee Data'!$J$21)*'Assumptions'!G37</x:f>
        <x:v>1020</x:v>
      </x:c>
      <x:c r="Q729" s="27" t="n">
        <x:f>(VLOOKUP(O729,'Fee Data'!$C$6:$G$50,4,TRUE)+O729*VLOOKUP(O729,'Fee Data'!$C$6:$G$50,5,TRUE)+VLOOKUP(O729,'Fee Data'!$I$6:$J$14,2,TRUE)+'Fee Data'!$J$20+'Fee Data'!$J$21)*'Assumptions'!G37</x:f>
        <x:v>895</x:v>
      </x:c>
      <x:c r="R729" s="27" t="n">
        <x:f>P729*(1-'Assumptions'!$D$14)+Q729*'Assumptions'!$D$14</x:f>
        <x:v>957.5</x:v>
      </x:c>
      <x:c r="S729" s="27" t="n">
        <x:f>O729*'Carrier Engine'!E94</x:f>
        <x:v>239.70208980952268</x:v>
      </x:c>
      <x:c r="T729" s="28" t="n">
        <x:f>R729+S729</x:f>
        <x:v>1197.2020898095227</x:v>
      </x:c>
      <x:c r="U729" s="27" t="n">
        <x:f>N729*'Fleet Engine'!I202</x:f>
        <x:v>0</x:v>
      </x:c>
      <x:c r="V729" s="28" t="n">
        <x:f>U729*T729</x:f>
        <x:v>0</x:v>
      </x:c>
      <x:c r="W729" s="28" t="n">
        <x:f>U729*O729</x:f>
        <x:v>0</x:v>
      </x:c>
    </x:row>
    <x:row r="730" ht="19" customHeight="1">
      <x:c r="A730" s="2"/>
      <x:c r="B730" s="2"/>
      <x:c r="C730" s="46" t="n">
        <x:v>3</x:v>
      </x:c>
      <x:c r="D730" s="46" t="n">
        <x:v>8</x:v>
      </x:c>
      <x:c r="E730" s="46" t="n">
        <x:v>1</x:v>
      </x:c>
      <x:c r="F730" s="46" t="n">
        <x:v>2</x:v>
      </x:c>
      <x:c r="G730" s="12" t="n">
        <x:v>0.4444444444444444</x:v>
      </x:c>
      <x:c r="H730" s="12" t="n">
        <x:v>0.5555555555555556</x:v>
      </x:c>
      <x:c r="I730" s="29" t="n">
        <x:f>'Assumptions'!$D$11+'Assumptions'!$D$12*(0.5-(G730+H730)/2)</x:f>
        <x:v>0.3</x:v>
      </x:c>
      <x:c r="J730" s="27" t="n">
        <x:f>'Assumptions'!$D$8*EXP(-'Assumptions'!$D$9*('Fleet Engine'!E202-10))*'Assumptions'!E56*'Assumptions'!G36</x:f>
        <x:v>18597.575933497446</x:v>
      </x:c>
      <x:c r="K730" s="27" t="n">
        <x:f>'Source Data'!F219+LN('Assumptions'!D56)+LN('Assumptions'!G35)</x:f>
        <x:v>7.962345702623303</x:v>
      </x:c>
      <x:c r="L730" s="27" t="n">
        <x:f>J730*(1-I730*(1-'Carrier Engine'!E94))</x:f>
        <x:v>13241.474064650181</x:v>
      </x:c>
      <x:c r="M730" s="29" t="n">
        <x:f>NORM.S.DIST((LN(L730)-K730)/'Assumptions'!$D$10,TRUE)</x:f>
        <x:v>0.8348741378031481</x:v>
      </x:c>
      <x:c r="N730" s="30" t="n">
        <x:f>MAX(0,H730-MAX(G730,M730))</x:f>
        <x:v>0</x:v>
      </x:c>
      <x:c r="O730" s="28" t="n">
        <x:f>J730*I730</x:f>
        <x:v>5579.272780049234</x:v>
      </x:c>
      <x:c r="P730" s="27" t="n">
        <x:f>(VLOOKUP(O730,'Fee Data'!$C$6:$G$50,2,TRUE)+O730*VLOOKUP(O730,'Fee Data'!$C$6:$G$50,3,TRUE)+VLOOKUP(O730,'Fee Data'!$I$6:$J$14,2,TRUE)+'Fee Data'!$J$20+'Fee Data'!$J$21)*'Assumptions'!G37</x:f>
        <x:v>1020</x:v>
      </x:c>
      <x:c r="Q730" s="27" t="n">
        <x:f>(VLOOKUP(O730,'Fee Data'!$C$6:$G$50,4,TRUE)+O730*VLOOKUP(O730,'Fee Data'!$C$6:$G$50,5,TRUE)+VLOOKUP(O730,'Fee Data'!$I$6:$J$14,2,TRUE)+'Fee Data'!$J$20+'Fee Data'!$J$21)*'Assumptions'!G37</x:f>
        <x:v>895</x:v>
      </x:c>
      <x:c r="R730" s="27" t="n">
        <x:f>P730*(1-'Assumptions'!$D$14)+Q730*'Assumptions'!$D$14</x:f>
        <x:v>957.5</x:v>
      </x:c>
      <x:c r="S730" s="27" t="n">
        <x:f>O730*'Carrier Engine'!E94</x:f>
        <x:v>223.17091120196937</x:v>
      </x:c>
      <x:c r="T730" s="28" t="n">
        <x:f>R730+S730</x:f>
        <x:v>1180.6709112019694</x:v>
      </x:c>
      <x:c r="U730" s="27" t="n">
        <x:f>N730*'Fleet Engine'!I202</x:f>
        <x:v>0</x:v>
      </x:c>
      <x:c r="V730" s="28" t="n">
        <x:f>U730*T730</x:f>
        <x:v>0</x:v>
      </x:c>
      <x:c r="W730" s="28" t="n">
        <x:f>U730*O730</x:f>
        <x:v>0</x:v>
      </x:c>
    </x:row>
    <x:row r="731" ht="19" customHeight="1">
      <x:c r="A731" s="2"/>
      <x:c r="B731" s="2"/>
      <x:c r="C731" s="46" t="n">
        <x:v>3</x:v>
      </x:c>
      <x:c r="D731" s="46" t="n">
        <x:v>8</x:v>
      </x:c>
      <x:c r="E731" s="46" t="n">
        <x:v>1</x:v>
      </x:c>
      <x:c r="F731" s="46" t="n">
        <x:v>2</x:v>
      </x:c>
      <x:c r="G731" s="12" t="n">
        <x:v>0.5555555555555556</x:v>
      </x:c>
      <x:c r="H731" s="12" t="n">
        <x:v>0.6666666666666666</x:v>
      </x:c>
      <x:c r="I731" s="29" t="n">
        <x:f>'Assumptions'!$D$11+'Assumptions'!$D$12*(0.5-(G731+H731)/2)</x:f>
        <x:v>0.27777777777777773</x:v>
      </x:c>
      <x:c r="J731" s="27" t="n">
        <x:f>'Assumptions'!$D$8*EXP(-'Assumptions'!$D$9*('Fleet Engine'!E202-10))*'Assumptions'!E56*'Assumptions'!G36</x:f>
        <x:v>18597.575933497446</x:v>
      </x:c>
      <x:c r="K731" s="27" t="n">
        <x:f>'Source Data'!F219+LN('Assumptions'!D56)+LN('Assumptions'!G35)</x:f>
        <x:v>7.962345702623303</x:v>
      </x:c>
      <x:c r="L731" s="27" t="n">
        <x:f>J731*(1-I731*(1-'Carrier Engine'!E94))</x:f>
        <x:v>13638.222351231461</x:v>
      </x:c>
      <x:c r="M731" s="29" t="n">
        <x:f>NORM.S.DIST((LN(L731)-K731)/'Assumptions'!$D$10,TRUE)</x:f>
        <x:v>0.839500878443892</x:v>
      </x:c>
      <x:c r="N731" s="30" t="n">
        <x:f>MAX(0,H731-MAX(G731,M731))</x:f>
        <x:v>0</x:v>
      </x:c>
      <x:c r="O731" s="28" t="n">
        <x:f>J731*I731</x:f>
        <x:v>5165.993314860401</x:v>
      </x:c>
      <x:c r="P731" s="27" t="n">
        <x:f>(VLOOKUP(O731,'Fee Data'!$C$6:$G$50,2,TRUE)+O731*VLOOKUP(O731,'Fee Data'!$C$6:$G$50,3,TRUE)+VLOOKUP(O731,'Fee Data'!$I$6:$J$14,2,TRUE)+'Fee Data'!$J$20+'Fee Data'!$J$21)*'Assumptions'!G37</x:f>
        <x:v>995</x:v>
      </x:c>
      <x:c r="Q731" s="27" t="n">
        <x:f>(VLOOKUP(O731,'Fee Data'!$C$6:$G$50,4,TRUE)+O731*VLOOKUP(O731,'Fee Data'!$C$6:$G$50,5,TRUE)+VLOOKUP(O731,'Fee Data'!$I$6:$J$14,2,TRUE)+'Fee Data'!$J$20+'Fee Data'!$J$21)*'Assumptions'!G37</x:f>
        <x:v>870</x:v>
      </x:c>
      <x:c r="R731" s="27" t="n">
        <x:f>P731*(1-'Assumptions'!$D$14)+Q731*'Assumptions'!$D$14</x:f>
        <x:v>932.5</x:v>
      </x:c>
      <x:c r="S731" s="27" t="n">
        <x:f>O731*'Carrier Engine'!E94</x:f>
        <x:v>206.63973259441605</x:v>
      </x:c>
      <x:c r="T731" s="28" t="n">
        <x:f>R731+S731</x:f>
        <x:v>1139.139732594416</x:v>
      </x:c>
      <x:c r="U731" s="27" t="n">
        <x:f>N731*'Fleet Engine'!I202</x:f>
        <x:v>0</x:v>
      </x:c>
      <x:c r="V731" s="28" t="n">
        <x:f>U731*T731</x:f>
        <x:v>0</x:v>
      </x:c>
      <x:c r="W731" s="28" t="n">
        <x:f>U731*O731</x:f>
        <x:v>0</x:v>
      </x:c>
    </x:row>
    <x:row r="732" ht="19" customHeight="1">
      <x:c r="A732" s="2"/>
      <x:c r="B732" s="2"/>
      <x:c r="C732" s="46" t="n">
        <x:v>3</x:v>
      </x:c>
      <x:c r="D732" s="46" t="n">
        <x:v>8</x:v>
      </x:c>
      <x:c r="E732" s="46" t="n">
        <x:v>1</x:v>
      </x:c>
      <x:c r="F732" s="46" t="n">
        <x:v>2</x:v>
      </x:c>
      <x:c r="G732" s="12" t="n">
        <x:v>0.6666666666666666</x:v>
      </x:c>
      <x:c r="H732" s="12" t="n">
        <x:v>0.7777777777777778</x:v>
      </x:c>
      <x:c r="I732" s="29" t="n">
        <x:f>'Assumptions'!$D$11+'Assumptions'!$D$12*(0.5-(G732+H732)/2)</x:f>
        <x:v>0.25555555555555554</x:v>
      </x:c>
      <x:c r="J732" s="27" t="n">
        <x:f>'Assumptions'!$D$8*EXP(-'Assumptions'!$D$9*('Fleet Engine'!E202-10))*'Assumptions'!E56*'Assumptions'!G36</x:f>
        <x:v>18597.575933497446</x:v>
      </x:c>
      <x:c r="K732" s="27" t="n">
        <x:f>'Source Data'!F219+LN('Assumptions'!D56)+LN('Assumptions'!G35)</x:f>
        <x:v>7.962345702623303</x:v>
      </x:c>
      <x:c r="L732" s="27" t="n">
        <x:f>J732*(1-I732*(1-'Carrier Engine'!E94))</x:f>
        <x:v>14034.970637812741</x:v>
      </x:c>
      <x:c r="M732" s="29" t="n">
        <x:f>NORM.S.DIST((LN(L732)-K732)/'Assumptions'!$D$10,TRUE)</x:f>
        <x:v>0.8439130512567272</x:v>
      </x:c>
      <x:c r="N732" s="30" t="n">
        <x:f>MAX(0,H732-MAX(G732,M732))</x:f>
        <x:v>0</x:v>
      </x:c>
      <x:c r="O732" s="28" t="n">
        <x:f>J732*I732</x:f>
        <x:v>4752.713849671569</x:v>
      </x:c>
      <x:c r="P732" s="27" t="n">
        <x:f>(VLOOKUP(O732,'Fee Data'!$C$6:$G$50,2,TRUE)+O732*VLOOKUP(O732,'Fee Data'!$C$6:$G$50,3,TRUE)+VLOOKUP(O732,'Fee Data'!$I$6:$J$14,2,TRUE)+'Fee Data'!$J$20+'Fee Data'!$J$21)*'Assumptions'!G37</x:f>
        <x:v>970</x:v>
      </x:c>
      <x:c r="Q732" s="27" t="n">
        <x:f>(VLOOKUP(O732,'Fee Data'!$C$6:$G$50,4,TRUE)+O732*VLOOKUP(O732,'Fee Data'!$C$6:$G$50,5,TRUE)+VLOOKUP(O732,'Fee Data'!$I$6:$J$14,2,TRUE)+'Fee Data'!$J$20+'Fee Data'!$J$21)*'Assumptions'!G37</x:f>
        <x:v>845</x:v>
      </x:c>
      <x:c r="R732" s="27" t="n">
        <x:f>P732*(1-'Assumptions'!$D$14)+Q732*'Assumptions'!$D$14</x:f>
        <x:v>907.5</x:v>
      </x:c>
      <x:c r="S732" s="27" t="n">
        <x:f>O732*'Carrier Engine'!E94</x:f>
        <x:v>190.10855398686274</x:v>
      </x:c>
      <x:c r="T732" s="28" t="n">
        <x:f>R732+S732</x:f>
        <x:v>1097.6085539868627</x:v>
      </x:c>
      <x:c r="U732" s="27" t="n">
        <x:f>N732*'Fleet Engine'!I202</x:f>
        <x:v>0</x:v>
      </x:c>
      <x:c r="V732" s="28" t="n">
        <x:f>U732*T732</x:f>
        <x:v>0</x:v>
      </x:c>
      <x:c r="W732" s="28" t="n">
        <x:f>U732*O732</x:f>
        <x:v>0</x:v>
      </x:c>
    </x:row>
    <x:row r="733" ht="19" customHeight="1">
      <x:c r="A733" s="2"/>
      <x:c r="B733" s="2"/>
      <x:c r="C733" s="46" t="n">
        <x:v>3</x:v>
      </x:c>
      <x:c r="D733" s="46" t="n">
        <x:v>8</x:v>
      </x:c>
      <x:c r="E733" s="46" t="n">
        <x:v>1</x:v>
      </x:c>
      <x:c r="F733" s="46" t="n">
        <x:v>2</x:v>
      </x:c>
      <x:c r="G733" s="12" t="n">
        <x:v>0.7777777777777778</x:v>
      </x:c>
      <x:c r="H733" s="12" t="n">
        <x:v>0.8888888888888888</x:v>
      </x:c>
      <x:c r="I733" s="29" t="n">
        <x:f>'Assumptions'!$D$11+'Assumptions'!$D$12*(0.5-(G733+H733)/2)</x:f>
        <x:v>0.23333333333333334</x:v>
      </x:c>
      <x:c r="J733" s="27" t="n">
        <x:f>'Assumptions'!$D$8*EXP(-'Assumptions'!$D$9*('Fleet Engine'!E202-10))*'Assumptions'!E56*'Assumptions'!G36</x:f>
        <x:v>18597.575933497446</x:v>
      </x:c>
      <x:c r="K733" s="27" t="n">
        <x:f>'Source Data'!F219+LN('Assumptions'!D56)+LN('Assumptions'!G35)</x:f>
        <x:v>7.962345702623303</x:v>
      </x:c>
      <x:c r="L733" s="27" t="n">
        <x:f>J733*(1-I733*(1-'Carrier Engine'!E94))</x:f>
        <x:v>14431.71892439402</x:v>
      </x:c>
      <x:c r="M733" s="29" t="n">
        <x:f>NORM.S.DIST((LN(L733)-K733)/'Assumptions'!$D$10,TRUE)</x:f>
        <x:v>0.8481248751817181</x:v>
      </x:c>
      <x:c r="N733" s="30" t="n">
        <x:f>MAX(0,H733-MAX(G733,M733))</x:f>
        <x:v>0.040764013707170754</x:v>
      </x:c>
      <x:c r="O733" s="28" t="n">
        <x:f>J733*I733</x:f>
        <x:v>4339.434384482737</x:v>
      </x:c>
      <x:c r="P733" s="27" t="n">
        <x:f>(VLOOKUP(O733,'Fee Data'!$C$6:$G$50,2,TRUE)+O733*VLOOKUP(O733,'Fee Data'!$C$6:$G$50,3,TRUE)+VLOOKUP(O733,'Fee Data'!$I$6:$J$14,2,TRUE)+'Fee Data'!$J$20+'Fee Data'!$J$21)*'Assumptions'!G37</x:f>
        <x:v>945</x:v>
      </x:c>
      <x:c r="Q733" s="27" t="n">
        <x:f>(VLOOKUP(O733,'Fee Data'!$C$6:$G$50,4,TRUE)+O733*VLOOKUP(O733,'Fee Data'!$C$6:$G$50,5,TRUE)+VLOOKUP(O733,'Fee Data'!$I$6:$J$14,2,TRUE)+'Fee Data'!$J$20+'Fee Data'!$J$21)*'Assumptions'!G37</x:f>
        <x:v>820</x:v>
      </x:c>
      <x:c r="R733" s="27" t="n">
        <x:f>P733*(1-'Assumptions'!$D$14)+Q733*'Assumptions'!$D$14</x:f>
        <x:v>882.5</x:v>
      </x:c>
      <x:c r="S733" s="27" t="n">
        <x:f>O733*'Carrier Engine'!E94</x:f>
        <x:v>173.5773753793095</x:v>
      </x:c>
      <x:c r="T733" s="28" t="n">
        <x:f>R733+S733</x:f>
        <x:v>1056.0773753793096</x:v>
      </x:c>
      <x:c r="U733" s="27" t="n">
        <x:f>N733*'Fleet Engine'!I202</x:f>
        <x:v>929.5684214141501</x:v>
      </x:c>
      <x:c r="V733" s="28" t="n">
        <x:f>U733*T733</x:f>
        <x:v>981696.1787225436</x:v>
      </x:c>
      <x:c r="W733" s="28" t="n">
        <x:f>U733*O733</x:f>
        <x:v>4033801.170613902</x:v>
      </x:c>
    </x:row>
    <x:row r="734" ht="19" customHeight="1">
      <x:c r="A734" s="2"/>
      <x:c r="B734" s="2"/>
      <x:c r="C734" s="46" t="n">
        <x:v>3</x:v>
      </x:c>
      <x:c r="D734" s="46" t="n">
        <x:v>8</x:v>
      </x:c>
      <x:c r="E734" s="46" t="n">
        <x:v>1</x:v>
      </x:c>
      <x:c r="F734" s="46" t="n">
        <x:v>2</x:v>
      </x:c>
      <x:c r="G734" s="12" t="n">
        <x:v>0.8888888888888888</x:v>
      </x:c>
      <x:c r="H734" s="12" t="n">
        <x:v>1</x:v>
      </x:c>
      <x:c r="I734" s="29" t="n">
        <x:f>'Assumptions'!$D$11+'Assumptions'!$D$12*(0.5-(G734+H734)/2)</x:f>
        <x:v>0.21111111111111108</x:v>
      </x:c>
      <x:c r="J734" s="27" t="n">
        <x:f>'Assumptions'!$D$8*EXP(-'Assumptions'!$D$9*('Fleet Engine'!E202-10))*'Assumptions'!E56*'Assumptions'!G36</x:f>
        <x:v>18597.575933497446</x:v>
      </x:c>
      <x:c r="K734" s="27" t="n">
        <x:f>'Source Data'!F219+LN('Assumptions'!D56)+LN('Assumptions'!G35)</x:f>
        <x:v>7.962345702623303</x:v>
      </x:c>
      <x:c r="L734" s="27" t="n">
        <x:f>J734*(1-I734*(1-'Carrier Engine'!E94))</x:f>
        <x:v>14828.467210975297</x:v>
      </x:c>
      <x:c r="M734" s="29" t="n">
        <x:f>NORM.S.DIST((LN(L734)-K734)/'Assumptions'!$D$10,TRUE)</x:f>
        <x:v>0.8521493376815981</x:v>
      </x:c>
      <x:c r="N734" s="30" t="n">
        <x:f>MAX(0,H734-MAX(G734,M734))</x:f>
        <x:v>0.11111111111111116</x:v>
      </x:c>
      <x:c r="O734" s="28" t="n">
        <x:f>J734*I734</x:f>
        <x:v>3926.1549192939046</x:v>
      </x:c>
      <x:c r="P734" s="27" t="n">
        <x:f>(VLOOKUP(O734,'Fee Data'!$C$6:$G$50,2,TRUE)+O734*VLOOKUP(O734,'Fee Data'!$C$6:$G$50,3,TRUE)+VLOOKUP(O734,'Fee Data'!$I$6:$J$14,2,TRUE)+'Fee Data'!$J$20+'Fee Data'!$J$21)*'Assumptions'!G37</x:f>
        <x:v>915</x:v>
      </x:c>
      <x:c r="Q734" s="27" t="n">
        <x:f>(VLOOKUP(O734,'Fee Data'!$C$6:$G$50,4,TRUE)+O734*VLOOKUP(O734,'Fee Data'!$C$6:$G$50,5,TRUE)+VLOOKUP(O734,'Fee Data'!$I$6:$J$14,2,TRUE)+'Fee Data'!$J$20+'Fee Data'!$J$21)*'Assumptions'!G37</x:f>
        <x:v>765</x:v>
      </x:c>
      <x:c r="R734" s="27" t="n">
        <x:f>P734*(1-'Assumptions'!$D$14)+Q734*'Assumptions'!$D$14</x:f>
        <x:v>840</x:v>
      </x:c>
      <x:c r="S734" s="27" t="n">
        <x:f>O734*'Carrier Engine'!E94</x:f>
        <x:v>157.0461967717562</x:v>
      </x:c>
      <x:c r="T734" s="28" t="n">
        <x:f>R734+S734</x:f>
        <x:v>997.0461967717562</x:v>
      </x:c>
      <x:c r="U734" s="27" t="n">
        <x:f>N734*'Fleet Engine'!I202</x:f>
        <x:v>2533.739216630648</x:v>
      </x:c>
      <x:c r="V734" s="28" t="n">
        <x:f>U734*T734</x:f>
        <x:v>2526255.0495530367</x:v>
      </x:c>
      <x:c r="W734" s="28" t="n">
        <x:f>U734*O734</x:f>
        <x:v>9947852.689582303</x:v>
      </x:c>
    </x:row>
    <x:row r="735" ht="19" customHeight="1">
      <x:c r="A735" s="2"/>
      <x:c r="B735" s="2"/>
      <x:c r="C735" s="46" t="n">
        <x:v>3</x:v>
      </x:c>
      <x:c r="D735" s="46" t="n">
        <x:v>9</x:v>
      </x:c>
      <x:c r="E735" s="46" t="n">
        <x:v>1</x:v>
      </x:c>
      <x:c r="F735" s="46" t="n">
        <x:v>3</x:v>
      </x:c>
      <x:c r="G735" s="12" t="n">
        <x:v>0</x:v>
      </x:c>
      <x:c r="H735" s="12" t="n">
        <x:v>0.1111111111111111</x:v>
      </x:c>
      <x:c r="I735" s="29" t="n">
        <x:f>'Assumptions'!$D$11+'Assumptions'!$D$12*(0.5-(G735+H735)/2)</x:f>
        <x:v>0.3888888888888889</x:v>
      </x:c>
      <x:c r="J735" s="27" t="n">
        <x:f>'Assumptions'!$D$8*EXP(-'Assumptions'!$D$9*('Fleet Engine'!E203-10))*'Assumptions'!E56*'Assumptions'!G36</x:f>
        <x:v>13777.423112046714</x:v>
      </x:c>
      <x:c r="K735" s="27" t="n">
        <x:f>'Source Data'!F220+LN('Assumptions'!D56)+LN('Assumptions'!G35)</x:f>
        <x:v>8.069478273890956</x:v>
      </x:c>
      <x:c r="L735" s="27" t="n">
        <x:f>J735*(1-I735*(1-'Carrier Engine'!E94))</x:f>
        <x:v>8633.851816882609</x:v>
      </x:c>
      <x:c r="M735" s="29" t="n">
        <x:f>NORM.S.DIST((LN(L735)-K735)/'Assumptions'!$D$10,TRUE)</x:f>
        <x:v>0.7366388707689671</x:v>
      </x:c>
      <x:c r="N735" s="30" t="n">
        <x:f>MAX(0,H735-MAX(G735,M735))</x:f>
        <x:v>0</x:v>
      </x:c>
      <x:c r="O735" s="28" t="n">
        <x:f>J735*I735</x:f>
        <x:v>5357.8867657959445</x:v>
      </x:c>
      <x:c r="P735" s="27" t="n">
        <x:f>(VLOOKUP(O735,'Fee Data'!$C$6:$G$50,2,TRUE)+O735*VLOOKUP(O735,'Fee Data'!$C$6:$G$50,3,TRUE)+VLOOKUP(O735,'Fee Data'!$I$6:$J$14,2,TRUE)+'Fee Data'!$J$20+'Fee Data'!$J$21)*'Assumptions'!G37</x:f>
        <x:v>995</x:v>
      </x:c>
      <x:c r="Q735" s="27" t="n">
        <x:f>(VLOOKUP(O735,'Fee Data'!$C$6:$G$50,4,TRUE)+O735*VLOOKUP(O735,'Fee Data'!$C$6:$G$50,5,TRUE)+VLOOKUP(O735,'Fee Data'!$I$6:$J$14,2,TRUE)+'Fee Data'!$J$20+'Fee Data'!$J$21)*'Assumptions'!G37</x:f>
        <x:v>870</x:v>
      </x:c>
      <x:c r="R735" s="27" t="n">
        <x:f>P735*(1-'Assumptions'!$D$14)+Q735*'Assumptions'!$D$14</x:f>
        <x:v>932.5</x:v>
      </x:c>
      <x:c r="S735" s="27" t="n">
        <x:f>O735*'Carrier Engine'!E94</x:f>
        <x:v>214.3154706318378</x:v>
      </x:c>
      <x:c r="T735" s="28" t="n">
        <x:f>R735+S735</x:f>
        <x:v>1146.8154706318378</x:v>
      </x:c>
      <x:c r="U735" s="27" t="n">
        <x:f>N735*'Fleet Engine'!I203</x:f>
        <x:v>0</x:v>
      </x:c>
      <x:c r="V735" s="28" t="n">
        <x:f>U735*T735</x:f>
        <x:v>0</x:v>
      </x:c>
      <x:c r="W735" s="28" t="n">
        <x:f>U735*O735</x:f>
        <x:v>0</x:v>
      </x:c>
    </x:row>
    <x:row r="736" ht="19" customHeight="1">
      <x:c r="A736" s="2"/>
      <x:c r="B736" s="2"/>
      <x:c r="C736" s="46" t="n">
        <x:v>3</x:v>
      </x:c>
      <x:c r="D736" s="46" t="n">
        <x:v>9</x:v>
      </x:c>
      <x:c r="E736" s="46" t="n">
        <x:v>1</x:v>
      </x:c>
      <x:c r="F736" s="46" t="n">
        <x:v>3</x:v>
      </x:c>
      <x:c r="G736" s="12" t="n">
        <x:v>0.1111111111111111</x:v>
      </x:c>
      <x:c r="H736" s="12" t="n">
        <x:v>0.2222222222222222</x:v>
      </x:c>
      <x:c r="I736" s="29" t="n">
        <x:f>'Assumptions'!$D$11+'Assumptions'!$D$12*(0.5-(G736+H736)/2)</x:f>
        <x:v>0.3666666666666667</x:v>
      </x:c>
      <x:c r="J736" s="27" t="n">
        <x:f>'Assumptions'!$D$8*EXP(-'Assumptions'!$D$9*('Fleet Engine'!E203-10))*'Assumptions'!E56*'Assumptions'!G36</x:f>
        <x:v>13777.423112046714</x:v>
      </x:c>
      <x:c r="K736" s="27" t="n">
        <x:f>'Source Data'!F220+LN('Assumptions'!D56)+LN('Assumptions'!G35)</x:f>
        <x:v>8.069478273890956</x:v>
      </x:c>
      <x:c r="L736" s="27" t="n">
        <x:f>J736*(1-I736*(1-'Carrier Engine'!E94))</x:f>
        <x:v>8927.77017660627</x:v>
      </x:c>
      <x:c r="M736" s="29" t="n">
        <x:f>NORM.S.DIST((LN(L736)-K736)/'Assumptions'!$D$10,TRUE)</x:f>
        <x:v>0.7435526063287266</x:v>
      </x:c>
      <x:c r="N736" s="30" t="n">
        <x:f>MAX(0,H736-MAX(G736,M736))</x:f>
        <x:v>0</x:v>
      </x:c>
      <x:c r="O736" s="28" t="n">
        <x:f>J736*I736</x:f>
        <x:v>5051.721807750462</x:v>
      </x:c>
      <x:c r="P736" s="27" t="n">
        <x:f>(VLOOKUP(O736,'Fee Data'!$C$6:$G$50,2,TRUE)+O736*VLOOKUP(O736,'Fee Data'!$C$6:$G$50,3,TRUE)+VLOOKUP(O736,'Fee Data'!$I$6:$J$14,2,TRUE)+'Fee Data'!$J$20+'Fee Data'!$J$21)*'Assumptions'!G37</x:f>
        <x:v>995</x:v>
      </x:c>
      <x:c r="Q736" s="27" t="n">
        <x:f>(VLOOKUP(O736,'Fee Data'!$C$6:$G$50,4,TRUE)+O736*VLOOKUP(O736,'Fee Data'!$C$6:$G$50,5,TRUE)+VLOOKUP(O736,'Fee Data'!$I$6:$J$14,2,TRUE)+'Fee Data'!$J$20+'Fee Data'!$J$21)*'Assumptions'!G37</x:f>
        <x:v>870</x:v>
      </x:c>
      <x:c r="R736" s="27" t="n">
        <x:f>P736*(1-'Assumptions'!$D$14)+Q736*'Assumptions'!$D$14</x:f>
        <x:v>932.5</x:v>
      </x:c>
      <x:c r="S736" s="27" t="n">
        <x:f>O736*'Carrier Engine'!E94</x:f>
        <x:v>202.0688723100185</x:v>
      </x:c>
      <x:c r="T736" s="28" t="n">
        <x:f>R736+S736</x:f>
        <x:v>1134.5688723100184</x:v>
      </x:c>
      <x:c r="U736" s="27" t="n">
        <x:f>N736*'Fleet Engine'!I203</x:f>
        <x:v>0</x:v>
      </x:c>
      <x:c r="V736" s="28" t="n">
        <x:f>U736*T736</x:f>
        <x:v>0</x:v>
      </x:c>
      <x:c r="W736" s="28" t="n">
        <x:f>U736*O736</x:f>
        <x:v>0</x:v>
      </x:c>
    </x:row>
    <x:row r="737" ht="19" customHeight="1">
      <x:c r="A737" s="2"/>
      <x:c r="B737" s="2"/>
      <x:c r="C737" s="46" t="n">
        <x:v>3</x:v>
      </x:c>
      <x:c r="D737" s="46" t="n">
        <x:v>9</x:v>
      </x:c>
      <x:c r="E737" s="46" t="n">
        <x:v>1</x:v>
      </x:c>
      <x:c r="F737" s="46" t="n">
        <x:v>3</x:v>
      </x:c>
      <x:c r="G737" s="12" t="n">
        <x:v>0.2222222222222222</x:v>
      </x:c>
      <x:c r="H737" s="12" t="n">
        <x:v>0.3333333333333333</x:v>
      </x:c>
      <x:c r="I737" s="29" t="n">
        <x:f>'Assumptions'!$D$11+'Assumptions'!$D$12*(0.5-(G737+H737)/2)</x:f>
        <x:v>0.34444444444444444</x:v>
      </x:c>
      <x:c r="J737" s="27" t="n">
        <x:f>'Assumptions'!$D$8*EXP(-'Assumptions'!$D$9*('Fleet Engine'!E203-10))*'Assumptions'!E56*'Assumptions'!G36</x:f>
        <x:v>13777.423112046714</x:v>
      </x:c>
      <x:c r="K737" s="27" t="n">
        <x:f>'Source Data'!F220+LN('Assumptions'!D56)+LN('Assumptions'!G35)</x:f>
        <x:v>8.069478273890956</x:v>
      </x:c>
      <x:c r="L737" s="27" t="n">
        <x:f>J737*(1-I737*(1-'Carrier Engine'!E94))</x:f>
        <x:v>9221.688536329933</x:v>
      </x:c>
      <x:c r="M737" s="29" t="n">
        <x:f>NORM.S.DIST((LN(L737)-K737)/'Assumptions'!$D$10,TRUE)</x:f>
        <x:v>0.7501512229331906</x:v>
      </x:c>
      <x:c r="N737" s="30" t="n">
        <x:f>MAX(0,H737-MAX(G737,M737))</x:f>
        <x:v>0</x:v>
      </x:c>
      <x:c r="O737" s="28" t="n">
        <x:f>J737*I737</x:f>
        <x:v>4745.556849704979</x:v>
      </x:c>
      <x:c r="P737" s="27" t="n">
        <x:f>(VLOOKUP(O737,'Fee Data'!$C$6:$G$50,2,TRUE)+O737*VLOOKUP(O737,'Fee Data'!$C$6:$G$50,3,TRUE)+VLOOKUP(O737,'Fee Data'!$I$6:$J$14,2,TRUE)+'Fee Data'!$J$20+'Fee Data'!$J$21)*'Assumptions'!G37</x:f>
        <x:v>970</x:v>
      </x:c>
      <x:c r="Q737" s="27" t="n">
        <x:f>(VLOOKUP(O737,'Fee Data'!$C$6:$G$50,4,TRUE)+O737*VLOOKUP(O737,'Fee Data'!$C$6:$G$50,5,TRUE)+VLOOKUP(O737,'Fee Data'!$I$6:$J$14,2,TRUE)+'Fee Data'!$J$20+'Fee Data'!$J$21)*'Assumptions'!G37</x:f>
        <x:v>845</x:v>
      </x:c>
      <x:c r="R737" s="27" t="n">
        <x:f>P737*(1-'Assumptions'!$D$14)+Q737*'Assumptions'!$D$14</x:f>
        <x:v>907.5</x:v>
      </x:c>
      <x:c r="S737" s="27" t="n">
        <x:f>O737*'Carrier Engine'!E94</x:f>
        <x:v>189.82227398819916</x:v>
      </x:c>
      <x:c r="T737" s="28" t="n">
        <x:f>R737+S737</x:f>
        <x:v>1097.3222739881992</x:v>
      </x:c>
      <x:c r="U737" s="27" t="n">
        <x:f>N737*'Fleet Engine'!I203</x:f>
        <x:v>0</x:v>
      </x:c>
      <x:c r="V737" s="28" t="n">
        <x:f>U737*T737</x:f>
        <x:v>0</x:v>
      </x:c>
      <x:c r="W737" s="28" t="n">
        <x:f>U737*O737</x:f>
        <x:v>0</x:v>
      </x:c>
    </x:row>
    <x:row r="738" ht="19" customHeight="1">
      <x:c r="A738" s="2"/>
      <x:c r="B738" s="2"/>
      <x:c r="C738" s="46" t="n">
        <x:v>3</x:v>
      </x:c>
      <x:c r="D738" s="46" t="n">
        <x:v>9</x:v>
      </x:c>
      <x:c r="E738" s="46" t="n">
        <x:v>1</x:v>
      </x:c>
      <x:c r="F738" s="46" t="n">
        <x:v>3</x:v>
      </x:c>
      <x:c r="G738" s="12" t="n">
        <x:v>0.3333333333333333</x:v>
      </x:c>
      <x:c r="H738" s="12" t="n">
        <x:v>0.4444444444444444</x:v>
      </x:c>
      <x:c r="I738" s="29" t="n">
        <x:f>'Assumptions'!$D$11+'Assumptions'!$D$12*(0.5-(G738+H738)/2)</x:f>
        <x:v>0.32222222222222224</x:v>
      </x:c>
      <x:c r="J738" s="27" t="n">
        <x:f>'Assumptions'!$D$8*EXP(-'Assumptions'!$D$9*('Fleet Engine'!E203-10))*'Assumptions'!E56*'Assumptions'!G36</x:f>
        <x:v>13777.423112046714</x:v>
      </x:c>
      <x:c r="K738" s="27" t="n">
        <x:f>'Source Data'!F220+LN('Assumptions'!D56)+LN('Assumptions'!G35)</x:f>
        <x:v>8.069478273890956</x:v>
      </x:c>
      <x:c r="L738" s="27" t="n">
        <x:f>J738*(1-I738*(1-'Carrier Engine'!E94))</x:f>
        <x:v>9515.606896053598</x:v>
      </x:c>
      <x:c r="M738" s="29" t="n">
        <x:f>NORM.S.DIST((LN(L738)-K738)/'Assumptions'!$D$10,TRUE)</x:f>
        <x:v>0.7564558162657599</x:v>
      </x:c>
      <x:c r="N738" s="30" t="n">
        <x:f>MAX(0,H738-MAX(G738,M738))</x:f>
        <x:v>0</x:v>
      </x:c>
      <x:c r="O738" s="28" t="n">
        <x:f>J738*I738</x:f>
        <x:v>4439.391891659497</x:v>
      </x:c>
      <x:c r="P738" s="27" t="n">
        <x:f>(VLOOKUP(O738,'Fee Data'!$C$6:$G$50,2,TRUE)+O738*VLOOKUP(O738,'Fee Data'!$C$6:$G$50,3,TRUE)+VLOOKUP(O738,'Fee Data'!$I$6:$J$14,2,TRUE)+'Fee Data'!$J$20+'Fee Data'!$J$21)*'Assumptions'!G37</x:f>
        <x:v>945</x:v>
      </x:c>
      <x:c r="Q738" s="27" t="n">
        <x:f>(VLOOKUP(O738,'Fee Data'!$C$6:$G$50,4,TRUE)+O738*VLOOKUP(O738,'Fee Data'!$C$6:$G$50,5,TRUE)+VLOOKUP(O738,'Fee Data'!$I$6:$J$14,2,TRUE)+'Fee Data'!$J$20+'Fee Data'!$J$21)*'Assumptions'!G37</x:f>
        <x:v>820</x:v>
      </x:c>
      <x:c r="R738" s="27" t="n">
        <x:f>P738*(1-'Assumptions'!$D$14)+Q738*'Assumptions'!$D$14</x:f>
        <x:v>882.5</x:v>
      </x:c>
      <x:c r="S738" s="27" t="n">
        <x:f>O738*'Carrier Engine'!E94</x:f>
        <x:v>177.57567566637988</x:v>
      </x:c>
      <x:c r="T738" s="28" t="n">
        <x:f>R738+S738</x:f>
        <x:v>1060.07567566638</x:v>
      </x:c>
      <x:c r="U738" s="27" t="n">
        <x:f>N738*'Fleet Engine'!I203</x:f>
        <x:v>0</x:v>
      </x:c>
      <x:c r="V738" s="28" t="n">
        <x:f>U738*T738</x:f>
        <x:v>0</x:v>
      </x:c>
      <x:c r="W738" s="28" t="n">
        <x:f>U738*O738</x:f>
        <x:v>0</x:v>
      </x:c>
    </x:row>
    <x:row r="739" ht="19" customHeight="1">
      <x:c r="A739" s="2"/>
      <x:c r="B739" s="2"/>
      <x:c r="C739" s="46" t="n">
        <x:v>3</x:v>
      </x:c>
      <x:c r="D739" s="46" t="n">
        <x:v>9</x:v>
      </x:c>
      <x:c r="E739" s="46" t="n">
        <x:v>1</x:v>
      </x:c>
      <x:c r="F739" s="46" t="n">
        <x:v>3</x:v>
      </x:c>
      <x:c r="G739" s="12" t="n">
        <x:v>0.4444444444444444</x:v>
      </x:c>
      <x:c r="H739" s="12" t="n">
        <x:v>0.5555555555555556</x:v>
      </x:c>
      <x:c r="I739" s="29" t="n">
        <x:f>'Assumptions'!$D$11+'Assumptions'!$D$12*(0.5-(G739+H739)/2)</x:f>
        <x:v>0.3</x:v>
      </x:c>
      <x:c r="J739" s="27" t="n">
        <x:f>'Assumptions'!$D$8*EXP(-'Assumptions'!$D$9*('Fleet Engine'!E203-10))*'Assumptions'!E56*'Assumptions'!G36</x:f>
        <x:v>13777.423112046714</x:v>
      </x:c>
      <x:c r="K739" s="27" t="n">
        <x:f>'Source Data'!F220+LN('Assumptions'!D56)+LN('Assumptions'!G35)</x:f>
        <x:v>8.069478273890956</x:v>
      </x:c>
      <x:c r="L739" s="27" t="n">
        <x:f>J739*(1-I739*(1-'Carrier Engine'!E94))</x:f>
        <x:v>9809.52525577726</x:v>
      </x:c>
      <x:c r="M739" s="29" t="n">
        <x:f>NORM.S.DIST((LN(L739)-K739)/'Assumptions'!$D$10,TRUE)</x:f>
        <x:v>0.7624856059429846</x:v>
      </x:c>
      <x:c r="N739" s="30" t="n">
        <x:f>MAX(0,H739-MAX(G739,M739))</x:f>
        <x:v>0</x:v>
      </x:c>
      <x:c r="O739" s="28" t="n">
        <x:f>J739*I739</x:f>
        <x:v>4133.226933614014</x:v>
      </x:c>
      <x:c r="P739" s="27" t="n">
        <x:f>(VLOOKUP(O739,'Fee Data'!$C$6:$G$50,2,TRUE)+O739*VLOOKUP(O739,'Fee Data'!$C$6:$G$50,3,TRUE)+VLOOKUP(O739,'Fee Data'!$I$6:$J$14,2,TRUE)+'Fee Data'!$J$20+'Fee Data'!$J$21)*'Assumptions'!G37</x:f>
        <x:v>945</x:v>
      </x:c>
      <x:c r="Q739" s="27" t="n">
        <x:f>(VLOOKUP(O739,'Fee Data'!$C$6:$G$50,4,TRUE)+O739*VLOOKUP(O739,'Fee Data'!$C$6:$G$50,5,TRUE)+VLOOKUP(O739,'Fee Data'!$I$6:$J$14,2,TRUE)+'Fee Data'!$J$20+'Fee Data'!$J$21)*'Assumptions'!G37</x:f>
        <x:v>820</x:v>
      </x:c>
      <x:c r="R739" s="27" t="n">
        <x:f>P739*(1-'Assumptions'!$D$14)+Q739*'Assumptions'!$D$14</x:f>
        <x:v>882.5</x:v>
      </x:c>
      <x:c r="S739" s="27" t="n">
        <x:f>O739*'Carrier Engine'!E94</x:f>
        <x:v>165.32907734456057</x:v>
      </x:c>
      <x:c r="T739" s="28" t="n">
        <x:f>R739+S739</x:f>
        <x:v>1047.8290773445606</x:v>
      </x:c>
      <x:c r="U739" s="27" t="n">
        <x:f>N739*'Fleet Engine'!I203</x:f>
        <x:v>0</x:v>
      </x:c>
      <x:c r="V739" s="28" t="n">
        <x:f>U739*T739</x:f>
        <x:v>0</x:v>
      </x:c>
      <x:c r="W739" s="28" t="n">
        <x:f>U739*O739</x:f>
        <x:v>0</x:v>
      </x:c>
    </x:row>
    <x:row r="740" ht="19" customHeight="1">
      <x:c r="A740" s="2"/>
      <x:c r="B740" s="2"/>
      <x:c r="C740" s="46" t="n">
        <x:v>3</x:v>
      </x:c>
      <x:c r="D740" s="46" t="n">
        <x:v>9</x:v>
      </x:c>
      <x:c r="E740" s="46" t="n">
        <x:v>1</x:v>
      </x:c>
      <x:c r="F740" s="46" t="n">
        <x:v>3</x:v>
      </x:c>
      <x:c r="G740" s="12" t="n">
        <x:v>0.5555555555555556</x:v>
      </x:c>
      <x:c r="H740" s="12" t="n">
        <x:v>0.6666666666666666</x:v>
      </x:c>
      <x:c r="I740" s="29" t="n">
        <x:f>'Assumptions'!$D$11+'Assumptions'!$D$12*(0.5-(G740+H740)/2)</x:f>
        <x:v>0.27777777777777773</x:v>
      </x:c>
      <x:c r="J740" s="27" t="n">
        <x:f>'Assumptions'!$D$8*EXP(-'Assumptions'!$D$9*('Fleet Engine'!E203-10))*'Assumptions'!E56*'Assumptions'!G36</x:f>
        <x:v>13777.423112046714</x:v>
      </x:c>
      <x:c r="K740" s="27" t="n">
        <x:f>'Source Data'!F220+LN('Assumptions'!D56)+LN('Assumptions'!G35)</x:f>
        <x:v>8.069478273890956</x:v>
      </x:c>
      <x:c r="L740" s="27" t="n">
        <x:f>J740*(1-I740*(1-'Carrier Engine'!E94))</x:f>
        <x:v>10103.443615500924</x:v>
      </x:c>
      <x:c r="M740" s="29" t="n">
        <x:f>NORM.S.DIST((LN(L740)-K740)/'Assumptions'!$D$10,TRUE)</x:f>
        <x:v>0.7682581433884235</x:v>
      </x:c>
      <x:c r="N740" s="30" t="n">
        <x:f>MAX(0,H740-MAX(G740,M740))</x:f>
        <x:v>0</x:v>
      </x:c>
      <x:c r="O740" s="28" t="n">
        <x:f>J740*I740</x:f>
        <x:v>3827.061975568531</x:v>
      </x:c>
      <x:c r="P740" s="27" t="n">
        <x:f>(VLOOKUP(O740,'Fee Data'!$C$6:$G$50,2,TRUE)+O740*VLOOKUP(O740,'Fee Data'!$C$6:$G$50,3,TRUE)+VLOOKUP(O740,'Fee Data'!$I$6:$J$14,2,TRUE)+'Fee Data'!$J$20+'Fee Data'!$J$21)*'Assumptions'!G37</x:f>
        <x:v>915</x:v>
      </x:c>
      <x:c r="Q740" s="27" t="n">
        <x:f>(VLOOKUP(O740,'Fee Data'!$C$6:$G$50,4,TRUE)+O740*VLOOKUP(O740,'Fee Data'!$C$6:$G$50,5,TRUE)+VLOOKUP(O740,'Fee Data'!$I$6:$J$14,2,TRUE)+'Fee Data'!$J$20+'Fee Data'!$J$21)*'Assumptions'!G37</x:f>
        <x:v>765</x:v>
      </x:c>
      <x:c r="R740" s="27" t="n">
        <x:f>P740*(1-'Assumptions'!$D$14)+Q740*'Assumptions'!$D$14</x:f>
        <x:v>840</x:v>
      </x:c>
      <x:c r="S740" s="27" t="n">
        <x:f>O740*'Carrier Engine'!E94</x:f>
        <x:v>153.08247902274124</x:v>
      </x:c>
      <x:c r="T740" s="28" t="n">
        <x:f>R740+S740</x:f>
        <x:v>993.0824790227413</x:v>
      </x:c>
      <x:c r="U740" s="27" t="n">
        <x:f>N740*'Fleet Engine'!I203</x:f>
        <x:v>0</x:v>
      </x:c>
      <x:c r="V740" s="28" t="n">
        <x:f>U740*T740</x:f>
        <x:v>0</x:v>
      </x:c>
      <x:c r="W740" s="28" t="n">
        <x:f>U740*O740</x:f>
        <x:v>0</x:v>
      </x:c>
    </x:row>
    <x:row r="741" ht="19" customHeight="1">
      <x:c r="A741" s="2"/>
      <x:c r="B741" s="2"/>
      <x:c r="C741" s="46" t="n">
        <x:v>3</x:v>
      </x:c>
      <x:c r="D741" s="46" t="n">
        <x:v>9</x:v>
      </x:c>
      <x:c r="E741" s="46" t="n">
        <x:v>1</x:v>
      </x:c>
      <x:c r="F741" s="46" t="n">
        <x:v>3</x:v>
      </x:c>
      <x:c r="G741" s="12" t="n">
        <x:v>0.6666666666666666</x:v>
      </x:c>
      <x:c r="H741" s="12" t="n">
        <x:v>0.7777777777777778</x:v>
      </x:c>
      <x:c r="I741" s="29" t="n">
        <x:f>'Assumptions'!$D$11+'Assumptions'!$D$12*(0.5-(G741+H741)/2)</x:f>
        <x:v>0.25555555555555554</x:v>
      </x:c>
      <x:c r="J741" s="27" t="n">
        <x:f>'Assumptions'!$D$8*EXP(-'Assumptions'!$D$9*('Fleet Engine'!E203-10))*'Assumptions'!E56*'Assumptions'!G36</x:f>
        <x:v>13777.423112046714</x:v>
      </x:c>
      <x:c r="K741" s="27" t="n">
        <x:f>'Source Data'!F220+LN('Assumptions'!D56)+LN('Assumptions'!G35)</x:f>
        <x:v>8.069478273890956</x:v>
      </x:c>
      <x:c r="L741" s="27" t="n">
        <x:f>J741*(1-I741*(1-'Carrier Engine'!E94))</x:f>
        <x:v>10397.361975224587</x:v>
      </x:c>
      <x:c r="M741" s="29" t="n">
        <x:f>NORM.S.DIST((LN(L741)-K741)/'Assumptions'!$D$10,TRUE)</x:f>
        <x:v>0.7737894922279166</x:v>
      </x:c>
      <x:c r="N741" s="30" t="n">
        <x:f>MAX(0,H741-MAX(G741,M741))</x:f>
        <x:v>0.0039882855498611924</x:v>
      </x:c>
      <x:c r="O741" s="28" t="n">
        <x:f>J741*I741</x:f>
        <x:v>3520.897017523049</x:v>
      </x:c>
      <x:c r="P741" s="27" t="n">
        <x:f>(VLOOKUP(O741,'Fee Data'!$C$6:$G$50,2,TRUE)+O741*VLOOKUP(O741,'Fee Data'!$C$6:$G$50,3,TRUE)+VLOOKUP(O741,'Fee Data'!$I$6:$J$14,2,TRUE)+'Fee Data'!$J$20+'Fee Data'!$J$21)*'Assumptions'!G37</x:f>
        <x:v>915</x:v>
      </x:c>
      <x:c r="Q741" s="27" t="n">
        <x:f>(VLOOKUP(O741,'Fee Data'!$C$6:$G$50,4,TRUE)+O741*VLOOKUP(O741,'Fee Data'!$C$6:$G$50,5,TRUE)+VLOOKUP(O741,'Fee Data'!$I$6:$J$14,2,TRUE)+'Fee Data'!$J$20+'Fee Data'!$J$21)*'Assumptions'!G37</x:f>
        <x:v>765</x:v>
      </x:c>
      <x:c r="R741" s="27" t="n">
        <x:f>P741*(1-'Assumptions'!$D$14)+Q741*'Assumptions'!$D$14</x:f>
        <x:v>840</x:v>
      </x:c>
      <x:c r="S741" s="27" t="n">
        <x:f>O741*'Carrier Engine'!E94</x:f>
        <x:v>140.83588070092196</x:v>
      </x:c>
      <x:c r="T741" s="28" t="n">
        <x:f>R741+S741</x:f>
        <x:v>980.835880700922</x:v>
      </x:c>
      <x:c r="U741" s="27" t="n">
        <x:f>N741*'Fleet Engine'!I203</x:f>
        <x:v>71.53706067950942</x:v>
      </x:c>
      <x:c r="V741" s="28" t="n">
        <x:f>U741*T741</x:f>
        <x:v>70166.11591434192</x:v>
      </x:c>
      <x:c r="W741" s="28" t="n">
        <x:f>U741*O741</x:f>
        <x:v>251874.6235888501</x:v>
      </x:c>
    </x:row>
    <x:row r="742" ht="19" customHeight="1">
      <x:c r="A742" s="2"/>
      <x:c r="B742" s="2"/>
      <x:c r="C742" s="46" t="n">
        <x:v>3</x:v>
      </x:c>
      <x:c r="D742" s="46" t="n">
        <x:v>9</x:v>
      </x:c>
      <x:c r="E742" s="46" t="n">
        <x:v>1</x:v>
      </x:c>
      <x:c r="F742" s="46" t="n">
        <x:v>3</x:v>
      </x:c>
      <x:c r="G742" s="12" t="n">
        <x:v>0.7777777777777778</x:v>
      </x:c>
      <x:c r="H742" s="12" t="n">
        <x:v>0.8888888888888888</x:v>
      </x:c>
      <x:c r="I742" s="29" t="n">
        <x:f>'Assumptions'!$D$11+'Assumptions'!$D$12*(0.5-(G742+H742)/2)</x:f>
        <x:v>0.23333333333333334</x:v>
      </x:c>
      <x:c r="J742" s="27" t="n">
        <x:f>'Assumptions'!$D$8*EXP(-'Assumptions'!$D$9*('Fleet Engine'!E203-10))*'Assumptions'!E56*'Assumptions'!G36</x:f>
        <x:v>13777.423112046714</x:v>
      </x:c>
      <x:c r="K742" s="27" t="n">
        <x:f>'Source Data'!F220+LN('Assumptions'!D56)+LN('Assumptions'!G35)</x:f>
        <x:v>8.069478273890956</x:v>
      </x:c>
      <x:c r="L742" s="27" t="n">
        <x:f>J742*(1-I742*(1-'Carrier Engine'!E94))</x:f>
        <x:v>10691.280334948251</x:v>
      </x:c>
      <x:c r="M742" s="29" t="n">
        <x:f>NORM.S.DIST((LN(L742)-K742)/'Assumptions'!$D$10,TRUE)</x:f>
        <x:v>0.7790943854078269</x:v>
      </x:c>
      <x:c r="N742" s="30" t="n">
        <x:f>MAX(0,H742-MAX(G742,M742))</x:f>
        <x:v>0.1097945034810619</x:v>
      </x:c>
      <x:c r="O742" s="28" t="n">
        <x:f>J742*I742</x:f>
        <x:v>3214.7320594775665</x:v>
      </x:c>
      <x:c r="P742" s="27" t="n">
        <x:f>(VLOOKUP(O742,'Fee Data'!$C$6:$G$50,2,TRUE)+O742*VLOOKUP(O742,'Fee Data'!$C$6:$G$50,3,TRUE)+VLOOKUP(O742,'Fee Data'!$I$6:$J$14,2,TRUE)+'Fee Data'!$J$20+'Fee Data'!$J$21)*'Assumptions'!G37</x:f>
        <x:v>865</x:v>
      </x:c>
      <x:c r="Q742" s="27" t="n">
        <x:f>(VLOOKUP(O742,'Fee Data'!$C$6:$G$50,4,TRUE)+O742*VLOOKUP(O742,'Fee Data'!$C$6:$G$50,5,TRUE)+VLOOKUP(O742,'Fee Data'!$I$6:$J$14,2,TRUE)+'Fee Data'!$J$20+'Fee Data'!$J$21)*'Assumptions'!G37</x:f>
        <x:v>715</x:v>
      </x:c>
      <x:c r="R742" s="27" t="n">
        <x:f>P742*(1-'Assumptions'!$D$14)+Q742*'Assumptions'!$D$14</x:f>
        <x:v>790</x:v>
      </x:c>
      <x:c r="S742" s="27" t="n">
        <x:f>O742*'Carrier Engine'!E94</x:f>
        <x:v>128.58928237910266</x:v>
      </x:c>
      <x:c r="T742" s="28" t="n">
        <x:f>R742+S742</x:f>
        <x:v>918.5892823791027</x:v>
      </x:c>
      <x:c r="U742" s="27" t="n">
        <x:f>N742*'Fleet Engine'!I203</x:f>
        <x:v>1969.361511257562</x:v>
      </x:c>
      <x:c r="V742" s="28" t="n">
        <x:f>U742*T742</x:f>
        <x:v>1809034.3773711089</x:v>
      </x:c>
      <x:c r="W742" s="28" t="n">
        <x:f>U742*O742</x:f>
        <x:v>6330969.586940874</x:v>
      </x:c>
    </x:row>
    <x:row r="743" ht="19" customHeight="1">
      <x:c r="A743" s="2"/>
      <x:c r="B743" s="2"/>
      <x:c r="C743" s="46" t="n">
        <x:v>3</x:v>
      </x:c>
      <x:c r="D743" s="46" t="n">
        <x:v>9</x:v>
      </x:c>
      <x:c r="E743" s="46" t="n">
        <x:v>1</x:v>
      </x:c>
      <x:c r="F743" s="46" t="n">
        <x:v>3</x:v>
      </x:c>
      <x:c r="G743" s="12" t="n">
        <x:v>0.8888888888888888</x:v>
      </x:c>
      <x:c r="H743" s="12" t="n">
        <x:v>1</x:v>
      </x:c>
      <x:c r="I743" s="29" t="n">
        <x:f>'Assumptions'!$D$11+'Assumptions'!$D$12*(0.5-(G743+H743)/2)</x:f>
        <x:v>0.21111111111111108</x:v>
      </x:c>
      <x:c r="J743" s="27" t="n">
        <x:f>'Assumptions'!$D$8*EXP(-'Assumptions'!$D$9*('Fleet Engine'!E203-10))*'Assumptions'!E56*'Assumptions'!G36</x:f>
        <x:v>13777.423112046714</x:v>
      </x:c>
      <x:c r="K743" s="27" t="n">
        <x:f>'Source Data'!F220+LN('Assumptions'!D56)+LN('Assumptions'!G35)</x:f>
        <x:v>8.069478273890956</x:v>
      </x:c>
      <x:c r="L743" s="27" t="n">
        <x:f>J743*(1-I743*(1-'Carrier Engine'!E94))</x:f>
        <x:v>10985.198694671913</x:v>
      </x:c>
      <x:c r="M743" s="29" t="n">
        <x:f>NORM.S.DIST((LN(L743)-K743)/'Assumptions'!$D$10,TRUE)</x:f>
        <x:v>0.7841863625115301</x:v>
      </x:c>
      <x:c r="N743" s="30" t="n">
        <x:f>MAX(0,H743-MAX(G743,M743))</x:f>
        <x:v>0.11111111111111116</x:v>
      </x:c>
      <x:c r="O743" s="28" t="n">
        <x:f>J743*I743</x:f>
        <x:v>2908.5671014320837</x:v>
      </x:c>
      <x:c r="P743" s="27" t="n">
        <x:f>(VLOOKUP(O743,'Fee Data'!$C$6:$G$50,2,TRUE)+O743*VLOOKUP(O743,'Fee Data'!$C$6:$G$50,3,TRUE)+VLOOKUP(O743,'Fee Data'!$I$6:$J$14,2,TRUE)+'Fee Data'!$J$20+'Fee Data'!$J$21)*'Assumptions'!G37</x:f>
        <x:v>820</x:v>
      </x:c>
      <x:c r="Q743" s="27" t="n">
        <x:f>(VLOOKUP(O743,'Fee Data'!$C$6:$G$50,4,TRUE)+O743*VLOOKUP(O743,'Fee Data'!$C$6:$G$50,5,TRUE)+VLOOKUP(O743,'Fee Data'!$I$6:$J$14,2,TRUE)+'Fee Data'!$J$20+'Fee Data'!$J$21)*'Assumptions'!G37</x:f>
        <x:v>670</x:v>
      </x:c>
      <x:c r="R743" s="27" t="n">
        <x:f>P743*(1-'Assumptions'!$D$14)+Q743*'Assumptions'!$D$14</x:f>
        <x:v>745</x:v>
      </x:c>
      <x:c r="S743" s="27" t="n">
        <x:f>O743*'Carrier Engine'!E94</x:f>
        <x:v>116.34268405728335</x:v>
      </x:c>
      <x:c r="T743" s="28" t="n">
        <x:f>R743+S743</x:f>
        <x:v>861.3426840572833</x:v>
      </x:c>
      <x:c r="U743" s="27" t="n">
        <x:f>N743*'Fleet Engine'!I203</x:f>
        <x:v>1992.9772325353968</x:v>
      </x:c>
      <x:c r="V743" s="28" t="n">
        <x:f>U743*T743</x:f>
        <x:v>1716636.3587370953</x:v>
      </x:c>
      <x:c r="W743" s="28" t="n">
        <x:f>U743*O743</x:f>
        <x:v>5796708.012455615</x:v>
      </x:c>
    </x:row>
    <x:row r="744" ht="19" customHeight="1">
      <x:c r="A744" s="2"/>
      <x:c r="B744" s="2"/>
      <x:c r="C744" s="46" t="n">
        <x:v>3</x:v>
      </x:c>
      <x:c r="D744" s="46" t="n">
        <x:v>10</x:v>
      </x:c>
      <x:c r="E744" s="46" t="n">
        <x:v>1</x:v>
      </x:c>
      <x:c r="F744" s="46" t="n">
        <x:v>4</x:v>
      </x:c>
      <x:c r="G744" s="12" t="n">
        <x:v>0</x:v>
      </x:c>
      <x:c r="H744" s="12" t="n">
        <x:v>0.1111111111111111</x:v>
      </x:c>
      <x:c r="I744" s="29" t="n">
        <x:f>'Assumptions'!$D$11+'Assumptions'!$D$12*(0.5-(G744+H744)/2)</x:f>
        <x:v>0.3888888888888889</x:v>
      </x:c>
      <x:c r="J744" s="27" t="n">
        <x:f>'Assumptions'!$D$8*EXP(-'Assumptions'!$D$9*('Fleet Engine'!E204-10))*'Assumptions'!E56*'Assumptions'!G36</x:f>
        <x:v>10206.566075445622</x:v>
      </x:c>
      <x:c r="K744" s="27" t="n">
        <x:f>'Source Data'!F221+LN('Assumptions'!D56)+LN('Assumptions'!G35)</x:f>
        <x:v>8.155326402806208</x:v>
      </x:c>
      <x:c r="L744" s="27" t="n">
        <x:f>J744*(1-I744*(1-'Carrier Engine'!E94))</x:f>
        <x:v>6396.11474061259</x:v>
      </x:c>
      <x:c r="M744" s="29" t="n">
        <x:f>NORM.S.DIST((LN(L744)-K744)/'Assumptions'!$D$10,TRUE)</x:f>
        <x:v>0.6507279511537387</x:v>
      </x:c>
      <x:c r="N744" s="30" t="n">
        <x:f>MAX(0,H744-MAX(G744,M744))</x:f>
        <x:v>0</x:v>
      </x:c>
      <x:c r="O744" s="28" t="n">
        <x:f>J744*I744</x:f>
        <x:v>3969.220140451075</x:v>
      </x:c>
      <x:c r="P744" s="27" t="n">
        <x:f>(VLOOKUP(O744,'Fee Data'!$C$6:$G$50,2,TRUE)+O744*VLOOKUP(O744,'Fee Data'!$C$6:$G$50,3,TRUE)+VLOOKUP(O744,'Fee Data'!$I$6:$J$14,2,TRUE)+'Fee Data'!$J$20+'Fee Data'!$J$21)*'Assumptions'!G37</x:f>
        <x:v>915</x:v>
      </x:c>
      <x:c r="Q744" s="27" t="n">
        <x:f>(VLOOKUP(O744,'Fee Data'!$C$6:$G$50,4,TRUE)+O744*VLOOKUP(O744,'Fee Data'!$C$6:$G$50,5,TRUE)+VLOOKUP(O744,'Fee Data'!$I$6:$J$14,2,TRUE)+'Fee Data'!$J$20+'Fee Data'!$J$21)*'Assumptions'!G37</x:f>
        <x:v>765</x:v>
      </x:c>
      <x:c r="R744" s="27" t="n">
        <x:f>P744*(1-'Assumptions'!$D$14)+Q744*'Assumptions'!$D$14</x:f>
        <x:v>840</x:v>
      </x:c>
      <x:c r="S744" s="27" t="n">
        <x:f>O744*'Carrier Engine'!E94</x:f>
        <x:v>158.76880561804302</x:v>
      </x:c>
      <x:c r="T744" s="28" t="n">
        <x:f>R744+S744</x:f>
        <x:v>998.768805618043</x:v>
      </x:c>
      <x:c r="U744" s="27" t="n">
        <x:f>N744*'Fleet Engine'!I204</x:f>
        <x:v>0</x:v>
      </x:c>
      <x:c r="V744" s="28" t="n">
        <x:f>U744*T744</x:f>
        <x:v>0</x:v>
      </x:c>
      <x:c r="W744" s="28" t="n">
        <x:f>U744*O744</x:f>
        <x:v>0</x:v>
      </x:c>
    </x:row>
    <x:row r="745" ht="19" customHeight="1">
      <x:c r="A745" s="2"/>
      <x:c r="B745" s="2"/>
      <x:c r="C745" s="46" t="n">
        <x:v>3</x:v>
      </x:c>
      <x:c r="D745" s="46" t="n">
        <x:v>10</x:v>
      </x:c>
      <x:c r="E745" s="46" t="n">
        <x:v>1</x:v>
      </x:c>
      <x:c r="F745" s="46" t="n">
        <x:v>4</x:v>
      </x:c>
      <x:c r="G745" s="12" t="n">
        <x:v>0.1111111111111111</x:v>
      </x:c>
      <x:c r="H745" s="12" t="n">
        <x:v>0.2222222222222222</x:v>
      </x:c>
      <x:c r="I745" s="29" t="n">
        <x:f>'Assumptions'!$D$11+'Assumptions'!$D$12*(0.5-(G745+H745)/2)</x:f>
        <x:v>0.3666666666666667</x:v>
      </x:c>
      <x:c r="J745" s="27" t="n">
        <x:f>'Assumptions'!$D$8*EXP(-'Assumptions'!$D$9*('Fleet Engine'!E204-10))*'Assumptions'!E56*'Assumptions'!G36</x:f>
        <x:v>10206.566075445622</x:v>
      </x:c>
      <x:c r="K745" s="27" t="n">
        <x:f>'Source Data'!F221+LN('Assumptions'!D56)+LN('Assumptions'!G35)</x:f>
        <x:v>8.155326402806208</x:v>
      </x:c>
      <x:c r="L745" s="27" t="n">
        <x:f>J745*(1-I745*(1-'Carrier Engine'!E94))</x:f>
        <x:v>6613.854816888762</x:v>
      </x:c>
      <x:c r="M745" s="29" t="n">
        <x:f>NORM.S.DIST((LN(L745)-K745)/'Assumptions'!$D$10,TRUE)</x:f>
        <x:v>0.658585579143658</x:v>
      </x:c>
      <x:c r="N745" s="30" t="n">
        <x:f>MAX(0,H745-MAX(G745,M745))</x:f>
        <x:v>0</x:v>
      </x:c>
      <x:c r="O745" s="28" t="n">
        <x:f>J745*I745</x:f>
        <x:v>3742.4075609967285</x:v>
      </x:c>
      <x:c r="P745" s="27" t="n">
        <x:f>(VLOOKUP(O745,'Fee Data'!$C$6:$G$50,2,TRUE)+O745*VLOOKUP(O745,'Fee Data'!$C$6:$G$50,3,TRUE)+VLOOKUP(O745,'Fee Data'!$I$6:$J$14,2,TRUE)+'Fee Data'!$J$20+'Fee Data'!$J$21)*'Assumptions'!G37</x:f>
        <x:v>915</x:v>
      </x:c>
      <x:c r="Q745" s="27" t="n">
        <x:f>(VLOOKUP(O745,'Fee Data'!$C$6:$G$50,4,TRUE)+O745*VLOOKUP(O745,'Fee Data'!$C$6:$G$50,5,TRUE)+VLOOKUP(O745,'Fee Data'!$I$6:$J$14,2,TRUE)+'Fee Data'!$J$20+'Fee Data'!$J$21)*'Assumptions'!G37</x:f>
        <x:v>765</x:v>
      </x:c>
      <x:c r="R745" s="27" t="n">
        <x:f>P745*(1-'Assumptions'!$D$14)+Q745*'Assumptions'!$D$14</x:f>
        <x:v>840</x:v>
      </x:c>
      <x:c r="S745" s="27" t="n">
        <x:f>O745*'Carrier Engine'!E94</x:f>
        <x:v>149.69630243986916</x:v>
      </x:c>
      <x:c r="T745" s="28" t="n">
        <x:f>R745+S745</x:f>
        <x:v>989.6963024398692</x:v>
      </x:c>
      <x:c r="U745" s="27" t="n">
        <x:f>N745*'Fleet Engine'!I204</x:f>
        <x:v>0</x:v>
      </x:c>
      <x:c r="V745" s="28" t="n">
        <x:f>U745*T745</x:f>
        <x:v>0</x:v>
      </x:c>
      <x:c r="W745" s="28" t="n">
        <x:f>U745*O745</x:f>
        <x:v>0</x:v>
      </x:c>
    </x:row>
    <x:row r="746" ht="19" customHeight="1">
      <x:c r="A746" s="2"/>
      <x:c r="B746" s="2"/>
      <x:c r="C746" s="46" t="n">
        <x:v>3</x:v>
      </x:c>
      <x:c r="D746" s="46" t="n">
        <x:v>10</x:v>
      </x:c>
      <x:c r="E746" s="46" t="n">
        <x:v>1</x:v>
      </x:c>
      <x:c r="F746" s="46" t="n">
        <x:v>4</x:v>
      </x:c>
      <x:c r="G746" s="12" t="n">
        <x:v>0.2222222222222222</x:v>
      </x:c>
      <x:c r="H746" s="12" t="n">
        <x:v>0.3333333333333333</x:v>
      </x:c>
      <x:c r="I746" s="29" t="n">
        <x:f>'Assumptions'!$D$11+'Assumptions'!$D$12*(0.5-(G746+H746)/2)</x:f>
        <x:v>0.34444444444444444</x:v>
      </x:c>
      <x:c r="J746" s="27" t="n">
        <x:f>'Assumptions'!$D$8*EXP(-'Assumptions'!$D$9*('Fleet Engine'!E204-10))*'Assumptions'!E56*'Assumptions'!G36</x:f>
        <x:v>10206.566075445622</x:v>
      </x:c>
      <x:c r="K746" s="27" t="n">
        <x:f>'Source Data'!F221+LN('Assumptions'!D56)+LN('Assumptions'!G35)</x:f>
        <x:v>8.155326402806208</x:v>
      </x:c>
      <x:c r="L746" s="27" t="n">
        <x:f>J746*(1-I746*(1-'Carrier Engine'!E94))</x:f>
        <x:v>6831.594893164936</x:v>
      </x:c>
      <x:c r="M746" s="29" t="n">
        <x:f>NORM.S.DIST((LN(L746)-K746)/'Assumptions'!$D$10,TRUE)</x:f>
        <x:v>0.6661238198441306</x:v>
      </x:c>
      <x:c r="N746" s="30" t="n">
        <x:f>MAX(0,H746-MAX(G746,M746))</x:f>
        <x:v>0</x:v>
      </x:c>
      <x:c r="O746" s="28" t="n">
        <x:f>J746*I746</x:f>
        <x:v>3515.594981542381</x:v>
      </x:c>
      <x:c r="P746" s="27" t="n">
        <x:f>(VLOOKUP(O746,'Fee Data'!$C$6:$G$50,2,TRUE)+O746*VLOOKUP(O746,'Fee Data'!$C$6:$G$50,3,TRUE)+VLOOKUP(O746,'Fee Data'!$I$6:$J$14,2,TRUE)+'Fee Data'!$J$20+'Fee Data'!$J$21)*'Assumptions'!G37</x:f>
        <x:v>915</x:v>
      </x:c>
      <x:c r="Q746" s="27" t="n">
        <x:f>(VLOOKUP(O746,'Fee Data'!$C$6:$G$50,4,TRUE)+O746*VLOOKUP(O746,'Fee Data'!$C$6:$G$50,5,TRUE)+VLOOKUP(O746,'Fee Data'!$I$6:$J$14,2,TRUE)+'Fee Data'!$J$20+'Fee Data'!$J$21)*'Assumptions'!G37</x:f>
        <x:v>765</x:v>
      </x:c>
      <x:c r="R746" s="27" t="n">
        <x:f>P746*(1-'Assumptions'!$D$14)+Q746*'Assumptions'!$D$14</x:f>
        <x:v>840</x:v>
      </x:c>
      <x:c r="S746" s="27" t="n">
        <x:f>O746*'Carrier Engine'!E94</x:f>
        <x:v>140.62379926169524</x:v>
      </x:c>
      <x:c r="T746" s="28" t="n">
        <x:f>R746+S746</x:f>
        <x:v>980.6237992616952</x:v>
      </x:c>
      <x:c r="U746" s="27" t="n">
        <x:f>N746*'Fleet Engine'!I204</x:f>
        <x:v>0</x:v>
      </x:c>
      <x:c r="V746" s="28" t="n">
        <x:f>U746*T746</x:f>
        <x:v>0</x:v>
      </x:c>
      <x:c r="W746" s="28" t="n">
        <x:f>U746*O746</x:f>
        <x:v>0</x:v>
      </x:c>
    </x:row>
    <x:row r="747" ht="19" customHeight="1">
      <x:c r="A747" s="2"/>
      <x:c r="B747" s="2"/>
      <x:c r="C747" s="46" t="n">
        <x:v>3</x:v>
      </x:c>
      <x:c r="D747" s="46" t="n">
        <x:v>10</x:v>
      </x:c>
      <x:c r="E747" s="46" t="n">
        <x:v>1</x:v>
      </x:c>
      <x:c r="F747" s="46" t="n">
        <x:v>4</x:v>
      </x:c>
      <x:c r="G747" s="12" t="n">
        <x:v>0.3333333333333333</x:v>
      </x:c>
      <x:c r="H747" s="12" t="n">
        <x:v>0.4444444444444444</x:v>
      </x:c>
      <x:c r="I747" s="29" t="n">
        <x:f>'Assumptions'!$D$11+'Assumptions'!$D$12*(0.5-(G747+H747)/2)</x:f>
        <x:v>0.32222222222222224</x:v>
      </x:c>
      <x:c r="J747" s="27" t="n">
        <x:f>'Assumptions'!$D$8*EXP(-'Assumptions'!$D$9*('Fleet Engine'!E204-10))*'Assumptions'!E56*'Assumptions'!G36</x:f>
        <x:v>10206.566075445622</x:v>
      </x:c>
      <x:c r="K747" s="27" t="n">
        <x:f>'Source Data'!F221+LN('Assumptions'!D56)+LN('Assumptions'!G35)</x:f>
        <x:v>8.155326402806208</x:v>
      </x:c>
      <x:c r="L747" s="27" t="n">
        <x:f>J747*(1-I747*(1-'Carrier Engine'!E94))</x:f>
        <x:v>7049.33496944111</x:v>
      </x:c>
      <x:c r="M747" s="29" t="n">
        <x:f>NORM.S.DIST((LN(L747)-K747)/'Assumptions'!$D$10,TRUE)</x:f>
        <x:v>0.6733621968258094</x:v>
      </x:c>
      <x:c r="N747" s="30" t="n">
        <x:f>MAX(0,H747-MAX(G747,M747))</x:f>
        <x:v>0</x:v>
      </x:c>
      <x:c r="O747" s="28" t="n">
        <x:f>J747*I747</x:f>
        <x:v>3288.782402088034</x:v>
      </x:c>
      <x:c r="P747" s="27" t="n">
        <x:f>(VLOOKUP(O747,'Fee Data'!$C$6:$G$50,2,TRUE)+O747*VLOOKUP(O747,'Fee Data'!$C$6:$G$50,3,TRUE)+VLOOKUP(O747,'Fee Data'!$I$6:$J$14,2,TRUE)+'Fee Data'!$J$20+'Fee Data'!$J$21)*'Assumptions'!G37</x:f>
        <x:v>865</x:v>
      </x:c>
      <x:c r="Q747" s="27" t="n">
        <x:f>(VLOOKUP(O747,'Fee Data'!$C$6:$G$50,4,TRUE)+O747*VLOOKUP(O747,'Fee Data'!$C$6:$G$50,5,TRUE)+VLOOKUP(O747,'Fee Data'!$I$6:$J$14,2,TRUE)+'Fee Data'!$J$20+'Fee Data'!$J$21)*'Assumptions'!G37</x:f>
        <x:v>715</x:v>
      </x:c>
      <x:c r="R747" s="27" t="n">
        <x:f>P747*(1-'Assumptions'!$D$14)+Q747*'Assumptions'!$D$14</x:f>
        <x:v>790</x:v>
      </x:c>
      <x:c r="S747" s="27" t="n">
        <x:f>O747*'Carrier Engine'!E94</x:f>
        <x:v>131.55129608352135</x:v>
      </x:c>
      <x:c r="T747" s="28" t="n">
        <x:f>R747+S747</x:f>
        <x:v>921.5512960835214</x:v>
      </x:c>
      <x:c r="U747" s="27" t="n">
        <x:f>N747*'Fleet Engine'!I204</x:f>
        <x:v>0</x:v>
      </x:c>
      <x:c r="V747" s="28" t="n">
        <x:f>U747*T747</x:f>
        <x:v>0</x:v>
      </x:c>
      <x:c r="W747" s="28" t="n">
        <x:f>U747*O747</x:f>
        <x:v>0</x:v>
      </x:c>
    </x:row>
    <x:row r="748" ht="19" customHeight="1">
      <x:c r="A748" s="2"/>
      <x:c r="B748" s="2"/>
      <x:c r="C748" s="46" t="n">
        <x:v>3</x:v>
      </x:c>
      <x:c r="D748" s="46" t="n">
        <x:v>10</x:v>
      </x:c>
      <x:c r="E748" s="46" t="n">
        <x:v>1</x:v>
      </x:c>
      <x:c r="F748" s="46" t="n">
        <x:v>4</x:v>
      </x:c>
      <x:c r="G748" s="12" t="n">
        <x:v>0.4444444444444444</x:v>
      </x:c>
      <x:c r="H748" s="12" t="n">
        <x:v>0.5555555555555556</x:v>
      </x:c>
      <x:c r="I748" s="29" t="n">
        <x:f>'Assumptions'!$D$11+'Assumptions'!$D$12*(0.5-(G748+H748)/2)</x:f>
        <x:v>0.3</x:v>
      </x:c>
      <x:c r="J748" s="27" t="n">
        <x:f>'Assumptions'!$D$8*EXP(-'Assumptions'!$D$9*('Fleet Engine'!E204-10))*'Assumptions'!E56*'Assumptions'!G36</x:f>
        <x:v>10206.566075445622</x:v>
      </x:c>
      <x:c r="K748" s="27" t="n">
        <x:f>'Source Data'!F221+LN('Assumptions'!D56)+LN('Assumptions'!G35)</x:f>
        <x:v>8.155326402806208</x:v>
      </x:c>
      <x:c r="L748" s="27" t="n">
        <x:f>J748*(1-I748*(1-'Carrier Engine'!E94))</x:f>
        <x:v>7267.075045717283</x:v>
      </x:c>
      <x:c r="M748" s="29" t="n">
        <x:f>NORM.S.DIST((LN(L748)-K748)/'Assumptions'!$D$10,TRUE)</x:f>
        <x:v>0.680318625246847</x:v>
      </x:c>
      <x:c r="N748" s="30" t="n">
        <x:f>MAX(0,H748-MAX(G748,M748))</x:f>
        <x:v>0</x:v>
      </x:c>
      <x:c r="O748" s="28" t="n">
        <x:f>J748*I748</x:f>
        <x:v>3061.9698226336864</x:v>
      </x:c>
      <x:c r="P748" s="27" t="n">
        <x:f>(VLOOKUP(O748,'Fee Data'!$C$6:$G$50,2,TRUE)+O748*VLOOKUP(O748,'Fee Data'!$C$6:$G$50,3,TRUE)+VLOOKUP(O748,'Fee Data'!$I$6:$J$14,2,TRUE)+'Fee Data'!$J$20+'Fee Data'!$J$21)*'Assumptions'!G37</x:f>
        <x:v>865</x:v>
      </x:c>
      <x:c r="Q748" s="27" t="n">
        <x:f>(VLOOKUP(O748,'Fee Data'!$C$6:$G$50,4,TRUE)+O748*VLOOKUP(O748,'Fee Data'!$C$6:$G$50,5,TRUE)+VLOOKUP(O748,'Fee Data'!$I$6:$J$14,2,TRUE)+'Fee Data'!$J$20+'Fee Data'!$J$21)*'Assumptions'!G37</x:f>
        <x:v>715</x:v>
      </x:c>
      <x:c r="R748" s="27" t="n">
        <x:f>P748*(1-'Assumptions'!$D$14)+Q748*'Assumptions'!$D$14</x:f>
        <x:v>790</x:v>
      </x:c>
      <x:c r="S748" s="27" t="n">
        <x:f>O748*'Carrier Engine'!E94</x:f>
        <x:v>122.47879290534746</x:v>
      </x:c>
      <x:c r="T748" s="28" t="n">
        <x:f>R748+S748</x:f>
        <x:v>912.4787929053475</x:v>
      </x:c>
      <x:c r="U748" s="27" t="n">
        <x:f>N748*'Fleet Engine'!I204</x:f>
        <x:v>0</x:v>
      </x:c>
      <x:c r="V748" s="28" t="n">
        <x:f>U748*T748</x:f>
        <x:v>0</x:v>
      </x:c>
      <x:c r="W748" s="28" t="n">
        <x:f>U748*O748</x:f>
        <x:v>0</x:v>
      </x:c>
    </x:row>
    <x:row r="749" ht="19" customHeight="1">
      <x:c r="A749" s="2"/>
      <x:c r="B749" s="2"/>
      <x:c r="C749" s="46" t="n">
        <x:v>3</x:v>
      </x:c>
      <x:c r="D749" s="46" t="n">
        <x:v>10</x:v>
      </x:c>
      <x:c r="E749" s="46" t="n">
        <x:v>1</x:v>
      </x:c>
      <x:c r="F749" s="46" t="n">
        <x:v>4</x:v>
      </x:c>
      <x:c r="G749" s="12" t="n">
        <x:v>0.5555555555555556</x:v>
      </x:c>
      <x:c r="H749" s="12" t="n">
        <x:v>0.6666666666666666</x:v>
      </x:c>
      <x:c r="I749" s="29" t="n">
        <x:f>'Assumptions'!$D$11+'Assumptions'!$D$12*(0.5-(G749+H749)/2)</x:f>
        <x:v>0.27777777777777773</x:v>
      </x:c>
      <x:c r="J749" s="27" t="n">
        <x:f>'Assumptions'!$D$8*EXP(-'Assumptions'!$D$9*('Fleet Engine'!E204-10))*'Assumptions'!E56*'Assumptions'!G36</x:f>
        <x:v>10206.566075445622</x:v>
      </x:c>
      <x:c r="K749" s="27" t="n">
        <x:f>'Source Data'!F221+LN('Assumptions'!D56)+LN('Assumptions'!G35)</x:f>
        <x:v>8.155326402806208</x:v>
      </x:c>
      <x:c r="L749" s="27" t="n">
        <x:f>J749*(1-I749*(1-'Carrier Engine'!E94))</x:f>
        <x:v>7484.815121993457</x:v>
      </x:c>
      <x:c r="M749" s="29" t="n">
        <x:f>NORM.S.DIST((LN(L749)-K749)/'Assumptions'!$D$10,TRUE)</x:f>
        <x:v>0.687009578457402</x:v>
      </x:c>
      <x:c r="N749" s="30" t="n">
        <x:f>MAX(0,H749-MAX(G749,M749))</x:f>
        <x:v>0</x:v>
      </x:c>
      <x:c r="O749" s="28" t="n">
        <x:f>J749*I749</x:f>
        <x:v>2835.157243179339</x:v>
      </x:c>
      <x:c r="P749" s="27" t="n">
        <x:f>(VLOOKUP(O749,'Fee Data'!$C$6:$G$50,2,TRUE)+O749*VLOOKUP(O749,'Fee Data'!$C$6:$G$50,3,TRUE)+VLOOKUP(O749,'Fee Data'!$I$6:$J$14,2,TRUE)+'Fee Data'!$J$20+'Fee Data'!$J$21)*'Assumptions'!G37</x:f>
        <x:v>820</x:v>
      </x:c>
      <x:c r="Q749" s="27" t="n">
        <x:f>(VLOOKUP(O749,'Fee Data'!$C$6:$G$50,4,TRUE)+O749*VLOOKUP(O749,'Fee Data'!$C$6:$G$50,5,TRUE)+VLOOKUP(O749,'Fee Data'!$I$6:$J$14,2,TRUE)+'Fee Data'!$J$20+'Fee Data'!$J$21)*'Assumptions'!G37</x:f>
        <x:v>670</x:v>
      </x:c>
      <x:c r="R749" s="27" t="n">
        <x:f>P749*(1-'Assumptions'!$D$14)+Q749*'Assumptions'!$D$14</x:f>
        <x:v>745</x:v>
      </x:c>
      <x:c r="S749" s="27" t="n">
        <x:f>O749*'Carrier Engine'!E94</x:f>
        <x:v>113.40628972717356</x:v>
      </x:c>
      <x:c r="T749" s="28" t="n">
        <x:f>R749+S749</x:f>
        <x:v>858.4062897271735</x:v>
      </x:c>
      <x:c r="U749" s="27" t="n">
        <x:f>N749*'Fleet Engine'!I204</x:f>
        <x:v>0</x:v>
      </x:c>
      <x:c r="V749" s="28" t="n">
        <x:f>U749*T749</x:f>
        <x:v>0</x:v>
      </x:c>
      <x:c r="W749" s="28" t="n">
        <x:f>U749*O749</x:f>
        <x:v>0</x:v>
      </x:c>
    </x:row>
    <x:row r="750" ht="19" customHeight="1">
      <x:c r="A750" s="2"/>
      <x:c r="B750" s="2"/>
      <x:c r="C750" s="46" t="n">
        <x:v>3</x:v>
      </x:c>
      <x:c r="D750" s="46" t="n">
        <x:v>10</x:v>
      </x:c>
      <x:c r="E750" s="46" t="n">
        <x:v>1</x:v>
      </x:c>
      <x:c r="F750" s="46" t="n">
        <x:v>4</x:v>
      </x:c>
      <x:c r="G750" s="12" t="n">
        <x:v>0.6666666666666666</x:v>
      </x:c>
      <x:c r="H750" s="12" t="n">
        <x:v>0.7777777777777778</x:v>
      </x:c>
      <x:c r="I750" s="29" t="n">
        <x:f>'Assumptions'!$D$11+'Assumptions'!$D$12*(0.5-(G750+H750)/2)</x:f>
        <x:v>0.25555555555555554</x:v>
      </x:c>
      <x:c r="J750" s="27" t="n">
        <x:f>'Assumptions'!$D$8*EXP(-'Assumptions'!$D$9*('Fleet Engine'!E204-10))*'Assumptions'!E56*'Assumptions'!G36</x:f>
        <x:v>10206.566075445622</x:v>
      </x:c>
      <x:c r="K750" s="27" t="n">
        <x:f>'Source Data'!F221+LN('Assumptions'!D56)+LN('Assumptions'!G35)</x:f>
        <x:v>8.155326402806208</x:v>
      </x:c>
      <x:c r="L750" s="27" t="n">
        <x:f>J750*(1-I750*(1-'Carrier Engine'!E94))</x:f>
        <x:v>7702.55519826963</x:v>
      </x:c>
      <x:c r="M750" s="29" t="n">
        <x:f>NORM.S.DIST((LN(L750)-K750)/'Assumptions'!$D$10,TRUE)</x:f>
        <x:v>0.6934502338952844</x:v>
      </x:c>
      <x:c r="N750" s="30" t="n">
        <x:f>MAX(0,H750-MAX(G750,M750))</x:f>
        <x:v>0.08432754388249342</x:v>
      </x:c>
      <x:c r="O750" s="28" t="n">
        <x:f>J750*I750</x:f>
        <x:v>2608.344663724992</x:v>
      </x:c>
      <x:c r="P750" s="27" t="n">
        <x:f>(VLOOKUP(O750,'Fee Data'!$C$6:$G$50,2,TRUE)+O750*VLOOKUP(O750,'Fee Data'!$C$6:$G$50,3,TRUE)+VLOOKUP(O750,'Fee Data'!$I$6:$J$14,2,TRUE)+'Fee Data'!$J$20+'Fee Data'!$J$21)*'Assumptions'!G37</x:f>
        <x:v>820</x:v>
      </x:c>
      <x:c r="Q750" s="27" t="n">
        <x:f>(VLOOKUP(O750,'Fee Data'!$C$6:$G$50,4,TRUE)+O750*VLOOKUP(O750,'Fee Data'!$C$6:$G$50,5,TRUE)+VLOOKUP(O750,'Fee Data'!$I$6:$J$14,2,TRUE)+'Fee Data'!$J$20+'Fee Data'!$J$21)*'Assumptions'!G37</x:f>
        <x:v>670</x:v>
      </x:c>
      <x:c r="R750" s="27" t="n">
        <x:f>P750*(1-'Assumptions'!$D$14)+Q750*'Assumptions'!$D$14</x:f>
        <x:v>745</x:v>
      </x:c>
      <x:c r="S750" s="27" t="n">
        <x:f>O750*'Carrier Engine'!E94</x:f>
        <x:v>104.33378654899968</x:v>
      </x:c>
      <x:c r="T750" s="28" t="n">
        <x:f>R750+S750</x:f>
        <x:v>849.3337865489997</x:v>
      </x:c>
      <x:c r="U750" s="27" t="n">
        <x:f>N750*'Fleet Engine'!I204</x:f>
        <x:v>831.9361606458863</x:v>
      </x:c>
      <x:c r="V750" s="28" t="n">
        <x:f>U750*T750</x:f>
        <x:v>706591.4894884075</x:v>
      </x:c>
      <x:c r="W750" s="28" t="n">
        <x:f>U750*O750</x:f>
        <x:v>2169976.245180555</x:v>
      </x:c>
    </x:row>
    <x:row r="751" ht="19" customHeight="1">
      <x:c r="A751" s="2"/>
      <x:c r="B751" s="2"/>
      <x:c r="C751" s="46" t="n">
        <x:v>3</x:v>
      </x:c>
      <x:c r="D751" s="46" t="n">
        <x:v>10</x:v>
      </x:c>
      <x:c r="E751" s="46" t="n">
        <x:v>1</x:v>
      </x:c>
      <x:c r="F751" s="46" t="n">
        <x:v>4</x:v>
      </x:c>
      <x:c r="G751" s="12" t="n">
        <x:v>0.7777777777777778</x:v>
      </x:c>
      <x:c r="H751" s="12" t="n">
        <x:v>0.8888888888888888</x:v>
      </x:c>
      <x:c r="I751" s="29" t="n">
        <x:f>'Assumptions'!$D$11+'Assumptions'!$D$12*(0.5-(G751+H751)/2)</x:f>
        <x:v>0.23333333333333334</x:v>
      </x:c>
      <x:c r="J751" s="27" t="n">
        <x:f>'Assumptions'!$D$8*EXP(-'Assumptions'!$D$9*('Fleet Engine'!E204-10))*'Assumptions'!E56*'Assumptions'!G36</x:f>
        <x:v>10206.566075445622</x:v>
      </x:c>
      <x:c r="K751" s="27" t="n">
        <x:f>'Source Data'!F221+LN('Assumptions'!D56)+LN('Assumptions'!G35)</x:f>
        <x:v>8.155326402806208</x:v>
      </x:c>
      <x:c r="L751" s="27" t="n">
        <x:f>J751*(1-I751*(1-'Carrier Engine'!E94))</x:f>
        <x:v>7920.295274545803</x:v>
      </x:c>
      <x:c r="M751" s="29" t="n">
        <x:f>NORM.S.DIST((LN(L751)-K751)/'Assumptions'!$D$10,TRUE)</x:f>
        <x:v>0.699654601261197</x:v>
      </x:c>
      <x:c r="N751" s="30" t="n">
        <x:f>MAX(0,H751-MAX(G751,M751))</x:f>
        <x:v>0.11111111111111105</x:v>
      </x:c>
      <x:c r="O751" s="28" t="n">
        <x:f>J751*I751</x:f>
        <x:v>2381.532084270645</x:v>
      </x:c>
      <x:c r="P751" s="27" t="n">
        <x:f>(VLOOKUP(O751,'Fee Data'!$C$6:$G$50,2,TRUE)+O751*VLOOKUP(O751,'Fee Data'!$C$6:$G$50,3,TRUE)+VLOOKUP(O751,'Fee Data'!$I$6:$J$14,2,TRUE)+'Fee Data'!$J$20+'Fee Data'!$J$21)*'Assumptions'!G37</x:f>
        <x:v>745</x:v>
      </x:c>
      <x:c r="Q751" s="27" t="n">
        <x:f>(VLOOKUP(O751,'Fee Data'!$C$6:$G$50,4,TRUE)+O751*VLOOKUP(O751,'Fee Data'!$C$6:$G$50,5,TRUE)+VLOOKUP(O751,'Fee Data'!$I$6:$J$14,2,TRUE)+'Fee Data'!$J$20+'Fee Data'!$J$21)*'Assumptions'!G37</x:f>
        <x:v>600</x:v>
      </x:c>
      <x:c r="R751" s="27" t="n">
        <x:f>P751*(1-'Assumptions'!$D$14)+Q751*'Assumptions'!$D$14</x:f>
        <x:v>672.5</x:v>
      </x:c>
      <x:c r="S751" s="27" t="n">
        <x:f>O751*'Carrier Engine'!E94</x:f>
        <x:v>95.26128337082581</x:v>
      </x:c>
      <x:c r="T751" s="28" t="n">
        <x:f>R751+S751</x:f>
        <x:v>767.7612833708258</x:v>
      </x:c>
      <x:c r="U751" s="27" t="n">
        <x:f>N751*'Fleet Engine'!I204</x:f>
        <x:v>1096.1703249851962</x:v>
      </x:c>
      <x:c r="V751" s="28" t="n">
        <x:f>U751*T751</x:f>
        <x:v>841597.1355036495</x:v>
      </x:c>
      <x:c r="W751" s="28" t="n">
        <x:f>U751*O751</x:f>
        <x:v>2610564.7987776245</x:v>
      </x:c>
    </x:row>
    <x:row r="752" ht="19" customHeight="1">
      <x:c r="A752" s="2"/>
      <x:c r="B752" s="2"/>
      <x:c r="C752" s="46" t="n">
        <x:v>3</x:v>
      </x:c>
      <x:c r="D752" s="46" t="n">
        <x:v>10</x:v>
      </x:c>
      <x:c r="E752" s="46" t="n">
        <x:v>1</x:v>
      </x:c>
      <x:c r="F752" s="46" t="n">
        <x:v>4</x:v>
      </x:c>
      <x:c r="G752" s="12" t="n">
        <x:v>0.8888888888888888</x:v>
      </x:c>
      <x:c r="H752" s="12" t="n">
        <x:v>1</x:v>
      </x:c>
      <x:c r="I752" s="29" t="n">
        <x:f>'Assumptions'!$D$11+'Assumptions'!$D$12*(0.5-(G752+H752)/2)</x:f>
        <x:v>0.21111111111111108</x:v>
      </x:c>
      <x:c r="J752" s="27" t="n">
        <x:f>'Assumptions'!$D$8*EXP(-'Assumptions'!$D$9*('Fleet Engine'!E204-10))*'Assumptions'!E56*'Assumptions'!G36</x:f>
        <x:v>10206.566075445622</x:v>
      </x:c>
      <x:c r="K752" s="27" t="n">
        <x:f>'Source Data'!F221+LN('Assumptions'!D56)+LN('Assumptions'!G35)</x:f>
        <x:v>8.155326402806208</x:v>
      </x:c>
      <x:c r="L752" s="27" t="n">
        <x:f>J752*(1-I752*(1-'Carrier Engine'!E94))</x:f>
        <x:v>8138.035350821976</x:v>
      </x:c>
      <x:c r="M752" s="29" t="n">
        <x:f>NORM.S.DIST((LN(L752)-K752)/'Assumptions'!$D$10,TRUE)</x:f>
        <x:v>0.7056356354734394</x:v>
      </x:c>
      <x:c r="N752" s="30" t="n">
        <x:f>MAX(0,H752-MAX(G752,M752))</x:f>
        <x:v>0.11111111111111116</x:v>
      </x:c>
      <x:c r="O752" s="28" t="n">
        <x:f>J752*I752</x:f>
        <x:v>2154.7195048162976</x:v>
      </x:c>
      <x:c r="P752" s="27" t="n">
        <x:f>(VLOOKUP(O752,'Fee Data'!$C$6:$G$50,2,TRUE)+O752*VLOOKUP(O752,'Fee Data'!$C$6:$G$50,3,TRUE)+VLOOKUP(O752,'Fee Data'!$I$6:$J$14,2,TRUE)+'Fee Data'!$J$20+'Fee Data'!$J$21)*'Assumptions'!G37</x:f>
        <x:v>745</x:v>
      </x:c>
      <x:c r="Q752" s="27" t="n">
        <x:f>(VLOOKUP(O752,'Fee Data'!$C$6:$G$50,4,TRUE)+O752*VLOOKUP(O752,'Fee Data'!$C$6:$G$50,5,TRUE)+VLOOKUP(O752,'Fee Data'!$I$6:$J$14,2,TRUE)+'Fee Data'!$J$20+'Fee Data'!$J$21)*'Assumptions'!G37</x:f>
        <x:v>600</x:v>
      </x:c>
      <x:c r="R752" s="27" t="n">
        <x:f>P752*(1-'Assumptions'!$D$14)+Q752*'Assumptions'!$D$14</x:f>
        <x:v>672.5</x:v>
      </x:c>
      <x:c r="S752" s="27" t="n">
        <x:f>O752*'Carrier Engine'!E94</x:f>
        <x:v>86.1887801926519</x:v>
      </x:c>
      <x:c r="T752" s="28" t="n">
        <x:f>R752+S752</x:f>
        <x:v>758.6887801926518</x:v>
      </x:c>
      <x:c r="U752" s="27" t="n">
        <x:f>N752*'Fleet Engine'!I204</x:f>
        <x:v>1096.1703249851973</x:v>
      </x:c>
      <x:c r="V752" s="28" t="n">
        <x:f>U752*T752</x:f>
        <x:v>831652.1267464021</x:v>
      </x:c>
      <x:c r="W752" s="28" t="n">
        <x:f>U752*O752</x:f>
        <x:v>2361939.5798464245</x:v>
      </x:c>
    </x:row>
    <x:row r="753" ht="19" customHeight="1">
      <x:c r="A753" s="2"/>
      <x:c r="B753" s="2"/>
      <x:c r="C753" s="46" t="n">
        <x:v>3</x:v>
      </x:c>
      <x:c r="D753" s="46" t="n">
        <x:v>11</x:v>
      </x:c>
      <x:c r="E753" s="46" t="n">
        <x:v>1</x:v>
      </x:c>
      <x:c r="F753" s="46" t="n">
        <x:v>5</x:v>
      </x:c>
      <x:c r="G753" s="12" t="n">
        <x:v>0</x:v>
      </x:c>
      <x:c r="H753" s="12" t="n">
        <x:v>0.1111111111111111</x:v>
      </x:c>
      <x:c r="I753" s="29" t="n">
        <x:f>'Assumptions'!$D$11+'Assumptions'!$D$12*(0.5-(G753+H753)/2)</x:f>
        <x:v>0.3888888888888889</x:v>
      </x:c>
      <x:c r="J753" s="27" t="n">
        <x:f>'Assumptions'!$D$8*EXP(-'Assumptions'!$D$9*('Fleet Engine'!E205-10))*'Assumptions'!E56*'Assumptions'!G36</x:f>
        <x:v>5601.482226767098</x:v>
      </x:c>
      <x:c r="K753" s="27" t="n">
        <x:f>'Source Data'!F222+LN('Assumptions'!D56)+LN('Assumptions'!G35)</x:f>
        <x:v>8.056397553082528</x:v>
      </x:c>
      <x:c r="L753" s="27" t="n">
        <x:f>J753*(1-I753*(1-'Carrier Engine'!E94))</x:f>
        <x:v>3510.262195440715</x:v>
      </x:c>
      <x:c r="M753" s="29" t="n">
        <x:f>NORM.S.DIST((LN(L753)-K753)/'Assumptions'!$D$10,TRUE)</x:f>
        <x:v>0.5271767523756574</x:v>
      </x:c>
      <x:c r="N753" s="30" t="n">
        <x:f>MAX(0,H753-MAX(G753,M753))</x:f>
        <x:v>0</x:v>
      </x:c>
      <x:c r="O753" s="28" t="n">
        <x:f>J753*I753</x:f>
        <x:v>2178.354199298316</x:v>
      </x:c>
      <x:c r="P753" s="27" t="n">
        <x:f>(VLOOKUP(O753,'Fee Data'!$C$6:$G$50,2,TRUE)+O753*VLOOKUP(O753,'Fee Data'!$C$6:$G$50,3,TRUE)+VLOOKUP(O753,'Fee Data'!$I$6:$J$14,2,TRUE)+'Fee Data'!$J$20+'Fee Data'!$J$21)*'Assumptions'!G37</x:f>
        <x:v>745</x:v>
      </x:c>
      <x:c r="Q753" s="27" t="n">
        <x:f>(VLOOKUP(O753,'Fee Data'!$C$6:$G$50,4,TRUE)+O753*VLOOKUP(O753,'Fee Data'!$C$6:$G$50,5,TRUE)+VLOOKUP(O753,'Fee Data'!$I$6:$J$14,2,TRUE)+'Fee Data'!$J$20+'Fee Data'!$J$21)*'Assumptions'!G37</x:f>
        <x:v>600</x:v>
      </x:c>
      <x:c r="R753" s="27" t="n">
        <x:f>P753*(1-'Assumptions'!$D$14)+Q753*'Assumptions'!$D$14</x:f>
        <x:v>672.5</x:v>
      </x:c>
      <x:c r="S753" s="27" t="n">
        <x:f>O753*'Carrier Engine'!E94</x:f>
        <x:v>87.13416797193264</x:v>
      </x:c>
      <x:c r="T753" s="28" t="n">
        <x:f>R753+S753</x:f>
        <x:v>759.6341679719326</x:v>
      </x:c>
      <x:c r="U753" s="27" t="n">
        <x:f>N753*'Fleet Engine'!I205</x:f>
        <x:v>0</x:v>
      </x:c>
      <x:c r="V753" s="28" t="n">
        <x:f>U753*T753</x:f>
        <x:v>0</x:v>
      </x:c>
      <x:c r="W753" s="28" t="n">
        <x:f>U753*O753</x:f>
        <x:v>0</x:v>
      </x:c>
    </x:row>
    <x:row r="754" ht="19" customHeight="1">
      <x:c r="A754" s="2"/>
      <x:c r="B754" s="2"/>
      <x:c r="C754" s="46" t="n">
        <x:v>3</x:v>
      </x:c>
      <x:c r="D754" s="46" t="n">
        <x:v>11</x:v>
      </x:c>
      <x:c r="E754" s="46" t="n">
        <x:v>1</x:v>
      </x:c>
      <x:c r="F754" s="46" t="n">
        <x:v>5</x:v>
      </x:c>
      <x:c r="G754" s="12" t="n">
        <x:v>0.1111111111111111</x:v>
      </x:c>
      <x:c r="H754" s="12" t="n">
        <x:v>0.2222222222222222</x:v>
      </x:c>
      <x:c r="I754" s="29" t="n">
        <x:f>'Assumptions'!$D$11+'Assumptions'!$D$12*(0.5-(G754+H754)/2)</x:f>
        <x:v>0.3666666666666667</x:v>
      </x:c>
      <x:c r="J754" s="27" t="n">
        <x:f>'Assumptions'!$D$8*EXP(-'Assumptions'!$D$9*('Fleet Engine'!E205-10))*'Assumptions'!E56*'Assumptions'!G36</x:f>
        <x:v>5601.482226767098</x:v>
      </x:c>
      <x:c r="K754" s="27" t="n">
        <x:f>'Source Data'!F222+LN('Assumptions'!D56)+LN('Assumptions'!G35)</x:f>
        <x:v>8.056397553082528</x:v>
      </x:c>
      <x:c r="L754" s="27" t="n">
        <x:f>J754*(1-I754*(1-'Carrier Engine'!E94))</x:f>
        <x:v>3629.760482945079</x:v>
      </x:c>
      <x:c r="M754" s="29" t="n">
        <x:f>NORM.S.DIST((LN(L754)-K754)/'Assumptions'!$D$10,TRUE)</x:f>
        <x:v>0.5356554348338565</x:v>
      </x:c>
      <x:c r="N754" s="30" t="n">
        <x:f>MAX(0,H754-MAX(G754,M754))</x:f>
        <x:v>0</x:v>
      </x:c>
      <x:c r="O754" s="28" t="n">
        <x:f>J754*I754</x:f>
        <x:v>2053.8768164812695</x:v>
      </x:c>
      <x:c r="P754" s="27" t="n">
        <x:f>(VLOOKUP(O754,'Fee Data'!$C$6:$G$50,2,TRUE)+O754*VLOOKUP(O754,'Fee Data'!$C$6:$G$50,3,TRUE)+VLOOKUP(O754,'Fee Data'!$I$6:$J$14,2,TRUE)+'Fee Data'!$J$20+'Fee Data'!$J$21)*'Assumptions'!G37</x:f>
        <x:v>745</x:v>
      </x:c>
      <x:c r="Q754" s="27" t="n">
        <x:f>(VLOOKUP(O754,'Fee Data'!$C$6:$G$50,4,TRUE)+O754*VLOOKUP(O754,'Fee Data'!$C$6:$G$50,5,TRUE)+VLOOKUP(O754,'Fee Data'!$I$6:$J$14,2,TRUE)+'Fee Data'!$J$20+'Fee Data'!$J$21)*'Assumptions'!G37</x:f>
        <x:v>600</x:v>
      </x:c>
      <x:c r="R754" s="27" t="n">
        <x:f>P754*(1-'Assumptions'!$D$14)+Q754*'Assumptions'!$D$14</x:f>
        <x:v>672.5</x:v>
      </x:c>
      <x:c r="S754" s="27" t="n">
        <x:f>O754*'Carrier Engine'!E94</x:f>
        <x:v>82.15507265925078</x:v>
      </x:c>
      <x:c r="T754" s="28" t="n">
        <x:f>R754+S754</x:f>
        <x:v>754.6550726592508</x:v>
      </x:c>
      <x:c r="U754" s="27" t="n">
        <x:f>N754*'Fleet Engine'!I205</x:f>
        <x:v>0</x:v>
      </x:c>
      <x:c r="V754" s="28" t="n">
        <x:f>U754*T754</x:f>
        <x:v>0</x:v>
      </x:c>
      <x:c r="W754" s="28" t="n">
        <x:f>U754*O754</x:f>
        <x:v>0</x:v>
      </x:c>
    </x:row>
    <x:row r="755" ht="19" customHeight="1">
      <x:c r="A755" s="2"/>
      <x:c r="B755" s="2"/>
      <x:c r="C755" s="46" t="n">
        <x:v>3</x:v>
      </x:c>
      <x:c r="D755" s="46" t="n">
        <x:v>11</x:v>
      </x:c>
      <x:c r="E755" s="46" t="n">
        <x:v>1</x:v>
      </x:c>
      <x:c r="F755" s="46" t="n">
        <x:v>5</x:v>
      </x:c>
      <x:c r="G755" s="12" t="n">
        <x:v>0.2222222222222222</x:v>
      </x:c>
      <x:c r="H755" s="12" t="n">
        <x:v>0.3333333333333333</x:v>
      </x:c>
      <x:c r="I755" s="29" t="n">
        <x:f>'Assumptions'!$D$11+'Assumptions'!$D$12*(0.5-(G755+H755)/2)</x:f>
        <x:v>0.34444444444444444</x:v>
      </x:c>
      <x:c r="J755" s="27" t="n">
        <x:f>'Assumptions'!$D$8*EXP(-'Assumptions'!$D$9*('Fleet Engine'!E205-10))*'Assumptions'!E56*'Assumptions'!G36</x:f>
        <x:v>5601.482226767098</x:v>
      </x:c>
      <x:c r="K755" s="27" t="n">
        <x:f>'Source Data'!F222+LN('Assumptions'!D56)+LN('Assumptions'!G35)</x:f>
        <x:v>8.056397553082528</x:v>
      </x:c>
      <x:c r="L755" s="27" t="n">
        <x:f>J755*(1-I755*(1-'Carrier Engine'!E94))</x:f>
        <x:v>3749.258770449444</x:v>
      </x:c>
      <x:c r="M755" s="29" t="n">
        <x:f>NORM.S.DIST((LN(L755)-K755)/'Assumptions'!$D$10,TRUE)</x:f>
        <x:v>0.5438441102581311</x:v>
      </x:c>
      <x:c r="N755" s="30" t="n">
        <x:f>MAX(0,H755-MAX(G755,M755))</x:f>
        <x:v>0</x:v>
      </x:c>
      <x:c r="O755" s="28" t="n">
        <x:f>J755*I755</x:f>
        <x:v>1929.3994336642227</x:v>
      </x:c>
      <x:c r="P755" s="27" t="n">
        <x:f>(VLOOKUP(O755,'Fee Data'!$C$6:$G$50,2,TRUE)+O755*VLOOKUP(O755,'Fee Data'!$C$6:$G$50,3,TRUE)+VLOOKUP(O755,'Fee Data'!$I$6:$J$14,2,TRUE)+'Fee Data'!$J$20+'Fee Data'!$J$21)*'Assumptions'!G37</x:f>
        <x:v>705</x:v>
      </x:c>
      <x:c r="Q755" s="27" t="n">
        <x:f>(VLOOKUP(O755,'Fee Data'!$C$6:$G$50,4,TRUE)+O755*VLOOKUP(O755,'Fee Data'!$C$6:$G$50,5,TRUE)+VLOOKUP(O755,'Fee Data'!$I$6:$J$14,2,TRUE)+'Fee Data'!$J$20+'Fee Data'!$J$21)*'Assumptions'!G37</x:f>
        <x:v>565</x:v>
      </x:c>
      <x:c r="R755" s="27" t="n">
        <x:f>P755*(1-'Assumptions'!$D$14)+Q755*'Assumptions'!$D$14</x:f>
        <x:v>635</x:v>
      </x:c>
      <x:c r="S755" s="27" t="n">
        <x:f>O755*'Carrier Engine'!E94</x:f>
        <x:v>77.17597734656891</x:v>
      </x:c>
      <x:c r="T755" s="28" t="n">
        <x:f>R755+S755</x:f>
        <x:v>712.175977346569</x:v>
      </x:c>
      <x:c r="U755" s="27" t="n">
        <x:f>N755*'Fleet Engine'!I205</x:f>
        <x:v>0</x:v>
      </x:c>
      <x:c r="V755" s="28" t="n">
        <x:f>U755*T755</x:f>
        <x:v>0</x:v>
      </x:c>
      <x:c r="W755" s="28" t="n">
        <x:f>U755*O755</x:f>
        <x:v>0</x:v>
      </x:c>
    </x:row>
    <x:row r="756" ht="19" customHeight="1">
      <x:c r="A756" s="2"/>
      <x:c r="B756" s="2"/>
      <x:c r="C756" s="46" t="n">
        <x:v>3</x:v>
      </x:c>
      <x:c r="D756" s="46" t="n">
        <x:v>11</x:v>
      </x:c>
      <x:c r="E756" s="46" t="n">
        <x:v>1</x:v>
      </x:c>
      <x:c r="F756" s="46" t="n">
        <x:v>5</x:v>
      </x:c>
      <x:c r="G756" s="12" t="n">
        <x:v>0.3333333333333333</x:v>
      </x:c>
      <x:c r="H756" s="12" t="n">
        <x:v>0.4444444444444444</x:v>
      </x:c>
      <x:c r="I756" s="29" t="n">
        <x:f>'Assumptions'!$D$11+'Assumptions'!$D$12*(0.5-(G756+H756)/2)</x:f>
        <x:v>0.32222222222222224</x:v>
      </x:c>
      <x:c r="J756" s="27" t="n">
        <x:f>'Assumptions'!$D$8*EXP(-'Assumptions'!$D$9*('Fleet Engine'!E205-10))*'Assumptions'!E56*'Assumptions'!G36</x:f>
        <x:v>5601.482226767098</x:v>
      </x:c>
      <x:c r="K756" s="27" t="n">
        <x:f>'Source Data'!F222+LN('Assumptions'!D56)+LN('Assumptions'!G35)</x:f>
        <x:v>8.056397553082528</x:v>
      </x:c>
      <x:c r="L756" s="27" t="n">
        <x:f>J756*(1-I756*(1-'Carrier Engine'!E94))</x:f>
        <x:v>3868.7570579538087</x:v>
      </x:c>
      <x:c r="M756" s="29" t="n">
        <x:f>NORM.S.DIST((LN(L756)-K756)/'Assumptions'!$D$10,TRUE)</x:f>
        <x:v>0.5517581623199981</x:v>
      </x:c>
      <x:c r="N756" s="30" t="n">
        <x:f>MAX(0,H756-MAX(G756,M756))</x:f>
        <x:v>0</x:v>
      </x:c>
      <x:c r="O756" s="28" t="n">
        <x:f>J756*I756</x:f>
        <x:v>1804.922050847176</x:v>
      </x:c>
      <x:c r="P756" s="27" t="n">
        <x:f>(VLOOKUP(O756,'Fee Data'!$C$6:$G$50,2,TRUE)+O756*VLOOKUP(O756,'Fee Data'!$C$6:$G$50,3,TRUE)+VLOOKUP(O756,'Fee Data'!$I$6:$J$14,2,TRUE)+'Fee Data'!$J$20+'Fee Data'!$J$21)*'Assumptions'!G37</x:f>
        <x:v>705</x:v>
      </x:c>
      <x:c r="Q756" s="27" t="n">
        <x:f>(VLOOKUP(O756,'Fee Data'!$C$6:$G$50,4,TRUE)+O756*VLOOKUP(O756,'Fee Data'!$C$6:$G$50,5,TRUE)+VLOOKUP(O756,'Fee Data'!$I$6:$J$14,2,TRUE)+'Fee Data'!$J$20+'Fee Data'!$J$21)*'Assumptions'!G37</x:f>
        <x:v>565</x:v>
      </x:c>
      <x:c r="R756" s="27" t="n">
        <x:f>P756*(1-'Assumptions'!$D$14)+Q756*'Assumptions'!$D$14</x:f>
        <x:v>635</x:v>
      </x:c>
      <x:c r="S756" s="27" t="n">
        <x:f>O756*'Carrier Engine'!E94</x:f>
        <x:v>72.19688203388704</x:v>
      </x:c>
      <x:c r="T756" s="28" t="n">
        <x:f>R756+S756</x:f>
        <x:v>707.196882033887</x:v>
      </x:c>
      <x:c r="U756" s="27" t="n">
        <x:f>N756*'Fleet Engine'!I205</x:f>
        <x:v>0</x:v>
      </x:c>
      <x:c r="V756" s="28" t="n">
        <x:f>U756*T756</x:f>
        <x:v>0</x:v>
      </x:c>
      <x:c r="W756" s="28" t="n">
        <x:f>U756*O756</x:f>
        <x:v>0</x:v>
      </x:c>
    </x:row>
    <x:row r="757" ht="19" customHeight="1">
      <x:c r="A757" s="2"/>
      <x:c r="B757" s="2"/>
      <x:c r="C757" s="46" t="n">
        <x:v>3</x:v>
      </x:c>
      <x:c r="D757" s="46" t="n">
        <x:v>11</x:v>
      </x:c>
      <x:c r="E757" s="46" t="n">
        <x:v>1</x:v>
      </x:c>
      <x:c r="F757" s="46" t="n">
        <x:v>5</x:v>
      </x:c>
      <x:c r="G757" s="12" t="n">
        <x:v>0.4444444444444444</x:v>
      </x:c>
      <x:c r="H757" s="12" t="n">
        <x:v>0.5555555555555556</x:v>
      </x:c>
      <x:c r="I757" s="29" t="n">
        <x:f>'Assumptions'!$D$11+'Assumptions'!$D$12*(0.5-(G757+H757)/2)</x:f>
        <x:v>0.3</x:v>
      </x:c>
      <x:c r="J757" s="27" t="n">
        <x:f>'Assumptions'!$D$8*EXP(-'Assumptions'!$D$9*('Fleet Engine'!E205-10))*'Assumptions'!E56*'Assumptions'!G36</x:f>
        <x:v>5601.482226767098</x:v>
      </x:c>
      <x:c r="K757" s="27" t="n">
        <x:f>'Source Data'!F222+LN('Assumptions'!D56)+LN('Assumptions'!G35)</x:f>
        <x:v>8.056397553082528</x:v>
      </x:c>
      <x:c r="L757" s="27" t="n">
        <x:f>J757*(1-I757*(1-'Carrier Engine'!E94))</x:f>
        <x:v>3988.2553454581735</x:v>
      </x:c>
      <x:c r="M757" s="29" t="n">
        <x:f>NORM.S.DIST((LN(L757)-K757)/'Assumptions'!$D$10,TRUE)</x:f>
        <x:v>0.559411856481953</x:v>
      </x:c>
      <x:c r="N757" s="30" t="n">
        <x:f>MAX(0,H757-MAX(G757,M757))</x:f>
        <x:v>0</x:v>
      </x:c>
      <x:c r="O757" s="28" t="n">
        <x:f>J757*I757</x:f>
        <x:v>1680.4446680301294</x:v>
      </x:c>
      <x:c r="P757" s="27" t="n">
        <x:f>(VLOOKUP(O757,'Fee Data'!$C$6:$G$50,2,TRUE)+O757*VLOOKUP(O757,'Fee Data'!$C$6:$G$50,3,TRUE)+VLOOKUP(O757,'Fee Data'!$I$6:$J$14,2,TRUE)+'Fee Data'!$J$20+'Fee Data'!$J$21)*'Assumptions'!G37</x:f>
        <x:v>660</x:v>
      </x:c>
      <x:c r="Q757" s="27" t="n">
        <x:f>(VLOOKUP(O757,'Fee Data'!$C$6:$G$50,4,TRUE)+O757*VLOOKUP(O757,'Fee Data'!$C$6:$G$50,5,TRUE)+VLOOKUP(O757,'Fee Data'!$I$6:$J$14,2,TRUE)+'Fee Data'!$J$20+'Fee Data'!$J$21)*'Assumptions'!G37</x:f>
        <x:v>525</x:v>
      </x:c>
      <x:c r="R757" s="27" t="n">
        <x:f>P757*(1-'Assumptions'!$D$14)+Q757*'Assumptions'!$D$14</x:f>
        <x:v>592.5</x:v>
      </x:c>
      <x:c r="S757" s="27" t="n">
        <x:f>O757*'Carrier Engine'!E94</x:f>
        <x:v>67.21778672120517</x:v>
      </x:c>
      <x:c r="T757" s="28" t="n">
        <x:f>R757+S757</x:f>
        <x:v>659.7177867212051</x:v>
      </x:c>
      <x:c r="U757" s="27" t="n">
        <x:f>N757*'Fleet Engine'!I205</x:f>
        <x:v>0</x:v>
      </x:c>
      <x:c r="V757" s="28" t="n">
        <x:f>U757*T757</x:f>
        <x:v>0</x:v>
      </x:c>
      <x:c r="W757" s="28" t="n">
        <x:f>U757*O757</x:f>
        <x:v>0</x:v>
      </x:c>
    </x:row>
    <x:row r="758" ht="19" customHeight="1">
      <x:c r="A758" s="2"/>
      <x:c r="B758" s="2"/>
      <x:c r="C758" s="46" t="n">
        <x:v>3</x:v>
      </x:c>
      <x:c r="D758" s="46" t="n">
        <x:v>11</x:v>
      </x:c>
      <x:c r="E758" s="46" t="n">
        <x:v>1</x:v>
      </x:c>
      <x:c r="F758" s="46" t="n">
        <x:v>5</x:v>
      </x:c>
      <x:c r="G758" s="12" t="n">
        <x:v>0.5555555555555556</x:v>
      </x:c>
      <x:c r="H758" s="12" t="n">
        <x:v>0.6666666666666666</x:v>
      </x:c>
      <x:c r="I758" s="29" t="n">
        <x:f>'Assumptions'!$D$11+'Assumptions'!$D$12*(0.5-(G758+H758)/2)</x:f>
        <x:v>0.27777777777777773</x:v>
      </x:c>
      <x:c r="J758" s="27" t="n">
        <x:f>'Assumptions'!$D$8*EXP(-'Assumptions'!$D$9*('Fleet Engine'!E205-10))*'Assumptions'!E56*'Assumptions'!G36</x:f>
        <x:v>5601.482226767098</x:v>
      </x:c>
      <x:c r="K758" s="27" t="n">
        <x:f>'Source Data'!F222+LN('Assumptions'!D56)+LN('Assumptions'!G35)</x:f>
        <x:v>8.056397553082528</x:v>
      </x:c>
      <x:c r="L758" s="27" t="n">
        <x:f>J758*(1-I758*(1-'Carrier Engine'!E94))</x:f>
        <x:v>4107.753632962539</x:v>
      </x:c>
      <x:c r="M758" s="29" t="n">
        <x:f>NORM.S.DIST((LN(L758)-K758)/'Assumptions'!$D$10,TRUE)</x:f>
        <x:v>0.5668184429915024</x:v>
      </x:c>
      <x:c r="N758" s="30" t="n">
        <x:f>MAX(0,H758-MAX(G758,M758))</x:f>
        <x:v>0.09984822367516422</x:v>
      </x:c>
      <x:c r="O758" s="28" t="n">
        <x:f>J758*I758</x:f>
        <x:v>1555.9672852130825</x:v>
      </x:c>
      <x:c r="P758" s="27" t="n">
        <x:f>(VLOOKUP(O758,'Fee Data'!$C$6:$G$50,2,TRUE)+O758*VLOOKUP(O758,'Fee Data'!$C$6:$G$50,3,TRUE)+VLOOKUP(O758,'Fee Data'!$I$6:$J$14,2,TRUE)+'Fee Data'!$J$20+'Fee Data'!$J$21)*'Assumptions'!G37</x:f>
        <x:v>640</x:v>
      </x:c>
      <x:c r="Q758" s="27" t="n">
        <x:f>(VLOOKUP(O758,'Fee Data'!$C$6:$G$50,4,TRUE)+O758*VLOOKUP(O758,'Fee Data'!$C$6:$G$50,5,TRUE)+VLOOKUP(O758,'Fee Data'!$I$6:$J$14,2,TRUE)+'Fee Data'!$J$20+'Fee Data'!$J$21)*'Assumptions'!G37</x:f>
        <x:v>510</x:v>
      </x:c>
      <x:c r="R758" s="27" t="n">
        <x:f>P758*(1-'Assumptions'!$D$14)+Q758*'Assumptions'!$D$14</x:f>
        <x:v>575</x:v>
      </x:c>
      <x:c r="S758" s="27" t="n">
        <x:f>O758*'Carrier Engine'!E94</x:f>
        <x:v>62.2386914085233</x:v>
      </x:c>
      <x:c r="T758" s="28" t="n">
        <x:f>R758+S758</x:f>
        <x:v>637.2386914085233</x:v>
      </x:c>
      <x:c r="U758" s="27" t="n">
        <x:f>N758*'Fleet Engine'!I205</x:f>
        <x:v>1168.9414887070318</x:v>
      </x:c>
      <x:c r="V758" s="28" t="n">
        <x:f>U758*T758</x:f>
        <x:v>744894.7445968001</x:v>
      </x:c>
      <x:c r="W758" s="28" t="n">
        <x:f>U758*O758</x:f>
        <x:v>1818834.7147564194</x:v>
      </x:c>
    </x:row>
    <x:row r="759" ht="19" customHeight="1">
      <x:c r="A759" s="2"/>
      <x:c r="B759" s="2"/>
      <x:c r="C759" s="46" t="n">
        <x:v>3</x:v>
      </x:c>
      <x:c r="D759" s="46" t="n">
        <x:v>11</x:v>
      </x:c>
      <x:c r="E759" s="46" t="n">
        <x:v>1</x:v>
      </x:c>
      <x:c r="F759" s="46" t="n">
        <x:v>5</x:v>
      </x:c>
      <x:c r="G759" s="12" t="n">
        <x:v>0.6666666666666666</x:v>
      </x:c>
      <x:c r="H759" s="12" t="n">
        <x:v>0.7777777777777778</x:v>
      </x:c>
      <x:c r="I759" s="29" t="n">
        <x:f>'Assumptions'!$D$11+'Assumptions'!$D$12*(0.5-(G759+H759)/2)</x:f>
        <x:v>0.25555555555555554</x:v>
      </x:c>
      <x:c r="J759" s="27" t="n">
        <x:f>'Assumptions'!$D$8*EXP(-'Assumptions'!$D$9*('Fleet Engine'!E205-10))*'Assumptions'!E56*'Assumptions'!G36</x:f>
        <x:v>5601.482226767098</x:v>
      </x:c>
      <x:c r="K759" s="27" t="n">
        <x:f>'Source Data'!F222+LN('Assumptions'!D56)+LN('Assumptions'!G35)</x:f>
        <x:v>8.056397553082528</x:v>
      </x:c>
      <x:c r="L759" s="27" t="n">
        <x:f>J759*(1-I759*(1-'Carrier Engine'!E94))</x:f>
        <x:v>4227.251920466903</x:v>
      </x:c>
      <x:c r="M759" s="29" t="n">
        <x:f>NORM.S.DIST((LN(L759)-K759)/'Assumptions'!$D$10,TRUE)</x:f>
        <x:v>0.5739902484750252</x:v>
      </x:c>
      <x:c r="N759" s="30" t="n">
        <x:f>MAX(0,H759-MAX(G759,M759))</x:f>
        <x:v>0.11111111111111116</x:v>
      </x:c>
      <x:c r="O759" s="28" t="n">
        <x:f>J759*I759</x:f>
        <x:v>1431.489902396036</x:v>
      </x:c>
      <x:c r="P759" s="27" t="n">
        <x:f>(VLOOKUP(O759,'Fee Data'!$C$6:$G$50,2,TRUE)+O759*VLOOKUP(O759,'Fee Data'!$C$6:$G$50,3,TRUE)+VLOOKUP(O759,'Fee Data'!$I$6:$J$14,2,TRUE)+'Fee Data'!$J$20+'Fee Data'!$J$21)*'Assumptions'!G37</x:f>
        <x:v>615</x:v>
      </x:c>
      <x:c r="Q759" s="27" t="n">
        <x:f>(VLOOKUP(O759,'Fee Data'!$C$6:$G$50,4,TRUE)+O759*VLOOKUP(O759,'Fee Data'!$C$6:$G$50,5,TRUE)+VLOOKUP(O759,'Fee Data'!$I$6:$J$14,2,TRUE)+'Fee Data'!$J$20+'Fee Data'!$J$21)*'Assumptions'!G37</x:f>
        <x:v>485</x:v>
      </x:c>
      <x:c r="R759" s="27" t="n">
        <x:f>P759*(1-'Assumptions'!$D$14)+Q759*'Assumptions'!$D$14</x:f>
        <x:v>550</x:v>
      </x:c>
      <x:c r="S759" s="27" t="n">
        <x:f>O759*'Carrier Engine'!E94</x:f>
        <x:v>57.259596095841445</x:v>
      </x:c>
      <x:c r="T759" s="28" t="n">
        <x:f>R759+S759</x:f>
        <x:v>607.2595960958414</x:v>
      </x:c>
      <x:c r="U759" s="27" t="n">
        <x:f>N759*'Fleet Engine'!I205</x:f>
        <x:v>1300.7981800123005</x:v>
      </x:c>
      <x:c r="V759" s="28" t="n">
        <x:f>U759*T759</x:f>
        <x:v>789922.1773964752</x:v>
      </x:c>
      <x:c r="W759" s="28" t="n">
        <x:f>U759*O759</x:f>
        <x:v>1862079.4597427493</x:v>
      </x:c>
    </x:row>
    <x:row r="760" ht="19" customHeight="1">
      <x:c r="A760" s="2"/>
      <x:c r="B760" s="2"/>
      <x:c r="C760" s="46" t="n">
        <x:v>3</x:v>
      </x:c>
      <x:c r="D760" s="46" t="n">
        <x:v>11</x:v>
      </x:c>
      <x:c r="E760" s="46" t="n">
        <x:v>1</x:v>
      </x:c>
      <x:c r="F760" s="46" t="n">
        <x:v>5</x:v>
      </x:c>
      <x:c r="G760" s="12" t="n">
        <x:v>0.7777777777777778</x:v>
      </x:c>
      <x:c r="H760" s="12" t="n">
        <x:v>0.8888888888888888</x:v>
      </x:c>
      <x:c r="I760" s="29" t="n">
        <x:f>'Assumptions'!$D$11+'Assumptions'!$D$12*(0.5-(G760+H760)/2)</x:f>
        <x:v>0.23333333333333334</x:v>
      </x:c>
      <x:c r="J760" s="27" t="n">
        <x:f>'Assumptions'!$D$8*EXP(-'Assumptions'!$D$9*('Fleet Engine'!E205-10))*'Assumptions'!E56*'Assumptions'!G36</x:f>
        <x:v>5601.482226767098</x:v>
      </x:c>
      <x:c r="K760" s="27" t="n">
        <x:f>'Source Data'!F222+LN('Assumptions'!D56)+LN('Assumptions'!G35)</x:f>
        <x:v>8.056397553082528</x:v>
      </x:c>
      <x:c r="L760" s="27" t="n">
        <x:f>J760*(1-I760*(1-'Carrier Engine'!E94))</x:f>
        <x:v>4346.7502079712685</x:v>
      </x:c>
      <x:c r="M760" s="29" t="n">
        <x:f>NORM.S.DIST((LN(L760)-K760)/'Assumptions'!$D$10,TRUE)</x:f>
        <x:v>0.5809387575906335</x:v>
      </x:c>
      <x:c r="N760" s="30" t="n">
        <x:f>MAX(0,H760-MAX(G760,M760))</x:f>
        <x:v>0.11111111111111105</x:v>
      </x:c>
      <x:c r="O760" s="28" t="n">
        <x:f>J760*I760</x:f>
        <x:v>1307.0125195789894</x:v>
      </x:c>
      <x:c r="P760" s="27" t="n">
        <x:f>(VLOOKUP(O760,'Fee Data'!$C$6:$G$50,2,TRUE)+O760*VLOOKUP(O760,'Fee Data'!$C$6:$G$50,3,TRUE)+VLOOKUP(O760,'Fee Data'!$I$6:$J$14,2,TRUE)+'Fee Data'!$J$20+'Fee Data'!$J$21)*'Assumptions'!G37</x:f>
        <x:v>595</x:v>
      </x:c>
      <x:c r="Q760" s="27" t="n">
        <x:f>(VLOOKUP(O760,'Fee Data'!$C$6:$G$50,4,TRUE)+O760*VLOOKUP(O760,'Fee Data'!$C$6:$G$50,5,TRUE)+VLOOKUP(O760,'Fee Data'!$I$6:$J$14,2,TRUE)+'Fee Data'!$J$20+'Fee Data'!$J$21)*'Assumptions'!G37</x:f>
        <x:v>470</x:v>
      </x:c>
      <x:c r="R760" s="27" t="n">
        <x:f>P760*(1-'Assumptions'!$D$14)+Q760*'Assumptions'!$D$14</x:f>
        <x:v>532.5</x:v>
      </x:c>
      <x:c r="S760" s="27" t="n">
        <x:f>O760*'Carrier Engine'!E94</x:f>
        <x:v>52.28050078315958</x:v>
      </x:c>
      <x:c r="T760" s="28" t="n">
        <x:f>R760+S760</x:f>
        <x:v>584.7805007831596</x:v>
      </x:c>
      <x:c r="U760" s="27" t="n">
        <x:f>N760*'Fleet Engine'!I205</x:f>
        <x:v>1300.7981800122993</x:v>
      </x:c>
      <x:c r="V760" s="28" t="n">
        <x:f>U760*T760</x:f>
        <x:v>760681.411125415</x:v>
      </x:c>
      <x:c r="W760" s="28" t="n">
        <x:f>U760*O760</x:f>
        <x:v>1700159.5067216393</x:v>
      </x:c>
    </x:row>
    <x:row r="761" ht="19" customHeight="1">
      <x:c r="A761" s="2"/>
      <x:c r="B761" s="2"/>
      <x:c r="C761" s="46" t="n">
        <x:v>3</x:v>
      </x:c>
      <x:c r="D761" s="46" t="n">
        <x:v>11</x:v>
      </x:c>
      <x:c r="E761" s="46" t="n">
        <x:v>1</x:v>
      </x:c>
      <x:c r="F761" s="46" t="n">
        <x:v>5</x:v>
      </x:c>
      <x:c r="G761" s="12" t="n">
        <x:v>0.8888888888888888</x:v>
      </x:c>
      <x:c r="H761" s="12" t="n">
        <x:v>1</x:v>
      </x:c>
      <x:c r="I761" s="29" t="n">
        <x:f>'Assumptions'!$D$11+'Assumptions'!$D$12*(0.5-(G761+H761)/2)</x:f>
        <x:v>0.21111111111111108</x:v>
      </x:c>
      <x:c r="J761" s="27" t="n">
        <x:f>'Assumptions'!$D$8*EXP(-'Assumptions'!$D$9*('Fleet Engine'!E205-10))*'Assumptions'!E56*'Assumptions'!G36</x:f>
        <x:v>5601.482226767098</x:v>
      </x:c>
      <x:c r="K761" s="27" t="n">
        <x:f>'Source Data'!F222+LN('Assumptions'!D56)+LN('Assumptions'!G35)</x:f>
        <x:v>8.056397553082528</x:v>
      </x:c>
      <x:c r="L761" s="27" t="n">
        <x:f>J761*(1-I761*(1-'Carrier Engine'!E94))</x:f>
        <x:v>4466.248495475633</x:v>
      </x:c>
      <x:c r="M761" s="29" t="n">
        <x:f>NORM.S.DIST((LN(L761)-K761)/'Assumptions'!$D$10,TRUE)</x:f>
        <x:v>0.5876746859896276</x:v>
      </x:c>
      <x:c r="N761" s="30" t="n">
        <x:f>MAX(0,H761-MAX(G761,M761))</x:f>
        <x:v>0.11111111111111116</x:v>
      </x:c>
      <x:c r="O761" s="28" t="n">
        <x:f>J761*I761</x:f>
        <x:v>1182.5351367619428</x:v>
      </x:c>
      <x:c r="P761" s="27" t="n">
        <x:f>(VLOOKUP(O761,'Fee Data'!$C$6:$G$50,2,TRUE)+O761*VLOOKUP(O761,'Fee Data'!$C$6:$G$50,3,TRUE)+VLOOKUP(O761,'Fee Data'!$I$6:$J$14,2,TRUE)+'Fee Data'!$J$20+'Fee Data'!$J$21)*'Assumptions'!G37</x:f>
        <x:v>560</x:v>
      </x:c>
      <x:c r="Q761" s="27" t="n">
        <x:f>(VLOOKUP(O761,'Fee Data'!$C$6:$G$50,4,TRUE)+O761*VLOOKUP(O761,'Fee Data'!$C$6:$G$50,5,TRUE)+VLOOKUP(O761,'Fee Data'!$I$6:$J$14,2,TRUE)+'Fee Data'!$J$20+'Fee Data'!$J$21)*'Assumptions'!G37</x:f>
        <x:v>435</x:v>
      </x:c>
      <x:c r="R761" s="27" t="n">
        <x:f>P761*(1-'Assumptions'!$D$14)+Q761*'Assumptions'!$D$14</x:f>
        <x:v>497.5</x:v>
      </x:c>
      <x:c r="S761" s="27" t="n">
        <x:f>O761*'Carrier Engine'!E94</x:f>
        <x:v>47.30140547047771</x:v>
      </x:c>
      <x:c r="T761" s="28" t="n">
        <x:f>R761+S761</x:f>
        <x:v>544.8014054704777</x:v>
      </x:c>
      <x:c r="U761" s="27" t="n">
        <x:f>N761*'Fleet Engine'!I205</x:f>
        <x:v>1300.7981800123005</x:v>
      </x:c>
      <x:c r="V761" s="28" t="n">
        <x:f>U761*T761</x:f>
        <x:v>708676.6767041407</x:v>
      </x:c>
      <x:c r="W761" s="28" t="n">
        <x:f>U761*O761</x:f>
        <x:v>1538239.553700532</x:v>
      </x:c>
    </x:row>
    <x:row r="762" ht="19" customHeight="1">
      <x:c r="A762" s="2"/>
      <x:c r="B762" s="2"/>
      <x:c r="C762" s="46" t="n">
        <x:v>3</x:v>
      </x:c>
      <x:c r="D762" s="46" t="n">
        <x:v>12</x:v>
      </x:c>
      <x:c r="E762" s="46" t="n">
        <x:v>2</x:v>
      </x:c>
      <x:c r="F762" s="46" t="n">
        <x:v>0</x:v>
      </x:c>
      <x:c r="G762" s="12" t="n">
        <x:v>0</x:v>
      </x:c>
      <x:c r="H762" s="12" t="n">
        <x:v>0.1111111111111111</x:v>
      </x:c>
      <x:c r="I762" s="29" t="n">
        <x:f>'Assumptions'!$D$11+'Assumptions'!$D$12*(0.5-(G762+H762)/2)</x:f>
        <x:v>0.3888888888888889</x:v>
      </x:c>
      <x:c r="J762" s="27" t="n">
        <x:f>'Assumptions'!$D$8*EXP(-'Assumptions'!$D$9*('Fleet Engine'!E206-10))*'Assumptions'!E57*'Assumptions'!G36</x:f>
        <x:v>40583.94769889355</x:v>
      </x:c>
      <x:c r="K762" s="27" t="n">
        <x:f>'Source Data'!F217+LN('Assumptions'!D57)+LN('Assumptions'!G35)</x:f>
        <x:v>8.2942644758604</x:v>
      </x:c>
      <x:c r="L762" s="27" t="n">
        <x:f>J762*(1-I762*(1-'Carrier Engine'!E94))</x:f>
        <x:v>25432.60722463996</x:v>
      </x:c>
      <x:c r="M762" s="29" t="n">
        <x:f>NORM.S.DIST((LN(L762)-K762)/'Assumptions'!$D$10,TRUE)</x:f>
        <x:v>0.8805788825170106</x:v>
      </x:c>
      <x:c r="N762" s="30" t="n">
        <x:f>MAX(0,H762-MAX(G762,M762))</x:f>
        <x:v>0</x:v>
      </x:c>
      <x:c r="O762" s="28" t="n">
        <x:f>J762*I762</x:f>
        <x:v>15782.646327347491</x:v>
      </x:c>
      <x:c r="P762" s="27" t="n">
        <x:f>(VLOOKUP(O762,'Fee Data'!$C$6:$G$50,2,TRUE)+O762*VLOOKUP(O762,'Fee Data'!$C$6:$G$50,3,TRUE)+VLOOKUP(O762,'Fee Data'!$I$6:$J$14,2,TRUE)+'Fee Data'!$J$20+'Fee Data'!$J$21)*'Assumptions'!G37</x:f>
        <x:v>1433.6984745510617</x:v>
      </x:c>
      <x:c r="Q762" s="27" t="n">
        <x:f>(VLOOKUP(O762,'Fee Data'!$C$6:$G$50,4,TRUE)+O762*VLOOKUP(O762,'Fee Data'!$C$6:$G$50,5,TRUE)+VLOOKUP(O762,'Fee Data'!$I$6:$J$14,2,TRUE)+'Fee Data'!$J$20+'Fee Data'!$J$21)*'Assumptions'!G37</x:f>
        <x:v>1196.9587796408496</x:v>
      </x:c>
      <x:c r="R762" s="27" t="n">
        <x:f>P762*(1-'Assumptions'!$D$14)+Q762*'Assumptions'!$D$14</x:f>
        <x:v>1315.3286270959557</x:v>
      </x:c>
      <x:c r="S762" s="27" t="n">
        <x:f>O762*'Carrier Engine'!E94</x:f>
        <x:v>631.3058530938996</x:v>
      </x:c>
      <x:c r="T762" s="28" t="n">
        <x:f>R762+S762</x:f>
        <x:v>1946.6344801898554</x:v>
      </x:c>
      <x:c r="U762" s="27" t="n">
        <x:f>N762*'Fleet Engine'!I206</x:f>
        <x:v>0</x:v>
      </x:c>
      <x:c r="V762" s="28" t="n">
        <x:f>U762*T762</x:f>
        <x:v>0</x:v>
      </x:c>
      <x:c r="W762" s="28" t="n">
        <x:f>U762*O762</x:f>
        <x:v>0</x:v>
      </x:c>
    </x:row>
    <x:row r="763" ht="19" customHeight="1">
      <x:c r="A763" s="2"/>
      <x:c r="B763" s="2"/>
      <x:c r="C763" s="46" t="n">
        <x:v>3</x:v>
      </x:c>
      <x:c r="D763" s="46" t="n">
        <x:v>12</x:v>
      </x:c>
      <x:c r="E763" s="46" t="n">
        <x:v>2</x:v>
      </x:c>
      <x:c r="F763" s="46" t="n">
        <x:v>0</x:v>
      </x:c>
      <x:c r="G763" s="12" t="n">
        <x:v>0.1111111111111111</x:v>
      </x:c>
      <x:c r="H763" s="12" t="n">
        <x:v>0.2222222222222222</x:v>
      </x:c>
      <x:c r="I763" s="29" t="n">
        <x:f>'Assumptions'!$D$11+'Assumptions'!$D$12*(0.5-(G763+H763)/2)</x:f>
        <x:v>0.3666666666666667</x:v>
      </x:c>
      <x:c r="J763" s="27" t="n">
        <x:f>'Assumptions'!$D$8*EXP(-'Assumptions'!$D$9*('Fleet Engine'!E206-10))*'Assumptions'!E57*'Assumptions'!G36</x:f>
        <x:v>40583.94769889355</x:v>
      </x:c>
      <x:c r="K763" s="27" t="n">
        <x:f>'Source Data'!F217+LN('Assumptions'!D57)+LN('Assumptions'!G35)</x:f>
        <x:v>8.2942644758604</x:v>
      </x:c>
      <x:c r="L763" s="27" t="n">
        <x:f>J763*(1-I763*(1-'Carrier Engine'!E94))</x:f>
        <x:v>26298.398108883015</x:v>
      </x:c>
      <x:c r="M763" s="29" t="n">
        <x:f>NORM.S.DIST((LN(L763)-K763)/'Assumptions'!$D$10,TRUE)</x:f>
        <x:v>0.8847758792317063</x:v>
      </x:c>
      <x:c r="N763" s="30" t="n">
        <x:f>MAX(0,H763-MAX(G763,M763))</x:f>
        <x:v>0</x:v>
      </x:c>
      <x:c r="O763" s="28" t="n">
        <x:f>J763*I763</x:f>
        <x:v>14880.780822927636</x:v>
      </x:c>
      <x:c r="P763" s="27" t="n">
        <x:f>(VLOOKUP(O763,'Fee Data'!$C$6:$G$50,2,TRUE)+O763*VLOOKUP(O763,'Fee Data'!$C$6:$G$50,3,TRUE)+VLOOKUP(O763,'Fee Data'!$I$6:$J$14,2,TRUE)+'Fee Data'!$J$20+'Fee Data'!$J$21)*'Assumptions'!G37</x:f>
        <x:v>1250</x:v>
      </x:c>
      <x:c r="Q763" s="27" t="n">
        <x:f>(VLOOKUP(O763,'Fee Data'!$C$6:$G$50,4,TRUE)+O763*VLOOKUP(O763,'Fee Data'!$C$6:$G$50,5,TRUE)+VLOOKUP(O763,'Fee Data'!$I$6:$J$14,2,TRUE)+'Fee Data'!$J$20+'Fee Data'!$J$21)*'Assumptions'!G37</x:f>
        <x:v>1140</x:v>
      </x:c>
      <x:c r="R763" s="27" t="n">
        <x:f>P763*(1-'Assumptions'!$D$14)+Q763*'Assumptions'!$D$14</x:f>
        <x:v>1195</x:v>
      </x:c>
      <x:c r="S763" s="27" t="n">
        <x:f>O763*'Carrier Engine'!E94</x:f>
        <x:v>595.2312329171054</x:v>
      </x:c>
      <x:c r="T763" s="28" t="n">
        <x:f>R763+S763</x:f>
        <x:v>1790.2312329171054</x:v>
      </x:c>
      <x:c r="U763" s="27" t="n">
        <x:f>N763*'Fleet Engine'!I206</x:f>
        <x:v>0</x:v>
      </x:c>
      <x:c r="V763" s="28" t="n">
        <x:f>U763*T763</x:f>
        <x:v>0</x:v>
      </x:c>
      <x:c r="W763" s="28" t="n">
        <x:f>U763*O763</x:f>
        <x:v>0</x:v>
      </x:c>
    </x:row>
    <x:row r="764" ht="19" customHeight="1">
      <x:c r="A764" s="2"/>
      <x:c r="B764" s="2"/>
      <x:c r="C764" s="46" t="n">
        <x:v>3</x:v>
      </x:c>
      <x:c r="D764" s="46" t="n">
        <x:v>12</x:v>
      </x:c>
      <x:c r="E764" s="46" t="n">
        <x:v>2</x:v>
      </x:c>
      <x:c r="F764" s="46" t="n">
        <x:v>0</x:v>
      </x:c>
      <x:c r="G764" s="12" t="n">
        <x:v>0.2222222222222222</x:v>
      </x:c>
      <x:c r="H764" s="12" t="n">
        <x:v>0.3333333333333333</x:v>
      </x:c>
      <x:c r="I764" s="29" t="n">
        <x:f>'Assumptions'!$D$11+'Assumptions'!$D$12*(0.5-(G764+H764)/2)</x:f>
        <x:v>0.34444444444444444</x:v>
      </x:c>
      <x:c r="J764" s="27" t="n">
        <x:f>'Assumptions'!$D$8*EXP(-'Assumptions'!$D$9*('Fleet Engine'!E206-10))*'Assumptions'!E57*'Assumptions'!G36</x:f>
        <x:v>40583.94769889355</x:v>
      </x:c>
      <x:c r="K764" s="27" t="n">
        <x:f>'Source Data'!F217+LN('Assumptions'!D57)+LN('Assumptions'!G35)</x:f>
        <x:v>8.2942644758604</x:v>
      </x:c>
      <x:c r="L764" s="27" t="n">
        <x:f>J764*(1-I764*(1-'Carrier Engine'!E94))</x:f>
        <x:v>27164.18899312608</x:v>
      </x:c>
      <x:c r="M764" s="29" t="n">
        <x:f>NORM.S.DIST((LN(L764)-K764)/'Assumptions'!$D$10,TRUE)</x:f>
        <x:v>0.888736062055902</x:v>
      </x:c>
      <x:c r="N764" s="30" t="n">
        <x:f>MAX(0,H764-MAX(G764,M764))</x:f>
        <x:v>0</x:v>
      </x:c>
      <x:c r="O764" s="28" t="n">
        <x:f>J764*I764</x:f>
        <x:v>13978.915318507778</x:v>
      </x:c>
      <x:c r="P764" s="27" t="n">
        <x:f>(VLOOKUP(O764,'Fee Data'!$C$6:$G$50,2,TRUE)+O764*VLOOKUP(O764,'Fee Data'!$C$6:$G$50,3,TRUE)+VLOOKUP(O764,'Fee Data'!$I$6:$J$14,2,TRUE)+'Fee Data'!$J$20+'Fee Data'!$J$21)*'Assumptions'!G37</x:f>
        <x:v>1250</x:v>
      </x:c>
      <x:c r="Q764" s="27" t="n">
        <x:f>(VLOOKUP(O764,'Fee Data'!$C$6:$G$50,4,TRUE)+O764*VLOOKUP(O764,'Fee Data'!$C$6:$G$50,5,TRUE)+VLOOKUP(O764,'Fee Data'!$I$6:$J$14,2,TRUE)+'Fee Data'!$J$20+'Fee Data'!$J$21)*'Assumptions'!G37</x:f>
        <x:v>1140</x:v>
      </x:c>
      <x:c r="R764" s="27" t="n">
        <x:f>P764*(1-'Assumptions'!$D$14)+Q764*'Assumptions'!$D$14</x:f>
        <x:v>1195</x:v>
      </x:c>
      <x:c r="S764" s="27" t="n">
        <x:f>O764*'Carrier Engine'!E94</x:f>
        <x:v>559.1566127403111</x:v>
      </x:c>
      <x:c r="T764" s="28" t="n">
        <x:f>R764+S764</x:f>
        <x:v>1754.1566127403112</x:v>
      </x:c>
      <x:c r="U764" s="27" t="n">
        <x:f>N764*'Fleet Engine'!I206</x:f>
        <x:v>0</x:v>
      </x:c>
      <x:c r="V764" s="28" t="n">
        <x:f>U764*T764</x:f>
        <x:v>0</x:v>
      </x:c>
      <x:c r="W764" s="28" t="n">
        <x:f>U764*O764</x:f>
        <x:v>0</x:v>
      </x:c>
    </x:row>
    <x:row r="765" ht="19" customHeight="1">
      <x:c r="A765" s="2"/>
      <x:c r="B765" s="2"/>
      <x:c r="C765" s="46" t="n">
        <x:v>3</x:v>
      </x:c>
      <x:c r="D765" s="46" t="n">
        <x:v>12</x:v>
      </x:c>
      <x:c r="E765" s="46" t="n">
        <x:v>2</x:v>
      </x:c>
      <x:c r="F765" s="46" t="n">
        <x:v>0</x:v>
      </x:c>
      <x:c r="G765" s="12" t="n">
        <x:v>0.3333333333333333</x:v>
      </x:c>
      <x:c r="H765" s="12" t="n">
        <x:v>0.4444444444444444</x:v>
      </x:c>
      <x:c r="I765" s="29" t="n">
        <x:f>'Assumptions'!$D$11+'Assumptions'!$D$12*(0.5-(G765+H765)/2)</x:f>
        <x:v>0.32222222222222224</x:v>
      </x:c>
      <x:c r="J765" s="27" t="n">
        <x:f>'Assumptions'!$D$8*EXP(-'Assumptions'!$D$9*('Fleet Engine'!E206-10))*'Assumptions'!E57*'Assumptions'!G36</x:f>
        <x:v>40583.94769889355</x:v>
      </x:c>
      <x:c r="K765" s="27" t="n">
        <x:f>'Source Data'!F217+LN('Assumptions'!D57)+LN('Assumptions'!G35)</x:f>
        <x:v>8.2942644758604</x:v>
      </x:c>
      <x:c r="L765" s="27" t="n">
        <x:f>J765*(1-I765*(1-'Carrier Engine'!E94))</x:f>
        <x:v>28029.979877369144</x:v>
      </x:c>
      <x:c r="M765" s="29" t="n">
        <x:f>NORM.S.DIST((LN(L765)-K765)/'Assumptions'!$D$10,TRUE)</x:f>
        <x:v>0.8924781519277265</x:v>
      </x:c>
      <x:c r="N765" s="30" t="n">
        <x:f>MAX(0,H765-MAX(G765,M765))</x:f>
        <x:v>0</x:v>
      </x:c>
      <x:c r="O765" s="28" t="n">
        <x:f>J765*I765</x:f>
        <x:v>13077.049814087923</x:v>
      </x:c>
      <x:c r="P765" s="27" t="n">
        <x:f>(VLOOKUP(O765,'Fee Data'!$C$6:$G$50,2,TRUE)+O765*VLOOKUP(O765,'Fee Data'!$C$6:$G$50,3,TRUE)+VLOOKUP(O765,'Fee Data'!$I$6:$J$14,2,TRUE)+'Fee Data'!$J$20+'Fee Data'!$J$21)*'Assumptions'!G37</x:f>
        <x:v>1250</x:v>
      </x:c>
      <x:c r="Q765" s="27" t="n">
        <x:f>(VLOOKUP(O765,'Fee Data'!$C$6:$G$50,4,TRUE)+O765*VLOOKUP(O765,'Fee Data'!$C$6:$G$50,5,TRUE)+VLOOKUP(O765,'Fee Data'!$I$6:$J$14,2,TRUE)+'Fee Data'!$J$20+'Fee Data'!$J$21)*'Assumptions'!G37</x:f>
        <x:v>1140</x:v>
      </x:c>
      <x:c r="R765" s="27" t="n">
        <x:f>P765*(1-'Assumptions'!$D$14)+Q765*'Assumptions'!$D$14</x:f>
        <x:v>1195</x:v>
      </x:c>
      <x:c r="S765" s="27" t="n">
        <x:f>O765*'Carrier Engine'!E94</x:f>
        <x:v>523.0819925635169</x:v>
      </x:c>
      <x:c r="T765" s="28" t="n">
        <x:f>R765+S765</x:f>
        <x:v>1718.081992563517</x:v>
      </x:c>
      <x:c r="U765" s="27" t="n">
        <x:f>N765*'Fleet Engine'!I206</x:f>
        <x:v>0</x:v>
      </x:c>
      <x:c r="V765" s="28" t="n">
        <x:f>U765*T765</x:f>
        <x:v>0</x:v>
      </x:c>
      <x:c r="W765" s="28" t="n">
        <x:f>U765*O765</x:f>
        <x:v>0</x:v>
      </x:c>
    </x:row>
    <x:row r="766" ht="19" customHeight="1">
      <x:c r="A766" s="2"/>
      <x:c r="B766" s="2"/>
      <x:c r="C766" s="46" t="n">
        <x:v>3</x:v>
      </x:c>
      <x:c r="D766" s="46" t="n">
        <x:v>12</x:v>
      </x:c>
      <x:c r="E766" s="46" t="n">
        <x:v>2</x:v>
      </x:c>
      <x:c r="F766" s="46" t="n">
        <x:v>0</x:v>
      </x:c>
      <x:c r="G766" s="12" t="n">
        <x:v>0.4444444444444444</x:v>
      </x:c>
      <x:c r="H766" s="12" t="n">
        <x:v>0.5555555555555556</x:v>
      </x:c>
      <x:c r="I766" s="29" t="n">
        <x:f>'Assumptions'!$D$11+'Assumptions'!$D$12*(0.5-(G766+H766)/2)</x:f>
        <x:v>0.3</x:v>
      </x:c>
      <x:c r="J766" s="27" t="n">
        <x:f>'Assumptions'!$D$8*EXP(-'Assumptions'!$D$9*('Fleet Engine'!E206-10))*'Assumptions'!E57*'Assumptions'!G36</x:f>
        <x:v>40583.94769889355</x:v>
      </x:c>
      <x:c r="K766" s="27" t="n">
        <x:f>'Source Data'!F217+LN('Assumptions'!D57)+LN('Assumptions'!G35)</x:f>
        <x:v>8.2942644758604</x:v>
      </x:c>
      <x:c r="L766" s="27" t="n">
        <x:f>J766*(1-I766*(1-'Carrier Engine'!E94))</x:f>
        <x:v>28895.770761612206</x:v>
      </x:c>
      <x:c r="M766" s="29" t="n">
        <x:f>NORM.S.DIST((LN(L766)-K766)/'Assumptions'!$D$10,TRUE)</x:f>
        <x:v>0.8960189619269877</x:v>
      </x:c>
      <x:c r="N766" s="30" t="n">
        <x:f>MAX(0,H766-MAX(G766,M766))</x:f>
        <x:v>0</x:v>
      </x:c>
      <x:c r="O766" s="28" t="n">
        <x:f>J766*I766</x:f>
        <x:v>12175.184309668064</x:v>
      </x:c>
      <x:c r="P766" s="27" t="n">
        <x:f>(VLOOKUP(O766,'Fee Data'!$C$6:$G$50,2,TRUE)+O766*VLOOKUP(O766,'Fee Data'!$C$6:$G$50,3,TRUE)+VLOOKUP(O766,'Fee Data'!$I$6:$J$14,2,TRUE)+'Fee Data'!$J$20+'Fee Data'!$J$21)*'Assumptions'!G37</x:f>
        <x:v>1250</x:v>
      </x:c>
      <x:c r="Q766" s="27" t="n">
        <x:f>(VLOOKUP(O766,'Fee Data'!$C$6:$G$50,4,TRUE)+O766*VLOOKUP(O766,'Fee Data'!$C$6:$G$50,5,TRUE)+VLOOKUP(O766,'Fee Data'!$I$6:$J$14,2,TRUE)+'Fee Data'!$J$20+'Fee Data'!$J$21)*'Assumptions'!G37</x:f>
        <x:v>1125</x:v>
      </x:c>
      <x:c r="R766" s="27" t="n">
        <x:f>P766*(1-'Assumptions'!$D$14)+Q766*'Assumptions'!$D$14</x:f>
        <x:v>1187.5</x:v>
      </x:c>
      <x:c r="S766" s="27" t="n">
        <x:f>O766*'Carrier Engine'!E94</x:f>
        <x:v>487.0073723867226</x:v>
      </x:c>
      <x:c r="T766" s="28" t="n">
        <x:f>R766+S766</x:f>
        <x:v>1674.5073723867226</x:v>
      </x:c>
      <x:c r="U766" s="27" t="n">
        <x:f>N766*'Fleet Engine'!I206</x:f>
        <x:v>0</x:v>
      </x:c>
      <x:c r="V766" s="28" t="n">
        <x:f>U766*T766</x:f>
        <x:v>0</x:v>
      </x:c>
      <x:c r="W766" s="28" t="n">
        <x:f>U766*O766</x:f>
        <x:v>0</x:v>
      </x:c>
    </x:row>
    <x:row r="767" ht="19" customHeight="1">
      <x:c r="A767" s="2"/>
      <x:c r="B767" s="2"/>
      <x:c r="C767" s="46" t="n">
        <x:v>3</x:v>
      </x:c>
      <x:c r="D767" s="46" t="n">
        <x:v>12</x:v>
      </x:c>
      <x:c r="E767" s="46" t="n">
        <x:v>2</x:v>
      </x:c>
      <x:c r="F767" s="46" t="n">
        <x:v>0</x:v>
      </x:c>
      <x:c r="G767" s="12" t="n">
        <x:v>0.5555555555555556</x:v>
      </x:c>
      <x:c r="H767" s="12" t="n">
        <x:v>0.6666666666666666</x:v>
      </x:c>
      <x:c r="I767" s="29" t="n">
        <x:f>'Assumptions'!$D$11+'Assumptions'!$D$12*(0.5-(G767+H767)/2)</x:f>
        <x:v>0.27777777777777773</x:v>
      </x:c>
      <x:c r="J767" s="27" t="n">
        <x:f>'Assumptions'!$D$8*EXP(-'Assumptions'!$D$9*('Fleet Engine'!E206-10))*'Assumptions'!E57*'Assumptions'!G36</x:f>
        <x:v>40583.94769889355</x:v>
      </x:c>
      <x:c r="K767" s="27" t="n">
        <x:f>'Source Data'!F217+LN('Assumptions'!D57)+LN('Assumptions'!G35)</x:f>
        <x:v>8.2942644758604</x:v>
      </x:c>
      <x:c r="L767" s="27" t="n">
        <x:f>J767*(1-I767*(1-'Carrier Engine'!E94))</x:f>
        <x:v>29761.561645855272</x:v>
      </x:c>
      <x:c r="M767" s="29" t="n">
        <x:f>NORM.S.DIST((LN(L767)-K767)/'Assumptions'!$D$10,TRUE)</x:f>
        <x:v>0.899373634683205</x:v>
      </x:c>
      <x:c r="N767" s="30" t="n">
        <x:f>MAX(0,H767-MAX(G767,M767))</x:f>
        <x:v>0</x:v>
      </x:c>
      <x:c r="O767" s="28" t="n">
        <x:f>J767*I767</x:f>
        <x:v>11273.318805248206</x:v>
      </x:c>
      <x:c r="P767" s="27" t="n">
        <x:f>(VLOOKUP(O767,'Fee Data'!$C$6:$G$50,2,TRUE)+O767*VLOOKUP(O767,'Fee Data'!$C$6:$G$50,3,TRUE)+VLOOKUP(O767,'Fee Data'!$I$6:$J$14,2,TRUE)+'Fee Data'!$J$20+'Fee Data'!$J$21)*'Assumptions'!G37</x:f>
        <x:v>1250</x:v>
      </x:c>
      <x:c r="Q767" s="27" t="n">
        <x:f>(VLOOKUP(O767,'Fee Data'!$C$6:$G$50,4,TRUE)+O767*VLOOKUP(O767,'Fee Data'!$C$6:$G$50,5,TRUE)+VLOOKUP(O767,'Fee Data'!$I$6:$J$14,2,TRUE)+'Fee Data'!$J$20+'Fee Data'!$J$21)*'Assumptions'!G37</x:f>
        <x:v>1100</x:v>
      </x:c>
      <x:c r="R767" s="27" t="n">
        <x:f>P767*(1-'Assumptions'!$D$14)+Q767*'Assumptions'!$D$14</x:f>
        <x:v>1175</x:v>
      </x:c>
      <x:c r="S767" s="27" t="n">
        <x:f>O767*'Carrier Engine'!E94</x:f>
        <x:v>450.93275220992825</x:v>
      </x:c>
      <x:c r="T767" s="28" t="n">
        <x:f>R767+S767</x:f>
        <x:v>1625.9327522099284</x:v>
      </x:c>
      <x:c r="U767" s="27" t="n">
        <x:f>N767*'Fleet Engine'!I206</x:f>
        <x:v>0</x:v>
      </x:c>
      <x:c r="V767" s="28" t="n">
        <x:f>U767*T767</x:f>
        <x:v>0</x:v>
      </x:c>
      <x:c r="W767" s="28" t="n">
        <x:f>U767*O767</x:f>
        <x:v>0</x:v>
      </x:c>
    </x:row>
    <x:row r="768" ht="19" customHeight="1">
      <x:c r="A768" s="2"/>
      <x:c r="B768" s="2"/>
      <x:c r="C768" s="46" t="n">
        <x:v>3</x:v>
      </x:c>
      <x:c r="D768" s="46" t="n">
        <x:v>12</x:v>
      </x:c>
      <x:c r="E768" s="46" t="n">
        <x:v>2</x:v>
      </x:c>
      <x:c r="F768" s="46" t="n">
        <x:v>0</x:v>
      </x:c>
      <x:c r="G768" s="12" t="n">
        <x:v>0.6666666666666666</x:v>
      </x:c>
      <x:c r="H768" s="12" t="n">
        <x:v>0.7777777777777778</x:v>
      </x:c>
      <x:c r="I768" s="29" t="n">
        <x:f>'Assumptions'!$D$11+'Assumptions'!$D$12*(0.5-(G768+H768)/2)</x:f>
        <x:v>0.25555555555555554</x:v>
      </x:c>
      <x:c r="J768" s="27" t="n">
        <x:f>'Assumptions'!$D$8*EXP(-'Assumptions'!$D$9*('Fleet Engine'!E206-10))*'Assumptions'!E57*'Assumptions'!G36</x:f>
        <x:v>40583.94769889355</x:v>
      </x:c>
      <x:c r="K768" s="27" t="n">
        <x:f>'Source Data'!F217+LN('Assumptions'!D57)+LN('Assumptions'!G35)</x:f>
        <x:v>8.2942644758604</x:v>
      </x:c>
      <x:c r="L768" s="27" t="n">
        <x:f>J768*(1-I768*(1-'Carrier Engine'!E94))</x:f>
        <x:v>30627.352530098335</x:v>
      </x:c>
      <x:c r="M768" s="29" t="n">
        <x:f>NORM.S.DIST((LN(L768)-K768)/'Assumptions'!$D$10,TRUE)</x:f>
        <x:v>0.9025558450372322</x:v>
      </x:c>
      <x:c r="N768" s="30" t="n">
        <x:f>MAX(0,H768-MAX(G768,M768))</x:f>
        <x:v>0</x:v>
      </x:c>
      <x:c r="O768" s="28" t="n">
        <x:f>J768*I768</x:f>
        <x:v>10371.45330082835</x:v>
      </x:c>
      <x:c r="P768" s="27" t="n">
        <x:f>(VLOOKUP(O768,'Fee Data'!$C$6:$G$50,2,TRUE)+O768*VLOOKUP(O768,'Fee Data'!$C$6:$G$50,3,TRUE)+VLOOKUP(O768,'Fee Data'!$I$6:$J$14,2,TRUE)+'Fee Data'!$J$20+'Fee Data'!$J$21)*'Assumptions'!G37</x:f>
        <x:v>1250</x:v>
      </x:c>
      <x:c r="Q768" s="27" t="n">
        <x:f>(VLOOKUP(O768,'Fee Data'!$C$6:$G$50,4,TRUE)+O768*VLOOKUP(O768,'Fee Data'!$C$6:$G$50,5,TRUE)+VLOOKUP(O768,'Fee Data'!$I$6:$J$14,2,TRUE)+'Fee Data'!$J$20+'Fee Data'!$J$21)*'Assumptions'!G37</x:f>
        <x:v>1100</x:v>
      </x:c>
      <x:c r="R768" s="27" t="n">
        <x:f>P768*(1-'Assumptions'!$D$14)+Q768*'Assumptions'!$D$14</x:f>
        <x:v>1175</x:v>
      </x:c>
      <x:c r="S768" s="27" t="n">
        <x:f>O768*'Carrier Engine'!E94</x:f>
        <x:v>414.85813203313404</x:v>
      </x:c>
      <x:c r="T768" s="28" t="n">
        <x:f>R768+S768</x:f>
        <x:v>1589.858132033134</x:v>
      </x:c>
      <x:c r="U768" s="27" t="n">
        <x:f>N768*'Fleet Engine'!I206</x:f>
        <x:v>0</x:v>
      </x:c>
      <x:c r="V768" s="28" t="n">
        <x:f>U768*T768</x:f>
        <x:v>0</x:v>
      </x:c>
      <x:c r="W768" s="28" t="n">
        <x:f>U768*O768</x:f>
        <x:v>0</x:v>
      </x:c>
    </x:row>
    <x:row r="769" ht="19" customHeight="1">
      <x:c r="A769" s="2"/>
      <x:c r="B769" s="2"/>
      <x:c r="C769" s="46" t="n">
        <x:v>3</x:v>
      </x:c>
      <x:c r="D769" s="46" t="n">
        <x:v>12</x:v>
      </x:c>
      <x:c r="E769" s="46" t="n">
        <x:v>2</x:v>
      </x:c>
      <x:c r="F769" s="46" t="n">
        <x:v>0</x:v>
      </x:c>
      <x:c r="G769" s="12" t="n">
        <x:v>0.7777777777777778</x:v>
      </x:c>
      <x:c r="H769" s="12" t="n">
        <x:v>0.8888888888888888</x:v>
      </x:c>
      <x:c r="I769" s="29" t="n">
        <x:f>'Assumptions'!$D$11+'Assumptions'!$D$12*(0.5-(G769+H769)/2)</x:f>
        <x:v>0.23333333333333334</x:v>
      </x:c>
      <x:c r="J769" s="27" t="n">
        <x:f>'Assumptions'!$D$8*EXP(-'Assumptions'!$D$9*('Fleet Engine'!E206-10))*'Assumptions'!E57*'Assumptions'!G36</x:f>
        <x:v>40583.94769889355</x:v>
      </x:c>
      <x:c r="K769" s="27" t="n">
        <x:f>'Source Data'!F217+LN('Assumptions'!D57)+LN('Assumptions'!G35)</x:f>
        <x:v>8.2942644758604</x:v>
      </x:c>
      <x:c r="L769" s="27" t="n">
        <x:f>J769*(1-I769*(1-'Carrier Engine'!E94))</x:f>
        <x:v>31493.143414341394</x:v>
      </x:c>
      <x:c r="M769" s="29" t="n">
        <x:f>NORM.S.DIST((LN(L769)-K769)/'Assumptions'!$D$10,TRUE)</x:f>
        <x:v>0.9055779737778874</x:v>
      </x:c>
      <x:c r="N769" s="30" t="n">
        <x:f>MAX(0,H769-MAX(G769,M769))</x:f>
        <x:v>0</x:v>
      </x:c>
      <x:c r="O769" s="28" t="n">
        <x:f>J769*I769</x:f>
        <x:v>9469.587796408496</x:v>
      </x:c>
      <x:c r="P769" s="27" t="n">
        <x:f>(VLOOKUP(O769,'Fee Data'!$C$6:$G$50,2,TRUE)+O769*VLOOKUP(O769,'Fee Data'!$C$6:$G$50,3,TRUE)+VLOOKUP(O769,'Fee Data'!$I$6:$J$14,2,TRUE)+'Fee Data'!$J$20+'Fee Data'!$J$21)*'Assumptions'!G37</x:f>
        <x:v>1195</x:v>
      </x:c>
      <x:c r="Q769" s="27" t="n">
        <x:f>(VLOOKUP(O769,'Fee Data'!$C$6:$G$50,4,TRUE)+O769*VLOOKUP(O769,'Fee Data'!$C$6:$G$50,5,TRUE)+VLOOKUP(O769,'Fee Data'!$I$6:$J$14,2,TRUE)+'Fee Data'!$J$20+'Fee Data'!$J$21)*'Assumptions'!G37</x:f>
        <x:v>1070</x:v>
      </x:c>
      <x:c r="R769" s="27" t="n">
        <x:f>P769*(1-'Assumptions'!$D$14)+Q769*'Assumptions'!$D$14</x:f>
        <x:v>1132.5</x:v>
      </x:c>
      <x:c r="S769" s="27" t="n">
        <x:f>O769*'Carrier Engine'!E94</x:f>
        <x:v>378.7835118563398</x:v>
      </x:c>
      <x:c r="T769" s="28" t="n">
        <x:f>R769+S769</x:f>
        <x:v>1511.2835118563398</x:v>
      </x:c>
      <x:c r="U769" s="27" t="n">
        <x:f>N769*'Fleet Engine'!I206</x:f>
        <x:v>0</x:v>
      </x:c>
      <x:c r="V769" s="28" t="n">
        <x:f>U769*T769</x:f>
        <x:v>0</x:v>
      </x:c>
      <x:c r="W769" s="28" t="n">
        <x:f>U769*O769</x:f>
        <x:v>0</x:v>
      </x:c>
    </x:row>
    <x:row r="770" ht="19" customHeight="1">
      <x:c r="A770" s="2"/>
      <x:c r="B770" s="2"/>
      <x:c r="C770" s="46" t="n">
        <x:v>3</x:v>
      </x:c>
      <x:c r="D770" s="46" t="n">
        <x:v>12</x:v>
      </x:c>
      <x:c r="E770" s="46" t="n">
        <x:v>2</x:v>
      </x:c>
      <x:c r="F770" s="46" t="n">
        <x:v>0</x:v>
      </x:c>
      <x:c r="G770" s="12" t="n">
        <x:v>0.8888888888888888</x:v>
      </x:c>
      <x:c r="H770" s="12" t="n">
        <x:v>1</x:v>
      </x:c>
      <x:c r="I770" s="29" t="n">
        <x:f>'Assumptions'!$D$11+'Assumptions'!$D$12*(0.5-(G770+H770)/2)</x:f>
        <x:v>0.21111111111111108</x:v>
      </x:c>
      <x:c r="J770" s="27" t="n">
        <x:f>'Assumptions'!$D$8*EXP(-'Assumptions'!$D$9*('Fleet Engine'!E206-10))*'Assumptions'!E57*'Assumptions'!G36</x:f>
        <x:v>40583.94769889355</x:v>
      </x:c>
      <x:c r="K770" s="27" t="n">
        <x:f>'Source Data'!F217+LN('Assumptions'!D57)+LN('Assumptions'!G35)</x:f>
        <x:v>8.2942644758604</x:v>
      </x:c>
      <x:c r="L770" s="27" t="n">
        <x:f>J770*(1-I770*(1-'Carrier Engine'!E94))</x:f>
        <x:v>32358.934298584456</x:v>
      </x:c>
      <x:c r="M770" s="29" t="n">
        <x:f>NORM.S.DIST((LN(L770)-K770)/'Assumptions'!$D$10,TRUE)</x:f>
        <x:v>0.9084512571809873</x:v>
      </x:c>
      <x:c r="N770" s="30" t="n">
        <x:f>MAX(0,H770-MAX(G770,M770))</x:f>
        <x:v>0.09154874281901271</x:v>
      </x:c>
      <x:c r="O770" s="28" t="n">
        <x:f>J770*I770</x:f>
        <x:v>8567.722291988637</x:v>
      </x:c>
      <x:c r="P770" s="27" t="n">
        <x:f>(VLOOKUP(O770,'Fee Data'!$C$6:$G$50,2,TRUE)+O770*VLOOKUP(O770,'Fee Data'!$C$6:$G$50,3,TRUE)+VLOOKUP(O770,'Fee Data'!$I$6:$J$14,2,TRUE)+'Fee Data'!$J$20+'Fee Data'!$J$21)*'Assumptions'!G37</x:f>
        <x:v>1195</x:v>
      </x:c>
      <x:c r="Q770" s="27" t="n">
        <x:f>(VLOOKUP(O770,'Fee Data'!$C$6:$G$50,4,TRUE)+O770*VLOOKUP(O770,'Fee Data'!$C$6:$G$50,5,TRUE)+VLOOKUP(O770,'Fee Data'!$I$6:$J$14,2,TRUE)+'Fee Data'!$J$20+'Fee Data'!$J$21)*'Assumptions'!G37</x:f>
        <x:v>1070</x:v>
      </x:c>
      <x:c r="R770" s="27" t="n">
        <x:f>P770*(1-'Assumptions'!$D$14)+Q770*'Assumptions'!$D$14</x:f>
        <x:v>1132.5</x:v>
      </x:c>
      <x:c r="S770" s="27" t="n">
        <x:f>O770*'Carrier Engine'!E94</x:f>
        <x:v>342.7088916795455</x:v>
      </x:c>
      <x:c r="T770" s="28" t="n">
        <x:f>R770+S770</x:f>
        <x:v>1475.2088916795456</x:v>
      </x:c>
      <x:c r="U770" s="27" t="n">
        <x:f>N770*'Fleet Engine'!I206</x:f>
        <x:v>115.59969128148602</x:v>
      </x:c>
      <x:c r="V770" s="28" t="n">
        <x:f>U770*T770</x:f>
        <x:v>170533.69245385862</x:v>
      </x:c>
      <x:c r="W770" s="28" t="n">
        <x:f>U770*O770</x:f>
        <x:v>990426.0519393922</x:v>
      </x:c>
    </x:row>
    <x:row r="771" ht="19" customHeight="1">
      <x:c r="A771" s="2"/>
      <x:c r="B771" s="2"/>
      <x:c r="C771" s="46" t="n">
        <x:v>3</x:v>
      </x:c>
      <x:c r="D771" s="46" t="n">
        <x:v>13</x:v>
      </x:c>
      <x:c r="E771" s="46" t="n">
        <x:v>2</x:v>
      </x:c>
      <x:c r="F771" s="46" t="n">
        <x:v>1</x:v>
      </x:c>
      <x:c r="G771" s="12" t="n">
        <x:v>0</x:v>
      </x:c>
      <x:c r="H771" s="12" t="n">
        <x:v>0.1111111111111111</x:v>
      </x:c>
      <x:c r="I771" s="29" t="n">
        <x:f>'Assumptions'!$D$11+'Assumptions'!$D$12*(0.5-(G771+H771)/2)</x:f>
        <x:v>0.3888888888888889</x:v>
      </x:c>
      <x:c r="J771" s="27" t="n">
        <x:f>'Assumptions'!$D$8*EXP(-'Assumptions'!$D$9*('Fleet Engine'!E207-10))*'Assumptions'!E57*'Assumptions'!G36</x:f>
        <x:v>33227.326062392545</x:v>
      </x:c>
      <x:c r="K771" s="27" t="n">
        <x:f>'Source Data'!F218+LN('Assumptions'!D57)+LN('Assumptions'!G35)</x:f>
        <x:v>8.179823674316163</x:v>
      </x:c>
      <x:c r="L771" s="27" t="n">
        <x:f>J771*(1-I771*(1-'Carrier Engine'!E94))</x:f>
        <x:v>20822.457665765996</x:v>
      </x:c>
      <x:c r="M771" s="29" t="n">
        <x:f>NORM.S.DIST((LN(L771)-K771)/'Assumptions'!$D$10,TRUE)</x:f>
        <x:v>0.8693654103038547</x:v>
      </x:c>
      <x:c r="N771" s="30" t="n">
        <x:f>MAX(0,H771-MAX(G771,M771))</x:f>
        <x:v>0</x:v>
      </x:c>
      <x:c r="O771" s="28" t="n">
        <x:f>J771*I771</x:f>
        <x:v>12921.737913152656</x:v>
      </x:c>
      <x:c r="P771" s="27" t="n">
        <x:f>(VLOOKUP(O771,'Fee Data'!$C$6:$G$50,2,TRUE)+O771*VLOOKUP(O771,'Fee Data'!$C$6:$G$50,3,TRUE)+VLOOKUP(O771,'Fee Data'!$I$6:$J$14,2,TRUE)+'Fee Data'!$J$20+'Fee Data'!$J$21)*'Assumptions'!G37</x:f>
        <x:v>1250</x:v>
      </x:c>
      <x:c r="Q771" s="27" t="n">
        <x:f>(VLOOKUP(O771,'Fee Data'!$C$6:$G$50,4,TRUE)+O771*VLOOKUP(O771,'Fee Data'!$C$6:$G$50,5,TRUE)+VLOOKUP(O771,'Fee Data'!$I$6:$J$14,2,TRUE)+'Fee Data'!$J$20+'Fee Data'!$J$21)*'Assumptions'!G37</x:f>
        <x:v>1140</x:v>
      </x:c>
      <x:c r="R771" s="27" t="n">
        <x:f>P771*(1-'Assumptions'!$D$14)+Q771*'Assumptions'!$D$14</x:f>
        <x:v>1195</x:v>
      </x:c>
      <x:c r="S771" s="27" t="n">
        <x:f>O771*'Carrier Engine'!E94</x:f>
        <x:v>516.8695165261063</x:v>
      </x:c>
      <x:c r="T771" s="28" t="n">
        <x:f>R771+S771</x:f>
        <x:v>1711.8695165261063</x:v>
      </x:c>
      <x:c r="U771" s="27" t="n">
        <x:f>N771*'Fleet Engine'!I207</x:f>
        <x:v>0</x:v>
      </x:c>
      <x:c r="V771" s="28" t="n">
        <x:f>U771*T771</x:f>
        <x:v>0</x:v>
      </x:c>
      <x:c r="W771" s="28" t="n">
        <x:f>U771*O771</x:f>
        <x:v>0</x:v>
      </x:c>
    </x:row>
    <x:row r="772" ht="19" customHeight="1">
      <x:c r="A772" s="2"/>
      <x:c r="B772" s="2"/>
      <x:c r="C772" s="46" t="n">
        <x:v>3</x:v>
      </x:c>
      <x:c r="D772" s="46" t="n">
        <x:v>13</x:v>
      </x:c>
      <x:c r="E772" s="46" t="n">
        <x:v>2</x:v>
      </x:c>
      <x:c r="F772" s="46" t="n">
        <x:v>1</x:v>
      </x:c>
      <x:c r="G772" s="12" t="n">
        <x:v>0.1111111111111111</x:v>
      </x:c>
      <x:c r="H772" s="12" t="n">
        <x:v>0.2222222222222222</x:v>
      </x:c>
      <x:c r="I772" s="29" t="n">
        <x:f>'Assumptions'!$D$11+'Assumptions'!$D$12*(0.5-(G772+H772)/2)</x:f>
        <x:v>0.3666666666666667</x:v>
      </x:c>
      <x:c r="J772" s="27" t="n">
        <x:f>'Assumptions'!$D$8*EXP(-'Assumptions'!$D$9*('Fleet Engine'!E207-10))*'Assumptions'!E57*'Assumptions'!G36</x:f>
        <x:v>33227.326062392545</x:v>
      </x:c>
      <x:c r="K772" s="27" t="n">
        <x:f>'Source Data'!F218+LN('Assumptions'!D57)+LN('Assumptions'!G35)</x:f>
        <x:v>8.179823674316163</x:v>
      </x:c>
      <x:c r="L772" s="27" t="n">
        <x:f>J772*(1-I772*(1-'Carrier Engine'!E94))</x:f>
        <x:v>21531.307288430366</x:v>
      </x:c>
      <x:c r="M772" s="29" t="n">
        <x:f>NORM.S.DIST((LN(L772)-K772)/'Assumptions'!$D$10,TRUE)</x:f>
        <x:v>0.8738365578665881</x:v>
      </x:c>
      <x:c r="N772" s="30" t="n">
        <x:f>MAX(0,H772-MAX(G772,M772))</x:f>
        <x:v>0</x:v>
      </x:c>
      <x:c r="O772" s="28" t="n">
        <x:f>J772*I772</x:f>
        <x:v>12183.352889543934</x:v>
      </x:c>
      <x:c r="P772" s="27" t="n">
        <x:f>(VLOOKUP(O772,'Fee Data'!$C$6:$G$50,2,TRUE)+O772*VLOOKUP(O772,'Fee Data'!$C$6:$G$50,3,TRUE)+VLOOKUP(O772,'Fee Data'!$I$6:$J$14,2,TRUE)+'Fee Data'!$J$20+'Fee Data'!$J$21)*'Assumptions'!G37</x:f>
        <x:v>1250</x:v>
      </x:c>
      <x:c r="Q772" s="27" t="n">
        <x:f>(VLOOKUP(O772,'Fee Data'!$C$6:$G$50,4,TRUE)+O772*VLOOKUP(O772,'Fee Data'!$C$6:$G$50,5,TRUE)+VLOOKUP(O772,'Fee Data'!$I$6:$J$14,2,TRUE)+'Fee Data'!$J$20+'Fee Data'!$J$21)*'Assumptions'!G37</x:f>
        <x:v>1125</x:v>
      </x:c>
      <x:c r="R772" s="27" t="n">
        <x:f>P772*(1-'Assumptions'!$D$14)+Q772*'Assumptions'!$D$14</x:f>
        <x:v>1187.5</x:v>
      </x:c>
      <x:c r="S772" s="27" t="n">
        <x:f>O772*'Carrier Engine'!E94</x:f>
        <x:v>487.3341155817574</x:v>
      </x:c>
      <x:c r="T772" s="28" t="n">
        <x:f>R772+S772</x:f>
        <x:v>1674.8341155817575</x:v>
      </x:c>
      <x:c r="U772" s="27" t="n">
        <x:f>N772*'Fleet Engine'!I207</x:f>
        <x:v>0</x:v>
      </x:c>
      <x:c r="V772" s="28" t="n">
        <x:f>U772*T772</x:f>
        <x:v>0</x:v>
      </x:c>
      <x:c r="W772" s="28" t="n">
        <x:f>U772*O772</x:f>
        <x:v>0</x:v>
      </x:c>
    </x:row>
    <x:row r="773" ht="19" customHeight="1">
      <x:c r="A773" s="2"/>
      <x:c r="B773" s="2"/>
      <x:c r="C773" s="46" t="n">
        <x:v>3</x:v>
      </x:c>
      <x:c r="D773" s="46" t="n">
        <x:v>13</x:v>
      </x:c>
      <x:c r="E773" s="46" t="n">
        <x:v>2</x:v>
      </x:c>
      <x:c r="F773" s="46" t="n">
        <x:v>1</x:v>
      </x:c>
      <x:c r="G773" s="12" t="n">
        <x:v>0.2222222222222222</x:v>
      </x:c>
      <x:c r="H773" s="12" t="n">
        <x:v>0.3333333333333333</x:v>
      </x:c>
      <x:c r="I773" s="29" t="n">
        <x:f>'Assumptions'!$D$11+'Assumptions'!$D$12*(0.5-(G773+H773)/2)</x:f>
        <x:v>0.34444444444444444</x:v>
      </x:c>
      <x:c r="J773" s="27" t="n">
        <x:f>'Assumptions'!$D$8*EXP(-'Assumptions'!$D$9*('Fleet Engine'!E207-10))*'Assumptions'!E57*'Assumptions'!G36</x:f>
        <x:v>33227.326062392545</x:v>
      </x:c>
      <x:c r="K773" s="27" t="n">
        <x:f>'Source Data'!F218+LN('Assumptions'!D57)+LN('Assumptions'!G35)</x:f>
        <x:v>8.179823674316163</x:v>
      </x:c>
      <x:c r="L773" s="27" t="n">
        <x:f>J773*(1-I773*(1-'Carrier Engine'!E94))</x:f>
        <x:v>22240.156911094742</x:v>
      </x:c>
      <x:c r="M773" s="29" t="n">
        <x:f>NORM.S.DIST((LN(L773)-K773)/'Assumptions'!$D$10,TRUE)</x:f>
        <x:v>0.8780602474996113</x:v>
      </x:c>
      <x:c r="N773" s="30" t="n">
        <x:f>MAX(0,H773-MAX(G773,M773))</x:f>
        <x:v>0</x:v>
      </x:c>
      <x:c r="O773" s="28" t="n">
        <x:f>J773*I773</x:f>
        <x:v>11444.96786593521</x:v>
      </x:c>
      <x:c r="P773" s="27" t="n">
        <x:f>(VLOOKUP(O773,'Fee Data'!$C$6:$G$50,2,TRUE)+O773*VLOOKUP(O773,'Fee Data'!$C$6:$G$50,3,TRUE)+VLOOKUP(O773,'Fee Data'!$I$6:$J$14,2,TRUE)+'Fee Data'!$J$20+'Fee Data'!$J$21)*'Assumptions'!G37</x:f>
        <x:v>1250</x:v>
      </x:c>
      <x:c r="Q773" s="27" t="n">
        <x:f>(VLOOKUP(O773,'Fee Data'!$C$6:$G$50,4,TRUE)+O773*VLOOKUP(O773,'Fee Data'!$C$6:$G$50,5,TRUE)+VLOOKUP(O773,'Fee Data'!$I$6:$J$14,2,TRUE)+'Fee Data'!$J$20+'Fee Data'!$J$21)*'Assumptions'!G37</x:f>
        <x:v>1100</x:v>
      </x:c>
      <x:c r="R773" s="27" t="n">
        <x:f>P773*(1-'Assumptions'!$D$14)+Q773*'Assumptions'!$D$14</x:f>
        <x:v>1175</x:v>
      </x:c>
      <x:c r="S773" s="27" t="n">
        <x:f>O773*'Carrier Engine'!E94</x:f>
        <x:v>457.7987146374084</x:v>
      </x:c>
      <x:c r="T773" s="28" t="n">
        <x:f>R773+S773</x:f>
        <x:v>1632.7987146374085</x:v>
      </x:c>
      <x:c r="U773" s="27" t="n">
        <x:f>N773*'Fleet Engine'!I207</x:f>
        <x:v>0</x:v>
      </x:c>
      <x:c r="V773" s="28" t="n">
        <x:f>U773*T773</x:f>
        <x:v>0</x:v>
      </x:c>
      <x:c r="W773" s="28" t="n">
        <x:f>U773*O773</x:f>
        <x:v>0</x:v>
      </x:c>
    </x:row>
    <x:row r="774" ht="19" customHeight="1">
      <x:c r="A774" s="2"/>
      <x:c r="B774" s="2"/>
      <x:c r="C774" s="46" t="n">
        <x:v>3</x:v>
      </x:c>
      <x:c r="D774" s="46" t="n">
        <x:v>13</x:v>
      </x:c>
      <x:c r="E774" s="46" t="n">
        <x:v>2</x:v>
      </x:c>
      <x:c r="F774" s="46" t="n">
        <x:v>1</x:v>
      </x:c>
      <x:c r="G774" s="12" t="n">
        <x:v>0.3333333333333333</x:v>
      </x:c>
      <x:c r="H774" s="12" t="n">
        <x:v>0.4444444444444444</x:v>
      </x:c>
      <x:c r="I774" s="29" t="n">
        <x:f>'Assumptions'!$D$11+'Assumptions'!$D$12*(0.5-(G774+H774)/2)</x:f>
        <x:v>0.32222222222222224</x:v>
      </x:c>
      <x:c r="J774" s="27" t="n">
        <x:f>'Assumptions'!$D$8*EXP(-'Assumptions'!$D$9*('Fleet Engine'!E207-10))*'Assumptions'!E57*'Assumptions'!G36</x:f>
        <x:v>33227.326062392545</x:v>
      </x:c>
      <x:c r="K774" s="27" t="n">
        <x:f>'Source Data'!F218+LN('Assumptions'!D57)+LN('Assumptions'!G35)</x:f>
        <x:v>8.179823674316163</x:v>
      </x:c>
      <x:c r="L774" s="27" t="n">
        <x:f>J774*(1-I774*(1-'Carrier Engine'!E94))</x:f>
        <x:v>22949.00653375912</x:v>
      </x:c>
      <x:c r="M774" s="29" t="n">
        <x:f>NORM.S.DIST((LN(L774)-K774)/'Assumptions'!$D$10,TRUE)</x:f>
        <x:v>0.8820557511267051</x:v>
      </x:c>
      <x:c r="N774" s="30" t="n">
        <x:f>MAX(0,H774-MAX(G774,M774))</x:f>
        <x:v>0</x:v>
      </x:c>
      <x:c r="O774" s="28" t="n">
        <x:f>J774*I774</x:f>
        <x:v>10706.582842326488</x:v>
      </x:c>
      <x:c r="P774" s="27" t="n">
        <x:f>(VLOOKUP(O774,'Fee Data'!$C$6:$G$50,2,TRUE)+O774*VLOOKUP(O774,'Fee Data'!$C$6:$G$50,3,TRUE)+VLOOKUP(O774,'Fee Data'!$I$6:$J$14,2,TRUE)+'Fee Data'!$J$20+'Fee Data'!$J$21)*'Assumptions'!G37</x:f>
        <x:v>1250</x:v>
      </x:c>
      <x:c r="Q774" s="27" t="n">
        <x:f>(VLOOKUP(O774,'Fee Data'!$C$6:$G$50,4,TRUE)+O774*VLOOKUP(O774,'Fee Data'!$C$6:$G$50,5,TRUE)+VLOOKUP(O774,'Fee Data'!$I$6:$J$14,2,TRUE)+'Fee Data'!$J$20+'Fee Data'!$J$21)*'Assumptions'!G37</x:f>
        <x:v>1100</x:v>
      </x:c>
      <x:c r="R774" s="27" t="n">
        <x:f>P774*(1-'Assumptions'!$D$14)+Q774*'Assumptions'!$D$14</x:f>
        <x:v>1175</x:v>
      </x:c>
      <x:c r="S774" s="27" t="n">
        <x:f>O774*'Carrier Engine'!E94</x:f>
        <x:v>428.26331369305956</x:v>
      </x:c>
      <x:c r="T774" s="28" t="n">
        <x:f>R774+S774</x:f>
        <x:v>1603.2633136930594</x:v>
      </x:c>
      <x:c r="U774" s="27" t="n">
        <x:f>N774*'Fleet Engine'!I207</x:f>
        <x:v>0</x:v>
      </x:c>
      <x:c r="V774" s="28" t="n">
        <x:f>U774*T774</x:f>
        <x:v>0</x:v>
      </x:c>
      <x:c r="W774" s="28" t="n">
        <x:f>U774*O774</x:f>
        <x:v>0</x:v>
      </x:c>
    </x:row>
    <x:row r="775" ht="19" customHeight="1">
      <x:c r="A775" s="2"/>
      <x:c r="B775" s="2"/>
      <x:c r="C775" s="46" t="n">
        <x:v>3</x:v>
      </x:c>
      <x:c r="D775" s="46" t="n">
        <x:v>13</x:v>
      </x:c>
      <x:c r="E775" s="46" t="n">
        <x:v>2</x:v>
      </x:c>
      <x:c r="F775" s="46" t="n">
        <x:v>1</x:v>
      </x:c>
      <x:c r="G775" s="12" t="n">
        <x:v>0.4444444444444444</x:v>
      </x:c>
      <x:c r="H775" s="12" t="n">
        <x:v>0.5555555555555556</x:v>
      </x:c>
      <x:c r="I775" s="29" t="n">
        <x:f>'Assumptions'!$D$11+'Assumptions'!$D$12*(0.5-(G775+H775)/2)</x:f>
        <x:v>0.3</x:v>
      </x:c>
      <x:c r="J775" s="27" t="n">
        <x:f>'Assumptions'!$D$8*EXP(-'Assumptions'!$D$9*('Fleet Engine'!E207-10))*'Assumptions'!E57*'Assumptions'!G36</x:f>
        <x:v>33227.326062392545</x:v>
      </x:c>
      <x:c r="K775" s="27" t="n">
        <x:f>'Source Data'!F218+LN('Assumptions'!D57)+LN('Assumptions'!G35)</x:f>
        <x:v>8.179823674316163</x:v>
      </x:c>
      <x:c r="L775" s="27" t="n">
        <x:f>J775*(1-I775*(1-'Carrier Engine'!E94))</x:f>
        <x:v>23657.85615642349</x:v>
      </x:c>
      <x:c r="M775" s="29" t="n">
        <x:f>NORM.S.DIST((LN(L775)-K775)/'Assumptions'!$D$10,TRUE)</x:f>
        <x:v>0.8858404003889359</x:v>
      </x:c>
      <x:c r="N775" s="30" t="n">
        <x:f>MAX(0,H775-MAX(G775,M775))</x:f>
        <x:v>0</x:v>
      </x:c>
      <x:c r="O775" s="28" t="n">
        <x:f>J775*I775</x:f>
        <x:v>9968.197818717763</x:v>
      </x:c>
      <x:c r="P775" s="27" t="n">
        <x:f>(VLOOKUP(O775,'Fee Data'!$C$6:$G$50,2,TRUE)+O775*VLOOKUP(O775,'Fee Data'!$C$6:$G$50,3,TRUE)+VLOOKUP(O775,'Fee Data'!$I$6:$J$14,2,TRUE)+'Fee Data'!$J$20+'Fee Data'!$J$21)*'Assumptions'!G37</x:f>
        <x:v>1195</x:v>
      </x:c>
      <x:c r="Q775" s="27" t="n">
        <x:f>(VLOOKUP(O775,'Fee Data'!$C$6:$G$50,4,TRUE)+O775*VLOOKUP(O775,'Fee Data'!$C$6:$G$50,5,TRUE)+VLOOKUP(O775,'Fee Data'!$I$6:$J$14,2,TRUE)+'Fee Data'!$J$20+'Fee Data'!$J$21)*'Assumptions'!G37</x:f>
        <x:v>1070</x:v>
      </x:c>
      <x:c r="R775" s="27" t="n">
        <x:f>P775*(1-'Assumptions'!$D$14)+Q775*'Assumptions'!$D$14</x:f>
        <x:v>1132.5</x:v>
      </x:c>
      <x:c r="S775" s="27" t="n">
        <x:f>O775*'Carrier Engine'!E94</x:f>
        <x:v>398.72791274871054</x:v>
      </x:c>
      <x:c r="T775" s="28" t="n">
        <x:f>R775+S775</x:f>
        <x:v>1531.2279127487104</x:v>
      </x:c>
      <x:c r="U775" s="27" t="n">
        <x:f>N775*'Fleet Engine'!I207</x:f>
        <x:v>0</x:v>
      </x:c>
      <x:c r="V775" s="28" t="n">
        <x:f>U775*T775</x:f>
        <x:v>0</x:v>
      </x:c>
      <x:c r="W775" s="28" t="n">
        <x:f>U775*O775</x:f>
        <x:v>0</x:v>
      </x:c>
    </x:row>
    <x:row r="776" ht="19" customHeight="1">
      <x:c r="A776" s="2"/>
      <x:c r="B776" s="2"/>
      <x:c r="C776" s="46" t="n">
        <x:v>3</x:v>
      </x:c>
      <x:c r="D776" s="46" t="n">
        <x:v>13</x:v>
      </x:c>
      <x:c r="E776" s="46" t="n">
        <x:v>2</x:v>
      </x:c>
      <x:c r="F776" s="46" t="n">
        <x:v>1</x:v>
      </x:c>
      <x:c r="G776" s="12" t="n">
        <x:v>0.5555555555555556</x:v>
      </x:c>
      <x:c r="H776" s="12" t="n">
        <x:v>0.6666666666666666</x:v>
      </x:c>
      <x:c r="I776" s="29" t="n">
        <x:f>'Assumptions'!$D$11+'Assumptions'!$D$12*(0.5-(G776+H776)/2)</x:f>
        <x:v>0.27777777777777773</x:v>
      </x:c>
      <x:c r="J776" s="27" t="n">
        <x:f>'Assumptions'!$D$8*EXP(-'Assumptions'!$D$9*('Fleet Engine'!E207-10))*'Assumptions'!E57*'Assumptions'!G36</x:f>
        <x:v>33227.326062392545</x:v>
      </x:c>
      <x:c r="K776" s="27" t="n">
        <x:f>'Source Data'!F218+LN('Assumptions'!D57)+LN('Assumptions'!G35)</x:f>
        <x:v>8.179823674316163</x:v>
      </x:c>
      <x:c r="L776" s="27" t="n">
        <x:f>J776*(1-I776*(1-'Carrier Engine'!E94))</x:f>
        <x:v>24366.705779087868</x:v>
      </x:c>
      <x:c r="M776" s="29" t="n">
        <x:f>NORM.S.DIST((LN(L776)-K776)/'Assumptions'!$D$10,TRUE)</x:f>
        <x:v>0.8894298256285628</x:v>
      </x:c>
      <x:c r="N776" s="30" t="n">
        <x:f>MAX(0,H776-MAX(G776,M776))</x:f>
        <x:v>0</x:v>
      </x:c>
      <x:c r="O776" s="28" t="n">
        <x:f>J776*I776</x:f>
        <x:v>9229.81279510904</x:v>
      </x:c>
      <x:c r="P776" s="27" t="n">
        <x:f>(VLOOKUP(O776,'Fee Data'!$C$6:$G$50,2,TRUE)+O776*VLOOKUP(O776,'Fee Data'!$C$6:$G$50,3,TRUE)+VLOOKUP(O776,'Fee Data'!$I$6:$J$14,2,TRUE)+'Fee Data'!$J$20+'Fee Data'!$J$21)*'Assumptions'!G37</x:f>
        <x:v>1195</x:v>
      </x:c>
      <x:c r="Q776" s="27" t="n">
        <x:f>(VLOOKUP(O776,'Fee Data'!$C$6:$G$50,4,TRUE)+O776*VLOOKUP(O776,'Fee Data'!$C$6:$G$50,5,TRUE)+VLOOKUP(O776,'Fee Data'!$I$6:$J$14,2,TRUE)+'Fee Data'!$J$20+'Fee Data'!$J$21)*'Assumptions'!G37</x:f>
        <x:v>1070</x:v>
      </x:c>
      <x:c r="R776" s="27" t="n">
        <x:f>P776*(1-'Assumptions'!$D$14)+Q776*'Assumptions'!$D$14</x:f>
        <x:v>1132.5</x:v>
      </x:c>
      <x:c r="S776" s="27" t="n">
        <x:f>O776*'Carrier Engine'!E94</x:f>
        <x:v>369.1925118043616</x:v>
      </x:c>
      <x:c r="T776" s="28" t="n">
        <x:f>R776+S776</x:f>
        <x:v>1501.6925118043616</x:v>
      </x:c>
      <x:c r="U776" s="27" t="n">
        <x:f>N776*'Fleet Engine'!I207</x:f>
        <x:v>0</x:v>
      </x:c>
      <x:c r="V776" s="28" t="n">
        <x:f>U776*T776</x:f>
        <x:v>0</x:v>
      </x:c>
      <x:c r="W776" s="28" t="n">
        <x:f>U776*O776</x:f>
        <x:v>0</x:v>
      </x:c>
    </x:row>
    <x:row r="777" ht="19" customHeight="1">
      <x:c r="A777" s="2"/>
      <x:c r="B777" s="2"/>
      <x:c r="C777" s="46" t="n">
        <x:v>3</x:v>
      </x:c>
      <x:c r="D777" s="46" t="n">
        <x:v>13</x:v>
      </x:c>
      <x:c r="E777" s="46" t="n">
        <x:v>2</x:v>
      </x:c>
      <x:c r="F777" s="46" t="n">
        <x:v>1</x:v>
      </x:c>
      <x:c r="G777" s="12" t="n">
        <x:v>0.6666666666666666</x:v>
      </x:c>
      <x:c r="H777" s="12" t="n">
        <x:v>0.7777777777777778</x:v>
      </x:c>
      <x:c r="I777" s="29" t="n">
        <x:f>'Assumptions'!$D$11+'Assumptions'!$D$12*(0.5-(G777+H777)/2)</x:f>
        <x:v>0.25555555555555554</x:v>
      </x:c>
      <x:c r="J777" s="27" t="n">
        <x:f>'Assumptions'!$D$8*EXP(-'Assumptions'!$D$9*('Fleet Engine'!E207-10))*'Assumptions'!E57*'Assumptions'!G36</x:f>
        <x:v>33227.326062392545</x:v>
      </x:c>
      <x:c r="K777" s="27" t="n">
        <x:f>'Source Data'!F218+LN('Assumptions'!D57)+LN('Assumptions'!G35)</x:f>
        <x:v>8.179823674316163</x:v>
      </x:c>
      <x:c r="L777" s="27" t="n">
        <x:f>J777*(1-I777*(1-'Carrier Engine'!E94))</x:f>
        <x:v>25075.55540175224</x:v>
      </x:c>
      <x:c r="M777" s="29" t="n">
        <x:f>NORM.S.DIST((LN(L777)-K777)/'Assumptions'!$D$10,TRUE)</x:f>
        <x:v>0.8928381602043821</x:v>
      </x:c>
      <x:c r="N777" s="30" t="n">
        <x:f>MAX(0,H777-MAX(G777,M777))</x:f>
        <x:v>0</x:v>
      </x:c>
      <x:c r="O777" s="28" t="n">
        <x:f>J777*I777</x:f>
        <x:v>8491.427771500317</x:v>
      </x:c>
      <x:c r="P777" s="27" t="n">
        <x:f>(VLOOKUP(O777,'Fee Data'!$C$6:$G$50,2,TRUE)+O777*VLOOKUP(O777,'Fee Data'!$C$6:$G$50,3,TRUE)+VLOOKUP(O777,'Fee Data'!$I$6:$J$14,2,TRUE)+'Fee Data'!$J$20+'Fee Data'!$J$21)*'Assumptions'!G37</x:f>
        <x:v>1175</x:v>
      </x:c>
      <x:c r="Q777" s="27" t="n">
        <x:f>(VLOOKUP(O777,'Fee Data'!$C$6:$G$50,4,TRUE)+O777*VLOOKUP(O777,'Fee Data'!$C$6:$G$50,5,TRUE)+VLOOKUP(O777,'Fee Data'!$I$6:$J$14,2,TRUE)+'Fee Data'!$J$20+'Fee Data'!$J$21)*'Assumptions'!G37</x:f>
        <x:v>1050</x:v>
      </x:c>
      <x:c r="R777" s="27" t="n">
        <x:f>P777*(1-'Assumptions'!$D$14)+Q777*'Assumptions'!$D$14</x:f>
        <x:v>1112.5</x:v>
      </x:c>
      <x:c r="S777" s="27" t="n">
        <x:f>O777*'Carrier Engine'!E94</x:f>
        <x:v>339.6571108600127</x:v>
      </x:c>
      <x:c r="T777" s="28" t="n">
        <x:f>R777+S777</x:f>
        <x:v>1452.1571108600128</x:v>
      </x:c>
      <x:c r="U777" s="27" t="n">
        <x:f>N777*'Fleet Engine'!I207</x:f>
        <x:v>0</x:v>
      </x:c>
      <x:c r="V777" s="28" t="n">
        <x:f>U777*T777</x:f>
        <x:v>0</x:v>
      </x:c>
      <x:c r="W777" s="28" t="n">
        <x:f>U777*O777</x:f>
        <x:v>0</x:v>
      </x:c>
    </x:row>
    <x:row r="778" ht="19" customHeight="1">
      <x:c r="A778" s="2"/>
      <x:c r="B778" s="2"/>
      <x:c r="C778" s="46" t="n">
        <x:v>3</x:v>
      </x:c>
      <x:c r="D778" s="46" t="n">
        <x:v>13</x:v>
      </x:c>
      <x:c r="E778" s="46" t="n">
        <x:v>2</x:v>
      </x:c>
      <x:c r="F778" s="46" t="n">
        <x:v>1</x:v>
      </x:c>
      <x:c r="G778" s="12" t="n">
        <x:v>0.7777777777777778</x:v>
      </x:c>
      <x:c r="H778" s="12" t="n">
        <x:v>0.8888888888888888</x:v>
      </x:c>
      <x:c r="I778" s="29" t="n">
        <x:f>'Assumptions'!$D$11+'Assumptions'!$D$12*(0.5-(G778+H778)/2)</x:f>
        <x:v>0.23333333333333334</x:v>
      </x:c>
      <x:c r="J778" s="27" t="n">
        <x:f>'Assumptions'!$D$8*EXP(-'Assumptions'!$D$9*('Fleet Engine'!E207-10))*'Assumptions'!E57*'Assumptions'!G36</x:f>
        <x:v>33227.326062392545</x:v>
      </x:c>
      <x:c r="K778" s="27" t="n">
        <x:f>'Source Data'!F218+LN('Assumptions'!D57)+LN('Assumptions'!G35)</x:f>
        <x:v>8.179823674316163</x:v>
      </x:c>
      <x:c r="L778" s="27" t="n">
        <x:f>J778*(1-I778*(1-'Carrier Engine'!E94))</x:f>
        <x:v>25784.405024416617</x:v>
      </x:c>
      <x:c r="M778" s="29" t="n">
        <x:f>NORM.S.DIST((LN(L778)-K778)/'Assumptions'!$D$10,TRUE)</x:f>
        <x:v>0.8960782159015883</x:v>
      </x:c>
      <x:c r="N778" s="30" t="n">
        <x:f>MAX(0,H778-MAX(G778,M778))</x:f>
        <x:v>0</x:v>
      </x:c>
      <x:c r="O778" s="28" t="n">
        <x:f>J778*I778</x:f>
        <x:v>7753.042747891594</x:v>
      </x:c>
      <x:c r="P778" s="27" t="n">
        <x:f>(VLOOKUP(O778,'Fee Data'!$C$6:$G$50,2,TRUE)+O778*VLOOKUP(O778,'Fee Data'!$C$6:$G$50,3,TRUE)+VLOOKUP(O778,'Fee Data'!$I$6:$J$14,2,TRUE)+'Fee Data'!$J$20+'Fee Data'!$J$21)*'Assumptions'!G37</x:f>
        <x:v>1135</x:v>
      </x:c>
      <x:c r="Q778" s="27" t="n">
        <x:f>(VLOOKUP(O778,'Fee Data'!$C$6:$G$50,4,TRUE)+O778*VLOOKUP(O778,'Fee Data'!$C$6:$G$50,5,TRUE)+VLOOKUP(O778,'Fee Data'!$I$6:$J$14,2,TRUE)+'Fee Data'!$J$20+'Fee Data'!$J$21)*'Assumptions'!G37</x:f>
        <x:v>1010</x:v>
      </x:c>
      <x:c r="R778" s="27" t="n">
        <x:f>P778*(1-'Assumptions'!$D$14)+Q778*'Assumptions'!$D$14</x:f>
        <x:v>1072.5</x:v>
      </x:c>
      <x:c r="S778" s="27" t="n">
        <x:f>O778*'Carrier Engine'!E94</x:f>
        <x:v>310.12170991566376</x:v>
      </x:c>
      <x:c r="T778" s="28" t="n">
        <x:f>R778+S778</x:f>
        <x:v>1382.6217099156638</x:v>
      </x:c>
      <x:c r="U778" s="27" t="n">
        <x:f>N778*'Fleet Engine'!I207</x:f>
        <x:v>0</x:v>
      </x:c>
      <x:c r="V778" s="28" t="n">
        <x:f>U778*T778</x:f>
        <x:v>0</x:v>
      </x:c>
      <x:c r="W778" s="28" t="n">
        <x:f>U778*O778</x:f>
        <x:v>0</x:v>
      </x:c>
    </x:row>
    <x:row r="779" ht="19" customHeight="1">
      <x:c r="A779" s="2"/>
      <x:c r="B779" s="2"/>
      <x:c r="C779" s="46" t="n">
        <x:v>3</x:v>
      </x:c>
      <x:c r="D779" s="46" t="n">
        <x:v>13</x:v>
      </x:c>
      <x:c r="E779" s="46" t="n">
        <x:v>2</x:v>
      </x:c>
      <x:c r="F779" s="46" t="n">
        <x:v>1</x:v>
      </x:c>
      <x:c r="G779" s="12" t="n">
        <x:v>0.8888888888888888</x:v>
      </x:c>
      <x:c r="H779" s="12" t="n">
        <x:v>1</x:v>
      </x:c>
      <x:c r="I779" s="29" t="n">
        <x:f>'Assumptions'!$D$11+'Assumptions'!$D$12*(0.5-(G779+H779)/2)</x:f>
        <x:v>0.21111111111111108</x:v>
      </x:c>
      <x:c r="J779" s="27" t="n">
        <x:f>'Assumptions'!$D$8*EXP(-'Assumptions'!$D$9*('Fleet Engine'!E207-10))*'Assumptions'!E57*'Assumptions'!G36</x:f>
        <x:v>33227.326062392545</x:v>
      </x:c>
      <x:c r="K779" s="27" t="n">
        <x:f>'Source Data'!F218+LN('Assumptions'!D57)+LN('Assumptions'!G35)</x:f>
        <x:v>8.179823674316163</x:v>
      </x:c>
      <x:c r="L779" s="27" t="n">
        <x:f>J779*(1-I779*(1-'Carrier Engine'!E94))</x:f>
        <x:v>26493.25464708099</x:v>
      </x:c>
      <x:c r="M779" s="29" t="n">
        <x:f>NORM.S.DIST((LN(L779)-K779)/'Assumptions'!$D$10,TRUE)</x:f>
        <x:v>0.8991616341237623</x:v>
      </x:c>
      <x:c r="N779" s="30" t="n">
        <x:f>MAX(0,H779-MAX(G779,M779))</x:f>
        <x:v>0.10083836587623773</x:v>
      </x:c>
      <x:c r="O779" s="28" t="n">
        <x:f>J779*I779</x:f>
        <x:v>7014.65772428287</x:v>
      </x:c>
      <x:c r="P779" s="27" t="n">
        <x:f>(VLOOKUP(O779,'Fee Data'!$C$6:$G$50,2,TRUE)+O779*VLOOKUP(O779,'Fee Data'!$C$6:$G$50,3,TRUE)+VLOOKUP(O779,'Fee Data'!$I$6:$J$14,2,TRUE)+'Fee Data'!$J$20+'Fee Data'!$J$21)*'Assumptions'!G37</x:f>
        <x:v>1115</x:v>
      </x:c>
      <x:c r="Q779" s="27" t="n">
        <x:f>(VLOOKUP(O779,'Fee Data'!$C$6:$G$50,4,TRUE)+O779*VLOOKUP(O779,'Fee Data'!$C$6:$G$50,5,TRUE)+VLOOKUP(O779,'Fee Data'!$I$6:$J$14,2,TRUE)+'Fee Data'!$J$20+'Fee Data'!$J$21)*'Assumptions'!G37</x:f>
        <x:v>990</x:v>
      </x:c>
      <x:c r="R779" s="27" t="n">
        <x:f>P779*(1-'Assumptions'!$D$14)+Q779*'Assumptions'!$D$14</x:f>
        <x:v>1052.5</x:v>
      </x:c>
      <x:c r="S779" s="27" t="n">
        <x:f>O779*'Carrier Engine'!E94</x:f>
        <x:v>280.5863089713148</x:v>
      </x:c>
      <x:c r="T779" s="28" t="n">
        <x:f>R779+S779</x:f>
        <x:v>1333.0863089713148</x:v>
      </x:c>
      <x:c r="U779" s="27" t="n">
        <x:f>N779*'Fleet Engine'!I207</x:f>
        <x:v>691.9625102335942</x:v>
      </x:c>
      <x:c r="V779" s="28" t="n">
        <x:f>U779*T779</x:f>
        <x:v>922445.7487138278</x:v>
      </x:c>
      <x:c r="W779" s="28" t="n">
        <x:f>U779*O779</x:f>
        <x:v>4853880.167324246</x:v>
      </x:c>
    </x:row>
    <x:row r="780" ht="19" customHeight="1">
      <x:c r="A780" s="2"/>
      <x:c r="B780" s="2"/>
      <x:c r="C780" s="46" t="n">
        <x:v>3</x:v>
      </x:c>
      <x:c r="D780" s="46" t="n">
        <x:v>14</x:v>
      </x:c>
      <x:c r="E780" s="46" t="n">
        <x:v>2</x:v>
      </x:c>
      <x:c r="F780" s="46" t="n">
        <x:v>2</x:v>
      </x:c>
      <x:c r="G780" s="12" t="n">
        <x:v>0</x:v>
      </x:c>
      <x:c r="H780" s="12" t="n">
        <x:v>0.1111111111111111</x:v>
      </x:c>
      <x:c r="I780" s="29" t="n">
        <x:f>'Assumptions'!$D$11+'Assumptions'!$D$12*(0.5-(G780+H780)/2)</x:f>
        <x:v>0.3888888888888889</x:v>
      </x:c>
      <x:c r="J780" s="27" t="n">
        <x:f>'Assumptions'!$D$8*EXP(-'Assumptions'!$D$9*('Fleet Engine'!E208-10))*'Assumptions'!E57*'Assumptions'!G36</x:f>
        <x:v>24615.408571552918</x:v>
      </x:c>
      <x:c r="K780" s="27" t="n">
        <x:f>'Source Data'!F219+LN('Assumptions'!D57)+LN('Assumptions'!G35)</x:f>
        <x:v>8.22550551560197</x:v>
      </x:c>
      <x:c r="L780" s="27" t="n">
        <x:f>J780*(1-I780*(1-'Carrier Engine'!E94))</x:f>
        <x:v>15425.656038173163</x:v>
      </x:c>
      <x:c r="M780" s="29" t="n">
        <x:f>NORM.S.DIST((LN(L780)-K780)/'Assumptions'!$D$10,TRUE)</x:f>
        <x:v>0.8168022614945112</x:v>
      </x:c>
      <x:c r="N780" s="30" t="n">
        <x:f>MAX(0,H780-MAX(G780,M780))</x:f>
        <x:v>0</x:v>
      </x:c>
      <x:c r="O780" s="28" t="n">
        <x:f>J780*I780</x:f>
        <x:v>9572.658888937247</x:v>
      </x:c>
      <x:c r="P780" s="27" t="n">
        <x:f>(VLOOKUP(O780,'Fee Data'!$C$6:$G$50,2,TRUE)+O780*VLOOKUP(O780,'Fee Data'!$C$6:$G$50,3,TRUE)+VLOOKUP(O780,'Fee Data'!$I$6:$J$14,2,TRUE)+'Fee Data'!$J$20+'Fee Data'!$J$21)*'Assumptions'!G37</x:f>
        <x:v>1195</x:v>
      </x:c>
      <x:c r="Q780" s="27" t="n">
        <x:f>(VLOOKUP(O780,'Fee Data'!$C$6:$G$50,4,TRUE)+O780*VLOOKUP(O780,'Fee Data'!$C$6:$G$50,5,TRUE)+VLOOKUP(O780,'Fee Data'!$I$6:$J$14,2,TRUE)+'Fee Data'!$J$20+'Fee Data'!$J$21)*'Assumptions'!G37</x:f>
        <x:v>1070</x:v>
      </x:c>
      <x:c r="R780" s="27" t="n">
        <x:f>P780*(1-'Assumptions'!$D$14)+Q780*'Assumptions'!$D$14</x:f>
        <x:v>1132.5</x:v>
      </x:c>
      <x:c r="S780" s="27" t="n">
        <x:f>O780*'Carrier Engine'!E94</x:f>
        <x:v>382.90635555748986</x:v>
      </x:c>
      <x:c r="T780" s="28" t="n">
        <x:f>R780+S780</x:f>
        <x:v>1515.4063555574899</x:v>
      </x:c>
      <x:c r="U780" s="27" t="n">
        <x:f>N780*'Fleet Engine'!I208</x:f>
        <x:v>0</x:v>
      </x:c>
      <x:c r="V780" s="28" t="n">
        <x:f>U780*T780</x:f>
        <x:v>0</x:v>
      </x:c>
      <x:c r="W780" s="28" t="n">
        <x:f>U780*O780</x:f>
        <x:v>0</x:v>
      </x:c>
    </x:row>
    <x:row r="781" ht="19" customHeight="1">
      <x:c r="A781" s="2"/>
      <x:c r="B781" s="2"/>
      <x:c r="C781" s="46" t="n">
        <x:v>3</x:v>
      </x:c>
      <x:c r="D781" s="46" t="n">
        <x:v>14</x:v>
      </x:c>
      <x:c r="E781" s="46" t="n">
        <x:v>2</x:v>
      </x:c>
      <x:c r="F781" s="46" t="n">
        <x:v>2</x:v>
      </x:c>
      <x:c r="G781" s="12" t="n">
        <x:v>0.1111111111111111</x:v>
      </x:c>
      <x:c r="H781" s="12" t="n">
        <x:v>0.2222222222222222</x:v>
      </x:c>
      <x:c r="I781" s="29" t="n">
        <x:f>'Assumptions'!$D$11+'Assumptions'!$D$12*(0.5-(G781+H781)/2)</x:f>
        <x:v>0.3666666666666667</x:v>
      </x:c>
      <x:c r="J781" s="27" t="n">
        <x:f>'Assumptions'!$D$8*EXP(-'Assumptions'!$D$9*('Fleet Engine'!E208-10))*'Assumptions'!E57*'Assumptions'!G36</x:f>
        <x:v>24615.408571552918</x:v>
      </x:c>
      <x:c r="K781" s="27" t="n">
        <x:f>'Source Data'!F219+LN('Assumptions'!D57)+LN('Assumptions'!G35)</x:f>
        <x:v>8.22550551560197</x:v>
      </x:c>
      <x:c r="L781" s="27" t="n">
        <x:f>J781*(1-I781*(1-'Carrier Engine'!E94))</x:f>
        <x:v>15950.784754366288</x:v>
      </x:c>
      <x:c r="M781" s="29" t="n">
        <x:f>NORM.S.DIST((LN(L781)-K781)/'Assumptions'!$D$10,TRUE)</x:f>
        <x:v>0.8224039417033224</x:v>
      </x:c>
      <x:c r="N781" s="30" t="n">
        <x:f>MAX(0,H781-MAX(G781,M781))</x:f>
        <x:v>0</x:v>
      </x:c>
      <x:c r="O781" s="28" t="n">
        <x:f>J781*I781</x:f>
        <x:v>9025.649809569404</x:v>
      </x:c>
      <x:c r="P781" s="27" t="n">
        <x:f>(VLOOKUP(O781,'Fee Data'!$C$6:$G$50,2,TRUE)+O781*VLOOKUP(O781,'Fee Data'!$C$6:$G$50,3,TRUE)+VLOOKUP(O781,'Fee Data'!$I$6:$J$14,2,TRUE)+'Fee Data'!$J$20+'Fee Data'!$J$21)*'Assumptions'!G37</x:f>
        <x:v>1195</x:v>
      </x:c>
      <x:c r="Q781" s="27" t="n">
        <x:f>(VLOOKUP(O781,'Fee Data'!$C$6:$G$50,4,TRUE)+O781*VLOOKUP(O781,'Fee Data'!$C$6:$G$50,5,TRUE)+VLOOKUP(O781,'Fee Data'!$I$6:$J$14,2,TRUE)+'Fee Data'!$J$20+'Fee Data'!$J$21)*'Assumptions'!G37</x:f>
        <x:v>1070</x:v>
      </x:c>
      <x:c r="R781" s="27" t="n">
        <x:f>P781*(1-'Assumptions'!$D$14)+Q781*'Assumptions'!$D$14</x:f>
        <x:v>1132.5</x:v>
      </x:c>
      <x:c r="S781" s="27" t="n">
        <x:f>O781*'Carrier Engine'!E94</x:f>
        <x:v>361.02599238277617</x:v>
      </x:c>
      <x:c r="T781" s="28" t="n">
        <x:f>R781+S781</x:f>
        <x:v>1493.5259923827762</x:v>
      </x:c>
      <x:c r="U781" s="27" t="n">
        <x:f>N781*'Fleet Engine'!I208</x:f>
        <x:v>0</x:v>
      </x:c>
      <x:c r="V781" s="28" t="n">
        <x:f>U781*T781</x:f>
        <x:v>0</x:v>
      </x:c>
      <x:c r="W781" s="28" t="n">
        <x:f>U781*O781</x:f>
        <x:v>0</x:v>
      </x:c>
    </x:row>
    <x:row r="782" ht="19" customHeight="1">
      <x:c r="A782" s="2"/>
      <x:c r="B782" s="2"/>
      <x:c r="C782" s="46" t="n">
        <x:v>3</x:v>
      </x:c>
      <x:c r="D782" s="46" t="n">
        <x:v>14</x:v>
      </x:c>
      <x:c r="E782" s="46" t="n">
        <x:v>2</x:v>
      </x:c>
      <x:c r="F782" s="46" t="n">
        <x:v>2</x:v>
      </x:c>
      <x:c r="G782" s="12" t="n">
        <x:v>0.2222222222222222</x:v>
      </x:c>
      <x:c r="H782" s="12" t="n">
        <x:v>0.3333333333333333</x:v>
      </x:c>
      <x:c r="I782" s="29" t="n">
        <x:f>'Assumptions'!$D$11+'Assumptions'!$D$12*(0.5-(G782+H782)/2)</x:f>
        <x:v>0.34444444444444444</x:v>
      </x:c>
      <x:c r="J782" s="27" t="n">
        <x:f>'Assumptions'!$D$8*EXP(-'Assumptions'!$D$9*('Fleet Engine'!E208-10))*'Assumptions'!E57*'Assumptions'!G36</x:f>
        <x:v>24615.408571552918</x:v>
      </x:c>
      <x:c r="K782" s="27" t="n">
        <x:f>'Source Data'!F219+LN('Assumptions'!D57)+LN('Assumptions'!G35)</x:f>
        <x:v>8.22550551560197</x:v>
      </x:c>
      <x:c r="L782" s="27" t="n">
        <x:f>J782*(1-I782*(1-'Carrier Engine'!E94))</x:f>
        <x:v>16475.91347055942</x:v>
      </x:c>
      <x:c r="M782" s="29" t="n">
        <x:f>NORM.S.DIST((LN(L782)-K782)/'Assumptions'!$D$10,TRUE)</x:f>
        <x:v>0.8277200866436032</x:v>
      </x:c>
      <x:c r="N782" s="30" t="n">
        <x:f>MAX(0,H782-MAX(G782,M782))</x:f>
        <x:v>0</x:v>
      </x:c>
      <x:c r="O782" s="28" t="n">
        <x:f>J782*I782</x:f>
        <x:v>8478.640730201561</x:v>
      </x:c>
      <x:c r="P782" s="27" t="n">
        <x:f>(VLOOKUP(O782,'Fee Data'!$C$6:$G$50,2,TRUE)+O782*VLOOKUP(O782,'Fee Data'!$C$6:$G$50,3,TRUE)+VLOOKUP(O782,'Fee Data'!$I$6:$J$14,2,TRUE)+'Fee Data'!$J$20+'Fee Data'!$J$21)*'Assumptions'!G37</x:f>
        <x:v>1175</x:v>
      </x:c>
      <x:c r="Q782" s="27" t="n">
        <x:f>(VLOOKUP(O782,'Fee Data'!$C$6:$G$50,4,TRUE)+O782*VLOOKUP(O782,'Fee Data'!$C$6:$G$50,5,TRUE)+VLOOKUP(O782,'Fee Data'!$I$6:$J$14,2,TRUE)+'Fee Data'!$J$20+'Fee Data'!$J$21)*'Assumptions'!G37</x:f>
        <x:v>1050</x:v>
      </x:c>
      <x:c r="R782" s="27" t="n">
        <x:f>P782*(1-'Assumptions'!$D$14)+Q782*'Assumptions'!$D$14</x:f>
        <x:v>1112.5</x:v>
      </x:c>
      <x:c r="S782" s="27" t="n">
        <x:f>O782*'Carrier Engine'!E94</x:f>
        <x:v>339.1456292080625</x:v>
      </x:c>
      <x:c r="T782" s="28" t="n">
        <x:f>R782+S782</x:f>
        <x:v>1451.6456292080625</x:v>
      </x:c>
      <x:c r="U782" s="27" t="n">
        <x:f>N782*'Fleet Engine'!I208</x:f>
        <x:v>0</x:v>
      </x:c>
      <x:c r="V782" s="28" t="n">
        <x:f>U782*T782</x:f>
        <x:v>0</x:v>
      </x:c>
      <x:c r="W782" s="28" t="n">
        <x:f>U782*O782</x:f>
        <x:v>0</x:v>
      </x:c>
    </x:row>
    <x:row r="783" ht="19" customHeight="1">
      <x:c r="A783" s="2"/>
      <x:c r="B783" s="2"/>
      <x:c r="C783" s="46" t="n">
        <x:v>3</x:v>
      </x:c>
      <x:c r="D783" s="46" t="n">
        <x:v>14</x:v>
      </x:c>
      <x:c r="E783" s="46" t="n">
        <x:v>2</x:v>
      </x:c>
      <x:c r="F783" s="46" t="n">
        <x:v>2</x:v>
      </x:c>
      <x:c r="G783" s="12" t="n">
        <x:v>0.3333333333333333</x:v>
      </x:c>
      <x:c r="H783" s="12" t="n">
        <x:v>0.4444444444444444</x:v>
      </x:c>
      <x:c r="I783" s="29" t="n">
        <x:f>'Assumptions'!$D$11+'Assumptions'!$D$12*(0.5-(G783+H783)/2)</x:f>
        <x:v>0.32222222222222224</x:v>
      </x:c>
      <x:c r="J783" s="27" t="n">
        <x:f>'Assumptions'!$D$8*EXP(-'Assumptions'!$D$9*('Fleet Engine'!E208-10))*'Assumptions'!E57*'Assumptions'!G36</x:f>
        <x:v>24615.408571552918</x:v>
      </x:c>
      <x:c r="K783" s="27" t="n">
        <x:f>'Source Data'!F219+LN('Assumptions'!D57)+LN('Assumptions'!G35)</x:f>
        <x:v>8.22550551560197</x:v>
      </x:c>
      <x:c r="L783" s="27" t="n">
        <x:f>J783*(1-I783*(1-'Carrier Engine'!E94))</x:f>
        <x:v>17001.042186752547</x:v>
      </x:c>
      <x:c r="M783" s="29" t="n">
        <x:f>NORM.S.DIST((LN(L783)-K783)/'Assumptions'!$D$10,TRUE)</x:f>
        <x:v>0.8327715578412461</x:v>
      </x:c>
      <x:c r="N783" s="30" t="n">
        <x:f>MAX(0,H783-MAX(G783,M783))</x:f>
        <x:v>0</x:v>
      </x:c>
      <x:c r="O783" s="28" t="n">
        <x:f>J783*I783</x:f>
        <x:v>7931.631650833719</x:v>
      </x:c>
      <x:c r="P783" s="27" t="n">
        <x:f>(VLOOKUP(O783,'Fee Data'!$C$6:$G$50,2,TRUE)+O783*VLOOKUP(O783,'Fee Data'!$C$6:$G$50,3,TRUE)+VLOOKUP(O783,'Fee Data'!$I$6:$J$14,2,TRUE)+'Fee Data'!$J$20+'Fee Data'!$J$21)*'Assumptions'!G37</x:f>
        <x:v>1135</x:v>
      </x:c>
      <x:c r="Q783" s="27" t="n">
        <x:f>(VLOOKUP(O783,'Fee Data'!$C$6:$G$50,4,TRUE)+O783*VLOOKUP(O783,'Fee Data'!$C$6:$G$50,5,TRUE)+VLOOKUP(O783,'Fee Data'!$I$6:$J$14,2,TRUE)+'Fee Data'!$J$20+'Fee Data'!$J$21)*'Assumptions'!G37</x:f>
        <x:v>1010</x:v>
      </x:c>
      <x:c r="R783" s="27" t="n">
        <x:f>P783*(1-'Assumptions'!$D$14)+Q783*'Assumptions'!$D$14</x:f>
        <x:v>1072.5</x:v>
      </x:c>
      <x:c r="S783" s="27" t="n">
        <x:f>O783*'Carrier Engine'!E94</x:f>
        <x:v>317.2652660333487</x:v>
      </x:c>
      <x:c r="T783" s="28" t="n">
        <x:f>R783+S783</x:f>
        <x:v>1389.7652660333488</x:v>
      </x:c>
      <x:c r="U783" s="27" t="n">
        <x:f>N783*'Fleet Engine'!I208</x:f>
        <x:v>0</x:v>
      </x:c>
      <x:c r="V783" s="28" t="n">
        <x:f>U783*T783</x:f>
        <x:v>0</x:v>
      </x:c>
      <x:c r="W783" s="28" t="n">
        <x:f>U783*O783</x:f>
        <x:v>0</x:v>
      </x:c>
    </x:row>
    <x:row r="784" ht="19" customHeight="1">
      <x:c r="A784" s="2"/>
      <x:c r="B784" s="2"/>
      <x:c r="C784" s="46" t="n">
        <x:v>3</x:v>
      </x:c>
      <x:c r="D784" s="46" t="n">
        <x:v>14</x:v>
      </x:c>
      <x:c r="E784" s="46" t="n">
        <x:v>2</x:v>
      </x:c>
      <x:c r="F784" s="46" t="n">
        <x:v>2</x:v>
      </x:c>
      <x:c r="G784" s="12" t="n">
        <x:v>0.4444444444444444</x:v>
      </x:c>
      <x:c r="H784" s="12" t="n">
        <x:v>0.5555555555555556</x:v>
      </x:c>
      <x:c r="I784" s="29" t="n">
        <x:f>'Assumptions'!$D$11+'Assumptions'!$D$12*(0.5-(G784+H784)/2)</x:f>
        <x:v>0.3</x:v>
      </x:c>
      <x:c r="J784" s="27" t="n">
        <x:f>'Assumptions'!$D$8*EXP(-'Assumptions'!$D$9*('Fleet Engine'!E208-10))*'Assumptions'!E57*'Assumptions'!G36</x:f>
        <x:v>24615.408571552918</x:v>
      </x:c>
      <x:c r="K784" s="27" t="n">
        <x:f>'Source Data'!F219+LN('Assumptions'!D57)+LN('Assumptions'!G35)</x:f>
        <x:v>8.22550551560197</x:v>
      </x:c>
      <x:c r="L784" s="27" t="n">
        <x:f>J784*(1-I784*(1-'Carrier Engine'!E94))</x:f>
        <x:v>17526.170902945676</x:v>
      </x:c>
      <x:c r="M784" s="29" t="n">
        <x:f>NORM.S.DIST((LN(L784)-K784)/'Assumptions'!$D$10,TRUE)</x:f>
        <x:v>0.8375772230492653</x:v>
      </x:c>
      <x:c r="N784" s="30" t="n">
        <x:f>MAX(0,H784-MAX(G784,M784))</x:f>
        <x:v>0</x:v>
      </x:c>
      <x:c r="O784" s="28" t="n">
        <x:f>J784*I784</x:f>
        <x:v>7384.622571465875</x:v>
      </x:c>
      <x:c r="P784" s="27" t="n">
        <x:f>(VLOOKUP(O784,'Fee Data'!$C$6:$G$50,2,TRUE)+O784*VLOOKUP(O784,'Fee Data'!$C$6:$G$50,3,TRUE)+VLOOKUP(O784,'Fee Data'!$I$6:$J$14,2,TRUE)+'Fee Data'!$J$20+'Fee Data'!$J$21)*'Assumptions'!G37</x:f>
        <x:v>1115</x:v>
      </x:c>
      <x:c r="Q784" s="27" t="n">
        <x:f>(VLOOKUP(O784,'Fee Data'!$C$6:$G$50,4,TRUE)+O784*VLOOKUP(O784,'Fee Data'!$C$6:$G$50,5,TRUE)+VLOOKUP(O784,'Fee Data'!$I$6:$J$14,2,TRUE)+'Fee Data'!$J$20+'Fee Data'!$J$21)*'Assumptions'!G37</x:f>
        <x:v>990</x:v>
      </x:c>
      <x:c r="R784" s="27" t="n">
        <x:f>P784*(1-'Assumptions'!$D$14)+Q784*'Assumptions'!$D$14</x:f>
        <x:v>1052.5</x:v>
      </x:c>
      <x:c r="S784" s="27" t="n">
        <x:f>O784*'Carrier Engine'!E94</x:f>
        <x:v>295.38490285863503</x:v>
      </x:c>
      <x:c r="T784" s="28" t="n">
        <x:f>R784+S784</x:f>
        <x:v>1347.884902858635</x:v>
      </x:c>
      <x:c r="U784" s="27" t="n">
        <x:f>N784*'Fleet Engine'!I208</x:f>
        <x:v>0</x:v>
      </x:c>
      <x:c r="V784" s="28" t="n">
        <x:f>U784*T784</x:f>
        <x:v>0</x:v>
      </x:c>
      <x:c r="W784" s="28" t="n">
        <x:f>U784*O784</x:f>
        <x:v>0</x:v>
      </x:c>
    </x:row>
    <x:row r="785" ht="19" customHeight="1">
      <x:c r="A785" s="2"/>
      <x:c r="B785" s="2"/>
      <x:c r="C785" s="46" t="n">
        <x:v>3</x:v>
      </x:c>
      <x:c r="D785" s="46" t="n">
        <x:v>14</x:v>
      </x:c>
      <x:c r="E785" s="46" t="n">
        <x:v>2</x:v>
      </x:c>
      <x:c r="F785" s="46" t="n">
        <x:v>2</x:v>
      </x:c>
      <x:c r="G785" s="12" t="n">
        <x:v>0.5555555555555556</x:v>
      </x:c>
      <x:c r="H785" s="12" t="n">
        <x:v>0.6666666666666666</x:v>
      </x:c>
      <x:c r="I785" s="29" t="n">
        <x:f>'Assumptions'!$D$11+'Assumptions'!$D$12*(0.5-(G785+H785)/2)</x:f>
        <x:v>0.27777777777777773</x:v>
      </x:c>
      <x:c r="J785" s="27" t="n">
        <x:f>'Assumptions'!$D$8*EXP(-'Assumptions'!$D$9*('Fleet Engine'!E208-10))*'Assumptions'!E57*'Assumptions'!G36</x:f>
        <x:v>24615.408571552918</x:v>
      </x:c>
      <x:c r="K785" s="27" t="n">
        <x:f>'Source Data'!F219+LN('Assumptions'!D57)+LN('Assumptions'!G35)</x:f>
        <x:v>8.22550551560197</x:v>
      </x:c>
      <x:c r="L785" s="27" t="n">
        <x:f>J785*(1-I785*(1-'Carrier Engine'!E94))</x:f>
        <x:v>18051.29961913881</x:v>
      </x:c>
      <x:c r="M785" s="29" t="n">
        <x:f>NORM.S.DIST((LN(L785)-K785)/'Assumptions'!$D$10,TRUE)</x:f>
        <x:v>0.8421541912379197</x:v>
      </x:c>
      <x:c r="N785" s="30" t="n">
        <x:f>MAX(0,H785-MAX(G785,M785))</x:f>
        <x:v>0</x:v>
      </x:c>
      <x:c r="O785" s="28" t="n">
        <x:f>J785*I785</x:f>
        <x:v>6837.613492098032</x:v>
      </x:c>
      <x:c r="P785" s="27" t="n">
        <x:f>(VLOOKUP(O785,'Fee Data'!$C$6:$G$50,2,TRUE)+O785*VLOOKUP(O785,'Fee Data'!$C$6:$G$50,3,TRUE)+VLOOKUP(O785,'Fee Data'!$I$6:$J$14,2,TRUE)+'Fee Data'!$J$20+'Fee Data'!$J$21)*'Assumptions'!G37</x:f>
        <x:v>1080</x:v>
      </x:c>
      <x:c r="Q785" s="27" t="n">
        <x:f>(VLOOKUP(O785,'Fee Data'!$C$6:$G$50,4,TRUE)+O785*VLOOKUP(O785,'Fee Data'!$C$6:$G$50,5,TRUE)+VLOOKUP(O785,'Fee Data'!$I$6:$J$14,2,TRUE)+'Fee Data'!$J$20+'Fee Data'!$J$21)*'Assumptions'!G37</x:f>
        <x:v>955</x:v>
      </x:c>
      <x:c r="R785" s="27" t="n">
        <x:f>P785*(1-'Assumptions'!$D$14)+Q785*'Assumptions'!$D$14</x:f>
        <x:v>1017.5</x:v>
      </x:c>
      <x:c r="S785" s="27" t="n">
        <x:f>O785*'Carrier Engine'!E94</x:f>
        <x:v>273.5045396839213</x:v>
      </x:c>
      <x:c r="T785" s="28" t="n">
        <x:f>R785+S785</x:f>
        <x:v>1291.0045396839214</x:v>
      </x:c>
      <x:c r="U785" s="27" t="n">
        <x:f>N785*'Fleet Engine'!I208</x:f>
        <x:v>0</x:v>
      </x:c>
      <x:c r="V785" s="28" t="n">
        <x:f>U785*T785</x:f>
        <x:v>0</x:v>
      </x:c>
      <x:c r="W785" s="28" t="n">
        <x:f>U785*O785</x:f>
        <x:v>0</x:v>
      </x:c>
    </x:row>
    <x:row r="786" ht="19" customHeight="1">
      <x:c r="A786" s="2"/>
      <x:c r="B786" s="2"/>
      <x:c r="C786" s="46" t="n">
        <x:v>3</x:v>
      </x:c>
      <x:c r="D786" s="46" t="n">
        <x:v>14</x:v>
      </x:c>
      <x:c r="E786" s="46" t="n">
        <x:v>2</x:v>
      </x:c>
      <x:c r="F786" s="46" t="n">
        <x:v>2</x:v>
      </x:c>
      <x:c r="G786" s="12" t="n">
        <x:v>0.6666666666666666</x:v>
      </x:c>
      <x:c r="H786" s="12" t="n">
        <x:v>0.7777777777777778</x:v>
      </x:c>
      <x:c r="I786" s="29" t="n">
        <x:f>'Assumptions'!$D$11+'Assumptions'!$D$12*(0.5-(G786+H786)/2)</x:f>
        <x:v>0.25555555555555554</x:v>
      </x:c>
      <x:c r="J786" s="27" t="n">
        <x:f>'Assumptions'!$D$8*EXP(-'Assumptions'!$D$9*('Fleet Engine'!E208-10))*'Assumptions'!E57*'Assumptions'!G36</x:f>
        <x:v>24615.408571552918</x:v>
      </x:c>
      <x:c r="K786" s="27" t="n">
        <x:f>'Source Data'!F219+LN('Assumptions'!D57)+LN('Assumptions'!G35)</x:f>
        <x:v>8.22550551560197</x:v>
      </x:c>
      <x:c r="L786" s="27" t="n">
        <x:f>J786*(1-I786*(1-'Carrier Engine'!E94))</x:f>
        <x:v>18576.428335331937</x:v>
      </x:c>
      <x:c r="M786" s="29" t="n">
        <x:f>NORM.S.DIST((LN(L786)-K786)/'Assumptions'!$D$10,TRUE)</x:f>
        <x:v>0.8465180147776781</x:v>
      </x:c>
      <x:c r="N786" s="30" t="n">
        <x:f>MAX(0,H786-MAX(G786,M786))</x:f>
        <x:v>0</x:v>
      </x:c>
      <x:c r="O786" s="28" t="n">
        <x:f>J786*I786</x:f>
        <x:v>6290.604412730189</x:v>
      </x:c>
      <x:c r="P786" s="27" t="n">
        <x:f>(VLOOKUP(O786,'Fee Data'!$C$6:$G$50,2,TRUE)+O786*VLOOKUP(O786,'Fee Data'!$C$6:$G$50,3,TRUE)+VLOOKUP(O786,'Fee Data'!$I$6:$J$14,2,TRUE)+'Fee Data'!$J$20+'Fee Data'!$J$21)*'Assumptions'!G37</x:f>
        <x:v>1060</x:v>
      </x:c>
      <x:c r="Q786" s="27" t="n">
        <x:f>(VLOOKUP(O786,'Fee Data'!$C$6:$G$50,4,TRUE)+O786*VLOOKUP(O786,'Fee Data'!$C$6:$G$50,5,TRUE)+VLOOKUP(O786,'Fee Data'!$I$6:$J$14,2,TRUE)+'Fee Data'!$J$20+'Fee Data'!$J$21)*'Assumptions'!G37</x:f>
        <x:v>935</x:v>
      </x:c>
      <x:c r="R786" s="27" t="n">
        <x:f>P786*(1-'Assumptions'!$D$14)+Q786*'Assumptions'!$D$14</x:f>
        <x:v>997.5</x:v>
      </x:c>
      <x:c r="S786" s="27" t="n">
        <x:f>O786*'Carrier Engine'!E94</x:f>
        <x:v>251.6241765092076</x:v>
      </x:c>
      <x:c r="T786" s="28" t="n">
        <x:f>R786+S786</x:f>
        <x:v>1249.1241765092077</x:v>
      </x:c>
      <x:c r="U786" s="27" t="n">
        <x:f>N786*'Fleet Engine'!I208</x:f>
        <x:v>0</x:v>
      </x:c>
      <x:c r="V786" s="28" t="n">
        <x:f>U786*T786</x:f>
        <x:v>0</x:v>
      </x:c>
      <x:c r="W786" s="28" t="n">
        <x:f>U786*O786</x:f>
        <x:v>0</x:v>
      </x:c>
    </x:row>
    <x:row r="787" ht="19" customHeight="1">
      <x:c r="A787" s="2"/>
      <x:c r="B787" s="2"/>
      <x:c r="C787" s="46" t="n">
        <x:v>3</x:v>
      </x:c>
      <x:c r="D787" s="46" t="n">
        <x:v>14</x:v>
      </x:c>
      <x:c r="E787" s="46" t="n">
        <x:v>2</x:v>
      </x:c>
      <x:c r="F787" s="46" t="n">
        <x:v>2</x:v>
      </x:c>
      <x:c r="G787" s="12" t="n">
        <x:v>0.7777777777777778</x:v>
      </x:c>
      <x:c r="H787" s="12" t="n">
        <x:v>0.8888888888888888</x:v>
      </x:c>
      <x:c r="I787" s="29" t="n">
        <x:f>'Assumptions'!$D$11+'Assumptions'!$D$12*(0.5-(G787+H787)/2)</x:f>
        <x:v>0.23333333333333334</x:v>
      </x:c>
      <x:c r="J787" s="27" t="n">
        <x:f>'Assumptions'!$D$8*EXP(-'Assumptions'!$D$9*('Fleet Engine'!E208-10))*'Assumptions'!E57*'Assumptions'!G36</x:f>
        <x:v>24615.408571552918</x:v>
      </x:c>
      <x:c r="K787" s="27" t="n">
        <x:f>'Source Data'!F219+LN('Assumptions'!D57)+LN('Assumptions'!G35)</x:f>
        <x:v>8.22550551560197</x:v>
      </x:c>
      <x:c r="L787" s="27" t="n">
        <x:f>J787*(1-I787*(1-'Carrier Engine'!E94))</x:f>
        <x:v>19101.557051525066</x:v>
      </x:c>
      <x:c r="M787" s="29" t="n">
        <x:f>NORM.S.DIST((LN(L787)-K787)/'Assumptions'!$D$10,TRUE)</x:f>
        <x:v>0.850682864085855</x:v>
      </x:c>
      <x:c r="N787" s="30" t="n">
        <x:f>MAX(0,H787-MAX(G787,M787))</x:f>
        <x:v>0.03820602480303381</x:v>
      </x:c>
      <x:c r="O787" s="28" t="n">
        <x:f>J787*I787</x:f>
        <x:v>5743.595333362347</x:v>
      </x:c>
      <x:c r="P787" s="27" t="n">
        <x:f>(VLOOKUP(O787,'Fee Data'!$C$6:$G$50,2,TRUE)+O787*VLOOKUP(O787,'Fee Data'!$C$6:$G$50,3,TRUE)+VLOOKUP(O787,'Fee Data'!$I$6:$J$14,2,TRUE)+'Fee Data'!$J$20+'Fee Data'!$J$21)*'Assumptions'!G37</x:f>
        <x:v>1020</x:v>
      </x:c>
      <x:c r="Q787" s="27" t="n">
        <x:f>(VLOOKUP(O787,'Fee Data'!$C$6:$G$50,4,TRUE)+O787*VLOOKUP(O787,'Fee Data'!$C$6:$G$50,5,TRUE)+VLOOKUP(O787,'Fee Data'!$I$6:$J$14,2,TRUE)+'Fee Data'!$J$20+'Fee Data'!$J$21)*'Assumptions'!G37</x:f>
        <x:v>895</x:v>
      </x:c>
      <x:c r="R787" s="27" t="n">
        <x:f>P787*(1-'Assumptions'!$D$14)+Q787*'Assumptions'!$D$14</x:f>
        <x:v>957.5</x:v>
      </x:c>
      <x:c r="S787" s="27" t="n">
        <x:f>O787*'Carrier Engine'!E94</x:f>
        <x:v>229.7438133344939</x:v>
      </x:c>
      <x:c r="T787" s="28" t="n">
        <x:f>R787+S787</x:f>
        <x:v>1187.243813334494</x:v>
      </x:c>
      <x:c r="U787" s="27" t="n">
        <x:f>N787*'Fleet Engine'!I208</x:f>
        <x:v>232.18783714245666</x:v>
      </x:c>
      <x:c r="V787" s="28" t="n">
        <x:f>U787*T787</x:f>
        <x:v>275663.5731788987</x:v>
      </x:c>
      <x:c r="W787" s="28" t="n">
        <x:f>U787*O787</x:f>
        <x:v>1333592.9778749107</x:v>
      </x:c>
    </x:row>
    <x:row r="788" ht="19" customHeight="1">
      <x:c r="A788" s="2"/>
      <x:c r="B788" s="2"/>
      <x:c r="C788" s="46" t="n">
        <x:v>3</x:v>
      </x:c>
      <x:c r="D788" s="46" t="n">
        <x:v>14</x:v>
      </x:c>
      <x:c r="E788" s="46" t="n">
        <x:v>2</x:v>
      </x:c>
      <x:c r="F788" s="46" t="n">
        <x:v>2</x:v>
      </x:c>
      <x:c r="G788" s="12" t="n">
        <x:v>0.8888888888888888</x:v>
      </x:c>
      <x:c r="H788" s="12" t="n">
        <x:v>1</x:v>
      </x:c>
      <x:c r="I788" s="29" t="n">
        <x:f>'Assumptions'!$D$11+'Assumptions'!$D$12*(0.5-(G788+H788)/2)</x:f>
        <x:v>0.21111111111111108</x:v>
      </x:c>
      <x:c r="J788" s="27" t="n">
        <x:f>'Assumptions'!$D$8*EXP(-'Assumptions'!$D$9*('Fleet Engine'!E208-10))*'Assumptions'!E57*'Assumptions'!G36</x:f>
        <x:v>24615.408571552918</x:v>
      </x:c>
      <x:c r="K788" s="27" t="n">
        <x:f>'Source Data'!F219+LN('Assumptions'!D57)+LN('Assumptions'!G35)</x:f>
        <x:v>8.22550551560197</x:v>
      </x:c>
      <x:c r="L788" s="27" t="n">
        <x:f>J788*(1-I788*(1-'Carrier Engine'!E94))</x:f>
        <x:v>19626.685767718194</x:v>
      </x:c>
      <x:c r="M788" s="29" t="n">
        <x:f>NORM.S.DIST((LN(L788)-K788)/'Assumptions'!$D$10,TRUE)</x:f>
        <x:v>0.8546616790540353</x:v>
      </x:c>
      <x:c r="N788" s="30" t="n">
        <x:f>MAX(0,H788-MAX(G788,M788))</x:f>
        <x:v>0.11111111111111116</x:v>
      </x:c>
      <x:c r="O788" s="28" t="n">
        <x:f>J788*I788</x:f>
        <x:v>5196.586253994505</x:v>
      </x:c>
      <x:c r="P788" s="27" t="n">
        <x:f>(VLOOKUP(O788,'Fee Data'!$C$6:$G$50,2,TRUE)+O788*VLOOKUP(O788,'Fee Data'!$C$6:$G$50,3,TRUE)+VLOOKUP(O788,'Fee Data'!$I$6:$J$14,2,TRUE)+'Fee Data'!$J$20+'Fee Data'!$J$21)*'Assumptions'!G37</x:f>
        <x:v>995</x:v>
      </x:c>
      <x:c r="Q788" s="27" t="n">
        <x:f>(VLOOKUP(O788,'Fee Data'!$C$6:$G$50,4,TRUE)+O788*VLOOKUP(O788,'Fee Data'!$C$6:$G$50,5,TRUE)+VLOOKUP(O788,'Fee Data'!$I$6:$J$14,2,TRUE)+'Fee Data'!$J$20+'Fee Data'!$J$21)*'Assumptions'!G37</x:f>
        <x:v>870</x:v>
      </x:c>
      <x:c r="R788" s="27" t="n">
        <x:f>P788*(1-'Assumptions'!$D$14)+Q788*'Assumptions'!$D$14</x:f>
        <x:v>932.5</x:v>
      </x:c>
      <x:c r="S788" s="27" t="n">
        <x:f>O788*'Carrier Engine'!E94</x:f>
        <x:v>207.8634501597802</x:v>
      </x:c>
      <x:c r="T788" s="28" t="n">
        <x:f>R788+S788</x:f>
        <x:v>1140.3634501597803</x:v>
      </x:c>
      <x:c r="U788" s="27" t="n">
        <x:f>N788*'Fleet Engine'!I208</x:f>
        <x:v>675.2507936741825</x:v>
      </x:c>
      <x:c r="V788" s="28" t="n">
        <x:f>U788*T788</x:f>
        <x:v>770031.3247974208</x:v>
      </x:c>
      <x:c r="W788" s="28" t="n">
        <x:f>U788*O788</x:f>
        <x:v>3508998.9924061364</x:v>
      </x:c>
    </x:row>
    <x:row r="789" ht="19" customHeight="1">
      <x:c r="A789" s="2"/>
      <x:c r="B789" s="2"/>
      <x:c r="C789" s="46" t="n">
        <x:v>3</x:v>
      </x:c>
      <x:c r="D789" s="46" t="n">
        <x:v>15</x:v>
      </x:c>
      <x:c r="E789" s="46" t="n">
        <x:v>2</x:v>
      </x:c>
      <x:c r="F789" s="46" t="n">
        <x:v>3</x:v>
      </x:c>
      <x:c r="G789" s="12" t="n">
        <x:v>0</x:v>
      </x:c>
      <x:c r="H789" s="12" t="n">
        <x:v>0.1111111111111111</x:v>
      </x:c>
      <x:c r="I789" s="29" t="n">
        <x:f>'Assumptions'!$D$11+'Assumptions'!$D$12*(0.5-(G789+H789)/2)</x:f>
        <x:v>0.3888888888888889</x:v>
      </x:c>
      <x:c r="J789" s="27" t="n">
        <x:f>'Assumptions'!$D$8*EXP(-'Assumptions'!$D$9*('Fleet Engine'!E209-10))*'Assumptions'!E57*'Assumptions'!G36</x:f>
        <x:v>18235.543179331336</x:v>
      </x:c>
      <x:c r="K789" s="27" t="n">
        <x:f>'Source Data'!F220+LN('Assumptions'!D57)+LN('Assumptions'!G35)</x:f>
        <x:v>8.332638086869624</x:v>
      </x:c>
      <x:c r="L789" s="27" t="n">
        <x:f>J789*(1-I789*(1-'Carrier Engine'!E94))</x:f>
        <x:v>11427.607059047637</x:v>
      </x:c>
      <x:c r="M789" s="29" t="n">
        <x:f>NORM.S.DIST((LN(L789)-K789)/'Assumptions'!$D$10,TRUE)</x:f>
        <x:v>0.7401992041625559</x:v>
      </x:c>
      <x:c r="N789" s="30" t="n">
        <x:f>MAX(0,H789-MAX(G789,M789))</x:f>
        <x:v>0</x:v>
      </x:c>
      <x:c r="O789" s="28" t="n">
        <x:f>J789*I789</x:f>
        <x:v>7091.60012529552</x:v>
      </x:c>
      <x:c r="P789" s="27" t="n">
        <x:f>(VLOOKUP(O789,'Fee Data'!$C$6:$G$50,2,TRUE)+O789*VLOOKUP(O789,'Fee Data'!$C$6:$G$50,3,TRUE)+VLOOKUP(O789,'Fee Data'!$I$6:$J$14,2,TRUE)+'Fee Data'!$J$20+'Fee Data'!$J$21)*'Assumptions'!G37</x:f>
        <x:v>1115</x:v>
      </x:c>
      <x:c r="Q789" s="27" t="n">
        <x:f>(VLOOKUP(O789,'Fee Data'!$C$6:$G$50,4,TRUE)+O789*VLOOKUP(O789,'Fee Data'!$C$6:$G$50,5,TRUE)+VLOOKUP(O789,'Fee Data'!$I$6:$J$14,2,TRUE)+'Fee Data'!$J$20+'Fee Data'!$J$21)*'Assumptions'!G37</x:f>
        <x:v>990</x:v>
      </x:c>
      <x:c r="R789" s="27" t="n">
        <x:f>P789*(1-'Assumptions'!$D$14)+Q789*'Assumptions'!$D$14</x:f>
        <x:v>1052.5</x:v>
      </x:c>
      <x:c r="S789" s="27" t="n">
        <x:f>O789*'Carrier Engine'!E94</x:f>
        <x:v>283.6640050118208</x:v>
      </x:c>
      <x:c r="T789" s="28" t="n">
        <x:f>R789+S789</x:f>
        <x:v>1336.1640050118208</x:v>
      </x:c>
      <x:c r="U789" s="27" t="n">
        <x:f>N789*'Fleet Engine'!I209</x:f>
        <x:v>0</x:v>
      </x:c>
      <x:c r="V789" s="28" t="n">
        <x:f>U789*T789</x:f>
        <x:v>0</x:v>
      </x:c>
      <x:c r="W789" s="28" t="n">
        <x:f>U789*O789</x:f>
        <x:v>0</x:v>
      </x:c>
    </x:row>
    <x:row r="790" ht="19" customHeight="1">
      <x:c r="A790" s="2"/>
      <x:c r="B790" s="2"/>
      <x:c r="C790" s="46" t="n">
        <x:v>3</x:v>
      </x:c>
      <x:c r="D790" s="46" t="n">
        <x:v>15</x:v>
      </x:c>
      <x:c r="E790" s="46" t="n">
        <x:v>2</x:v>
      </x:c>
      <x:c r="F790" s="46" t="n">
        <x:v>3</x:v>
      </x:c>
      <x:c r="G790" s="12" t="n">
        <x:v>0.1111111111111111</x:v>
      </x:c>
      <x:c r="H790" s="12" t="n">
        <x:v>0.2222222222222222</x:v>
      </x:c>
      <x:c r="I790" s="29" t="n">
        <x:f>'Assumptions'!$D$11+'Assumptions'!$D$12*(0.5-(G790+H790)/2)</x:f>
        <x:v>0.3666666666666667</x:v>
      </x:c>
      <x:c r="J790" s="27" t="n">
        <x:f>'Assumptions'!$D$8*EXP(-'Assumptions'!$D$9*('Fleet Engine'!E209-10))*'Assumptions'!E57*'Assumptions'!G36</x:f>
        <x:v>18235.543179331336</x:v>
      </x:c>
      <x:c r="K790" s="27" t="n">
        <x:f>'Source Data'!F220+LN('Assumptions'!D57)+LN('Assumptions'!G35)</x:f>
        <x:v>8.332638086869624</x:v>
      </x:c>
      <x:c r="L790" s="27" t="n">
        <x:f>J790*(1-I790*(1-'Carrier Engine'!E94))</x:f>
        <x:v>11816.631980206705</x:v>
      </x:c>
      <x:c r="M790" s="29" t="n">
        <x:f>NORM.S.DIST((LN(L790)-K790)/'Assumptions'!$D$10,TRUE)</x:f>
        <x:v>0.7470640064168992</x:v>
      </x:c>
      <x:c r="N790" s="30" t="n">
        <x:f>MAX(0,H790-MAX(G790,M790))</x:f>
        <x:v>0</x:v>
      </x:c>
      <x:c r="O790" s="28" t="n">
        <x:f>J790*I790</x:f>
        <x:v>6686.36583242149</x:v>
      </x:c>
      <x:c r="P790" s="27" t="n">
        <x:f>(VLOOKUP(O790,'Fee Data'!$C$6:$G$50,2,TRUE)+O790*VLOOKUP(O790,'Fee Data'!$C$6:$G$50,3,TRUE)+VLOOKUP(O790,'Fee Data'!$I$6:$J$14,2,TRUE)+'Fee Data'!$J$20+'Fee Data'!$J$21)*'Assumptions'!G37</x:f>
        <x:v>1080</x:v>
      </x:c>
      <x:c r="Q790" s="27" t="n">
        <x:f>(VLOOKUP(O790,'Fee Data'!$C$6:$G$50,4,TRUE)+O790*VLOOKUP(O790,'Fee Data'!$C$6:$G$50,5,TRUE)+VLOOKUP(O790,'Fee Data'!$I$6:$J$14,2,TRUE)+'Fee Data'!$J$20+'Fee Data'!$J$21)*'Assumptions'!G37</x:f>
        <x:v>955</x:v>
      </x:c>
      <x:c r="R790" s="27" t="n">
        <x:f>P790*(1-'Assumptions'!$D$14)+Q790*'Assumptions'!$D$14</x:f>
        <x:v>1017.5</x:v>
      </x:c>
      <x:c r="S790" s="27" t="n">
        <x:f>O790*'Carrier Engine'!E94</x:f>
        <x:v>267.45463329685964</x:v>
      </x:c>
      <x:c r="T790" s="28" t="n">
        <x:f>R790+S790</x:f>
        <x:v>1284.9546332968596</x:v>
      </x:c>
      <x:c r="U790" s="27" t="n">
        <x:f>N790*'Fleet Engine'!I209</x:f>
        <x:v>0</x:v>
      </x:c>
      <x:c r="V790" s="28" t="n">
        <x:f>U790*T790</x:f>
        <x:v>0</x:v>
      </x:c>
      <x:c r="W790" s="28" t="n">
        <x:f>U790*O790</x:f>
        <x:v>0</x:v>
      </x:c>
    </x:row>
    <x:row r="791" ht="19" customHeight="1">
      <x:c r="A791" s="2"/>
      <x:c r="B791" s="2"/>
      <x:c r="C791" s="46" t="n">
        <x:v>3</x:v>
      </x:c>
      <x:c r="D791" s="46" t="n">
        <x:v>15</x:v>
      </x:c>
      <x:c r="E791" s="46" t="n">
        <x:v>2</x:v>
      </x:c>
      <x:c r="F791" s="46" t="n">
        <x:v>3</x:v>
      </x:c>
      <x:c r="G791" s="12" t="n">
        <x:v>0.2222222222222222</x:v>
      </x:c>
      <x:c r="H791" s="12" t="n">
        <x:v>0.3333333333333333</x:v>
      </x:c>
      <x:c r="I791" s="29" t="n">
        <x:f>'Assumptions'!$D$11+'Assumptions'!$D$12*(0.5-(G791+H791)/2)</x:f>
        <x:v>0.34444444444444444</x:v>
      </x:c>
      <x:c r="J791" s="27" t="n">
        <x:f>'Assumptions'!$D$8*EXP(-'Assumptions'!$D$9*('Fleet Engine'!E209-10))*'Assumptions'!E57*'Assumptions'!G36</x:f>
        <x:v>18235.543179331336</x:v>
      </x:c>
      <x:c r="K791" s="27" t="n">
        <x:f>'Source Data'!F220+LN('Assumptions'!D57)+LN('Assumptions'!G35)</x:f>
        <x:v>8.332638086869624</x:v>
      </x:c>
      <x:c r="L791" s="27" t="n">
        <x:f>J791*(1-I791*(1-'Carrier Engine'!E94))</x:f>
        <x:v>12205.656901365775</x:v>
      </x:c>
      <x:c r="M791" s="29" t="n">
        <x:f>NORM.S.DIST((LN(L791)-K791)/'Assumptions'!$D$10,TRUE)</x:f>
        <x:v>0.7536144164560518</x:v>
      </x:c>
      <x:c r="N791" s="30" t="n">
        <x:f>MAX(0,H791-MAX(G791,M791))</x:f>
        <x:v>0</x:v>
      </x:c>
      <x:c r="O791" s="28" t="n">
        <x:f>J791*I791</x:f>
        <x:v>6281.13153954746</x:v>
      </x:c>
      <x:c r="P791" s="27" t="n">
        <x:f>(VLOOKUP(O791,'Fee Data'!$C$6:$G$50,2,TRUE)+O791*VLOOKUP(O791,'Fee Data'!$C$6:$G$50,3,TRUE)+VLOOKUP(O791,'Fee Data'!$I$6:$J$14,2,TRUE)+'Fee Data'!$J$20+'Fee Data'!$J$21)*'Assumptions'!G37</x:f>
        <x:v>1060</x:v>
      </x:c>
      <x:c r="Q791" s="27" t="n">
        <x:f>(VLOOKUP(O791,'Fee Data'!$C$6:$G$50,4,TRUE)+O791*VLOOKUP(O791,'Fee Data'!$C$6:$G$50,5,TRUE)+VLOOKUP(O791,'Fee Data'!$I$6:$J$14,2,TRUE)+'Fee Data'!$J$20+'Fee Data'!$J$21)*'Assumptions'!G37</x:f>
        <x:v>935</x:v>
      </x:c>
      <x:c r="R791" s="27" t="n">
        <x:f>P791*(1-'Assumptions'!$D$14)+Q791*'Assumptions'!$D$14</x:f>
        <x:v>997.5</x:v>
      </x:c>
      <x:c r="S791" s="27" t="n">
        <x:f>O791*'Carrier Engine'!E94</x:f>
        <x:v>251.2452615818984</x:v>
      </x:c>
      <x:c r="T791" s="28" t="n">
        <x:f>R791+S791</x:f>
        <x:v>1248.7452615818984</x:v>
      </x:c>
      <x:c r="U791" s="27" t="n">
        <x:f>N791*'Fleet Engine'!I209</x:f>
        <x:v>0</x:v>
      </x:c>
      <x:c r="V791" s="28" t="n">
        <x:f>U791*T791</x:f>
        <x:v>0</x:v>
      </x:c>
      <x:c r="W791" s="28" t="n">
        <x:f>U791*O791</x:f>
        <x:v>0</x:v>
      </x:c>
    </x:row>
    <x:row r="792" ht="19" customHeight="1">
      <x:c r="A792" s="2"/>
      <x:c r="B792" s="2"/>
      <x:c r="C792" s="46" t="n">
        <x:v>3</x:v>
      </x:c>
      <x:c r="D792" s="46" t="n">
        <x:v>15</x:v>
      </x:c>
      <x:c r="E792" s="46" t="n">
        <x:v>2</x:v>
      </x:c>
      <x:c r="F792" s="46" t="n">
        <x:v>3</x:v>
      </x:c>
      <x:c r="G792" s="12" t="n">
        <x:v>0.3333333333333333</x:v>
      </x:c>
      <x:c r="H792" s="12" t="n">
        <x:v>0.4444444444444444</x:v>
      </x:c>
      <x:c r="I792" s="29" t="n">
        <x:f>'Assumptions'!$D$11+'Assumptions'!$D$12*(0.5-(G792+H792)/2)</x:f>
        <x:v>0.32222222222222224</x:v>
      </x:c>
      <x:c r="J792" s="27" t="n">
        <x:f>'Assumptions'!$D$8*EXP(-'Assumptions'!$D$9*('Fleet Engine'!E209-10))*'Assumptions'!E57*'Assumptions'!G36</x:f>
        <x:v>18235.543179331336</x:v>
      </x:c>
      <x:c r="K792" s="27" t="n">
        <x:f>'Source Data'!F220+LN('Assumptions'!D57)+LN('Assumptions'!G35)</x:f>
        <x:v>8.332638086869624</x:v>
      </x:c>
      <x:c r="L792" s="27" t="n">
        <x:f>J792*(1-I792*(1-'Carrier Engine'!E94))</x:f>
        <x:v>12594.681822524843</x:v>
      </x:c>
      <x:c r="M792" s="29" t="n">
        <x:f>NORM.S.DIST((LN(L792)-K792)/'Assumptions'!$D$10,TRUE)</x:f>
        <x:v>0.7598715607815303</x:v>
      </x:c>
      <x:c r="N792" s="30" t="n">
        <x:f>MAX(0,H792-MAX(G792,M792))</x:f>
        <x:v>0</x:v>
      </x:c>
      <x:c r="O792" s="28" t="n">
        <x:f>J792*I792</x:f>
        <x:v>5875.897246673431</x:v>
      </x:c>
      <x:c r="P792" s="27" t="n">
        <x:f>(VLOOKUP(O792,'Fee Data'!$C$6:$G$50,2,TRUE)+O792*VLOOKUP(O792,'Fee Data'!$C$6:$G$50,3,TRUE)+VLOOKUP(O792,'Fee Data'!$I$6:$J$14,2,TRUE)+'Fee Data'!$J$20+'Fee Data'!$J$21)*'Assumptions'!G37</x:f>
        <x:v>1020</x:v>
      </x:c>
      <x:c r="Q792" s="27" t="n">
        <x:f>(VLOOKUP(O792,'Fee Data'!$C$6:$G$50,4,TRUE)+O792*VLOOKUP(O792,'Fee Data'!$C$6:$G$50,5,TRUE)+VLOOKUP(O792,'Fee Data'!$I$6:$J$14,2,TRUE)+'Fee Data'!$J$20+'Fee Data'!$J$21)*'Assumptions'!G37</x:f>
        <x:v>895</x:v>
      </x:c>
      <x:c r="R792" s="27" t="n">
        <x:f>P792*(1-'Assumptions'!$D$14)+Q792*'Assumptions'!$D$14</x:f>
        <x:v>957.5</x:v>
      </x:c>
      <x:c r="S792" s="27" t="n">
        <x:f>O792*'Carrier Engine'!E94</x:f>
        <x:v>235.03588986693725</x:v>
      </x:c>
      <x:c r="T792" s="28" t="n">
        <x:f>R792+S792</x:f>
        <x:v>1192.5358898669372</x:v>
      </x:c>
      <x:c r="U792" s="27" t="n">
        <x:f>N792*'Fleet Engine'!I209</x:f>
        <x:v>0</x:v>
      </x:c>
      <x:c r="V792" s="28" t="n">
        <x:f>U792*T792</x:f>
        <x:v>0</x:v>
      </x:c>
      <x:c r="W792" s="28" t="n">
        <x:f>U792*O792</x:f>
        <x:v>0</x:v>
      </x:c>
    </x:row>
    <x:row r="793" ht="19" customHeight="1">
      <x:c r="A793" s="2"/>
      <x:c r="B793" s="2"/>
      <x:c r="C793" s="46" t="n">
        <x:v>3</x:v>
      </x:c>
      <x:c r="D793" s="46" t="n">
        <x:v>15</x:v>
      </x:c>
      <x:c r="E793" s="46" t="n">
        <x:v>2</x:v>
      </x:c>
      <x:c r="F793" s="46" t="n">
        <x:v>3</x:v>
      </x:c>
      <x:c r="G793" s="12" t="n">
        <x:v>0.4444444444444444</x:v>
      </x:c>
      <x:c r="H793" s="12" t="n">
        <x:v>0.5555555555555556</x:v>
      </x:c>
      <x:c r="I793" s="29" t="n">
        <x:f>'Assumptions'!$D$11+'Assumptions'!$D$12*(0.5-(G793+H793)/2)</x:f>
        <x:v>0.3</x:v>
      </x:c>
      <x:c r="J793" s="27" t="n">
        <x:f>'Assumptions'!$D$8*EXP(-'Assumptions'!$D$9*('Fleet Engine'!E209-10))*'Assumptions'!E57*'Assumptions'!G36</x:f>
        <x:v>18235.543179331336</x:v>
      </x:c>
      <x:c r="K793" s="27" t="n">
        <x:f>'Source Data'!F220+LN('Assumptions'!D57)+LN('Assumptions'!G35)</x:f>
        <x:v>8.332638086869624</x:v>
      </x:c>
      <x:c r="L793" s="27" t="n">
        <x:f>J793*(1-I793*(1-'Carrier Engine'!E94))</x:f>
        <x:v>12983.706743683912</x:v>
      </x:c>
      <x:c r="M793" s="29" t="n">
        <x:f>NORM.S.DIST((LN(L793)-K793)/'Assumptions'!$D$10,TRUE)</x:f>
        <x:v>0.7658546811979431</x:v>
      </x:c>
      <x:c r="N793" s="30" t="n">
        <x:f>MAX(0,H793-MAX(G793,M793))</x:f>
        <x:v>0</x:v>
      </x:c>
      <x:c r="O793" s="28" t="n">
        <x:f>J793*I793</x:f>
        <x:v>5470.6629537994</x:v>
      </x:c>
      <x:c r="P793" s="27" t="n">
        <x:f>(VLOOKUP(O793,'Fee Data'!$C$6:$G$50,2,TRUE)+O793*VLOOKUP(O793,'Fee Data'!$C$6:$G$50,3,TRUE)+VLOOKUP(O793,'Fee Data'!$I$6:$J$14,2,TRUE)+'Fee Data'!$J$20+'Fee Data'!$J$21)*'Assumptions'!G37</x:f>
        <x:v>995</x:v>
      </x:c>
      <x:c r="Q793" s="27" t="n">
        <x:f>(VLOOKUP(O793,'Fee Data'!$C$6:$G$50,4,TRUE)+O793*VLOOKUP(O793,'Fee Data'!$C$6:$G$50,5,TRUE)+VLOOKUP(O793,'Fee Data'!$I$6:$J$14,2,TRUE)+'Fee Data'!$J$20+'Fee Data'!$J$21)*'Assumptions'!G37</x:f>
        <x:v>870</x:v>
      </x:c>
      <x:c r="R793" s="27" t="n">
        <x:f>P793*(1-'Assumptions'!$D$14)+Q793*'Assumptions'!$D$14</x:f>
        <x:v>932.5</x:v>
      </x:c>
      <x:c r="S793" s="27" t="n">
        <x:f>O793*'Carrier Engine'!E94</x:f>
        <x:v>218.82651815197602</x:v>
      </x:c>
      <x:c r="T793" s="28" t="n">
        <x:f>R793+S793</x:f>
        <x:v>1151.326518151976</x:v>
      </x:c>
      <x:c r="U793" s="27" t="n">
        <x:f>N793*'Fleet Engine'!I209</x:f>
        <x:v>0</x:v>
      </x:c>
      <x:c r="V793" s="28" t="n">
        <x:f>U793*T793</x:f>
        <x:v>0</x:v>
      </x:c>
      <x:c r="W793" s="28" t="n">
        <x:f>U793*O793</x:f>
        <x:v>0</x:v>
      </x:c>
    </x:row>
    <x:row r="794" ht="19" customHeight="1">
      <x:c r="A794" s="2"/>
      <x:c r="B794" s="2"/>
      <x:c r="C794" s="46" t="n">
        <x:v>3</x:v>
      </x:c>
      <x:c r="D794" s="46" t="n">
        <x:v>15</x:v>
      </x:c>
      <x:c r="E794" s="46" t="n">
        <x:v>2</x:v>
      </x:c>
      <x:c r="F794" s="46" t="n">
        <x:v>3</x:v>
      </x:c>
      <x:c r="G794" s="12" t="n">
        <x:v>0.5555555555555556</x:v>
      </x:c>
      <x:c r="H794" s="12" t="n">
        <x:v>0.6666666666666666</x:v>
      </x:c>
      <x:c r="I794" s="29" t="n">
        <x:f>'Assumptions'!$D$11+'Assumptions'!$D$12*(0.5-(G794+H794)/2)</x:f>
        <x:v>0.27777777777777773</x:v>
      </x:c>
      <x:c r="J794" s="27" t="n">
        <x:f>'Assumptions'!$D$8*EXP(-'Assumptions'!$D$9*('Fleet Engine'!E209-10))*'Assumptions'!E57*'Assumptions'!G36</x:f>
        <x:v>18235.543179331336</x:v>
      </x:c>
      <x:c r="K794" s="27" t="n">
        <x:f>'Source Data'!F220+LN('Assumptions'!D57)+LN('Assumptions'!G35)</x:f>
        <x:v>8.332638086869624</x:v>
      </x:c>
      <x:c r="L794" s="27" t="n">
        <x:f>J794*(1-I794*(1-'Carrier Engine'!E94))</x:f>
        <x:v>13372.73166484298</x:v>
      </x:c>
      <x:c r="M794" s="29" t="n">
        <x:f>NORM.S.DIST((LN(L794)-K794)/'Assumptions'!$D$10,TRUE)</x:f>
        <x:v>0.7715813442101519</x:v>
      </x:c>
      <x:c r="N794" s="30" t="n">
        <x:f>MAX(0,H794-MAX(G794,M794))</x:f>
        <x:v>0</x:v>
      </x:c>
      <x:c r="O794" s="28" t="n">
        <x:f>J794*I794</x:f>
        <x:v>5065.42866092537</x:v>
      </x:c>
      <x:c r="P794" s="27" t="n">
        <x:f>(VLOOKUP(O794,'Fee Data'!$C$6:$G$50,2,TRUE)+O794*VLOOKUP(O794,'Fee Data'!$C$6:$G$50,3,TRUE)+VLOOKUP(O794,'Fee Data'!$I$6:$J$14,2,TRUE)+'Fee Data'!$J$20+'Fee Data'!$J$21)*'Assumptions'!G37</x:f>
        <x:v>995</x:v>
      </x:c>
      <x:c r="Q794" s="27" t="n">
        <x:f>(VLOOKUP(O794,'Fee Data'!$C$6:$G$50,4,TRUE)+O794*VLOOKUP(O794,'Fee Data'!$C$6:$G$50,5,TRUE)+VLOOKUP(O794,'Fee Data'!$I$6:$J$14,2,TRUE)+'Fee Data'!$J$20+'Fee Data'!$J$21)*'Assumptions'!G37</x:f>
        <x:v>870</x:v>
      </x:c>
      <x:c r="R794" s="27" t="n">
        <x:f>P794*(1-'Assumptions'!$D$14)+Q794*'Assumptions'!$D$14</x:f>
        <x:v>932.5</x:v>
      </x:c>
      <x:c r="S794" s="27" t="n">
        <x:f>O794*'Carrier Engine'!E94</x:f>
        <x:v>202.6171464370148</x:v>
      </x:c>
      <x:c r="T794" s="28" t="n">
        <x:f>R794+S794</x:f>
        <x:v>1135.1171464370148</x:v>
      </x:c>
      <x:c r="U794" s="27" t="n">
        <x:f>N794*'Fleet Engine'!I209</x:f>
        <x:v>0</x:v>
      </x:c>
      <x:c r="V794" s="28" t="n">
        <x:f>U794*T794</x:f>
        <x:v>0</x:v>
      </x:c>
      <x:c r="W794" s="28" t="n">
        <x:f>U794*O794</x:f>
        <x:v>0</x:v>
      </x:c>
    </x:row>
    <x:row r="795" ht="19" customHeight="1">
      <x:c r="A795" s="2"/>
      <x:c r="B795" s="2"/>
      <x:c r="C795" s="46" t="n">
        <x:v>3</x:v>
      </x:c>
      <x:c r="D795" s="46" t="n">
        <x:v>15</x:v>
      </x:c>
      <x:c r="E795" s="46" t="n">
        <x:v>2</x:v>
      </x:c>
      <x:c r="F795" s="46" t="n">
        <x:v>3</x:v>
      </x:c>
      <x:c r="G795" s="12" t="n">
        <x:v>0.6666666666666666</x:v>
      </x:c>
      <x:c r="H795" s="12" t="n">
        <x:v>0.7777777777777778</x:v>
      </x:c>
      <x:c r="I795" s="29" t="n">
        <x:f>'Assumptions'!$D$11+'Assumptions'!$D$12*(0.5-(G795+H795)/2)</x:f>
        <x:v>0.25555555555555554</x:v>
      </x:c>
      <x:c r="J795" s="27" t="n">
        <x:f>'Assumptions'!$D$8*EXP(-'Assumptions'!$D$9*('Fleet Engine'!E209-10))*'Assumptions'!E57*'Assumptions'!G36</x:f>
        <x:v>18235.543179331336</x:v>
      </x:c>
      <x:c r="K795" s="27" t="n">
        <x:f>'Source Data'!F220+LN('Assumptions'!D57)+LN('Assumptions'!G35)</x:f>
        <x:v>8.332638086869624</x:v>
      </x:c>
      <x:c r="L795" s="27" t="n">
        <x:f>J795*(1-I795*(1-'Carrier Engine'!E94))</x:f>
        <x:v>13761.75658600205</x:v>
      </x:c>
      <x:c r="M795" s="29" t="n">
        <x:f>NORM.S.DIST((LN(L795)-K795)/'Assumptions'!$D$10,TRUE)</x:f>
        <x:v>0.7770676226732032</x:v>
      </x:c>
      <x:c r="N795" s="30" t="n">
        <x:f>MAX(0,H795-MAX(G795,M795))</x:f>
        <x:v>0.0007101551045746168</x:v>
      </x:c>
      <x:c r="O795" s="28" t="n">
        <x:f>J795*I795</x:f>
        <x:v>4660.194368051341</x:v>
      </x:c>
      <x:c r="P795" s="27" t="n">
        <x:f>(VLOOKUP(O795,'Fee Data'!$C$6:$G$50,2,TRUE)+O795*VLOOKUP(O795,'Fee Data'!$C$6:$G$50,3,TRUE)+VLOOKUP(O795,'Fee Data'!$I$6:$J$14,2,TRUE)+'Fee Data'!$J$20+'Fee Data'!$J$21)*'Assumptions'!G37</x:f>
        <x:v>970</x:v>
      </x:c>
      <x:c r="Q795" s="27" t="n">
        <x:f>(VLOOKUP(O795,'Fee Data'!$C$6:$G$50,4,TRUE)+O795*VLOOKUP(O795,'Fee Data'!$C$6:$G$50,5,TRUE)+VLOOKUP(O795,'Fee Data'!$I$6:$J$14,2,TRUE)+'Fee Data'!$J$20+'Fee Data'!$J$21)*'Assumptions'!G37</x:f>
        <x:v>845</x:v>
      </x:c>
      <x:c r="R795" s="27" t="n">
        <x:f>P795*(1-'Assumptions'!$D$14)+Q795*'Assumptions'!$D$14</x:f>
        <x:v>907.5</x:v>
      </x:c>
      <x:c r="S795" s="27" t="n">
        <x:f>O795*'Carrier Engine'!E94</x:f>
        <x:v>186.40777472205366</x:v>
      </x:c>
      <x:c r="T795" s="28" t="n">
        <x:f>R795+S795</x:f>
        <x:v>1093.9077747220535</x:v>
      </x:c>
      <x:c r="U795" s="27" t="n">
        <x:f>N795*'Fleet Engine'!I209</x:f>
        <x:v>3.394698823572788</x:v>
      </x:c>
      <x:c r="V795" s="28" t="n">
        <x:f>U795*T795</x:f>
        <x:v>3713.487435946082</x:v>
      </x:c>
      <x:c r="W795" s="28" t="n">
        <x:f>U795*O795</x:f>
        <x:v>15819.956338844422</x:v>
      </x:c>
    </x:row>
    <x:row r="796" ht="19" customHeight="1">
      <x:c r="A796" s="2"/>
      <x:c r="B796" s="2"/>
      <x:c r="C796" s="46" t="n">
        <x:v>3</x:v>
      </x:c>
      <x:c r="D796" s="46" t="n">
        <x:v>15</x:v>
      </x:c>
      <x:c r="E796" s="46" t="n">
        <x:v>2</x:v>
      </x:c>
      <x:c r="F796" s="46" t="n">
        <x:v>3</x:v>
      </x:c>
      <x:c r="G796" s="12" t="n">
        <x:v>0.7777777777777778</x:v>
      </x:c>
      <x:c r="H796" s="12" t="n">
        <x:v>0.8888888888888888</x:v>
      </x:c>
      <x:c r="I796" s="29" t="n">
        <x:f>'Assumptions'!$D$11+'Assumptions'!$D$12*(0.5-(G796+H796)/2)</x:f>
        <x:v>0.23333333333333334</x:v>
      </x:c>
      <x:c r="J796" s="27" t="n">
        <x:f>'Assumptions'!$D$8*EXP(-'Assumptions'!$D$9*('Fleet Engine'!E209-10))*'Assumptions'!E57*'Assumptions'!G36</x:f>
        <x:v>18235.543179331336</x:v>
      </x:c>
      <x:c r="K796" s="27" t="n">
        <x:f>'Source Data'!F220+LN('Assumptions'!D57)+LN('Assumptions'!G35)</x:f>
        <x:v>8.332638086869624</x:v>
      </x:c>
      <x:c r="L796" s="27" t="n">
        <x:f>J796*(1-I796*(1-'Carrier Engine'!E94))</x:f>
        <x:v>14150.781507161117</x:v>
      </x:c>
      <x:c r="M796" s="29" t="n">
        <x:f>NORM.S.DIST((LN(L796)-K796)/'Assumptions'!$D$10,TRUE)</x:f>
        <x:v>0.7823282539471316</x:v>
      </x:c>
      <x:c r="N796" s="30" t="n">
        <x:f>MAX(0,H796-MAX(G796,M796))</x:f>
        <x:v>0.10656063494175727</x:v>
      </x:c>
      <x:c r="O796" s="28" t="n">
        <x:f>J796*I796</x:f>
        <x:v>4254.960075177312</x:v>
      </x:c>
      <x:c r="P796" s="27" t="n">
        <x:f>(VLOOKUP(O796,'Fee Data'!$C$6:$G$50,2,TRUE)+O796*VLOOKUP(O796,'Fee Data'!$C$6:$G$50,3,TRUE)+VLOOKUP(O796,'Fee Data'!$I$6:$J$14,2,TRUE)+'Fee Data'!$J$20+'Fee Data'!$J$21)*'Assumptions'!G37</x:f>
        <x:v>945</x:v>
      </x:c>
      <x:c r="Q796" s="27" t="n">
        <x:f>(VLOOKUP(O796,'Fee Data'!$C$6:$G$50,4,TRUE)+O796*VLOOKUP(O796,'Fee Data'!$C$6:$G$50,5,TRUE)+VLOOKUP(O796,'Fee Data'!$I$6:$J$14,2,TRUE)+'Fee Data'!$J$20+'Fee Data'!$J$21)*'Assumptions'!G37</x:f>
        <x:v>820</x:v>
      </x:c>
      <x:c r="R796" s="27" t="n">
        <x:f>P796*(1-'Assumptions'!$D$14)+Q796*'Assumptions'!$D$14</x:f>
        <x:v>882.5</x:v>
      </x:c>
      <x:c r="S796" s="27" t="n">
        <x:f>O796*'Carrier Engine'!E94</x:f>
        <x:v>170.1984030070925</x:v>
      </x:c>
      <x:c r="T796" s="28" t="n">
        <x:f>R796+S796</x:f>
        <x:v>1052.6984030070926</x:v>
      </x:c>
      <x:c r="U796" s="27" t="n">
        <x:f>N796*'Fleet Engine'!I209</x:f>
        <x:v>509.3834568613513</x:v>
      </x:c>
      <x:c r="V796" s="28" t="n">
        <x:f>U796*T796</x:f>
        <x:v>536227.1515561767</x:v>
      </x:c>
      <x:c r="W796" s="28" t="n">
        <x:f>U796*O796</x:f>
        <x:v>2167406.2719008545</x:v>
      </x:c>
    </x:row>
    <x:row r="797" ht="19" customHeight="1">
      <x:c r="A797" s="2"/>
      <x:c r="B797" s="2"/>
      <x:c r="C797" s="46" t="n">
        <x:v>3</x:v>
      </x:c>
      <x:c r="D797" s="46" t="n">
        <x:v>15</x:v>
      </x:c>
      <x:c r="E797" s="46" t="n">
        <x:v>2</x:v>
      </x:c>
      <x:c r="F797" s="46" t="n">
        <x:v>3</x:v>
      </x:c>
      <x:c r="G797" s="12" t="n">
        <x:v>0.8888888888888888</x:v>
      </x:c>
      <x:c r="H797" s="12" t="n">
        <x:v>1</x:v>
      </x:c>
      <x:c r="I797" s="29" t="n">
        <x:f>'Assumptions'!$D$11+'Assumptions'!$D$12*(0.5-(G797+H797)/2)</x:f>
        <x:v>0.21111111111111108</x:v>
      </x:c>
      <x:c r="J797" s="27" t="n">
        <x:f>'Assumptions'!$D$8*EXP(-'Assumptions'!$D$9*('Fleet Engine'!E209-10))*'Assumptions'!E57*'Assumptions'!G36</x:f>
        <x:v>18235.543179331336</x:v>
      </x:c>
      <x:c r="K797" s="27" t="n">
        <x:f>'Source Data'!F220+LN('Assumptions'!D57)+LN('Assumptions'!G35)</x:f>
        <x:v>8.332638086869624</x:v>
      </x:c>
      <x:c r="L797" s="27" t="n">
        <x:f>J797*(1-I797*(1-'Carrier Engine'!E94))</x:f>
        <x:v>14539.806428320186</x:v>
      </x:c>
      <x:c r="M797" s="29" t="n">
        <x:f>NORM.S.DIST((LN(L797)-K797)/'Assumptions'!$D$10,TRUE)</x:f>
        <x:v>0.7873767780721864</x:v>
      </x:c>
      <x:c r="N797" s="30" t="n">
        <x:f>MAX(0,H797-MAX(G797,M797))</x:f>
        <x:v>0.11111111111111116</x:v>
      </x:c>
      <x:c r="O797" s="28" t="n">
        <x:f>J797*I797</x:f>
        <x:v>3849.7257823032814</x:v>
      </x:c>
      <x:c r="P797" s="27" t="n">
        <x:f>(VLOOKUP(O797,'Fee Data'!$C$6:$G$50,2,TRUE)+O797*VLOOKUP(O797,'Fee Data'!$C$6:$G$50,3,TRUE)+VLOOKUP(O797,'Fee Data'!$I$6:$J$14,2,TRUE)+'Fee Data'!$J$20+'Fee Data'!$J$21)*'Assumptions'!G37</x:f>
        <x:v>915</x:v>
      </x:c>
      <x:c r="Q797" s="27" t="n">
        <x:f>(VLOOKUP(O797,'Fee Data'!$C$6:$G$50,4,TRUE)+O797*VLOOKUP(O797,'Fee Data'!$C$6:$G$50,5,TRUE)+VLOOKUP(O797,'Fee Data'!$I$6:$J$14,2,TRUE)+'Fee Data'!$J$20+'Fee Data'!$J$21)*'Assumptions'!G37</x:f>
        <x:v>765</x:v>
      </x:c>
      <x:c r="R797" s="27" t="n">
        <x:f>P797*(1-'Assumptions'!$D$14)+Q797*'Assumptions'!$D$14</x:f>
        <x:v>840</x:v>
      </x:c>
      <x:c r="S797" s="27" t="n">
        <x:f>O797*'Carrier Engine'!E94</x:f>
        <x:v>153.98903129213127</x:v>
      </x:c>
      <x:c r="T797" s="28" t="n">
        <x:f>R797+S797</x:f>
        <x:v>993.9890312921312</x:v>
      </x:c>
      <x:c r="U797" s="27" t="n">
        <x:f>N797*'Fleet Engine'!I209</x:f>
        <x:v>531.1357416781375</x:v>
      </x:c>
      <x:c r="V797" s="28" t="n">
        <x:f>U797*T797</x:f>
        <x:v>527943.1013552796</x:v>
      </x:c>
      <x:c r="W797" s="28" t="n">
        <x:f>U797*O797</x:f>
        <x:v>2044726.9586411014</x:v>
      </x:c>
    </x:row>
    <x:row r="798" ht="19" customHeight="1">
      <x:c r="A798" s="2"/>
      <x:c r="B798" s="2"/>
      <x:c r="C798" s="46" t="n">
        <x:v>3</x:v>
      </x:c>
      <x:c r="D798" s="46" t="n">
        <x:v>16</x:v>
      </x:c>
      <x:c r="E798" s="46" t="n">
        <x:v>2</x:v>
      </x:c>
      <x:c r="F798" s="46" t="n">
        <x:v>4</x:v>
      </x:c>
      <x:c r="G798" s="12" t="n">
        <x:v>0</x:v>
      </x:c>
      <x:c r="H798" s="12" t="n">
        <x:v>0.1111111111111111</x:v>
      </x:c>
      <x:c r="I798" s="29" t="n">
        <x:f>'Assumptions'!$D$11+'Assumptions'!$D$12*(0.5-(G798+H798)/2)</x:f>
        <x:v>0.3888888888888889</x:v>
      </x:c>
      <x:c r="J798" s="27" t="n">
        <x:f>'Assumptions'!$D$8*EXP(-'Assumptions'!$D$9*('Fleet Engine'!E210-10))*'Assumptions'!E57*'Assumptions'!G36</x:f>
        <x:v>13509.222651276876</x:v>
      </x:c>
      <x:c r="K798" s="27" t="n">
        <x:f>'Source Data'!F221+LN('Assumptions'!D57)+LN('Assumptions'!G35)</x:f>
        <x:v>8.418486215784876</x:v>
      </x:c>
      <x:c r="L798" s="27" t="n">
        <x:f>J798*(1-I798*(1-'Carrier Engine'!E94))</x:f>
        <x:v>8465.77952813351</x:v>
      </x:c>
      <x:c r="M798" s="29" t="n">
        <x:f>NORM.S.DIST((LN(L798)-K798)/'Assumptions'!$D$10,TRUE)</x:f>
        <x:v>0.6547692149183624</x:v>
      </x:c>
      <x:c r="N798" s="30" t="n">
        <x:f>MAX(0,H798-MAX(G798,M798))</x:f>
        <x:v>0</x:v>
      </x:c>
      <x:c r="O798" s="28" t="n">
        <x:f>J798*I798</x:f>
        <x:v>5253.586586607674</x:v>
      </x:c>
      <x:c r="P798" s="27" t="n">
        <x:f>(VLOOKUP(O798,'Fee Data'!$C$6:$G$50,2,TRUE)+O798*VLOOKUP(O798,'Fee Data'!$C$6:$G$50,3,TRUE)+VLOOKUP(O798,'Fee Data'!$I$6:$J$14,2,TRUE)+'Fee Data'!$J$20+'Fee Data'!$J$21)*'Assumptions'!G37</x:f>
        <x:v>995</x:v>
      </x:c>
      <x:c r="Q798" s="27" t="n">
        <x:f>(VLOOKUP(O798,'Fee Data'!$C$6:$G$50,4,TRUE)+O798*VLOOKUP(O798,'Fee Data'!$C$6:$G$50,5,TRUE)+VLOOKUP(O798,'Fee Data'!$I$6:$J$14,2,TRUE)+'Fee Data'!$J$20+'Fee Data'!$J$21)*'Assumptions'!G37</x:f>
        <x:v>870</x:v>
      </x:c>
      <x:c r="R798" s="27" t="n">
        <x:f>P798*(1-'Assumptions'!$D$14)+Q798*'Assumptions'!$D$14</x:f>
        <x:v>932.5</x:v>
      </x:c>
      <x:c r="S798" s="27" t="n">
        <x:f>O798*'Carrier Engine'!E94</x:f>
        <x:v>210.14346346430696</x:v>
      </x:c>
      <x:c r="T798" s="28" t="n">
        <x:f>R798+S798</x:f>
        <x:v>1142.643463464307</x:v>
      </x:c>
      <x:c r="U798" s="27" t="n">
        <x:f>N798*'Fleet Engine'!I210</x:f>
        <x:v>0</x:v>
      </x:c>
      <x:c r="V798" s="28" t="n">
        <x:f>U798*T798</x:f>
        <x:v>0</x:v>
      </x:c>
      <x:c r="W798" s="28" t="n">
        <x:f>U798*O798</x:f>
        <x:v>0</x:v>
      </x:c>
    </x:row>
    <x:row r="799" ht="19" customHeight="1">
      <x:c r="A799" s="2"/>
      <x:c r="B799" s="2"/>
      <x:c r="C799" s="46" t="n">
        <x:v>3</x:v>
      </x:c>
      <x:c r="D799" s="46" t="n">
        <x:v>16</x:v>
      </x:c>
      <x:c r="E799" s="46" t="n">
        <x:v>2</x:v>
      </x:c>
      <x:c r="F799" s="46" t="n">
        <x:v>4</x:v>
      </x:c>
      <x:c r="G799" s="12" t="n">
        <x:v>0.1111111111111111</x:v>
      </x:c>
      <x:c r="H799" s="12" t="n">
        <x:v>0.2222222222222222</x:v>
      </x:c>
      <x:c r="I799" s="29" t="n">
        <x:f>'Assumptions'!$D$11+'Assumptions'!$D$12*(0.5-(G799+H799)/2)</x:f>
        <x:v>0.3666666666666667</x:v>
      </x:c>
      <x:c r="J799" s="27" t="n">
        <x:f>'Assumptions'!$D$8*EXP(-'Assumptions'!$D$9*('Fleet Engine'!E210-10))*'Assumptions'!E57*'Assumptions'!G36</x:f>
        <x:v>13509.222651276876</x:v>
      </x:c>
      <x:c r="K799" s="27" t="n">
        <x:f>'Source Data'!F221+LN('Assumptions'!D57)+LN('Assumptions'!G35)</x:f>
        <x:v>8.418486215784876</x:v>
      </x:c>
      <x:c r="L799" s="27" t="n">
        <x:f>J799*(1-I799*(1-'Carrier Engine'!E94))</x:f>
        <x:v>8753.976278027414</x:v>
      </x:c>
      <x:c r="M799" s="29" t="n">
        <x:f>NORM.S.DIST((LN(L799)-K799)/'Assumptions'!$D$10,TRUE)</x:f>
        <x:v>0.6625922348502294</x:v>
      </x:c>
      <x:c r="N799" s="30" t="n">
        <x:f>MAX(0,H799-MAX(G799,M799))</x:f>
        <x:v>0</x:v>
      </x:c>
      <x:c r="O799" s="28" t="n">
        <x:f>J799*I799</x:f>
        <x:v>4953.381638801521</x:v>
      </x:c>
      <x:c r="P799" s="27" t="n">
        <x:f>(VLOOKUP(O799,'Fee Data'!$C$6:$G$50,2,TRUE)+O799*VLOOKUP(O799,'Fee Data'!$C$6:$G$50,3,TRUE)+VLOOKUP(O799,'Fee Data'!$I$6:$J$14,2,TRUE)+'Fee Data'!$J$20+'Fee Data'!$J$21)*'Assumptions'!G37</x:f>
        <x:v>970</x:v>
      </x:c>
      <x:c r="Q799" s="27" t="n">
        <x:f>(VLOOKUP(O799,'Fee Data'!$C$6:$G$50,4,TRUE)+O799*VLOOKUP(O799,'Fee Data'!$C$6:$G$50,5,TRUE)+VLOOKUP(O799,'Fee Data'!$I$6:$J$14,2,TRUE)+'Fee Data'!$J$20+'Fee Data'!$J$21)*'Assumptions'!G37</x:f>
        <x:v>845</x:v>
      </x:c>
      <x:c r="R799" s="27" t="n">
        <x:f>P799*(1-'Assumptions'!$D$14)+Q799*'Assumptions'!$D$14</x:f>
        <x:v>907.5</x:v>
      </x:c>
      <x:c r="S799" s="27" t="n">
        <x:f>O799*'Carrier Engine'!E94</x:f>
        <x:v>198.13526555206084</x:v>
      </x:c>
      <x:c r="T799" s="28" t="n">
        <x:f>R799+S799</x:f>
        <x:v>1105.635265552061</x:v>
      </x:c>
      <x:c r="U799" s="27" t="n">
        <x:f>N799*'Fleet Engine'!I210</x:f>
        <x:v>0</x:v>
      </x:c>
      <x:c r="V799" s="28" t="n">
        <x:f>U799*T799</x:f>
        <x:v>0</x:v>
      </x:c>
      <x:c r="W799" s="28" t="n">
        <x:f>U799*O799</x:f>
        <x:v>0</x:v>
      </x:c>
    </x:row>
    <x:row r="800" ht="19" customHeight="1">
      <x:c r="A800" s="2"/>
      <x:c r="B800" s="2"/>
      <x:c r="C800" s="46" t="n">
        <x:v>3</x:v>
      </x:c>
      <x:c r="D800" s="46" t="n">
        <x:v>16</x:v>
      </x:c>
      <x:c r="E800" s="46" t="n">
        <x:v>2</x:v>
      </x:c>
      <x:c r="F800" s="46" t="n">
        <x:v>4</x:v>
      </x:c>
      <x:c r="G800" s="12" t="n">
        <x:v>0.2222222222222222</x:v>
      </x:c>
      <x:c r="H800" s="12" t="n">
        <x:v>0.3333333333333333</x:v>
      </x:c>
      <x:c r="I800" s="29" t="n">
        <x:f>'Assumptions'!$D$11+'Assumptions'!$D$12*(0.5-(G800+H800)/2)</x:f>
        <x:v>0.34444444444444444</x:v>
      </x:c>
      <x:c r="J800" s="27" t="n">
        <x:f>'Assumptions'!$D$8*EXP(-'Assumptions'!$D$9*('Fleet Engine'!E210-10))*'Assumptions'!E57*'Assumptions'!G36</x:f>
        <x:v>13509.222651276876</x:v>
      </x:c>
      <x:c r="K800" s="27" t="n">
        <x:f>'Source Data'!F221+LN('Assumptions'!D57)+LN('Assumptions'!G35)</x:f>
        <x:v>8.418486215784876</x:v>
      </x:c>
      <x:c r="L800" s="27" t="n">
        <x:f>J800*(1-I800*(1-'Carrier Engine'!E94))</x:f>
        <x:v>9042.173027921323</x:v>
      </x:c>
      <x:c r="M800" s="29" t="n">
        <x:f>NORM.S.DIST((LN(L800)-K800)/'Assumptions'!$D$10,TRUE)</x:f>
        <x:v>0.6700955519426168</x:v>
      </x:c>
      <x:c r="N800" s="30" t="n">
        <x:f>MAX(0,H800-MAX(G800,M800))</x:f>
        <x:v>0</x:v>
      </x:c>
      <x:c r="O800" s="28" t="n">
        <x:f>J800*I800</x:f>
        <x:v>4653.1766909953685</x:v>
      </x:c>
      <x:c r="P800" s="27" t="n">
        <x:f>(VLOOKUP(O800,'Fee Data'!$C$6:$G$50,2,TRUE)+O800*VLOOKUP(O800,'Fee Data'!$C$6:$G$50,3,TRUE)+VLOOKUP(O800,'Fee Data'!$I$6:$J$14,2,TRUE)+'Fee Data'!$J$20+'Fee Data'!$J$21)*'Assumptions'!G37</x:f>
        <x:v>970</x:v>
      </x:c>
      <x:c r="Q800" s="27" t="n">
        <x:f>(VLOOKUP(O800,'Fee Data'!$C$6:$G$50,4,TRUE)+O800*VLOOKUP(O800,'Fee Data'!$C$6:$G$50,5,TRUE)+VLOOKUP(O800,'Fee Data'!$I$6:$J$14,2,TRUE)+'Fee Data'!$J$20+'Fee Data'!$J$21)*'Assumptions'!G37</x:f>
        <x:v>845</x:v>
      </x:c>
      <x:c r="R800" s="27" t="n">
        <x:f>P800*(1-'Assumptions'!$D$14)+Q800*'Assumptions'!$D$14</x:f>
        <x:v>907.5</x:v>
      </x:c>
      <x:c r="S800" s="27" t="n">
        <x:f>O800*'Carrier Engine'!E94</x:f>
        <x:v>186.12706763981475</x:v>
      </x:c>
      <x:c r="T800" s="28" t="n">
        <x:f>R800+S800</x:f>
        <x:v>1093.6270676398149</x:v>
      </x:c>
      <x:c r="U800" s="27" t="n">
        <x:f>N800*'Fleet Engine'!I210</x:f>
        <x:v>0</x:v>
      </x:c>
      <x:c r="V800" s="28" t="n">
        <x:f>U800*T800</x:f>
        <x:v>0</x:v>
      </x:c>
      <x:c r="W800" s="28" t="n">
        <x:f>U800*O800</x:f>
        <x:v>0</x:v>
      </x:c>
    </x:row>
    <x:row r="801" ht="19" customHeight="1">
      <x:c r="A801" s="2"/>
      <x:c r="B801" s="2"/>
      <x:c r="C801" s="46" t="n">
        <x:v>3</x:v>
      </x:c>
      <x:c r="D801" s="46" t="n">
        <x:v>16</x:v>
      </x:c>
      <x:c r="E801" s="46" t="n">
        <x:v>2</x:v>
      </x:c>
      <x:c r="F801" s="46" t="n">
        <x:v>4</x:v>
      </x:c>
      <x:c r="G801" s="12" t="n">
        <x:v>0.3333333333333333</x:v>
      </x:c>
      <x:c r="H801" s="12" t="n">
        <x:v>0.4444444444444444</x:v>
      </x:c>
      <x:c r="I801" s="29" t="n">
        <x:f>'Assumptions'!$D$11+'Assumptions'!$D$12*(0.5-(G801+H801)/2)</x:f>
        <x:v>0.32222222222222224</x:v>
      </x:c>
      <x:c r="J801" s="27" t="n">
        <x:f>'Assumptions'!$D$8*EXP(-'Assumptions'!$D$9*('Fleet Engine'!E210-10))*'Assumptions'!E57*'Assumptions'!G36</x:f>
        <x:v>13509.222651276876</x:v>
      </x:c>
      <x:c r="K801" s="27" t="n">
        <x:f>'Source Data'!F221+LN('Assumptions'!D57)+LN('Assumptions'!G35)</x:f>
        <x:v>8.418486215784876</x:v>
      </x:c>
      <x:c r="L801" s="27" t="n">
        <x:f>J801*(1-I801*(1-'Carrier Engine'!E94))</x:f>
        <x:v>9330.36977781523</x:v>
      </x:c>
      <x:c r="M801" s="29" t="n">
        <x:f>NORM.S.DIST((LN(L801)-K801)/'Assumptions'!$D$10,TRUE)</x:f>
        <x:v>0.6772987939004849</x:v>
      </x:c>
      <x:c r="N801" s="30" t="n">
        <x:f>MAX(0,H801-MAX(G801,M801))</x:f>
        <x:v>0</x:v>
      </x:c>
      <x:c r="O801" s="28" t="n">
        <x:f>J801*I801</x:f>
        <x:v>4352.971743189216</x:v>
      </x:c>
      <x:c r="P801" s="27" t="n">
        <x:f>(VLOOKUP(O801,'Fee Data'!$C$6:$G$50,2,TRUE)+O801*VLOOKUP(O801,'Fee Data'!$C$6:$G$50,3,TRUE)+VLOOKUP(O801,'Fee Data'!$I$6:$J$14,2,TRUE)+'Fee Data'!$J$20+'Fee Data'!$J$21)*'Assumptions'!G37</x:f>
        <x:v>945</x:v>
      </x:c>
      <x:c r="Q801" s="27" t="n">
        <x:f>(VLOOKUP(O801,'Fee Data'!$C$6:$G$50,4,TRUE)+O801*VLOOKUP(O801,'Fee Data'!$C$6:$G$50,5,TRUE)+VLOOKUP(O801,'Fee Data'!$I$6:$J$14,2,TRUE)+'Fee Data'!$J$20+'Fee Data'!$J$21)*'Assumptions'!G37</x:f>
        <x:v>820</x:v>
      </x:c>
      <x:c r="R801" s="27" t="n">
        <x:f>P801*(1-'Assumptions'!$D$14)+Q801*'Assumptions'!$D$14</x:f>
        <x:v>882.5</x:v>
      </x:c>
      <x:c r="S801" s="27" t="n">
        <x:f>O801*'Carrier Engine'!E94</x:f>
        <x:v>174.11886972756864</x:v>
      </x:c>
      <x:c r="T801" s="28" t="n">
        <x:f>R801+S801</x:f>
        <x:v>1056.6188697275686</x:v>
      </x:c>
      <x:c r="U801" s="27" t="n">
        <x:f>N801*'Fleet Engine'!I210</x:f>
        <x:v>0</x:v>
      </x:c>
      <x:c r="V801" s="28" t="n">
        <x:f>U801*T801</x:f>
        <x:v>0</x:v>
      </x:c>
      <x:c r="W801" s="28" t="n">
        <x:f>U801*O801</x:f>
        <x:v>0</x:v>
      </x:c>
    </x:row>
    <x:row r="802" ht="19" customHeight="1">
      <x:c r="A802" s="2"/>
      <x:c r="B802" s="2"/>
      <x:c r="C802" s="46" t="n">
        <x:v>3</x:v>
      </x:c>
      <x:c r="D802" s="46" t="n">
        <x:v>16</x:v>
      </x:c>
      <x:c r="E802" s="46" t="n">
        <x:v>2</x:v>
      </x:c>
      <x:c r="F802" s="46" t="n">
        <x:v>4</x:v>
      </x:c>
      <x:c r="G802" s="12" t="n">
        <x:v>0.4444444444444444</x:v>
      </x:c>
      <x:c r="H802" s="12" t="n">
        <x:v>0.5555555555555556</x:v>
      </x:c>
      <x:c r="I802" s="29" t="n">
        <x:f>'Assumptions'!$D$11+'Assumptions'!$D$12*(0.5-(G802+H802)/2)</x:f>
        <x:v>0.3</x:v>
      </x:c>
      <x:c r="J802" s="27" t="n">
        <x:f>'Assumptions'!$D$8*EXP(-'Assumptions'!$D$9*('Fleet Engine'!E210-10))*'Assumptions'!E57*'Assumptions'!G36</x:f>
        <x:v>13509.222651276876</x:v>
      </x:c>
      <x:c r="K802" s="27" t="n">
        <x:f>'Source Data'!F221+LN('Assumptions'!D57)+LN('Assumptions'!G35)</x:f>
        <x:v>8.418486215784876</x:v>
      </x:c>
      <x:c r="L802" s="27" t="n">
        <x:f>J802*(1-I802*(1-'Carrier Engine'!E94))</x:f>
        <x:v>9618.566527709136</x:v>
      </x:c>
      <x:c r="M802" s="29" t="n">
        <x:f>NORM.S.DIST((LN(L802)-K802)/'Assumptions'!$D$10,TRUE)</x:f>
        <x:v>0.6842199654494845</x:v>
      </x:c>
      <x:c r="N802" s="30" t="n">
        <x:f>MAX(0,H802-MAX(G802,M802))</x:f>
        <x:v>0</x:v>
      </x:c>
      <x:c r="O802" s="28" t="n">
        <x:f>J802*I802</x:f>
        <x:v>4052.7667953830623</x:v>
      </x:c>
      <x:c r="P802" s="27" t="n">
        <x:f>(VLOOKUP(O802,'Fee Data'!$C$6:$G$50,2,TRUE)+O802*VLOOKUP(O802,'Fee Data'!$C$6:$G$50,3,TRUE)+VLOOKUP(O802,'Fee Data'!$I$6:$J$14,2,TRUE)+'Fee Data'!$J$20+'Fee Data'!$J$21)*'Assumptions'!G37</x:f>
        <x:v>945</x:v>
      </x:c>
      <x:c r="Q802" s="27" t="n">
        <x:f>(VLOOKUP(O802,'Fee Data'!$C$6:$G$50,4,TRUE)+O802*VLOOKUP(O802,'Fee Data'!$C$6:$G$50,5,TRUE)+VLOOKUP(O802,'Fee Data'!$I$6:$J$14,2,TRUE)+'Fee Data'!$J$20+'Fee Data'!$J$21)*'Assumptions'!G37</x:f>
        <x:v>820</x:v>
      </x:c>
      <x:c r="R802" s="27" t="n">
        <x:f>P802*(1-'Assumptions'!$D$14)+Q802*'Assumptions'!$D$14</x:f>
        <x:v>882.5</x:v>
      </x:c>
      <x:c r="S802" s="27" t="n">
        <x:f>O802*'Carrier Engine'!E94</x:f>
        <x:v>162.1106718153225</x:v>
      </x:c>
      <x:c r="T802" s="28" t="n">
        <x:f>R802+S802</x:f>
        <x:v>1044.6106718153226</x:v>
      </x:c>
      <x:c r="U802" s="27" t="n">
        <x:f>N802*'Fleet Engine'!I210</x:f>
        <x:v>0</x:v>
      </x:c>
      <x:c r="V802" s="28" t="n">
        <x:f>U802*T802</x:f>
        <x:v>0</x:v>
      </x:c>
      <x:c r="W802" s="28" t="n">
        <x:f>U802*O802</x:f>
        <x:v>0</x:v>
      </x:c>
    </x:row>
    <x:row r="803" ht="19" customHeight="1">
      <x:c r="A803" s="2"/>
      <x:c r="B803" s="2"/>
      <x:c r="C803" s="46" t="n">
        <x:v>3</x:v>
      </x:c>
      <x:c r="D803" s="46" t="n">
        <x:v>16</x:v>
      </x:c>
      <x:c r="E803" s="46" t="n">
        <x:v>2</x:v>
      </x:c>
      <x:c r="F803" s="46" t="n">
        <x:v>4</x:v>
      </x:c>
      <x:c r="G803" s="12" t="n">
        <x:v>0.5555555555555556</x:v>
      </x:c>
      <x:c r="H803" s="12" t="n">
        <x:v>0.6666666666666666</x:v>
      </x:c>
      <x:c r="I803" s="29" t="n">
        <x:f>'Assumptions'!$D$11+'Assumptions'!$D$12*(0.5-(G803+H803)/2)</x:f>
        <x:v>0.27777777777777773</x:v>
      </x:c>
      <x:c r="J803" s="27" t="n">
        <x:f>'Assumptions'!$D$8*EXP(-'Assumptions'!$D$9*('Fleet Engine'!E210-10))*'Assumptions'!E57*'Assumptions'!G36</x:f>
        <x:v>13509.222651276876</x:v>
      </x:c>
      <x:c r="K803" s="27" t="n">
        <x:f>'Source Data'!F221+LN('Assumptions'!D57)+LN('Assumptions'!G35)</x:f>
        <x:v>8.418486215784876</x:v>
      </x:c>
      <x:c r="L803" s="27" t="n">
        <x:f>J803*(1-I803*(1-'Carrier Engine'!E94))</x:f>
        <x:v>9906.763277603042</x:v>
      </x:c>
      <x:c r="M803" s="29" t="n">
        <x:f>NORM.S.DIST((LN(L803)-K803)/'Assumptions'!$D$10,TRUE)</x:f>
        <x:v>0.6908756170073835</x:v>
      </x:c>
      <x:c r="N803" s="30" t="n">
        <x:f>MAX(0,H803-MAX(G803,M803))</x:f>
        <x:v>0</x:v>
      </x:c>
      <x:c r="O803" s="28" t="n">
        <x:f>J803*I803</x:f>
        <x:v>3752.5618475769093</x:v>
      </x:c>
      <x:c r="P803" s="27" t="n">
        <x:f>(VLOOKUP(O803,'Fee Data'!$C$6:$G$50,2,TRUE)+O803*VLOOKUP(O803,'Fee Data'!$C$6:$G$50,3,TRUE)+VLOOKUP(O803,'Fee Data'!$I$6:$J$14,2,TRUE)+'Fee Data'!$J$20+'Fee Data'!$J$21)*'Assumptions'!G37</x:f>
        <x:v>915</x:v>
      </x:c>
      <x:c r="Q803" s="27" t="n">
        <x:f>(VLOOKUP(O803,'Fee Data'!$C$6:$G$50,4,TRUE)+O803*VLOOKUP(O803,'Fee Data'!$C$6:$G$50,5,TRUE)+VLOOKUP(O803,'Fee Data'!$I$6:$J$14,2,TRUE)+'Fee Data'!$J$20+'Fee Data'!$J$21)*'Assumptions'!G37</x:f>
        <x:v>765</x:v>
      </x:c>
      <x:c r="R803" s="27" t="n">
        <x:f>P803*(1-'Assumptions'!$D$14)+Q803*'Assumptions'!$D$14</x:f>
        <x:v>840</x:v>
      </x:c>
      <x:c r="S803" s="27" t="n">
        <x:f>O803*'Carrier Engine'!E94</x:f>
        <x:v>150.10247390307637</x:v>
      </x:c>
      <x:c r="T803" s="28" t="n">
        <x:f>R803+S803</x:f>
        <x:v>990.1024739030763</x:v>
      </x:c>
      <x:c r="U803" s="27" t="n">
        <x:f>N803*'Fleet Engine'!I210</x:f>
        <x:v>0</x:v>
      </x:c>
      <x:c r="V803" s="28" t="n">
        <x:f>U803*T803</x:f>
        <x:v>0</x:v>
      </x:c>
      <x:c r="W803" s="28" t="n">
        <x:f>U803*O803</x:f>
        <x:v>0</x:v>
      </x:c>
    </x:row>
    <x:row r="804" ht="19" customHeight="1">
      <x:c r="A804" s="2"/>
      <x:c r="B804" s="2"/>
      <x:c r="C804" s="46" t="n">
        <x:v>3</x:v>
      </x:c>
      <x:c r="D804" s="46" t="n">
        <x:v>16</x:v>
      </x:c>
      <x:c r="E804" s="46" t="n">
        <x:v>2</x:v>
      </x:c>
      <x:c r="F804" s="46" t="n">
        <x:v>4</x:v>
      </x:c>
      <x:c r="G804" s="12" t="n">
        <x:v>0.6666666666666666</x:v>
      </x:c>
      <x:c r="H804" s="12" t="n">
        <x:v>0.7777777777777778</x:v>
      </x:c>
      <x:c r="I804" s="29" t="n">
        <x:f>'Assumptions'!$D$11+'Assumptions'!$D$12*(0.5-(G804+H804)/2)</x:f>
        <x:v>0.25555555555555554</x:v>
      </x:c>
      <x:c r="J804" s="27" t="n">
        <x:f>'Assumptions'!$D$8*EXP(-'Assumptions'!$D$9*('Fleet Engine'!E210-10))*'Assumptions'!E57*'Assumptions'!G36</x:f>
        <x:v>13509.222651276876</x:v>
      </x:c>
      <x:c r="K804" s="27" t="n">
        <x:f>'Source Data'!F221+LN('Assumptions'!D57)+LN('Assumptions'!G35)</x:f>
        <x:v>8.418486215784876</x:v>
      </x:c>
      <x:c r="L804" s="27" t="n">
        <x:f>J804*(1-I804*(1-'Carrier Engine'!E94))</x:f>
        <x:v>10194.960027496949</x:v>
      </x:c>
      <x:c r="M804" s="29" t="n">
        <x:f>NORM.S.DIST((LN(L804)-K804)/'Assumptions'!$D$10,TRUE)</x:f>
        <x:v>0.697280992324818</x:v>
      </x:c>
      <x:c r="N804" s="30" t="n">
        <x:f>MAX(0,H804-MAX(G804,M804))</x:f>
        <x:v>0.0804967854529598</x:v>
      </x:c>
      <x:c r="O804" s="28" t="n">
        <x:f>J804*I804</x:f>
        <x:v>3452.356899770757</x:v>
      </x:c>
      <x:c r="P804" s="27" t="n">
        <x:f>(VLOOKUP(O804,'Fee Data'!$C$6:$G$50,2,TRUE)+O804*VLOOKUP(O804,'Fee Data'!$C$6:$G$50,3,TRUE)+VLOOKUP(O804,'Fee Data'!$I$6:$J$14,2,TRUE)+'Fee Data'!$J$20+'Fee Data'!$J$21)*'Assumptions'!G37</x:f>
        <x:v>865</x:v>
      </x:c>
      <x:c r="Q804" s="27" t="n">
        <x:f>(VLOOKUP(O804,'Fee Data'!$C$6:$G$50,4,TRUE)+O804*VLOOKUP(O804,'Fee Data'!$C$6:$G$50,5,TRUE)+VLOOKUP(O804,'Fee Data'!$I$6:$J$14,2,TRUE)+'Fee Data'!$J$20+'Fee Data'!$J$21)*'Assumptions'!G37</x:f>
        <x:v>715</x:v>
      </x:c>
      <x:c r="R804" s="27" t="n">
        <x:f>P804*(1-'Assumptions'!$D$14)+Q804*'Assumptions'!$D$14</x:f>
        <x:v>790</x:v>
      </x:c>
      <x:c r="S804" s="27" t="n">
        <x:f>O804*'Carrier Engine'!E94</x:f>
        <x:v>138.09427599083028</x:v>
      </x:c>
      <x:c r="T804" s="28" t="n">
        <x:f>R804+S804</x:f>
        <x:v>928.0942759908303</x:v>
      </x:c>
      <x:c r="U804" s="27" t="n">
        <x:f>N804*'Fleet Engine'!I210</x:f>
        <x:v>211.64220515476805</x:v>
      </x:c>
      <x:c r="V804" s="28" t="n">
        <x:f>U804*T804</x:f>
        <x:v>196423.9191622172</x:v>
      </x:c>
      <x:c r="W804" s="28" t="n">
        <x:f>U804*O804</x:f>
        <x:v>730664.4272487615</x:v>
      </x:c>
    </x:row>
    <x:row r="805" ht="19" customHeight="1">
      <x:c r="A805" s="2"/>
      <x:c r="B805" s="2"/>
      <x:c r="C805" s="46" t="n">
        <x:v>3</x:v>
      </x:c>
      <x:c r="D805" s="46" t="n">
        <x:v>16</x:v>
      </x:c>
      <x:c r="E805" s="46" t="n">
        <x:v>2</x:v>
      </x:c>
      <x:c r="F805" s="46" t="n">
        <x:v>4</x:v>
      </x:c>
      <x:c r="G805" s="12" t="n">
        <x:v>0.7777777777777778</x:v>
      </x:c>
      <x:c r="H805" s="12" t="n">
        <x:v>0.8888888888888888</x:v>
      </x:c>
      <x:c r="I805" s="29" t="n">
        <x:f>'Assumptions'!$D$11+'Assumptions'!$D$12*(0.5-(G805+H805)/2)</x:f>
        <x:v>0.23333333333333334</x:v>
      </x:c>
      <x:c r="J805" s="27" t="n">
        <x:f>'Assumptions'!$D$8*EXP(-'Assumptions'!$D$9*('Fleet Engine'!E210-10))*'Assumptions'!E57*'Assumptions'!G36</x:f>
        <x:v>13509.222651276876</x:v>
      </x:c>
      <x:c r="K805" s="27" t="n">
        <x:f>'Source Data'!F221+LN('Assumptions'!D57)+LN('Assumptions'!G35)</x:f>
        <x:v>8.418486215784876</x:v>
      </x:c>
      <x:c r="L805" s="27" t="n">
        <x:f>J805*(1-I805*(1-'Carrier Engine'!E94))</x:f>
        <x:v>10483.156777390855</x:v>
      </x:c>
      <x:c r="M805" s="29" t="n">
        <x:f>NORM.S.DIST((LN(L805)-K805)/'Assumptions'!$D$10,TRUE)</x:f>
        <x:v>0.7034501581393012</x:v>
      </x:c>
      <x:c r="N805" s="30" t="n">
        <x:f>MAX(0,H805-MAX(G805,M805))</x:f>
        <x:v>0.11111111111111105</x:v>
      </x:c>
      <x:c r="O805" s="28" t="n">
        <x:f>J805*I805</x:f>
        <x:v>3152.1519519646045</x:v>
      </x:c>
      <x:c r="P805" s="27" t="n">
        <x:f>(VLOOKUP(O805,'Fee Data'!$C$6:$G$50,2,TRUE)+O805*VLOOKUP(O805,'Fee Data'!$C$6:$G$50,3,TRUE)+VLOOKUP(O805,'Fee Data'!$I$6:$J$14,2,TRUE)+'Fee Data'!$J$20+'Fee Data'!$J$21)*'Assumptions'!G37</x:f>
        <x:v>865</x:v>
      </x:c>
      <x:c r="Q805" s="27" t="n">
        <x:f>(VLOOKUP(O805,'Fee Data'!$C$6:$G$50,4,TRUE)+O805*VLOOKUP(O805,'Fee Data'!$C$6:$G$50,5,TRUE)+VLOOKUP(O805,'Fee Data'!$I$6:$J$14,2,TRUE)+'Fee Data'!$J$20+'Fee Data'!$J$21)*'Assumptions'!G37</x:f>
        <x:v>715</x:v>
      </x:c>
      <x:c r="R805" s="27" t="n">
        <x:f>P805*(1-'Assumptions'!$D$14)+Q805*'Assumptions'!$D$14</x:f>
        <x:v>790</x:v>
      </x:c>
      <x:c r="S805" s="27" t="n">
        <x:f>O805*'Carrier Engine'!E94</x:f>
        <x:v>126.08607807858418</x:v>
      </x:c>
      <x:c r="T805" s="28" t="n">
        <x:f>R805+S805</x:f>
        <x:v>916.0860780785841</x:v>
      </x:c>
      <x:c r="U805" s="27" t="n">
        <x:f>N805*'Fleet Engine'!I210</x:f>
        <x:v>292.1334117931207</x:v>
      </x:c>
      <x:c r="V805" s="28" t="n">
        <x:f>U805*T805</x:f>
        <x:v>267619.3514852759</x:v>
      </x:c>
      <x:c r="W805" s="28" t="n">
        <x:f>U805*O805</x:f>
        <x:v>920848.904217765</x:v>
      </x:c>
    </x:row>
    <x:row r="806" ht="19" customHeight="1">
      <x:c r="A806" s="2"/>
      <x:c r="B806" s="2"/>
      <x:c r="C806" s="46" t="n">
        <x:v>3</x:v>
      </x:c>
      <x:c r="D806" s="46" t="n">
        <x:v>16</x:v>
      </x:c>
      <x:c r="E806" s="46" t="n">
        <x:v>2</x:v>
      </x:c>
      <x:c r="F806" s="46" t="n">
        <x:v>4</x:v>
      </x:c>
      <x:c r="G806" s="12" t="n">
        <x:v>0.8888888888888888</x:v>
      </x:c>
      <x:c r="H806" s="12" t="n">
        <x:v>1</x:v>
      </x:c>
      <x:c r="I806" s="29" t="n">
        <x:f>'Assumptions'!$D$11+'Assumptions'!$D$12*(0.5-(G806+H806)/2)</x:f>
        <x:v>0.21111111111111108</x:v>
      </x:c>
      <x:c r="J806" s="27" t="n">
        <x:f>'Assumptions'!$D$8*EXP(-'Assumptions'!$D$9*('Fleet Engine'!E210-10))*'Assumptions'!E57*'Assumptions'!G36</x:f>
        <x:v>13509.222651276876</x:v>
      </x:c>
      <x:c r="K806" s="27" t="n">
        <x:f>'Source Data'!F221+LN('Assumptions'!D57)+LN('Assumptions'!G35)</x:f>
        <x:v>8.418486215784876</x:v>
      </x:c>
      <x:c r="L806" s="27" t="n">
        <x:f>J806*(1-I806*(1-'Carrier Engine'!E94))</x:f>
        <x:v>10771.353527284762</x:v>
      </x:c>
      <x:c r="M806" s="29" t="n">
        <x:f>NORM.S.DIST((LN(L806)-K806)/'Assumptions'!$D$10,TRUE)</x:f>
        <x:v>0.7093961183873236</x:v>
      </x:c>
      <x:c r="N806" s="30" t="n">
        <x:f>MAX(0,H806-MAX(G806,M806))</x:f>
        <x:v>0.11111111111111116</x:v>
      </x:c>
      <x:c r="O806" s="28" t="n">
        <x:f>J806*I806</x:f>
        <x:v>2851.9470041584514</x:v>
      </x:c>
      <x:c r="P806" s="27" t="n">
        <x:f>(VLOOKUP(O806,'Fee Data'!$C$6:$G$50,2,TRUE)+O806*VLOOKUP(O806,'Fee Data'!$C$6:$G$50,3,TRUE)+VLOOKUP(O806,'Fee Data'!$I$6:$J$14,2,TRUE)+'Fee Data'!$J$20+'Fee Data'!$J$21)*'Assumptions'!G37</x:f>
        <x:v>820</x:v>
      </x:c>
      <x:c r="Q806" s="27" t="n">
        <x:f>(VLOOKUP(O806,'Fee Data'!$C$6:$G$50,4,TRUE)+O806*VLOOKUP(O806,'Fee Data'!$C$6:$G$50,5,TRUE)+VLOOKUP(O806,'Fee Data'!$I$6:$J$14,2,TRUE)+'Fee Data'!$J$20+'Fee Data'!$J$21)*'Assumptions'!G37</x:f>
        <x:v>670</x:v>
      </x:c>
      <x:c r="R806" s="27" t="n">
        <x:f>P806*(1-'Assumptions'!$D$14)+Q806*'Assumptions'!$D$14</x:f>
        <x:v>745</x:v>
      </x:c>
      <x:c r="S806" s="27" t="n">
        <x:f>O806*'Carrier Engine'!E94</x:f>
        <x:v>114.07788016633806</x:v>
      </x:c>
      <x:c r="T806" s="28" t="n">
        <x:f>R806+S806</x:f>
        <x:v>859.0778801663381</x:v>
      </x:c>
      <x:c r="U806" s="27" t="n">
        <x:f>N806*'Fleet Engine'!I210</x:f>
        <x:v>292.133411793121</x:v>
      </x:c>
      <x:c r="V806" s="28" t="n">
        <x:f>U806*T806</x:f>
        <x:v>250965.35212899433</x:v>
      </x:c>
      <x:c r="W806" s="28" t="n">
        <x:f>U806*O806</x:f>
        <x:v>833149.0085779787</x:v>
      </x:c>
    </x:row>
    <x:row r="807" ht="19" customHeight="1">
      <x:c r="A807" s="2"/>
      <x:c r="B807" s="2"/>
      <x:c r="C807" s="46" t="n">
        <x:v>3</x:v>
      </x:c>
      <x:c r="D807" s="46" t="n">
        <x:v>17</x:v>
      </x:c>
      <x:c r="E807" s="46" t="n">
        <x:v>2</x:v>
      </x:c>
      <x:c r="F807" s="46" t="n">
        <x:v>5</x:v>
      </x:c>
      <x:c r="G807" s="12" t="n">
        <x:v>0</x:v>
      </x:c>
      <x:c r="H807" s="12" t="n">
        <x:v>0.1111111111111111</x:v>
      </x:c>
      <x:c r="I807" s="29" t="n">
        <x:f>'Assumptions'!$D$11+'Assumptions'!$D$12*(0.5-(G807+H807)/2)</x:f>
        <x:v>0.3888888888888889</x:v>
      </x:c>
      <x:c r="J807" s="27" t="n">
        <x:f>'Assumptions'!$D$8*EXP(-'Assumptions'!$D$9*('Fleet Engine'!E211-10))*'Assumptions'!E57*'Assumptions'!G36</x:f>
        <x:v>7414.018585605744</x:v>
      </x:c>
      <x:c r="K807" s="27" t="n">
        <x:f>'Source Data'!F222+LN('Assumptions'!D57)+LN('Assumptions'!G35)</x:f>
        <x:v>8.319557366061195</x:v>
      </x:c>
      <x:c r="L807" s="27" t="n">
        <x:f>J807*(1-I807*(1-'Carrier Engine'!E94))</x:f>
        <x:v>4646.118313646267</x:v>
      </x:c>
      <x:c r="M807" s="29" t="n">
        <x:f>NORM.S.DIST((LN(L807)-K807)/'Assumptions'!$D$10,TRUE)</x:f>
        <x:v>0.5315302263315647</x:v>
      </x:c>
      <x:c r="N807" s="30" t="n">
        <x:f>MAX(0,H807-MAX(G807,M807))</x:f>
        <x:v>0</x:v>
      </x:c>
      <x:c r="O807" s="28" t="n">
        <x:f>J807*I807</x:f>
        <x:v>2883.2294499577893</x:v>
      </x:c>
      <x:c r="P807" s="27" t="n">
        <x:f>(VLOOKUP(O807,'Fee Data'!$C$6:$G$50,2,TRUE)+O807*VLOOKUP(O807,'Fee Data'!$C$6:$G$50,3,TRUE)+VLOOKUP(O807,'Fee Data'!$I$6:$J$14,2,TRUE)+'Fee Data'!$J$20+'Fee Data'!$J$21)*'Assumptions'!G37</x:f>
        <x:v>820</x:v>
      </x:c>
      <x:c r="Q807" s="27" t="n">
        <x:f>(VLOOKUP(O807,'Fee Data'!$C$6:$G$50,4,TRUE)+O807*VLOOKUP(O807,'Fee Data'!$C$6:$G$50,5,TRUE)+VLOOKUP(O807,'Fee Data'!$I$6:$J$14,2,TRUE)+'Fee Data'!$J$20+'Fee Data'!$J$21)*'Assumptions'!G37</x:f>
        <x:v>670</x:v>
      </x:c>
      <x:c r="R807" s="27" t="n">
        <x:f>P807*(1-'Assumptions'!$D$14)+Q807*'Assumptions'!$D$14</x:f>
        <x:v>745</x:v>
      </x:c>
      <x:c r="S807" s="27" t="n">
        <x:f>O807*'Carrier Engine'!E94</x:f>
        <x:v>115.32917799831158</x:v>
      </x:c>
      <x:c r="T807" s="28" t="n">
        <x:f>R807+S807</x:f>
        <x:v>860.3291779983116</x:v>
      </x:c>
      <x:c r="U807" s="27" t="n">
        <x:f>N807*'Fleet Engine'!I211</x:f>
        <x:v>0</x:v>
      </x:c>
      <x:c r="V807" s="28" t="n">
        <x:f>U807*T807</x:f>
        <x:v>0</x:v>
      </x:c>
      <x:c r="W807" s="28" t="n">
        <x:f>U807*O807</x:f>
        <x:v>0</x:v>
      </x:c>
    </x:row>
    <x:row r="808" ht="19" customHeight="1">
      <x:c r="A808" s="2"/>
      <x:c r="B808" s="2"/>
      <x:c r="C808" s="46" t="n">
        <x:v>3</x:v>
      </x:c>
      <x:c r="D808" s="46" t="n">
        <x:v>17</x:v>
      </x:c>
      <x:c r="E808" s="46" t="n">
        <x:v>2</x:v>
      </x:c>
      <x:c r="F808" s="46" t="n">
        <x:v>5</x:v>
      </x:c>
      <x:c r="G808" s="12" t="n">
        <x:v>0.1111111111111111</x:v>
      </x:c>
      <x:c r="H808" s="12" t="n">
        <x:v>0.2222222222222222</x:v>
      </x:c>
      <x:c r="I808" s="29" t="n">
        <x:f>'Assumptions'!$D$11+'Assumptions'!$D$12*(0.5-(G808+H808)/2)</x:f>
        <x:v>0.3666666666666667</x:v>
      </x:c>
      <x:c r="J808" s="27" t="n">
        <x:f>'Assumptions'!$D$8*EXP(-'Assumptions'!$D$9*('Fleet Engine'!E211-10))*'Assumptions'!E57*'Assumptions'!G36</x:f>
        <x:v>7414.018585605744</x:v>
      </x:c>
      <x:c r="K808" s="27" t="n">
        <x:f>'Source Data'!F222+LN('Assumptions'!D57)+LN('Assumptions'!G35)</x:f>
        <x:v>8.319557366061195</x:v>
      </x:c>
      <x:c r="L808" s="27" t="n">
        <x:f>J808*(1-I808*(1-'Carrier Engine'!E94))</x:f>
        <x:v>4804.284043472521</x:v>
      </x:c>
      <x:c r="M808" s="29" t="n">
        <x:f>NORM.S.DIST((LN(L808)-K808)/'Assumptions'!$D$10,TRUE)</x:f>
        <x:v>0.5400010911799831</x:v>
      </x:c>
      <x:c r="N808" s="30" t="n">
        <x:f>MAX(0,H808-MAX(G808,M808))</x:f>
        <x:v>0</x:v>
      </x:c>
      <x:c r="O808" s="28" t="n">
        <x:f>J808*I808</x:f>
        <x:v>2718.473481388773</x:v>
      </x:c>
      <x:c r="P808" s="27" t="n">
        <x:f>(VLOOKUP(O808,'Fee Data'!$C$6:$G$50,2,TRUE)+O808*VLOOKUP(O808,'Fee Data'!$C$6:$G$50,3,TRUE)+VLOOKUP(O808,'Fee Data'!$I$6:$J$14,2,TRUE)+'Fee Data'!$J$20+'Fee Data'!$J$21)*'Assumptions'!G37</x:f>
        <x:v>820</x:v>
      </x:c>
      <x:c r="Q808" s="27" t="n">
        <x:f>(VLOOKUP(O808,'Fee Data'!$C$6:$G$50,4,TRUE)+O808*VLOOKUP(O808,'Fee Data'!$C$6:$G$50,5,TRUE)+VLOOKUP(O808,'Fee Data'!$I$6:$J$14,2,TRUE)+'Fee Data'!$J$20+'Fee Data'!$J$21)*'Assumptions'!G37</x:f>
        <x:v>670</x:v>
      </x:c>
      <x:c r="R808" s="27" t="n">
        <x:f>P808*(1-'Assumptions'!$D$14)+Q808*'Assumptions'!$D$14</x:f>
        <x:v>745</x:v>
      </x:c>
      <x:c r="S808" s="27" t="n">
        <x:f>O808*'Carrier Engine'!E94</x:f>
        <x:v>108.73893925555092</x:v>
      </x:c>
      <x:c r="T808" s="28" t="n">
        <x:f>R808+S808</x:f>
        <x:v>853.7389392555509</x:v>
      </x:c>
      <x:c r="U808" s="27" t="n">
        <x:f>N808*'Fleet Engine'!I211</x:f>
        <x:v>0</x:v>
      </x:c>
      <x:c r="V808" s="28" t="n">
        <x:f>U808*T808</x:f>
        <x:v>0</x:v>
      </x:c>
      <x:c r="W808" s="28" t="n">
        <x:f>U808*O808</x:f>
        <x:v>0</x:v>
      </x:c>
    </x:row>
    <x:row r="809" ht="19" customHeight="1">
      <x:c r="A809" s="2"/>
      <x:c r="B809" s="2"/>
      <x:c r="C809" s="46" t="n">
        <x:v>3</x:v>
      </x:c>
      <x:c r="D809" s="46" t="n">
        <x:v>17</x:v>
      </x:c>
      <x:c r="E809" s="46" t="n">
        <x:v>2</x:v>
      </x:c>
      <x:c r="F809" s="46" t="n">
        <x:v>5</x:v>
      </x:c>
      <x:c r="G809" s="12" t="n">
        <x:v>0.2222222222222222</x:v>
      </x:c>
      <x:c r="H809" s="12" t="n">
        <x:v>0.3333333333333333</x:v>
      </x:c>
      <x:c r="I809" s="29" t="n">
        <x:f>'Assumptions'!$D$11+'Assumptions'!$D$12*(0.5-(G809+H809)/2)</x:f>
        <x:v>0.34444444444444444</x:v>
      </x:c>
      <x:c r="J809" s="27" t="n">
        <x:f>'Assumptions'!$D$8*EXP(-'Assumptions'!$D$9*('Fleet Engine'!E211-10))*'Assumptions'!E57*'Assumptions'!G36</x:f>
        <x:v>7414.018585605744</x:v>
      </x:c>
      <x:c r="K809" s="27" t="n">
        <x:f>'Source Data'!F222+LN('Assumptions'!D57)+LN('Assumptions'!G35)</x:f>
        <x:v>8.319557366061195</x:v>
      </x:c>
      <x:c r="L809" s="27" t="n">
        <x:f>J809*(1-I809*(1-'Carrier Engine'!E94))</x:f>
        <x:v>4962.449773298778</x:v>
      </x:c>
      <x:c r="M809" s="29" t="n">
        <x:f>NORM.S.DIST((LN(L809)-K809)/'Assumptions'!$D$10,TRUE)</x:f>
        <x:v>0.5481803390545841</x:v>
      </x:c>
      <x:c r="N809" s="30" t="n">
        <x:f>MAX(0,H809-MAX(G809,M809))</x:f>
        <x:v>0</x:v>
      </x:c>
      <x:c r="O809" s="28" t="n">
        <x:f>J809*I809</x:f>
        <x:v>2553.7175128197564</x:v>
      </x:c>
      <x:c r="P809" s="27" t="n">
        <x:f>(VLOOKUP(O809,'Fee Data'!$C$6:$G$50,2,TRUE)+O809*VLOOKUP(O809,'Fee Data'!$C$6:$G$50,3,TRUE)+VLOOKUP(O809,'Fee Data'!$I$6:$J$14,2,TRUE)+'Fee Data'!$J$20+'Fee Data'!$J$21)*'Assumptions'!G37</x:f>
        <x:v>820</x:v>
      </x:c>
      <x:c r="Q809" s="27" t="n">
        <x:f>(VLOOKUP(O809,'Fee Data'!$C$6:$G$50,4,TRUE)+O809*VLOOKUP(O809,'Fee Data'!$C$6:$G$50,5,TRUE)+VLOOKUP(O809,'Fee Data'!$I$6:$J$14,2,TRUE)+'Fee Data'!$J$20+'Fee Data'!$J$21)*'Assumptions'!G37</x:f>
        <x:v>670</x:v>
      </x:c>
      <x:c r="R809" s="27" t="n">
        <x:f>P809*(1-'Assumptions'!$D$14)+Q809*'Assumptions'!$D$14</x:f>
        <x:v>745</x:v>
      </x:c>
      <x:c r="S809" s="27" t="n">
        <x:f>O809*'Carrier Engine'!E94</x:f>
        <x:v>102.14870051279026</x:v>
      </x:c>
      <x:c r="T809" s="28" t="n">
        <x:f>R809+S809</x:f>
        <x:v>847.1487005127902</x:v>
      </x:c>
      <x:c r="U809" s="27" t="n">
        <x:f>N809*'Fleet Engine'!I211</x:f>
        <x:v>0</x:v>
      </x:c>
      <x:c r="V809" s="28" t="n">
        <x:f>U809*T809</x:f>
        <x:v>0</x:v>
      </x:c>
      <x:c r="W809" s="28" t="n">
        <x:f>U809*O809</x:f>
        <x:v>0</x:v>
      </x:c>
    </x:row>
    <x:row r="810" ht="19" customHeight="1">
      <x:c r="A810" s="2"/>
      <x:c r="B810" s="2"/>
      <x:c r="C810" s="46" t="n">
        <x:v>3</x:v>
      </x:c>
      <x:c r="D810" s="46" t="n">
        <x:v>17</x:v>
      </x:c>
      <x:c r="E810" s="46" t="n">
        <x:v>2</x:v>
      </x:c>
      <x:c r="F810" s="46" t="n">
        <x:v>5</x:v>
      </x:c>
      <x:c r="G810" s="12" t="n">
        <x:v>0.3333333333333333</x:v>
      </x:c>
      <x:c r="H810" s="12" t="n">
        <x:v>0.4444444444444444</x:v>
      </x:c>
      <x:c r="I810" s="29" t="n">
        <x:f>'Assumptions'!$D$11+'Assumptions'!$D$12*(0.5-(G810+H810)/2)</x:f>
        <x:v>0.32222222222222224</x:v>
      </x:c>
      <x:c r="J810" s="27" t="n">
        <x:f>'Assumptions'!$D$8*EXP(-'Assumptions'!$D$9*('Fleet Engine'!E211-10))*'Assumptions'!E57*'Assumptions'!G36</x:f>
        <x:v>7414.018585605744</x:v>
      </x:c>
      <x:c r="K810" s="27" t="n">
        <x:f>'Source Data'!F222+LN('Assumptions'!D57)+LN('Assumptions'!G35)</x:f>
        <x:v>8.319557366061195</x:v>
      </x:c>
      <x:c r="L810" s="27" t="n">
        <x:f>J810*(1-I810*(1-'Carrier Engine'!E94))</x:f>
        <x:v>5120.615503125034</x:v>
      </x:c>
      <x:c r="M810" s="29" t="n">
        <x:f>NORM.S.DIST((LN(L810)-K810)/'Assumptions'!$D$10,TRUE)</x:f>
        <x:v>0.5560835236213721</x:v>
      </x:c>
      <x:c r="N810" s="30" t="n">
        <x:f>MAX(0,H810-MAX(G810,M810))</x:f>
        <x:v>0</x:v>
      </x:c>
      <x:c r="O810" s="28" t="n">
        <x:f>J810*I810</x:f>
        <x:v>2388.9615442507397</x:v>
      </x:c>
      <x:c r="P810" s="27" t="n">
        <x:f>(VLOOKUP(O810,'Fee Data'!$C$6:$G$50,2,TRUE)+O810*VLOOKUP(O810,'Fee Data'!$C$6:$G$50,3,TRUE)+VLOOKUP(O810,'Fee Data'!$I$6:$J$14,2,TRUE)+'Fee Data'!$J$20+'Fee Data'!$J$21)*'Assumptions'!G37</x:f>
        <x:v>745</x:v>
      </x:c>
      <x:c r="Q810" s="27" t="n">
        <x:f>(VLOOKUP(O810,'Fee Data'!$C$6:$G$50,4,TRUE)+O810*VLOOKUP(O810,'Fee Data'!$C$6:$G$50,5,TRUE)+VLOOKUP(O810,'Fee Data'!$I$6:$J$14,2,TRUE)+'Fee Data'!$J$20+'Fee Data'!$J$21)*'Assumptions'!G37</x:f>
        <x:v>600</x:v>
      </x:c>
      <x:c r="R810" s="27" t="n">
        <x:f>P810*(1-'Assumptions'!$D$14)+Q810*'Assumptions'!$D$14</x:f>
        <x:v>672.5</x:v>
      </x:c>
      <x:c r="S810" s="27" t="n">
        <x:f>O810*'Carrier Engine'!E94</x:f>
        <x:v>95.5584617700296</x:v>
      </x:c>
      <x:c r="T810" s="28" t="n">
        <x:f>R810+S810</x:f>
        <x:v>768.0584617700296</x:v>
      </x:c>
      <x:c r="U810" s="27" t="n">
        <x:f>N810*'Fleet Engine'!I211</x:f>
        <x:v>0</x:v>
      </x:c>
      <x:c r="V810" s="28" t="n">
        <x:f>U810*T810</x:f>
        <x:v>0</x:v>
      </x:c>
      <x:c r="W810" s="28" t="n">
        <x:f>U810*O810</x:f>
        <x:v>0</x:v>
      </x:c>
    </x:row>
    <x:row r="811" ht="19" customHeight="1">
      <x:c r="A811" s="2"/>
      <x:c r="B811" s="2"/>
      <x:c r="C811" s="46" t="n">
        <x:v>3</x:v>
      </x:c>
      <x:c r="D811" s="46" t="n">
        <x:v>17</x:v>
      </x:c>
      <x:c r="E811" s="46" t="n">
        <x:v>2</x:v>
      </x:c>
      <x:c r="F811" s="46" t="n">
        <x:v>5</x:v>
      </x:c>
      <x:c r="G811" s="12" t="n">
        <x:v>0.4444444444444444</x:v>
      </x:c>
      <x:c r="H811" s="12" t="n">
        <x:v>0.5555555555555556</x:v>
      </x:c>
      <x:c r="I811" s="29" t="n">
        <x:f>'Assumptions'!$D$11+'Assumptions'!$D$12*(0.5-(G811+H811)/2)</x:f>
        <x:v>0.3</x:v>
      </x:c>
      <x:c r="J811" s="27" t="n">
        <x:f>'Assumptions'!$D$8*EXP(-'Assumptions'!$D$9*('Fleet Engine'!E211-10))*'Assumptions'!E57*'Assumptions'!G36</x:f>
        <x:v>7414.018585605744</x:v>
      </x:c>
      <x:c r="K811" s="27" t="n">
        <x:f>'Source Data'!F222+LN('Assumptions'!D57)+LN('Assumptions'!G35)</x:f>
        <x:v>8.319557366061195</x:v>
      </x:c>
      <x:c r="L811" s="27" t="n">
        <x:f>J811*(1-I811*(1-'Carrier Engine'!E94))</x:f>
        <x:v>5278.78123295129</x:v>
      </x:c>
      <x:c r="M811" s="29" t="n">
        <x:f>NORM.S.DIST((LN(L811)-K811)/'Assumptions'!$D$10,TRUE)</x:f>
        <x:v>0.5637250623121128</x:v>
      </x:c>
      <x:c r="N811" s="30" t="n">
        <x:f>MAX(0,H811-MAX(G811,M811))</x:f>
        <x:v>0</x:v>
      </x:c>
      <x:c r="O811" s="28" t="n">
        <x:f>J811*I811</x:f>
        <x:v>2224.205575681723</x:v>
      </x:c>
      <x:c r="P811" s="27" t="n">
        <x:f>(VLOOKUP(O811,'Fee Data'!$C$6:$G$50,2,TRUE)+O811*VLOOKUP(O811,'Fee Data'!$C$6:$G$50,3,TRUE)+VLOOKUP(O811,'Fee Data'!$I$6:$J$14,2,TRUE)+'Fee Data'!$J$20+'Fee Data'!$J$21)*'Assumptions'!G37</x:f>
        <x:v>745</x:v>
      </x:c>
      <x:c r="Q811" s="27" t="n">
        <x:f>(VLOOKUP(O811,'Fee Data'!$C$6:$G$50,4,TRUE)+O811*VLOOKUP(O811,'Fee Data'!$C$6:$G$50,5,TRUE)+VLOOKUP(O811,'Fee Data'!$I$6:$J$14,2,TRUE)+'Fee Data'!$J$20+'Fee Data'!$J$21)*'Assumptions'!G37</x:f>
        <x:v>600</x:v>
      </x:c>
      <x:c r="R811" s="27" t="n">
        <x:f>P811*(1-'Assumptions'!$D$14)+Q811*'Assumptions'!$D$14</x:f>
        <x:v>672.5</x:v>
      </x:c>
      <x:c r="S811" s="27" t="n">
        <x:f>O811*'Carrier Engine'!E94</x:f>
        <x:v>88.96822302726892</x:v>
      </x:c>
      <x:c r="T811" s="28" t="n">
        <x:f>R811+S811</x:f>
        <x:v>761.4682230272689</x:v>
      </x:c>
      <x:c r="U811" s="27" t="n">
        <x:f>N811*'Fleet Engine'!I211</x:f>
        <x:v>0</x:v>
      </x:c>
      <x:c r="V811" s="28" t="n">
        <x:f>U811*T811</x:f>
        <x:v>0</x:v>
      </x:c>
      <x:c r="W811" s="28" t="n">
        <x:f>U811*O811</x:f>
        <x:v>0</x:v>
      </x:c>
    </x:row>
    <x:row r="812" ht="19" customHeight="1">
      <x:c r="A812" s="2"/>
      <x:c r="B812" s="2"/>
      <x:c r="C812" s="46" t="n">
        <x:v>3</x:v>
      </x:c>
      <x:c r="D812" s="46" t="n">
        <x:v>17</x:v>
      </x:c>
      <x:c r="E812" s="46" t="n">
        <x:v>2</x:v>
      </x:c>
      <x:c r="F812" s="46" t="n">
        <x:v>5</x:v>
      </x:c>
      <x:c r="G812" s="12" t="n">
        <x:v>0.5555555555555556</x:v>
      </x:c>
      <x:c r="H812" s="12" t="n">
        <x:v>0.6666666666666666</x:v>
      </x:c>
      <x:c r="I812" s="29" t="n">
        <x:f>'Assumptions'!$D$11+'Assumptions'!$D$12*(0.5-(G812+H812)/2)</x:f>
        <x:v>0.27777777777777773</x:v>
      </x:c>
      <x:c r="J812" s="27" t="n">
        <x:f>'Assumptions'!$D$8*EXP(-'Assumptions'!$D$9*('Fleet Engine'!E211-10))*'Assumptions'!E57*'Assumptions'!G36</x:f>
        <x:v>7414.018585605744</x:v>
      </x:c>
      <x:c r="K812" s="27" t="n">
        <x:f>'Source Data'!F222+LN('Assumptions'!D57)+LN('Assumptions'!G35)</x:f>
        <x:v>8.319557366061195</x:v>
      </x:c>
      <x:c r="L812" s="27" t="n">
        <x:f>J812*(1-I812*(1-'Carrier Engine'!E94))</x:f>
        <x:v>5436.946962777546</x:v>
      </x:c>
      <x:c r="M812" s="29" t="n">
        <x:f>NORM.S.DIST((LN(L812)-K812)/'Assumptions'!$D$10,TRUE)</x:f>
        <x:v>0.5711183414959459</x:v>
      </x:c>
      <x:c r="N812" s="30" t="n">
        <x:f>MAX(0,H812-MAX(G812,M812))</x:f>
        <x:v>0.09554832517072076</x:v>
      </x:c>
      <x:c r="O812" s="28" t="n">
        <x:f>J812*I812</x:f>
        <x:v>2059.4496071127064</x:v>
      </x:c>
      <x:c r="P812" s="27" t="n">
        <x:f>(VLOOKUP(O812,'Fee Data'!$C$6:$G$50,2,TRUE)+O812*VLOOKUP(O812,'Fee Data'!$C$6:$G$50,3,TRUE)+VLOOKUP(O812,'Fee Data'!$I$6:$J$14,2,TRUE)+'Fee Data'!$J$20+'Fee Data'!$J$21)*'Assumptions'!G37</x:f>
        <x:v>745</x:v>
      </x:c>
      <x:c r="Q812" s="27" t="n">
        <x:f>(VLOOKUP(O812,'Fee Data'!$C$6:$G$50,4,TRUE)+O812*VLOOKUP(O812,'Fee Data'!$C$6:$G$50,5,TRUE)+VLOOKUP(O812,'Fee Data'!$I$6:$J$14,2,TRUE)+'Fee Data'!$J$20+'Fee Data'!$J$21)*'Assumptions'!G37</x:f>
        <x:v>600</x:v>
      </x:c>
      <x:c r="R812" s="27" t="n">
        <x:f>P812*(1-'Assumptions'!$D$14)+Q812*'Assumptions'!$D$14</x:f>
        <x:v>672.5</x:v>
      </x:c>
      <x:c r="S812" s="27" t="n">
        <x:f>O812*'Carrier Engine'!E94</x:f>
        <x:v>82.37798428450826</x:v>
      </x:c>
      <x:c r="T812" s="28" t="n">
        <x:f>R812+S812</x:f>
        <x:v>754.8779842845082</x:v>
      </x:c>
      <x:c r="U812" s="27" t="n">
        <x:f>N812*'Fleet Engine'!I211</x:f>
        <x:v>298.11147878502777</x:v>
      </x:c>
      <x:c r="V812" s="28" t="n">
        <x:f>U812*T812</x:f>
        <x:v>225037.7921973157</x:v>
      </x:c>
      <x:c r="W812" s="28" t="n">
        <x:f>U812*O812</x:f>
        <x:v>613945.5678596133</x:v>
      </x:c>
    </x:row>
    <x:row r="813" ht="19" customHeight="1">
      <x:c r="A813" s="2"/>
      <x:c r="B813" s="2"/>
      <x:c r="C813" s="46" t="n">
        <x:v>3</x:v>
      </x:c>
      <x:c r="D813" s="46" t="n">
        <x:v>17</x:v>
      </x:c>
      <x:c r="E813" s="46" t="n">
        <x:v>2</x:v>
      </x:c>
      <x:c r="F813" s="46" t="n">
        <x:v>5</x:v>
      </x:c>
      <x:c r="G813" s="12" t="n">
        <x:v>0.6666666666666666</x:v>
      </x:c>
      <x:c r="H813" s="12" t="n">
        <x:v>0.7777777777777778</x:v>
      </x:c>
      <x:c r="I813" s="29" t="n">
        <x:f>'Assumptions'!$D$11+'Assumptions'!$D$12*(0.5-(G813+H813)/2)</x:f>
        <x:v>0.25555555555555554</x:v>
      </x:c>
      <x:c r="J813" s="27" t="n">
        <x:f>'Assumptions'!$D$8*EXP(-'Assumptions'!$D$9*('Fleet Engine'!E211-10))*'Assumptions'!E57*'Assumptions'!G36</x:f>
        <x:v>7414.018585605744</x:v>
      </x:c>
      <x:c r="K813" s="27" t="n">
        <x:f>'Source Data'!F222+LN('Assumptions'!D57)+LN('Assumptions'!G35)</x:f>
        <x:v>8.319557366061195</x:v>
      </x:c>
      <x:c r="L813" s="27" t="n">
        <x:f>J813*(1-I813*(1-'Carrier Engine'!E94))</x:f>
        <x:v>5595.112692603802</x:v>
      </x:c>
      <x:c r="M813" s="29" t="n">
        <x:f>NORM.S.DIST((LN(L813)-K813)/'Assumptions'!$D$10,TRUE)</x:f>
        <x:v>0.5782758099492802</x:v>
      </x:c>
      <x:c r="N813" s="30" t="n">
        <x:f>MAX(0,H813-MAX(G813,M813))</x:f>
        <x:v>0.11111111111111116</x:v>
      </x:c>
      <x:c r="O813" s="28" t="n">
        <x:f>J813*I813</x:f>
        <x:v>1894.69363854369</x:v>
      </x:c>
      <x:c r="P813" s="27" t="n">
        <x:f>(VLOOKUP(O813,'Fee Data'!$C$6:$G$50,2,TRUE)+O813*VLOOKUP(O813,'Fee Data'!$C$6:$G$50,3,TRUE)+VLOOKUP(O813,'Fee Data'!$I$6:$J$14,2,TRUE)+'Fee Data'!$J$20+'Fee Data'!$J$21)*'Assumptions'!G37</x:f>
        <x:v>705</x:v>
      </x:c>
      <x:c r="Q813" s="27" t="n">
        <x:f>(VLOOKUP(O813,'Fee Data'!$C$6:$G$50,4,TRUE)+O813*VLOOKUP(O813,'Fee Data'!$C$6:$G$50,5,TRUE)+VLOOKUP(O813,'Fee Data'!$I$6:$J$14,2,TRUE)+'Fee Data'!$J$20+'Fee Data'!$J$21)*'Assumptions'!G37</x:f>
        <x:v>565</x:v>
      </x:c>
      <x:c r="R813" s="27" t="n">
        <x:f>P813*(1-'Assumptions'!$D$14)+Q813*'Assumptions'!$D$14</x:f>
        <x:v>635</x:v>
      </x:c>
      <x:c r="S813" s="27" t="n">
        <x:f>O813*'Carrier Engine'!E94</x:f>
        <x:v>75.7877455417476</x:v>
      </x:c>
      <x:c r="T813" s="28" t="n">
        <x:f>R813+S813</x:f>
        <x:v>710.7877455417477</x:v>
      </x:c>
      <x:c r="U813" s="27" t="n">
        <x:f>N813*'Fleet Engine'!I211</x:f>
        <x:v>346.66748562675</x:v>
      </x:c>
      <x:c r="V813" s="28" t="n">
        <x:f>U813*T813</x:f>
        <x:v>246407.00056126385</x:v>
      </x:c>
      <x:c r="W813" s="28" t="n">
        <x:f>U813*O813</x:f>
        <x:v>656828.6797069394</x:v>
      </x:c>
    </x:row>
    <x:row r="814" ht="19" customHeight="1">
      <x:c r="A814" s="2"/>
      <x:c r="B814" s="2"/>
      <x:c r="C814" s="46" t="n">
        <x:v>3</x:v>
      </x:c>
      <x:c r="D814" s="46" t="n">
        <x:v>17</x:v>
      </x:c>
      <x:c r="E814" s="46" t="n">
        <x:v>2</x:v>
      </x:c>
      <x:c r="F814" s="46" t="n">
        <x:v>5</x:v>
      </x:c>
      <x:c r="G814" s="12" t="n">
        <x:v>0.7777777777777778</x:v>
      </x:c>
      <x:c r="H814" s="12" t="n">
        <x:v>0.8888888888888888</x:v>
      </x:c>
      <x:c r="I814" s="29" t="n">
        <x:f>'Assumptions'!$D$11+'Assumptions'!$D$12*(0.5-(G814+H814)/2)</x:f>
        <x:v>0.23333333333333334</x:v>
      </x:c>
      <x:c r="J814" s="27" t="n">
        <x:f>'Assumptions'!$D$8*EXP(-'Assumptions'!$D$9*('Fleet Engine'!E211-10))*'Assumptions'!E57*'Assumptions'!G36</x:f>
        <x:v>7414.018585605744</x:v>
      </x:c>
      <x:c r="K814" s="27" t="n">
        <x:f>'Source Data'!F222+LN('Assumptions'!D57)+LN('Assumptions'!G35)</x:f>
        <x:v>8.319557366061195</x:v>
      </x:c>
      <x:c r="L814" s="27" t="n">
        <x:f>J814*(1-I814*(1-'Carrier Engine'!E94))</x:f>
        <x:v>5753.278422430058</x:v>
      </x:c>
      <x:c r="M814" s="29" t="n">
        <x:f>NORM.S.DIST((LN(L814)-K814)/'Assumptions'!$D$10,TRUE)</x:f>
        <x:v>0.5852090621304324</x:v>
      </x:c>
      <x:c r="N814" s="30" t="n">
        <x:f>MAX(0,H814-MAX(G814,M814))</x:f>
        <x:v>0.11111111111111105</x:v>
      </x:c>
      <x:c r="O814" s="28" t="n">
        <x:f>J814*I814</x:f>
        <x:v>1729.9376699746738</x:v>
      </x:c>
      <x:c r="P814" s="27" t="n">
        <x:f>(VLOOKUP(O814,'Fee Data'!$C$6:$G$50,2,TRUE)+O814*VLOOKUP(O814,'Fee Data'!$C$6:$G$50,3,TRUE)+VLOOKUP(O814,'Fee Data'!$I$6:$J$14,2,TRUE)+'Fee Data'!$J$20+'Fee Data'!$J$21)*'Assumptions'!G37</x:f>
        <x:v>680</x:v>
      </x:c>
      <x:c r="Q814" s="27" t="n">
        <x:f>(VLOOKUP(O814,'Fee Data'!$C$6:$G$50,4,TRUE)+O814*VLOOKUP(O814,'Fee Data'!$C$6:$G$50,5,TRUE)+VLOOKUP(O814,'Fee Data'!$I$6:$J$14,2,TRUE)+'Fee Data'!$J$20+'Fee Data'!$J$21)*'Assumptions'!G37</x:f>
        <x:v>545</x:v>
      </x:c>
      <x:c r="R814" s="27" t="n">
        <x:f>P814*(1-'Assumptions'!$D$14)+Q814*'Assumptions'!$D$14</x:f>
        <x:v>612.5</x:v>
      </x:c>
      <x:c r="S814" s="27" t="n">
        <x:f>O814*'Carrier Engine'!E94</x:f>
        <x:v>69.19750679898695</x:v>
      </x:c>
      <x:c r="T814" s="28" t="n">
        <x:f>R814+S814</x:f>
        <x:v>681.697506798987</x:v>
      </x:c>
      <x:c r="U814" s="27" t="n">
        <x:f>N814*'Fleet Engine'!I211</x:f>
        <x:v>346.6674856267497</x:v>
      </x:c>
      <x:c r="V814" s="28" t="n">
        <x:f>U814*T814</x:f>
        <x:v>236322.3606400289</x:v>
      </x:c>
      <x:c r="W814" s="28" t="n">
        <x:f>U814*O814</x:f>
        <x:v>599713.1423411181</x:v>
      </x:c>
    </x:row>
    <x:row r="815" ht="19" customHeight="1">
      <x:c r="A815" s="2"/>
      <x:c r="B815" s="2"/>
      <x:c r="C815" s="46" t="n">
        <x:v>3</x:v>
      </x:c>
      <x:c r="D815" s="46" t="n">
        <x:v>17</x:v>
      </x:c>
      <x:c r="E815" s="46" t="n">
        <x:v>2</x:v>
      </x:c>
      <x:c r="F815" s="46" t="n">
        <x:v>5</x:v>
      </x:c>
      <x:c r="G815" s="12" t="n">
        <x:v>0.8888888888888888</x:v>
      </x:c>
      <x:c r="H815" s="12" t="n">
        <x:v>1</x:v>
      </x:c>
      <x:c r="I815" s="29" t="n">
        <x:f>'Assumptions'!$D$11+'Assumptions'!$D$12*(0.5-(G815+H815)/2)</x:f>
        <x:v>0.21111111111111108</x:v>
      </x:c>
      <x:c r="J815" s="27" t="n">
        <x:f>'Assumptions'!$D$8*EXP(-'Assumptions'!$D$9*('Fleet Engine'!E211-10))*'Assumptions'!E57*'Assumptions'!G36</x:f>
        <x:v>7414.018585605744</x:v>
      </x:c>
      <x:c r="K815" s="27" t="n">
        <x:f>'Source Data'!F222+LN('Assumptions'!D57)+LN('Assumptions'!G35)</x:f>
        <x:v>8.319557366061195</x:v>
      </x:c>
      <x:c r="L815" s="27" t="n">
        <x:f>J815*(1-I815*(1-'Carrier Engine'!E94))</x:f>
        <x:v>5911.444152256314</x:v>
      </x:c>
      <x:c r="M815" s="29" t="n">
        <x:f>NORM.S.DIST((LN(L815)-K815)/'Assumptions'!$D$10,TRUE)</x:f>
        <x:v>0.591928912547617</x:v>
      </x:c>
      <x:c r="N815" s="30" t="n">
        <x:f>MAX(0,H815-MAX(G815,M815))</x:f>
        <x:v>0.11111111111111116</x:v>
      </x:c>
      <x:c r="O815" s="28" t="n">
        <x:f>J815*I815</x:f>
        <x:v>1565.181701405657</x:v>
      </x:c>
      <x:c r="P815" s="27" t="n">
        <x:f>(VLOOKUP(O815,'Fee Data'!$C$6:$G$50,2,TRUE)+O815*VLOOKUP(O815,'Fee Data'!$C$6:$G$50,3,TRUE)+VLOOKUP(O815,'Fee Data'!$I$6:$J$14,2,TRUE)+'Fee Data'!$J$20+'Fee Data'!$J$21)*'Assumptions'!G37</x:f>
        <x:v>640</x:v>
      </x:c>
      <x:c r="Q815" s="27" t="n">
        <x:f>(VLOOKUP(O815,'Fee Data'!$C$6:$G$50,4,TRUE)+O815*VLOOKUP(O815,'Fee Data'!$C$6:$G$50,5,TRUE)+VLOOKUP(O815,'Fee Data'!$I$6:$J$14,2,TRUE)+'Fee Data'!$J$20+'Fee Data'!$J$21)*'Assumptions'!G37</x:f>
        <x:v>510</x:v>
      </x:c>
      <x:c r="R815" s="27" t="n">
        <x:f>P815*(1-'Assumptions'!$D$14)+Q815*'Assumptions'!$D$14</x:f>
        <x:v>575</x:v>
      </x:c>
      <x:c r="S815" s="27" t="n">
        <x:f>O815*'Carrier Engine'!E94</x:f>
        <x:v>62.607268056226275</x:v>
      </x:c>
      <x:c r="T815" s="28" t="n">
        <x:f>R815+S815</x:f>
        <x:v>637.6072680562263</x:v>
      </x:c>
      <x:c r="U815" s="27" t="n">
        <x:f>N815*'Fleet Engine'!I211</x:f>
        <x:v>346.66748562675</x:v>
      </x:c>
      <x:c r="V815" s="28" t="n">
        <x:f>U815*T815</x:f>
        <x:v>221037.7084343932</x:v>
      </x:c>
      <x:c r="W815" s="28" t="n">
        <x:f>U815*O815</x:f>
        <x:v>542597.6049752977</x:v>
      </x:c>
    </x:row>
    <x:row r="816" ht="19" customHeight="1">
      <x:c r="A816" s="2"/>
      <x:c r="B816" s="2"/>
      <x:c r="C816" s="46" t="n">
        <x:v>3</x:v>
      </x:c>
      <x:c r="D816" s="46" t="n">
        <x:v>18</x:v>
      </x:c>
      <x:c r="E816" s="46" t="n">
        <x:v>3</x:v>
      </x:c>
      <x:c r="F816" s="46" t="n">
        <x:v>0</x:v>
      </x:c>
      <x:c r="G816" s="12" t="n">
        <x:v>0</x:v>
      </x:c>
      <x:c r="H816" s="12" t="n">
        <x:v>0.1111111111111111</x:v>
      </x:c>
      <x:c r="I816" s="29" t="n">
        <x:f>'Assumptions'!$D$11+'Assumptions'!$D$12*(0.5-(G816+H816)/2)</x:f>
        <x:v>0.3888888888888889</x:v>
      </x:c>
      <x:c r="J816" s="27" t="n">
        <x:f>'Assumptions'!$D$8*EXP(-'Assumptions'!$D$9*('Fleet Engine'!E212-10))*'Assumptions'!E58*'Assumptions'!G36</x:f>
        <x:v>27182.818284590452</x:v>
      </x:c>
      <x:c r="K816" s="27" t="n">
        <x:f>'Source Data'!F217+LN('Assumptions'!D58)+LN('Assumptions'!G35)</x:f>
        <x:v>8.005343029779286</x:v>
      </x:c>
      <x:c r="L816" s="27" t="n">
        <x:f>J816*(1-I816*(1-'Carrier Engine'!E94))</x:f>
        <x:v>17034.566125010017</x:v>
      </x:c>
      <x:c r="M816" s="29" t="n">
        <x:f>NORM.S.DIST((LN(L816)-K816)/'Assumptions'!$D$10,TRUE)</x:f>
        <x:v>0.8657757644693824</x:v>
      </x:c>
      <x:c r="N816" s="30" t="n">
        <x:f>MAX(0,H816-MAX(G816,M816))</x:f>
        <x:v>0</x:v>
      </x:c>
      <x:c r="O816" s="28" t="n">
        <x:f>J816*I816</x:f>
        <x:v>10571.095999562955</x:v>
      </x:c>
      <x:c r="P816" s="27" t="n">
        <x:f>(VLOOKUP(O816,'Fee Data'!$C$6:$G$50,2,TRUE)+O816*VLOOKUP(O816,'Fee Data'!$C$6:$G$50,3,TRUE)+VLOOKUP(O816,'Fee Data'!$I$6:$J$14,2,TRUE)+'Fee Data'!$J$20+'Fee Data'!$J$21)*'Assumptions'!G37</x:f>
        <x:v>1250</x:v>
      </x:c>
      <x:c r="Q816" s="27" t="n">
        <x:f>(VLOOKUP(O816,'Fee Data'!$C$6:$G$50,4,TRUE)+O816*VLOOKUP(O816,'Fee Data'!$C$6:$G$50,5,TRUE)+VLOOKUP(O816,'Fee Data'!$I$6:$J$14,2,TRUE)+'Fee Data'!$J$20+'Fee Data'!$J$21)*'Assumptions'!G37</x:f>
        <x:v>1100</x:v>
      </x:c>
      <x:c r="R816" s="27" t="n">
        <x:f>P816*(1-'Assumptions'!$D$14)+Q816*'Assumptions'!$D$14</x:f>
        <x:v>1175</x:v>
      </x:c>
      <x:c r="S816" s="27" t="n">
        <x:f>O816*'Carrier Engine'!E94</x:f>
        <x:v>422.8438399825182</x:v>
      </x:c>
      <x:c r="T816" s="28" t="n">
        <x:f>R816+S816</x:f>
        <x:v>1597.8438399825181</x:v>
      </x:c>
      <x:c r="U816" s="27" t="n">
        <x:f>N816*'Fleet Engine'!I212</x:f>
        <x:v>0</x:v>
      </x:c>
      <x:c r="V816" s="28" t="n">
        <x:f>U816*T816</x:f>
        <x:v>0</x:v>
      </x:c>
      <x:c r="W816" s="28" t="n">
        <x:f>U816*O816</x:f>
        <x:v>0</x:v>
      </x:c>
    </x:row>
    <x:row r="817" ht="19" customHeight="1">
      <x:c r="A817" s="2"/>
      <x:c r="B817" s="2"/>
      <x:c r="C817" s="46" t="n">
        <x:v>3</x:v>
      </x:c>
      <x:c r="D817" s="46" t="n">
        <x:v>18</x:v>
      </x:c>
      <x:c r="E817" s="46" t="n">
        <x:v>3</x:v>
      </x:c>
      <x:c r="F817" s="46" t="n">
        <x:v>0</x:v>
      </x:c>
      <x:c r="G817" s="12" t="n">
        <x:v>0.1111111111111111</x:v>
      </x:c>
      <x:c r="H817" s="12" t="n">
        <x:v>0.2222222222222222</x:v>
      </x:c>
      <x:c r="I817" s="29" t="n">
        <x:f>'Assumptions'!$D$11+'Assumptions'!$D$12*(0.5-(G817+H817)/2)</x:f>
        <x:v>0.3666666666666667</x:v>
      </x:c>
      <x:c r="J817" s="27" t="n">
        <x:f>'Assumptions'!$D$8*EXP(-'Assumptions'!$D$9*('Fleet Engine'!E212-10))*'Assumptions'!E58*'Assumptions'!G36</x:f>
        <x:v>27182.818284590452</x:v>
      </x:c>
      <x:c r="K817" s="27" t="n">
        <x:f>'Source Data'!F217+LN('Assumptions'!D58)+LN('Assumptions'!G35)</x:f>
        <x:v>8.005343029779286</x:v>
      </x:c>
      <x:c r="L817" s="27" t="n">
        <x:f>J817*(1-I817*(1-'Carrier Engine'!E94))</x:f>
        <x:v>17614.46624841461</x:v>
      </x:c>
      <x:c r="M817" s="29" t="n">
        <x:f>NORM.S.DIST((LN(L817)-K817)/'Assumptions'!$D$10,TRUE)</x:f>
        <x:v>0.8703320319855985</x:v>
      </x:c>
      <x:c r="N817" s="30" t="n">
        <x:f>MAX(0,H817-MAX(G817,M817))</x:f>
        <x:v>0</x:v>
      </x:c>
      <x:c r="O817" s="28" t="n">
        <x:f>J817*I817</x:f>
        <x:v>9967.0333710165</x:v>
      </x:c>
      <x:c r="P817" s="27" t="n">
        <x:f>(VLOOKUP(O817,'Fee Data'!$C$6:$G$50,2,TRUE)+O817*VLOOKUP(O817,'Fee Data'!$C$6:$G$50,3,TRUE)+VLOOKUP(O817,'Fee Data'!$I$6:$J$14,2,TRUE)+'Fee Data'!$J$20+'Fee Data'!$J$21)*'Assumptions'!G37</x:f>
        <x:v>1195</x:v>
      </x:c>
      <x:c r="Q817" s="27" t="n">
        <x:f>(VLOOKUP(O817,'Fee Data'!$C$6:$G$50,4,TRUE)+O817*VLOOKUP(O817,'Fee Data'!$C$6:$G$50,5,TRUE)+VLOOKUP(O817,'Fee Data'!$I$6:$J$14,2,TRUE)+'Fee Data'!$J$20+'Fee Data'!$J$21)*'Assumptions'!G37</x:f>
        <x:v>1070</x:v>
      </x:c>
      <x:c r="R817" s="27" t="n">
        <x:f>P817*(1-'Assumptions'!$D$14)+Q817*'Assumptions'!$D$14</x:f>
        <x:v>1132.5</x:v>
      </x:c>
      <x:c r="S817" s="27" t="n">
        <x:f>O817*'Carrier Engine'!E94</x:f>
        <x:v>398.68133484066</x:v>
      </x:c>
      <x:c r="T817" s="28" t="n">
        <x:f>R817+S817</x:f>
        <x:v>1531.18133484066</x:v>
      </x:c>
      <x:c r="U817" s="27" t="n">
        <x:f>N817*'Fleet Engine'!I212</x:f>
        <x:v>0</x:v>
      </x:c>
      <x:c r="V817" s="28" t="n">
        <x:f>U817*T817</x:f>
        <x:v>0</x:v>
      </x:c>
      <x:c r="W817" s="28" t="n">
        <x:f>U817*O817</x:f>
        <x:v>0</x:v>
      </x:c>
    </x:row>
    <x:row r="818" ht="19" customHeight="1">
      <x:c r="A818" s="2"/>
      <x:c r="B818" s="2"/>
      <x:c r="C818" s="46" t="n">
        <x:v>3</x:v>
      </x:c>
      <x:c r="D818" s="46" t="n">
        <x:v>18</x:v>
      </x:c>
      <x:c r="E818" s="46" t="n">
        <x:v>3</x:v>
      </x:c>
      <x:c r="F818" s="46" t="n">
        <x:v>0</x:v>
      </x:c>
      <x:c r="G818" s="12" t="n">
        <x:v>0.2222222222222222</x:v>
      </x:c>
      <x:c r="H818" s="12" t="n">
        <x:v>0.3333333333333333</x:v>
      </x:c>
      <x:c r="I818" s="29" t="n">
        <x:f>'Assumptions'!$D$11+'Assumptions'!$D$12*(0.5-(G818+H818)/2)</x:f>
        <x:v>0.34444444444444444</x:v>
      </x:c>
      <x:c r="J818" s="27" t="n">
        <x:f>'Assumptions'!$D$8*EXP(-'Assumptions'!$D$9*('Fleet Engine'!E212-10))*'Assumptions'!E58*'Assumptions'!G36</x:f>
        <x:v>27182.818284590452</x:v>
      </x:c>
      <x:c r="K818" s="27" t="n">
        <x:f>'Source Data'!F217+LN('Assumptions'!D58)+LN('Assumptions'!G35)</x:f>
        <x:v>8.005343029779286</x:v>
      </x:c>
      <x:c r="L818" s="27" t="n">
        <x:f>J818*(1-I818*(1-'Carrier Engine'!E94))</x:f>
        <x:v>18194.36637181921</x:v>
      </x:c>
      <x:c r="M818" s="29" t="n">
        <x:f>NORM.S.DIST((LN(L818)-K818)/'Assumptions'!$D$10,TRUE)</x:f>
        <x:v>0.874637643415871</x:v>
      </x:c>
      <x:c r="N818" s="30" t="n">
        <x:f>MAX(0,H818-MAX(G818,M818))</x:f>
        <x:v>0</x:v>
      </x:c>
      <x:c r="O818" s="28" t="n">
        <x:f>J818*I818</x:f>
        <x:v>9362.970742470045</x:v>
      </x:c>
      <x:c r="P818" s="27" t="n">
        <x:f>(VLOOKUP(O818,'Fee Data'!$C$6:$G$50,2,TRUE)+O818*VLOOKUP(O818,'Fee Data'!$C$6:$G$50,3,TRUE)+VLOOKUP(O818,'Fee Data'!$I$6:$J$14,2,TRUE)+'Fee Data'!$J$20+'Fee Data'!$J$21)*'Assumptions'!G37</x:f>
        <x:v>1195</x:v>
      </x:c>
      <x:c r="Q818" s="27" t="n">
        <x:f>(VLOOKUP(O818,'Fee Data'!$C$6:$G$50,4,TRUE)+O818*VLOOKUP(O818,'Fee Data'!$C$6:$G$50,5,TRUE)+VLOOKUP(O818,'Fee Data'!$I$6:$J$14,2,TRUE)+'Fee Data'!$J$20+'Fee Data'!$J$21)*'Assumptions'!G37</x:f>
        <x:v>1070</x:v>
      </x:c>
      <x:c r="R818" s="27" t="n">
        <x:f>P818*(1-'Assumptions'!$D$14)+Q818*'Assumptions'!$D$14</x:f>
        <x:v>1132.5</x:v>
      </x:c>
      <x:c r="S818" s="27" t="n">
        <x:f>O818*'Carrier Engine'!E94</x:f>
        <x:v>374.51882969880177</x:v>
      </x:c>
      <x:c r="T818" s="28" t="n">
        <x:f>R818+S818</x:f>
        <x:v>1507.0188296988017</x:v>
      </x:c>
      <x:c r="U818" s="27" t="n">
        <x:f>N818*'Fleet Engine'!I212</x:f>
        <x:v>0</x:v>
      </x:c>
      <x:c r="V818" s="28" t="n">
        <x:f>U818*T818</x:f>
        <x:v>0</x:v>
      </x:c>
      <x:c r="W818" s="28" t="n">
        <x:f>U818*O818</x:f>
        <x:v>0</x:v>
      </x:c>
    </x:row>
    <x:row r="819" ht="19" customHeight="1">
      <x:c r="A819" s="2"/>
      <x:c r="B819" s="2"/>
      <x:c r="C819" s="46" t="n">
        <x:v>3</x:v>
      </x:c>
      <x:c r="D819" s="46" t="n">
        <x:v>18</x:v>
      </x:c>
      <x:c r="E819" s="46" t="n">
        <x:v>3</x:v>
      </x:c>
      <x:c r="F819" s="46" t="n">
        <x:v>0</x:v>
      </x:c>
      <x:c r="G819" s="12" t="n">
        <x:v>0.3333333333333333</x:v>
      </x:c>
      <x:c r="H819" s="12" t="n">
        <x:v>0.4444444444444444</x:v>
      </x:c>
      <x:c r="I819" s="29" t="n">
        <x:f>'Assumptions'!$D$11+'Assumptions'!$D$12*(0.5-(G819+H819)/2)</x:f>
        <x:v>0.32222222222222224</x:v>
      </x:c>
      <x:c r="J819" s="27" t="n">
        <x:f>'Assumptions'!$D$8*EXP(-'Assumptions'!$D$9*('Fleet Engine'!E212-10))*'Assumptions'!E58*'Assumptions'!G36</x:f>
        <x:v>27182.818284590452</x:v>
      </x:c>
      <x:c r="K819" s="27" t="n">
        <x:f>'Source Data'!F217+LN('Assumptions'!D58)+LN('Assumptions'!G35)</x:f>
        <x:v>8.005343029779286</x:v>
      </x:c>
      <x:c r="L819" s="27" t="n">
        <x:f>J819*(1-I819*(1-'Carrier Engine'!E94))</x:f>
        <x:v>18774.266495223805</x:v>
      </x:c>
      <x:c r="M819" s="29" t="n">
        <x:f>NORM.S.DIST((LN(L819)-K819)/'Assumptions'!$D$10,TRUE)</x:f>
        <x:v>0.8787120289402852</x:v>
      </x:c>
      <x:c r="N819" s="30" t="n">
        <x:f>MAX(0,H819-MAX(G819,M819))</x:f>
        <x:v>0</x:v>
      </x:c>
      <x:c r="O819" s="28" t="n">
        <x:f>J819*I819</x:f>
        <x:v>8758.908113923591</x:v>
      </x:c>
      <x:c r="P819" s="27" t="n">
        <x:f>(VLOOKUP(O819,'Fee Data'!$C$6:$G$50,2,TRUE)+O819*VLOOKUP(O819,'Fee Data'!$C$6:$G$50,3,TRUE)+VLOOKUP(O819,'Fee Data'!$I$6:$J$14,2,TRUE)+'Fee Data'!$J$20+'Fee Data'!$J$21)*'Assumptions'!G37</x:f>
        <x:v>1195</x:v>
      </x:c>
      <x:c r="Q819" s="27" t="n">
        <x:f>(VLOOKUP(O819,'Fee Data'!$C$6:$G$50,4,TRUE)+O819*VLOOKUP(O819,'Fee Data'!$C$6:$G$50,5,TRUE)+VLOOKUP(O819,'Fee Data'!$I$6:$J$14,2,TRUE)+'Fee Data'!$J$20+'Fee Data'!$J$21)*'Assumptions'!G37</x:f>
        <x:v>1070</x:v>
      </x:c>
      <x:c r="R819" s="27" t="n">
        <x:f>P819*(1-'Assumptions'!$D$14)+Q819*'Assumptions'!$D$14</x:f>
        <x:v>1132.5</x:v>
      </x:c>
      <x:c r="S819" s="27" t="n">
        <x:f>O819*'Carrier Engine'!E94</x:f>
        <x:v>350.35632455694366</x:v>
      </x:c>
      <x:c r="T819" s="28" t="n">
        <x:f>R819+S819</x:f>
        <x:v>1482.8563245569437</x:v>
      </x:c>
      <x:c r="U819" s="27" t="n">
        <x:f>N819*'Fleet Engine'!I212</x:f>
        <x:v>0</x:v>
      </x:c>
      <x:c r="V819" s="28" t="n">
        <x:f>U819*T819</x:f>
        <x:v>0</x:v>
      </x:c>
      <x:c r="W819" s="28" t="n">
        <x:f>U819*O819</x:f>
        <x:v>0</x:v>
      </x:c>
    </x:row>
    <x:row r="820" ht="19" customHeight="1">
      <x:c r="A820" s="2"/>
      <x:c r="B820" s="2"/>
      <x:c r="C820" s="46" t="n">
        <x:v>3</x:v>
      </x:c>
      <x:c r="D820" s="46" t="n">
        <x:v>18</x:v>
      </x:c>
      <x:c r="E820" s="46" t="n">
        <x:v>3</x:v>
      </x:c>
      <x:c r="F820" s="46" t="n">
        <x:v>0</x:v>
      </x:c>
      <x:c r="G820" s="12" t="n">
        <x:v>0.4444444444444444</x:v>
      </x:c>
      <x:c r="H820" s="12" t="n">
        <x:v>0.5555555555555556</x:v>
      </x:c>
      <x:c r="I820" s="29" t="n">
        <x:f>'Assumptions'!$D$11+'Assumptions'!$D$12*(0.5-(G820+H820)/2)</x:f>
        <x:v>0.3</x:v>
      </x:c>
      <x:c r="J820" s="27" t="n">
        <x:f>'Assumptions'!$D$8*EXP(-'Assumptions'!$D$9*('Fleet Engine'!E212-10))*'Assumptions'!E58*'Assumptions'!G36</x:f>
        <x:v>27182.818284590452</x:v>
      </x:c>
      <x:c r="K820" s="27" t="n">
        <x:f>'Source Data'!F217+LN('Assumptions'!D58)+LN('Assumptions'!G35)</x:f>
        <x:v>8.005343029779286</x:v>
      </x:c>
      <x:c r="L820" s="27" t="n">
        <x:f>J820*(1-I820*(1-'Carrier Engine'!E94))</x:f>
        <x:v>19354.166618628402</x:v>
      </x:c>
      <x:c r="M820" s="29" t="n">
        <x:f>NORM.S.DIST((LN(L820)-K820)/'Assumptions'!$D$10,TRUE)</x:f>
        <x:v>0.882572669925294</x:v>
      </x:c>
      <x:c r="N820" s="30" t="n">
        <x:f>MAX(0,H820-MAX(G820,M820))</x:f>
        <x:v>0</x:v>
      </x:c>
      <x:c r="O820" s="28" t="n">
        <x:f>J820*I820</x:f>
        <x:v>8154.845485377135</x:v>
      </x:c>
      <x:c r="P820" s="27" t="n">
        <x:f>(VLOOKUP(O820,'Fee Data'!$C$6:$G$50,2,TRUE)+O820*VLOOKUP(O820,'Fee Data'!$C$6:$G$50,3,TRUE)+VLOOKUP(O820,'Fee Data'!$I$6:$J$14,2,TRUE)+'Fee Data'!$J$20+'Fee Data'!$J$21)*'Assumptions'!G37</x:f>
        <x:v>1175</x:v>
      </x:c>
      <x:c r="Q820" s="27" t="n">
        <x:f>(VLOOKUP(O820,'Fee Data'!$C$6:$G$50,4,TRUE)+O820*VLOOKUP(O820,'Fee Data'!$C$6:$G$50,5,TRUE)+VLOOKUP(O820,'Fee Data'!$I$6:$J$14,2,TRUE)+'Fee Data'!$J$20+'Fee Data'!$J$21)*'Assumptions'!G37</x:f>
        <x:v>1050</x:v>
      </x:c>
      <x:c r="R820" s="27" t="n">
        <x:f>P820*(1-'Assumptions'!$D$14)+Q820*'Assumptions'!$D$14</x:f>
        <x:v>1112.5</x:v>
      </x:c>
      <x:c r="S820" s="27" t="n">
        <x:f>O820*'Carrier Engine'!E94</x:f>
        <x:v>326.19381941508544</x:v>
      </x:c>
      <x:c r="T820" s="28" t="n">
        <x:f>R820+S820</x:f>
        <x:v>1438.6938194150855</x:v>
      </x:c>
      <x:c r="U820" s="27" t="n">
        <x:f>N820*'Fleet Engine'!I212</x:f>
        <x:v>0</x:v>
      </x:c>
      <x:c r="V820" s="28" t="n">
        <x:f>U820*T820</x:f>
        <x:v>0</x:v>
      </x:c>
      <x:c r="W820" s="28" t="n">
        <x:f>U820*O820</x:f>
        <x:v>0</x:v>
      </x:c>
    </x:row>
    <x:row r="821" ht="19" customHeight="1">
      <x:c r="A821" s="2"/>
      <x:c r="B821" s="2"/>
      <x:c r="C821" s="46" t="n">
        <x:v>3</x:v>
      </x:c>
      <x:c r="D821" s="46" t="n">
        <x:v>18</x:v>
      </x:c>
      <x:c r="E821" s="46" t="n">
        <x:v>3</x:v>
      </x:c>
      <x:c r="F821" s="46" t="n">
        <x:v>0</x:v>
      </x:c>
      <x:c r="G821" s="12" t="n">
        <x:v>0.5555555555555556</x:v>
      </x:c>
      <x:c r="H821" s="12" t="n">
        <x:v>0.6666666666666666</x:v>
      </x:c>
      <x:c r="I821" s="29" t="n">
        <x:f>'Assumptions'!$D$11+'Assumptions'!$D$12*(0.5-(G821+H821)/2)</x:f>
        <x:v>0.27777777777777773</x:v>
      </x:c>
      <x:c r="J821" s="27" t="n">
        <x:f>'Assumptions'!$D$8*EXP(-'Assumptions'!$D$9*('Fleet Engine'!E212-10))*'Assumptions'!E58*'Assumptions'!G36</x:f>
        <x:v>27182.818284590452</x:v>
      </x:c>
      <x:c r="K821" s="27" t="n">
        <x:f>'Source Data'!F217+LN('Assumptions'!D58)+LN('Assumptions'!G35)</x:f>
        <x:v>8.005343029779286</x:v>
      </x:c>
      <x:c r="L821" s="27" t="n">
        <x:f>J821*(1-I821*(1-'Carrier Engine'!E94))</x:f>
        <x:v>19934.066742033</x:v>
      </x:c>
      <x:c r="M821" s="29" t="n">
        <x:f>NORM.S.DIST((LN(L821)-K821)/'Assumptions'!$D$10,TRUE)</x:f>
        <x:v>0.8862353381924654</x:v>
      </x:c>
      <x:c r="N821" s="30" t="n">
        <x:f>MAX(0,H821-MAX(G821,M821))</x:f>
        <x:v>0</x:v>
      </x:c>
      <x:c r="O821" s="28" t="n">
        <x:f>J821*I821</x:f>
        <x:v>7550.7828568306795</x:v>
      </x:c>
      <x:c r="P821" s="27" t="n">
        <x:f>(VLOOKUP(O821,'Fee Data'!$C$6:$G$50,2,TRUE)+O821*VLOOKUP(O821,'Fee Data'!$C$6:$G$50,3,TRUE)+VLOOKUP(O821,'Fee Data'!$I$6:$J$14,2,TRUE)+'Fee Data'!$J$20+'Fee Data'!$J$21)*'Assumptions'!G37</x:f>
        <x:v>1135</x:v>
      </x:c>
      <x:c r="Q821" s="27" t="n">
        <x:f>(VLOOKUP(O821,'Fee Data'!$C$6:$G$50,4,TRUE)+O821*VLOOKUP(O821,'Fee Data'!$C$6:$G$50,5,TRUE)+VLOOKUP(O821,'Fee Data'!$I$6:$J$14,2,TRUE)+'Fee Data'!$J$20+'Fee Data'!$J$21)*'Assumptions'!G37</x:f>
        <x:v>1010</x:v>
      </x:c>
      <x:c r="R821" s="27" t="n">
        <x:f>P821*(1-'Assumptions'!$D$14)+Q821*'Assumptions'!$D$14</x:f>
        <x:v>1072.5</x:v>
      </x:c>
      <x:c r="S821" s="27" t="n">
        <x:f>O821*'Carrier Engine'!E94</x:f>
        <x:v>302.03131427322717</x:v>
      </x:c>
      <x:c r="T821" s="28" t="n">
        <x:f>R821+S821</x:f>
        <x:v>1374.531314273227</x:v>
      </x:c>
      <x:c r="U821" s="27" t="n">
        <x:f>N821*'Fleet Engine'!I212</x:f>
        <x:v>0</x:v>
      </x:c>
      <x:c r="V821" s="28" t="n">
        <x:f>U821*T821</x:f>
        <x:v>0</x:v>
      </x:c>
      <x:c r="W821" s="28" t="n">
        <x:f>U821*O821</x:f>
        <x:v>0</x:v>
      </x:c>
    </x:row>
    <x:row r="822" ht="19" customHeight="1">
      <x:c r="A822" s="2"/>
      <x:c r="B822" s="2"/>
      <x:c r="C822" s="46" t="n">
        <x:v>3</x:v>
      </x:c>
      <x:c r="D822" s="46" t="n">
        <x:v>18</x:v>
      </x:c>
      <x:c r="E822" s="46" t="n">
        <x:v>3</x:v>
      </x:c>
      <x:c r="F822" s="46" t="n">
        <x:v>0</x:v>
      </x:c>
      <x:c r="G822" s="12" t="n">
        <x:v>0.6666666666666666</x:v>
      </x:c>
      <x:c r="H822" s="12" t="n">
        <x:v>0.7777777777777778</x:v>
      </x:c>
      <x:c r="I822" s="29" t="n">
        <x:f>'Assumptions'!$D$11+'Assumptions'!$D$12*(0.5-(G822+H822)/2)</x:f>
        <x:v>0.25555555555555554</x:v>
      </x:c>
      <x:c r="J822" s="27" t="n">
        <x:f>'Assumptions'!$D$8*EXP(-'Assumptions'!$D$9*('Fleet Engine'!E212-10))*'Assumptions'!E58*'Assumptions'!G36</x:f>
        <x:v>27182.818284590452</x:v>
      </x:c>
      <x:c r="K822" s="27" t="n">
        <x:f>'Source Data'!F217+LN('Assumptions'!D58)+LN('Assumptions'!G35)</x:f>
        <x:v>8.005343029779286</x:v>
      </x:c>
      <x:c r="L822" s="27" t="n">
        <x:f>J822*(1-I822*(1-'Carrier Engine'!E94))</x:f>
        <x:v>20513.966865437596</x:v>
      </x:c>
      <x:c r="M822" s="29" t="n">
        <x:f>NORM.S.DIST((LN(L822)-K822)/'Assumptions'!$D$10,TRUE)</x:f>
        <x:v>0.8897143006733278</x:v>
      </x:c>
      <x:c r="N822" s="30" t="n">
        <x:f>MAX(0,H822-MAX(G822,M822))</x:f>
        <x:v>0</x:v>
      </x:c>
      <x:c r="O822" s="28" t="n">
        <x:f>J822*I822</x:f>
        <x:v>6946.720228284226</x:v>
      </x:c>
      <x:c r="P822" s="27" t="n">
        <x:f>(VLOOKUP(O822,'Fee Data'!$C$6:$G$50,2,TRUE)+O822*VLOOKUP(O822,'Fee Data'!$C$6:$G$50,3,TRUE)+VLOOKUP(O822,'Fee Data'!$I$6:$J$14,2,TRUE)+'Fee Data'!$J$20+'Fee Data'!$J$21)*'Assumptions'!G37</x:f>
        <x:v>1080</x:v>
      </x:c>
      <x:c r="Q822" s="27" t="n">
        <x:f>(VLOOKUP(O822,'Fee Data'!$C$6:$G$50,4,TRUE)+O822*VLOOKUP(O822,'Fee Data'!$C$6:$G$50,5,TRUE)+VLOOKUP(O822,'Fee Data'!$I$6:$J$14,2,TRUE)+'Fee Data'!$J$20+'Fee Data'!$J$21)*'Assumptions'!G37</x:f>
        <x:v>955</x:v>
      </x:c>
      <x:c r="R822" s="27" t="n">
        <x:f>P822*(1-'Assumptions'!$D$14)+Q822*'Assumptions'!$D$14</x:f>
        <x:v>1017.5</x:v>
      </x:c>
      <x:c r="S822" s="27" t="n">
        <x:f>O822*'Carrier Engine'!E94</x:f>
        <x:v>277.86880913136906</x:v>
      </x:c>
      <x:c r="T822" s="28" t="n">
        <x:f>R822+S822</x:f>
        <x:v>1295.368809131369</x:v>
      </x:c>
      <x:c r="U822" s="27" t="n">
        <x:f>N822*'Fleet Engine'!I212</x:f>
        <x:v>0</x:v>
      </x:c>
      <x:c r="V822" s="28" t="n">
        <x:f>U822*T822</x:f>
        <x:v>0</x:v>
      </x:c>
      <x:c r="W822" s="28" t="n">
        <x:f>U822*O822</x:f>
        <x:v>0</x:v>
      </x:c>
    </x:row>
    <x:row r="823" ht="19" customHeight="1">
      <x:c r="A823" s="2"/>
      <x:c r="B823" s="2"/>
      <x:c r="C823" s="46" t="n">
        <x:v>3</x:v>
      </x:c>
      <x:c r="D823" s="46" t="n">
        <x:v>18</x:v>
      </x:c>
      <x:c r="E823" s="46" t="n">
        <x:v>3</x:v>
      </x:c>
      <x:c r="F823" s="46" t="n">
        <x:v>0</x:v>
      </x:c>
      <x:c r="G823" s="12" t="n">
        <x:v>0.7777777777777778</x:v>
      </x:c>
      <x:c r="H823" s="12" t="n">
        <x:v>0.8888888888888888</x:v>
      </x:c>
      <x:c r="I823" s="29" t="n">
        <x:f>'Assumptions'!$D$11+'Assumptions'!$D$12*(0.5-(G823+H823)/2)</x:f>
        <x:v>0.23333333333333334</x:v>
      </x:c>
      <x:c r="J823" s="27" t="n">
        <x:f>'Assumptions'!$D$8*EXP(-'Assumptions'!$D$9*('Fleet Engine'!E212-10))*'Assumptions'!E58*'Assumptions'!G36</x:f>
        <x:v>27182.818284590452</x:v>
      </x:c>
      <x:c r="K823" s="27" t="n">
        <x:f>'Source Data'!F217+LN('Assumptions'!D58)+LN('Assumptions'!G35)</x:f>
        <x:v>8.005343029779286</x:v>
      </x:c>
      <x:c r="L823" s="27" t="n">
        <x:f>J823*(1-I823*(1-'Carrier Engine'!E94))</x:f>
        <x:v>21093.86698884219</x:v>
      </x:c>
      <x:c r="M823" s="29" t="n">
        <x:f>NORM.S.DIST((LN(L823)-K823)/'Assumptions'!$D$10,TRUE)</x:f>
        <x:v>0.8930224951902263</x:v>
      </x:c>
      <x:c r="N823" s="30" t="n">
        <x:f>MAX(0,H823-MAX(G823,M823))</x:f>
        <x:v>0</x:v>
      </x:c>
      <x:c r="O823" s="28" t="n">
        <x:f>J823*I823</x:f>
        <x:v>6342.657599737772</x:v>
      </x:c>
      <x:c r="P823" s="27" t="n">
        <x:f>(VLOOKUP(O823,'Fee Data'!$C$6:$G$50,2,TRUE)+O823*VLOOKUP(O823,'Fee Data'!$C$6:$G$50,3,TRUE)+VLOOKUP(O823,'Fee Data'!$I$6:$J$14,2,TRUE)+'Fee Data'!$J$20+'Fee Data'!$J$21)*'Assumptions'!G37</x:f>
        <x:v>1060</x:v>
      </x:c>
      <x:c r="Q823" s="27" t="n">
        <x:f>(VLOOKUP(O823,'Fee Data'!$C$6:$G$50,4,TRUE)+O823*VLOOKUP(O823,'Fee Data'!$C$6:$G$50,5,TRUE)+VLOOKUP(O823,'Fee Data'!$I$6:$J$14,2,TRUE)+'Fee Data'!$J$20+'Fee Data'!$J$21)*'Assumptions'!G37</x:f>
        <x:v>935</x:v>
      </x:c>
      <x:c r="R823" s="27" t="n">
        <x:f>P823*(1-'Assumptions'!$D$14)+Q823*'Assumptions'!$D$14</x:f>
        <x:v>997.5</x:v>
      </x:c>
      <x:c r="S823" s="27" t="n">
        <x:f>O823*'Carrier Engine'!E94</x:f>
        <x:v>253.7063039895109</x:v>
      </x:c>
      <x:c r="T823" s="28" t="n">
        <x:f>R823+S823</x:f>
        <x:v>1251.2063039895108</x:v>
      </x:c>
      <x:c r="U823" s="27" t="n">
        <x:f>N823*'Fleet Engine'!I212</x:f>
        <x:v>0</x:v>
      </x:c>
      <x:c r="V823" s="28" t="n">
        <x:f>U823*T823</x:f>
        <x:v>0</x:v>
      </x:c>
      <x:c r="W823" s="28" t="n">
        <x:f>U823*O823</x:f>
        <x:v>0</x:v>
      </x:c>
    </x:row>
    <x:row r="824" ht="19" customHeight="1">
      <x:c r="A824" s="2"/>
      <x:c r="B824" s="2"/>
      <x:c r="C824" s="46" t="n">
        <x:v>3</x:v>
      </x:c>
      <x:c r="D824" s="46" t="n">
        <x:v>18</x:v>
      </x:c>
      <x:c r="E824" s="46" t="n">
        <x:v>3</x:v>
      </x:c>
      <x:c r="F824" s="46" t="n">
        <x:v>0</x:v>
      </x:c>
      <x:c r="G824" s="12" t="n">
        <x:v>0.8888888888888888</x:v>
      </x:c>
      <x:c r="H824" s="12" t="n">
        <x:v>1</x:v>
      </x:c>
      <x:c r="I824" s="29" t="n">
        <x:f>'Assumptions'!$D$11+'Assumptions'!$D$12*(0.5-(G824+H824)/2)</x:f>
        <x:v>0.21111111111111108</x:v>
      </x:c>
      <x:c r="J824" s="27" t="n">
        <x:f>'Assumptions'!$D$8*EXP(-'Assumptions'!$D$9*('Fleet Engine'!E212-10))*'Assumptions'!E58*'Assumptions'!G36</x:f>
        <x:v>27182.818284590452</x:v>
      </x:c>
      <x:c r="K824" s="27" t="n">
        <x:f>'Source Data'!F217+LN('Assumptions'!D58)+LN('Assumptions'!G35)</x:f>
        <x:v>8.005343029779286</x:v>
      </x:c>
      <x:c r="L824" s="27" t="n">
        <x:f>J824*(1-I824*(1-'Carrier Engine'!E94))</x:f>
        <x:v>21673.767112246787</x:v>
      </x:c>
      <x:c r="M824" s="29" t="n">
        <x:f>NORM.S.DIST((LN(L824)-K824)/'Assumptions'!$D$10,TRUE)</x:f>
        <x:v>0.8961716820343077</x:v>
      </x:c>
      <x:c r="N824" s="30" t="n">
        <x:f>MAX(0,H824-MAX(G824,M824))</x:f>
        <x:v>0.10382831796569225</x:v>
      </x:c>
      <x:c r="O824" s="28" t="n">
        <x:f>J824*I824</x:f>
        <x:v>5738.594971191317</x:v>
      </x:c>
      <x:c r="P824" s="27" t="n">
        <x:f>(VLOOKUP(O824,'Fee Data'!$C$6:$G$50,2,TRUE)+O824*VLOOKUP(O824,'Fee Data'!$C$6:$G$50,3,TRUE)+VLOOKUP(O824,'Fee Data'!$I$6:$J$14,2,TRUE)+'Fee Data'!$J$20+'Fee Data'!$J$21)*'Assumptions'!G37</x:f>
        <x:v>1020</x:v>
      </x:c>
      <x:c r="Q824" s="27" t="n">
        <x:f>(VLOOKUP(O824,'Fee Data'!$C$6:$G$50,4,TRUE)+O824*VLOOKUP(O824,'Fee Data'!$C$6:$G$50,5,TRUE)+VLOOKUP(O824,'Fee Data'!$I$6:$J$14,2,TRUE)+'Fee Data'!$J$20+'Fee Data'!$J$21)*'Assumptions'!G37</x:f>
        <x:v>895</x:v>
      </x:c>
      <x:c r="R824" s="27" t="n">
        <x:f>P824*(1-'Assumptions'!$D$14)+Q824*'Assumptions'!$D$14</x:f>
        <x:v>957.5</x:v>
      </x:c>
      <x:c r="S824" s="27" t="n">
        <x:f>O824*'Carrier Engine'!E94</x:f>
        <x:v>229.54379884765268</x:v>
      </x:c>
      <x:c r="T824" s="28" t="n">
        <x:f>R824+S824</x:f>
        <x:v>1187.0437988476526</x:v>
      </x:c>
      <x:c r="U824" s="27" t="n">
        <x:f>N824*'Fleet Engine'!I212</x:f>
        <x:v>56.53162480310182</x:v>
      </x:c>
      <x:c r="V824" s="28" t="n">
        <x:f>U824*T824</x:f>
        <x:v>67105.51466130417</x:v>
      </x:c>
      <x:c r="W824" s="28" t="n">
        <x:f>U824*O824</x:f>
        <x:v>324412.0978083544</x:v>
      </x:c>
    </x:row>
    <x:row r="825" ht="19" customHeight="1">
      <x:c r="A825" s="2"/>
      <x:c r="B825" s="2"/>
      <x:c r="C825" s="46" t="n">
        <x:v>3</x:v>
      </x:c>
      <x:c r="D825" s="46" t="n">
        <x:v>19</x:v>
      </x:c>
      <x:c r="E825" s="46" t="n">
        <x:v>3</x:v>
      </x:c>
      <x:c r="F825" s="46" t="n">
        <x:v>1</x:v>
      </x:c>
      <x:c r="G825" s="12" t="n">
        <x:v>0</x:v>
      </x:c>
      <x:c r="H825" s="12" t="n">
        <x:v>0.1111111111111111</x:v>
      </x:c>
      <x:c r="I825" s="29" t="n">
        <x:f>'Assumptions'!$D$11+'Assumptions'!$D$12*(0.5-(G825+H825)/2)</x:f>
        <x:v>0.3888888888888889</x:v>
      </x:c>
      <x:c r="J825" s="27" t="n">
        <x:f>'Assumptions'!$D$8*EXP(-'Assumptions'!$D$9*('Fleet Engine'!E213-10))*'Assumptions'!E58*'Assumptions'!G36</x:f>
        <x:v>22255.409284924677</x:v>
      </x:c>
      <x:c r="K825" s="27" t="n">
        <x:f>'Source Data'!F218+LN('Assumptions'!D58)+LN('Assumptions'!G35)</x:f>
        <x:v>7.890902228235048</x:v>
      </x:c>
      <x:c r="L825" s="27" t="n">
        <x:f>J825*(1-I825*(1-'Carrier Engine'!E94))</x:f>
        <x:v>13946.723151886132</x:v>
      </x:c>
      <x:c r="M825" s="29" t="n">
        <x:f>NORM.S.DIST((LN(L825)-K825)/'Assumptions'!$D$10,TRUE)</x:f>
        <x:v>0.8536354275611799</x:v>
      </x:c>
      <x:c r="N825" s="30" t="n">
        <x:f>MAX(0,H825-MAX(G825,M825))</x:f>
        <x:v>0</x:v>
      </x:c>
      <x:c r="O825" s="28" t="n">
        <x:f>J825*I825</x:f>
        <x:v>8654.88138858182</x:v>
      </x:c>
      <x:c r="P825" s="27" t="n">
        <x:f>(VLOOKUP(O825,'Fee Data'!$C$6:$G$50,2,TRUE)+O825*VLOOKUP(O825,'Fee Data'!$C$6:$G$50,3,TRUE)+VLOOKUP(O825,'Fee Data'!$I$6:$J$14,2,TRUE)+'Fee Data'!$J$20+'Fee Data'!$J$21)*'Assumptions'!G37</x:f>
        <x:v>1195</x:v>
      </x:c>
      <x:c r="Q825" s="27" t="n">
        <x:f>(VLOOKUP(O825,'Fee Data'!$C$6:$G$50,4,TRUE)+O825*VLOOKUP(O825,'Fee Data'!$C$6:$G$50,5,TRUE)+VLOOKUP(O825,'Fee Data'!$I$6:$J$14,2,TRUE)+'Fee Data'!$J$20+'Fee Data'!$J$21)*'Assumptions'!G37</x:f>
        <x:v>1070</x:v>
      </x:c>
      <x:c r="R825" s="27" t="n">
        <x:f>P825*(1-'Assumptions'!$D$14)+Q825*'Assumptions'!$D$14</x:f>
        <x:v>1132.5</x:v>
      </x:c>
      <x:c r="S825" s="27" t="n">
        <x:f>O825*'Carrier Engine'!E94</x:f>
        <x:v>346.1952555432728</x:v>
      </x:c>
      <x:c r="T825" s="28" t="n">
        <x:f>R825+S825</x:f>
        <x:v>1478.6952555432729</x:v>
      </x:c>
      <x:c r="U825" s="27" t="n">
        <x:f>N825*'Fleet Engine'!I213</x:f>
        <x:v>0</x:v>
      </x:c>
      <x:c r="V825" s="28" t="n">
        <x:f>U825*T825</x:f>
        <x:v>0</x:v>
      </x:c>
      <x:c r="W825" s="28" t="n">
        <x:f>U825*O825</x:f>
        <x:v>0</x:v>
      </x:c>
    </x:row>
    <x:row r="826" ht="19" customHeight="1">
      <x:c r="A826" s="2"/>
      <x:c r="B826" s="2"/>
      <x:c r="C826" s="46" t="n">
        <x:v>3</x:v>
      </x:c>
      <x:c r="D826" s="46" t="n">
        <x:v>19</x:v>
      </x:c>
      <x:c r="E826" s="46" t="n">
        <x:v>3</x:v>
      </x:c>
      <x:c r="F826" s="46" t="n">
        <x:v>1</x:v>
      </x:c>
      <x:c r="G826" s="12" t="n">
        <x:v>0.1111111111111111</x:v>
      </x:c>
      <x:c r="H826" s="12" t="n">
        <x:v>0.2222222222222222</x:v>
      </x:c>
      <x:c r="I826" s="29" t="n">
        <x:f>'Assumptions'!$D$11+'Assumptions'!$D$12*(0.5-(G826+H826)/2)</x:f>
        <x:v>0.3666666666666667</x:v>
      </x:c>
      <x:c r="J826" s="27" t="n">
        <x:f>'Assumptions'!$D$8*EXP(-'Assumptions'!$D$9*('Fleet Engine'!E213-10))*'Assumptions'!E58*'Assumptions'!G36</x:f>
        <x:v>22255.409284924677</x:v>
      </x:c>
      <x:c r="K826" s="27" t="n">
        <x:f>'Source Data'!F218+LN('Assumptions'!D58)+LN('Assumptions'!G35)</x:f>
        <x:v>7.890902228235048</x:v>
      </x:c>
      <x:c r="L826" s="27" t="n">
        <x:f>J826*(1-I826*(1-'Carrier Engine'!E94))</x:f>
        <x:v>14421.505216631189</x:v>
      </x:c>
      <x:c r="M826" s="29" t="n">
        <x:f>NORM.S.DIST((LN(L826)-K826)/'Assumptions'!$D$10,TRUE)</x:f>
        <x:v>0.858470508362788</x:v>
      </x:c>
      <x:c r="N826" s="30" t="n">
        <x:f>MAX(0,H826-MAX(G826,M826))</x:f>
        <x:v>0</x:v>
      </x:c>
      <x:c r="O826" s="28" t="n">
        <x:f>J826*I826</x:f>
        <x:v>8160.316737805716</x:v>
      </x:c>
      <x:c r="P826" s="27" t="n">
        <x:f>(VLOOKUP(O826,'Fee Data'!$C$6:$G$50,2,TRUE)+O826*VLOOKUP(O826,'Fee Data'!$C$6:$G$50,3,TRUE)+VLOOKUP(O826,'Fee Data'!$I$6:$J$14,2,TRUE)+'Fee Data'!$J$20+'Fee Data'!$J$21)*'Assumptions'!G37</x:f>
        <x:v>1175</x:v>
      </x:c>
      <x:c r="Q826" s="27" t="n">
        <x:f>(VLOOKUP(O826,'Fee Data'!$C$6:$G$50,4,TRUE)+O826*VLOOKUP(O826,'Fee Data'!$C$6:$G$50,5,TRUE)+VLOOKUP(O826,'Fee Data'!$I$6:$J$14,2,TRUE)+'Fee Data'!$J$20+'Fee Data'!$J$21)*'Assumptions'!G37</x:f>
        <x:v>1050</x:v>
      </x:c>
      <x:c r="R826" s="27" t="n">
        <x:f>P826*(1-'Assumptions'!$D$14)+Q826*'Assumptions'!$D$14</x:f>
        <x:v>1112.5</x:v>
      </x:c>
      <x:c r="S826" s="27" t="n">
        <x:f>O826*'Carrier Engine'!E94</x:f>
        <x:v>326.41266951222866</x:v>
      </x:c>
      <x:c r="T826" s="28" t="n">
        <x:f>R826+S826</x:f>
        <x:v>1438.9126695122286</x:v>
      </x:c>
      <x:c r="U826" s="27" t="n">
        <x:f>N826*'Fleet Engine'!I213</x:f>
        <x:v>0</x:v>
      </x:c>
      <x:c r="V826" s="28" t="n">
        <x:f>U826*T826</x:f>
        <x:v>0</x:v>
      </x:c>
      <x:c r="W826" s="28" t="n">
        <x:f>U826*O826</x:f>
        <x:v>0</x:v>
      </x:c>
    </x:row>
    <x:row r="827" ht="19" customHeight="1">
      <x:c r="A827" s="2"/>
      <x:c r="B827" s="2"/>
      <x:c r="C827" s="46" t="n">
        <x:v>3</x:v>
      </x:c>
      <x:c r="D827" s="46" t="n">
        <x:v>19</x:v>
      </x:c>
      <x:c r="E827" s="46" t="n">
        <x:v>3</x:v>
      </x:c>
      <x:c r="F827" s="46" t="n">
        <x:v>1</x:v>
      </x:c>
      <x:c r="G827" s="12" t="n">
        <x:v>0.2222222222222222</x:v>
      </x:c>
      <x:c r="H827" s="12" t="n">
        <x:v>0.3333333333333333</x:v>
      </x:c>
      <x:c r="I827" s="29" t="n">
        <x:f>'Assumptions'!$D$11+'Assumptions'!$D$12*(0.5-(G827+H827)/2)</x:f>
        <x:v>0.34444444444444444</x:v>
      </x:c>
      <x:c r="J827" s="27" t="n">
        <x:f>'Assumptions'!$D$8*EXP(-'Assumptions'!$D$9*('Fleet Engine'!E213-10))*'Assumptions'!E58*'Assumptions'!G36</x:f>
        <x:v>22255.409284924677</x:v>
      </x:c>
      <x:c r="K827" s="27" t="n">
        <x:f>'Source Data'!F218+LN('Assumptions'!D58)+LN('Assumptions'!G35)</x:f>
        <x:v>7.890902228235048</x:v>
      </x:c>
      <x:c r="L827" s="27" t="n">
        <x:f>J827*(1-I827*(1-'Carrier Engine'!E94))</x:f>
        <x:v>14896.287281376251</x:v>
      </x:c>
      <x:c r="M827" s="29" t="n">
        <x:f>NORM.S.DIST((LN(L827)-K827)/'Assumptions'!$D$10,TRUE)</x:f>
        <x:v>0.8630448198872039</x:v>
      </x:c>
      <x:c r="N827" s="30" t="n">
        <x:f>MAX(0,H827-MAX(G827,M827))</x:f>
        <x:v>0</x:v>
      </x:c>
      <x:c r="O827" s="28" t="n">
        <x:f>J827*I827</x:f>
        <x:v>7665.752087029611</x:v>
      </x:c>
      <x:c r="P827" s="27" t="n">
        <x:f>(VLOOKUP(O827,'Fee Data'!$C$6:$G$50,2,TRUE)+O827*VLOOKUP(O827,'Fee Data'!$C$6:$G$50,3,TRUE)+VLOOKUP(O827,'Fee Data'!$I$6:$J$14,2,TRUE)+'Fee Data'!$J$20+'Fee Data'!$J$21)*'Assumptions'!G37</x:f>
        <x:v>1135</x:v>
      </x:c>
      <x:c r="Q827" s="27" t="n">
        <x:f>(VLOOKUP(O827,'Fee Data'!$C$6:$G$50,4,TRUE)+O827*VLOOKUP(O827,'Fee Data'!$C$6:$G$50,5,TRUE)+VLOOKUP(O827,'Fee Data'!$I$6:$J$14,2,TRUE)+'Fee Data'!$J$20+'Fee Data'!$J$21)*'Assumptions'!G37</x:f>
        <x:v>1010</x:v>
      </x:c>
      <x:c r="R827" s="27" t="n">
        <x:f>P827*(1-'Assumptions'!$D$14)+Q827*'Assumptions'!$D$14</x:f>
        <x:v>1072.5</x:v>
      </x:c>
      <x:c r="S827" s="27" t="n">
        <x:f>O827*'Carrier Engine'!E94</x:f>
        <x:v>306.63008348118444</x:v>
      </x:c>
      <x:c r="T827" s="28" t="n">
        <x:f>R827+S827</x:f>
        <x:v>1379.1300834811846</x:v>
      </x:c>
      <x:c r="U827" s="27" t="n">
        <x:f>N827*'Fleet Engine'!I213</x:f>
        <x:v>0</x:v>
      </x:c>
      <x:c r="V827" s="28" t="n">
        <x:f>U827*T827</x:f>
        <x:v>0</x:v>
      </x:c>
      <x:c r="W827" s="28" t="n">
        <x:f>U827*O827</x:f>
        <x:v>0</x:v>
      </x:c>
    </x:row>
    <x:row r="828" ht="19" customHeight="1">
      <x:c r="A828" s="2"/>
      <x:c r="B828" s="2"/>
      <x:c r="C828" s="46" t="n">
        <x:v>3</x:v>
      </x:c>
      <x:c r="D828" s="46" t="n">
        <x:v>19</x:v>
      </x:c>
      <x:c r="E828" s="46" t="n">
        <x:v>3</x:v>
      </x:c>
      <x:c r="F828" s="46" t="n">
        <x:v>1</x:v>
      </x:c>
      <x:c r="G828" s="12" t="n">
        <x:v>0.3333333333333333</x:v>
      </x:c>
      <x:c r="H828" s="12" t="n">
        <x:v>0.4444444444444444</x:v>
      </x:c>
      <x:c r="I828" s="29" t="n">
        <x:f>'Assumptions'!$D$11+'Assumptions'!$D$12*(0.5-(G828+H828)/2)</x:f>
        <x:v>0.32222222222222224</x:v>
      </x:c>
      <x:c r="J828" s="27" t="n">
        <x:f>'Assumptions'!$D$8*EXP(-'Assumptions'!$D$9*('Fleet Engine'!E213-10))*'Assumptions'!E58*'Assumptions'!G36</x:f>
        <x:v>22255.409284924677</x:v>
      </x:c>
      <x:c r="K828" s="27" t="n">
        <x:f>'Source Data'!F218+LN('Assumptions'!D58)+LN('Assumptions'!G35)</x:f>
        <x:v>7.890902228235048</x:v>
      </x:c>
      <x:c r="L828" s="27" t="n">
        <x:f>J828*(1-I828*(1-'Carrier Engine'!E94))</x:f>
        <x:v>15371.06934612131</x:v>
      </x:c>
      <x:c r="M828" s="29" t="n">
        <x:f>NORM.S.DIST((LN(L828)-K828)/'Assumptions'!$D$10,TRUE)</x:f>
        <x:v>0.8673782677431042</x:v>
      </x:c>
      <x:c r="N828" s="30" t="n">
        <x:f>MAX(0,H828-MAX(G828,M828))</x:f>
        <x:v>0</x:v>
      </x:c>
      <x:c r="O828" s="28" t="n">
        <x:f>J828*I828</x:f>
        <x:v>7171.187436253507</x:v>
      </x:c>
      <x:c r="P828" s="27" t="n">
        <x:f>(VLOOKUP(O828,'Fee Data'!$C$6:$G$50,2,TRUE)+O828*VLOOKUP(O828,'Fee Data'!$C$6:$G$50,3,TRUE)+VLOOKUP(O828,'Fee Data'!$I$6:$J$14,2,TRUE)+'Fee Data'!$J$20+'Fee Data'!$J$21)*'Assumptions'!G37</x:f>
        <x:v>1115</x:v>
      </x:c>
      <x:c r="Q828" s="27" t="n">
        <x:f>(VLOOKUP(O828,'Fee Data'!$C$6:$G$50,4,TRUE)+O828*VLOOKUP(O828,'Fee Data'!$C$6:$G$50,5,TRUE)+VLOOKUP(O828,'Fee Data'!$I$6:$J$14,2,TRUE)+'Fee Data'!$J$20+'Fee Data'!$J$21)*'Assumptions'!G37</x:f>
        <x:v>990</x:v>
      </x:c>
      <x:c r="R828" s="27" t="n">
        <x:f>P828*(1-'Assumptions'!$D$14)+Q828*'Assumptions'!$D$14</x:f>
        <x:v>1052.5</x:v>
      </x:c>
      <x:c r="S828" s="27" t="n">
        <x:f>O828*'Carrier Engine'!E94</x:f>
        <x:v>286.8474974501403</x:v>
      </x:c>
      <x:c r="T828" s="28" t="n">
        <x:f>R828+S828</x:f>
        <x:v>1339.3474974501403</x:v>
      </x:c>
      <x:c r="U828" s="27" t="n">
        <x:f>N828*'Fleet Engine'!I213</x:f>
        <x:v>0</x:v>
      </x:c>
      <x:c r="V828" s="28" t="n">
        <x:f>U828*T828</x:f>
        <x:v>0</x:v>
      </x:c>
      <x:c r="W828" s="28" t="n">
        <x:f>U828*O828</x:f>
        <x:v>0</x:v>
      </x:c>
    </x:row>
    <x:row r="829" ht="19" customHeight="1">
      <x:c r="A829" s="2"/>
      <x:c r="B829" s="2"/>
      <x:c r="C829" s="46" t="n">
        <x:v>3</x:v>
      </x:c>
      <x:c r="D829" s="46" t="n">
        <x:v>19</x:v>
      </x:c>
      <x:c r="E829" s="46" t="n">
        <x:v>3</x:v>
      </x:c>
      <x:c r="F829" s="46" t="n">
        <x:v>1</x:v>
      </x:c>
      <x:c r="G829" s="12" t="n">
        <x:v>0.4444444444444444</x:v>
      </x:c>
      <x:c r="H829" s="12" t="n">
        <x:v>0.5555555555555556</x:v>
      </x:c>
      <x:c r="I829" s="29" t="n">
        <x:f>'Assumptions'!$D$11+'Assumptions'!$D$12*(0.5-(G829+H829)/2)</x:f>
        <x:v>0.3</x:v>
      </x:c>
      <x:c r="J829" s="27" t="n">
        <x:f>'Assumptions'!$D$8*EXP(-'Assumptions'!$D$9*('Fleet Engine'!E213-10))*'Assumptions'!E58*'Assumptions'!G36</x:f>
        <x:v>22255.409284924677</x:v>
      </x:c>
      <x:c r="K829" s="27" t="n">
        <x:f>'Source Data'!F218+LN('Assumptions'!D58)+LN('Assumptions'!G35)</x:f>
        <x:v>7.890902228235048</x:v>
      </x:c>
      <x:c r="L829" s="27" t="n">
        <x:f>J829*(1-I829*(1-'Carrier Engine'!E94))</x:f>
        <x:v>15845.85141086637</x:v>
      </x:c>
      <x:c r="M829" s="29" t="n">
        <x:f>NORM.S.DIST((LN(L829)-K829)/'Assumptions'!$D$10,TRUE)</x:f>
        <x:v>0.8714887858690716</x:v>
      </x:c>
      <x:c r="N829" s="30" t="n">
        <x:f>MAX(0,H829-MAX(G829,M829))</x:f>
        <x:v>0</x:v>
      </x:c>
      <x:c r="O829" s="28" t="n">
        <x:f>J829*I829</x:f>
        <x:v>6676.622785477403</x:v>
      </x:c>
      <x:c r="P829" s="27" t="n">
        <x:f>(VLOOKUP(O829,'Fee Data'!$C$6:$G$50,2,TRUE)+O829*VLOOKUP(O829,'Fee Data'!$C$6:$G$50,3,TRUE)+VLOOKUP(O829,'Fee Data'!$I$6:$J$14,2,TRUE)+'Fee Data'!$J$20+'Fee Data'!$J$21)*'Assumptions'!G37</x:f>
        <x:v>1080</x:v>
      </x:c>
      <x:c r="Q829" s="27" t="n">
        <x:f>(VLOOKUP(O829,'Fee Data'!$C$6:$G$50,4,TRUE)+O829*VLOOKUP(O829,'Fee Data'!$C$6:$G$50,5,TRUE)+VLOOKUP(O829,'Fee Data'!$I$6:$J$14,2,TRUE)+'Fee Data'!$J$20+'Fee Data'!$J$21)*'Assumptions'!G37</x:f>
        <x:v>955</x:v>
      </x:c>
      <x:c r="R829" s="27" t="n">
        <x:f>P829*(1-'Assumptions'!$D$14)+Q829*'Assumptions'!$D$14</x:f>
        <x:v>1017.5</x:v>
      </x:c>
      <x:c r="S829" s="27" t="n">
        <x:f>O829*'Carrier Engine'!E94</x:f>
        <x:v>267.0649114190961</x:v>
      </x:c>
      <x:c r="T829" s="28" t="n">
        <x:f>R829+S829</x:f>
        <x:v>1284.564911419096</x:v>
      </x:c>
      <x:c r="U829" s="27" t="n">
        <x:f>N829*'Fleet Engine'!I213</x:f>
        <x:v>0</x:v>
      </x:c>
      <x:c r="V829" s="28" t="n">
        <x:f>U829*T829</x:f>
        <x:v>0</x:v>
      </x:c>
      <x:c r="W829" s="28" t="n">
        <x:f>U829*O829</x:f>
        <x:v>0</x:v>
      </x:c>
    </x:row>
    <x:row r="830" ht="19" customHeight="1">
      <x:c r="A830" s="2"/>
      <x:c r="B830" s="2"/>
      <x:c r="C830" s="46" t="n">
        <x:v>3</x:v>
      </x:c>
      <x:c r="D830" s="46" t="n">
        <x:v>19</x:v>
      </x:c>
      <x:c r="E830" s="46" t="n">
        <x:v>3</x:v>
      </x:c>
      <x:c r="F830" s="46" t="n">
        <x:v>1</x:v>
      </x:c>
      <x:c r="G830" s="12" t="n">
        <x:v>0.5555555555555556</x:v>
      </x:c>
      <x:c r="H830" s="12" t="n">
        <x:v>0.6666666666666666</x:v>
      </x:c>
      <x:c r="I830" s="29" t="n">
        <x:f>'Assumptions'!$D$11+'Assumptions'!$D$12*(0.5-(G830+H830)/2)</x:f>
        <x:v>0.27777777777777773</x:v>
      </x:c>
      <x:c r="J830" s="27" t="n">
        <x:f>'Assumptions'!$D$8*EXP(-'Assumptions'!$D$9*('Fleet Engine'!E213-10))*'Assumptions'!E58*'Assumptions'!G36</x:f>
        <x:v>22255.409284924677</x:v>
      </x:c>
      <x:c r="K830" s="27" t="n">
        <x:f>'Source Data'!F218+LN('Assumptions'!D58)+LN('Assumptions'!G35)</x:f>
        <x:v>7.890902228235048</x:v>
      </x:c>
      <x:c r="L830" s="27" t="n">
        <x:f>J830*(1-I830*(1-'Carrier Engine'!E94))</x:f>
        <x:v>16320.633475611432</x:v>
      </x:c>
      <x:c r="M830" s="29" t="n">
        <x:f>NORM.S.DIST((LN(L830)-K830)/'Assumptions'!$D$10,TRUE)</x:f>
        <x:v>0.875392576065582</x:v>
      </x:c>
      <x:c r="N830" s="30" t="n">
        <x:f>MAX(0,H830-MAX(G830,M830))</x:f>
        <x:v>0</x:v>
      </x:c>
      <x:c r="O830" s="28" t="n">
        <x:f>J830*I830</x:f>
        <x:v>6182.0581347012985</x:v>
      </x:c>
      <x:c r="P830" s="27" t="n">
        <x:f>(VLOOKUP(O830,'Fee Data'!$C$6:$G$50,2,TRUE)+O830*VLOOKUP(O830,'Fee Data'!$C$6:$G$50,3,TRUE)+VLOOKUP(O830,'Fee Data'!$I$6:$J$14,2,TRUE)+'Fee Data'!$J$20+'Fee Data'!$J$21)*'Assumptions'!G37</x:f>
        <x:v>1060</x:v>
      </x:c>
      <x:c r="Q830" s="27" t="n">
        <x:f>(VLOOKUP(O830,'Fee Data'!$C$6:$G$50,4,TRUE)+O830*VLOOKUP(O830,'Fee Data'!$C$6:$G$50,5,TRUE)+VLOOKUP(O830,'Fee Data'!$I$6:$J$14,2,TRUE)+'Fee Data'!$J$20+'Fee Data'!$J$21)*'Assumptions'!G37</x:f>
        <x:v>935</x:v>
      </x:c>
      <x:c r="R830" s="27" t="n">
        <x:f>P830*(1-'Assumptions'!$D$14)+Q830*'Assumptions'!$D$14</x:f>
        <x:v>997.5</x:v>
      </x:c>
      <x:c r="S830" s="27" t="n">
        <x:f>O830*'Carrier Engine'!E94</x:f>
        <x:v>247.28232538805196</x:v>
      </x:c>
      <x:c r="T830" s="28" t="n">
        <x:f>R830+S830</x:f>
        <x:v>1244.782325388052</x:v>
      </x:c>
      <x:c r="U830" s="27" t="n">
        <x:f>N830*'Fleet Engine'!I213</x:f>
        <x:v>0</x:v>
      </x:c>
      <x:c r="V830" s="28" t="n">
        <x:f>U830*T830</x:f>
        <x:v>0</x:v>
      </x:c>
      <x:c r="W830" s="28" t="n">
        <x:f>U830*O830</x:f>
        <x:v>0</x:v>
      </x:c>
    </x:row>
    <x:row r="831" ht="19" customHeight="1">
      <x:c r="A831" s="2"/>
      <x:c r="B831" s="2"/>
      <x:c r="C831" s="46" t="n">
        <x:v>3</x:v>
      </x:c>
      <x:c r="D831" s="46" t="n">
        <x:v>19</x:v>
      </x:c>
      <x:c r="E831" s="46" t="n">
        <x:v>3</x:v>
      </x:c>
      <x:c r="F831" s="46" t="n">
        <x:v>1</x:v>
      </x:c>
      <x:c r="G831" s="12" t="n">
        <x:v>0.6666666666666666</x:v>
      </x:c>
      <x:c r="H831" s="12" t="n">
        <x:v>0.7777777777777778</x:v>
      </x:c>
      <x:c r="I831" s="29" t="n">
        <x:f>'Assumptions'!$D$11+'Assumptions'!$D$12*(0.5-(G831+H831)/2)</x:f>
        <x:v>0.25555555555555554</x:v>
      </x:c>
      <x:c r="J831" s="27" t="n">
        <x:f>'Assumptions'!$D$8*EXP(-'Assumptions'!$D$9*('Fleet Engine'!E213-10))*'Assumptions'!E58*'Assumptions'!G36</x:f>
        <x:v>22255.409284924677</x:v>
      </x:c>
      <x:c r="K831" s="27" t="n">
        <x:f>'Source Data'!F218+LN('Assumptions'!D58)+LN('Assumptions'!G35)</x:f>
        <x:v>7.890902228235048</x:v>
      </x:c>
      <x:c r="L831" s="27" t="n">
        <x:f>J831*(1-I831*(1-'Carrier Engine'!E94))</x:f>
        <x:v>16795.41554035649</x:v>
      </x:c>
      <x:c r="M831" s="29" t="n">
        <x:f>NORM.S.DIST((LN(L831)-K831)/'Assumptions'!$D$10,TRUE)</x:f>
        <x:v>0.879104313191051</x:v>
      </x:c>
      <x:c r="N831" s="30" t="n">
        <x:f>MAX(0,H831-MAX(G831,M831))</x:f>
        <x:v>0</x:v>
      </x:c>
      <x:c r="O831" s="28" t="n">
        <x:f>J831*I831</x:f>
        <x:v>5687.493483925195</x:v>
      </x:c>
      <x:c r="P831" s="27" t="n">
        <x:f>(VLOOKUP(O831,'Fee Data'!$C$6:$G$50,2,TRUE)+O831*VLOOKUP(O831,'Fee Data'!$C$6:$G$50,3,TRUE)+VLOOKUP(O831,'Fee Data'!$I$6:$J$14,2,TRUE)+'Fee Data'!$J$20+'Fee Data'!$J$21)*'Assumptions'!G37</x:f>
        <x:v>1020</x:v>
      </x:c>
      <x:c r="Q831" s="27" t="n">
        <x:f>(VLOOKUP(O831,'Fee Data'!$C$6:$G$50,4,TRUE)+O831*VLOOKUP(O831,'Fee Data'!$C$6:$G$50,5,TRUE)+VLOOKUP(O831,'Fee Data'!$I$6:$J$14,2,TRUE)+'Fee Data'!$J$20+'Fee Data'!$J$21)*'Assumptions'!G37</x:f>
        <x:v>895</x:v>
      </x:c>
      <x:c r="R831" s="27" t="n">
        <x:f>P831*(1-'Assumptions'!$D$14)+Q831*'Assumptions'!$D$14</x:f>
        <x:v>957.5</x:v>
      </x:c>
      <x:c r="S831" s="27" t="n">
        <x:f>O831*'Carrier Engine'!E94</x:f>
        <x:v>227.4997393570078</x:v>
      </x:c>
      <x:c r="T831" s="28" t="n">
        <x:f>R831+S831</x:f>
        <x:v>1184.999739357008</x:v>
      </x:c>
      <x:c r="U831" s="27" t="n">
        <x:f>N831*'Fleet Engine'!I213</x:f>
        <x:v>0</x:v>
      </x:c>
      <x:c r="V831" s="28" t="n">
        <x:f>U831*T831</x:f>
        <x:v>0</x:v>
      </x:c>
      <x:c r="W831" s="28" t="n">
        <x:f>U831*O831</x:f>
        <x:v>0</x:v>
      </x:c>
    </x:row>
    <x:row r="832" ht="19" customHeight="1">
      <x:c r="A832" s="2"/>
      <x:c r="B832" s="2"/>
      <x:c r="C832" s="46" t="n">
        <x:v>3</x:v>
      </x:c>
      <x:c r="D832" s="46" t="n">
        <x:v>19</x:v>
      </x:c>
      <x:c r="E832" s="46" t="n">
        <x:v>3</x:v>
      </x:c>
      <x:c r="F832" s="46" t="n">
        <x:v>1</x:v>
      </x:c>
      <x:c r="G832" s="12" t="n">
        <x:v>0.7777777777777778</x:v>
      </x:c>
      <x:c r="H832" s="12" t="n">
        <x:v>0.8888888888888888</x:v>
      </x:c>
      <x:c r="I832" s="29" t="n">
        <x:f>'Assumptions'!$D$11+'Assumptions'!$D$12*(0.5-(G832+H832)/2)</x:f>
        <x:v>0.23333333333333334</x:v>
      </x:c>
      <x:c r="J832" s="27" t="n">
        <x:f>'Assumptions'!$D$8*EXP(-'Assumptions'!$D$9*('Fleet Engine'!E213-10))*'Assumptions'!E58*'Assumptions'!G36</x:f>
        <x:v>22255.409284924677</x:v>
      </x:c>
      <x:c r="K832" s="27" t="n">
        <x:f>'Source Data'!F218+LN('Assumptions'!D58)+LN('Assumptions'!G35)</x:f>
        <x:v>7.890902228235048</x:v>
      </x:c>
      <x:c r="L832" s="27" t="n">
        <x:f>J832*(1-I832*(1-'Carrier Engine'!E94))</x:f>
        <x:v>17270.19760510155</x:v>
      </x:c>
      <x:c r="M832" s="29" t="n">
        <x:f>NORM.S.DIST((LN(L832)-K832)/'Assumptions'!$D$10,TRUE)</x:f>
        <x:v>0.8826373216697017</x:v>
      </x:c>
      <x:c r="N832" s="30" t="n">
        <x:f>MAX(0,H832-MAX(G832,M832))</x:f>
        <x:v>0.006251567219187182</x:v>
      </x:c>
      <x:c r="O832" s="28" t="n">
        <x:f>J832*I832</x:f>
        <x:v>5192.928833149092</x:v>
      </x:c>
      <x:c r="P832" s="27" t="n">
        <x:f>(VLOOKUP(O832,'Fee Data'!$C$6:$G$50,2,TRUE)+O832*VLOOKUP(O832,'Fee Data'!$C$6:$G$50,3,TRUE)+VLOOKUP(O832,'Fee Data'!$I$6:$J$14,2,TRUE)+'Fee Data'!$J$20+'Fee Data'!$J$21)*'Assumptions'!G37</x:f>
        <x:v>995</x:v>
      </x:c>
      <x:c r="Q832" s="27" t="n">
        <x:f>(VLOOKUP(O832,'Fee Data'!$C$6:$G$50,4,TRUE)+O832*VLOOKUP(O832,'Fee Data'!$C$6:$G$50,5,TRUE)+VLOOKUP(O832,'Fee Data'!$I$6:$J$14,2,TRUE)+'Fee Data'!$J$20+'Fee Data'!$J$21)*'Assumptions'!G37</x:f>
        <x:v>870</x:v>
      </x:c>
      <x:c r="R832" s="27" t="n">
        <x:f>P832*(1-'Assumptions'!$D$14)+Q832*'Assumptions'!$D$14</x:f>
        <x:v>932.5</x:v>
      </x:c>
      <x:c r="S832" s="27" t="n">
        <x:f>O832*'Carrier Engine'!E94</x:f>
        <x:v>207.71715332596366</x:v>
      </x:c>
      <x:c r="T832" s="28" t="n">
        <x:f>R832+S832</x:f>
        <x:v>1140.2171533259636</x:v>
      </x:c>
      <x:c r="U832" s="27" t="n">
        <x:f>N832*'Fleet Engine'!I213</x:f>
        <x:v>18.497670180763482</x:v>
      </x:c>
      <x:c r="V832" s="28" t="n">
        <x:f>U832*T832</x:f>
        <x:v>21091.360836672702</x:v>
      </x:c>
      <x:c r="W832" s="28" t="n">
        <x:f>U832*O832</x:f>
        <x:v>96057.08482776885</x:v>
      </x:c>
    </x:row>
    <x:row r="833" ht="19" customHeight="1">
      <x:c r="A833" s="2"/>
      <x:c r="B833" s="2"/>
      <x:c r="C833" s="46" t="n">
        <x:v>3</x:v>
      </x:c>
      <x:c r="D833" s="46" t="n">
        <x:v>19</x:v>
      </x:c>
      <x:c r="E833" s="46" t="n">
        <x:v>3</x:v>
      </x:c>
      <x:c r="F833" s="46" t="n">
        <x:v>1</x:v>
      </x:c>
      <x:c r="G833" s="12" t="n">
        <x:v>0.8888888888888888</x:v>
      </x:c>
      <x:c r="H833" s="12" t="n">
        <x:v>1</x:v>
      </x:c>
      <x:c r="I833" s="29" t="n">
        <x:f>'Assumptions'!$D$11+'Assumptions'!$D$12*(0.5-(G833+H833)/2)</x:f>
        <x:v>0.21111111111111108</x:v>
      </x:c>
      <x:c r="J833" s="27" t="n">
        <x:f>'Assumptions'!$D$8*EXP(-'Assumptions'!$D$9*('Fleet Engine'!E213-10))*'Assumptions'!E58*'Assumptions'!G36</x:f>
        <x:v>22255.409284924677</x:v>
      </x:c>
      <x:c r="K833" s="27" t="n">
        <x:f>'Source Data'!F218+LN('Assumptions'!D58)+LN('Assumptions'!G35)</x:f>
        <x:v>7.890902228235048</x:v>
      </x:c>
      <x:c r="L833" s="27" t="n">
        <x:f>J833*(1-I833*(1-'Carrier Engine'!E94))</x:f>
        <x:v>17744.97966984661</x:v>
      </x:c>
      <x:c r="M833" s="29" t="n">
        <x:f>NORM.S.DIST((LN(L833)-K833)/'Assumptions'!$D$10,TRUE)</x:f>
        <x:v>0.8860037279150648</x:v>
      </x:c>
      <x:c r="N833" s="30" t="n">
        <x:f>MAX(0,H833-MAX(G833,M833))</x:f>
        <x:v>0.11111111111111116</x:v>
      </x:c>
      <x:c r="O833" s="28" t="n">
        <x:f>J833*I833</x:f>
        <x:v>4698.364182372987</x:v>
      </x:c>
      <x:c r="P833" s="27" t="n">
        <x:f>(VLOOKUP(O833,'Fee Data'!$C$6:$G$50,2,TRUE)+O833*VLOOKUP(O833,'Fee Data'!$C$6:$G$50,3,TRUE)+VLOOKUP(O833,'Fee Data'!$I$6:$J$14,2,TRUE)+'Fee Data'!$J$20+'Fee Data'!$J$21)*'Assumptions'!G37</x:f>
        <x:v>970</x:v>
      </x:c>
      <x:c r="Q833" s="27" t="n">
        <x:f>(VLOOKUP(O833,'Fee Data'!$C$6:$G$50,4,TRUE)+O833*VLOOKUP(O833,'Fee Data'!$C$6:$G$50,5,TRUE)+VLOOKUP(O833,'Fee Data'!$I$6:$J$14,2,TRUE)+'Fee Data'!$J$20+'Fee Data'!$J$21)*'Assumptions'!G37</x:f>
        <x:v>845</x:v>
      </x:c>
      <x:c r="R833" s="27" t="n">
        <x:f>P833*(1-'Assumptions'!$D$14)+Q833*'Assumptions'!$D$14</x:f>
        <x:v>907.5</x:v>
      </x:c>
      <x:c r="S833" s="27" t="n">
        <x:f>O833*'Carrier Engine'!E94</x:f>
        <x:v>187.93456729491947</x:v>
      </x:c>
      <x:c r="T833" s="28" t="n">
        <x:f>R833+S833</x:f>
        <x:v>1095.4345672949194</x:v>
      </x:c>
      <x:c r="U833" s="27" t="n">
        <x:f>N833*'Fleet Engine'!I213</x:f>
        <x:v>328.76503038204953</x:v>
      </x:c>
      <x:c r="V833" s="28" t="n">
        <x:f>U833*T833</x:f>
        <x:v>360140.5787982615</x:v>
      </x:c>
      <x:c r="W833" s="28" t="n">
        <x:f>U833*O833</x:f>
        <x:v>1544657.8431637883</x:v>
      </x:c>
    </x:row>
    <x:row r="834" ht="19" customHeight="1">
      <x:c r="A834" s="2"/>
      <x:c r="B834" s="2"/>
      <x:c r="C834" s="46" t="n">
        <x:v>3</x:v>
      </x:c>
      <x:c r="D834" s="46" t="n">
        <x:v>20</x:v>
      </x:c>
      <x:c r="E834" s="46" t="n">
        <x:v>3</x:v>
      </x:c>
      <x:c r="F834" s="46" t="n">
        <x:v>2</x:v>
      </x:c>
      <x:c r="G834" s="12" t="n">
        <x:v>0</x:v>
      </x:c>
      <x:c r="H834" s="12" t="n">
        <x:v>0.1111111111111111</x:v>
      </x:c>
      <x:c r="I834" s="29" t="n">
        <x:f>'Assumptions'!$D$11+'Assumptions'!$D$12*(0.5-(G834+H834)/2)</x:f>
        <x:v>0.3888888888888889</x:v>
      </x:c>
      <x:c r="J834" s="27" t="n">
        <x:f>'Assumptions'!$D$8*EXP(-'Assumptions'!$D$9*('Fleet Engine'!E214-10))*'Assumptions'!E58*'Assumptions'!G36</x:f>
        <x:v>16487.212707001283</x:v>
      </x:c>
      <x:c r="K834" s="27" t="n">
        <x:f>'Source Data'!F219+LN('Assumptions'!D58)+LN('Assumptions'!G35)</x:f>
        <x:v>7.936584069520856</x:v>
      </x:c>
      <x:c r="L834" s="27" t="n">
        <x:f>J834*(1-I834*(1-'Carrier Engine'!E94))</x:f>
        <x:v>10331.986629720805</x:v>
      </x:c>
      <x:c r="M834" s="29" t="n">
        <x:f>NORM.S.DIST((LN(L834)-K834)/'Assumptions'!$D$10,TRUE)</x:f>
        <x:v>0.7972963261215247</x:v>
      </x:c>
      <x:c r="N834" s="30" t="n">
        <x:f>MAX(0,H834-MAX(G834,M834))</x:f>
        <x:v>0</x:v>
      </x:c>
      <x:c r="O834" s="28" t="n">
        <x:f>J834*I834</x:f>
        <x:v>6411.693830500499</x:v>
      </x:c>
      <x:c r="P834" s="27" t="n">
        <x:f>(VLOOKUP(O834,'Fee Data'!$C$6:$G$50,2,TRUE)+O834*VLOOKUP(O834,'Fee Data'!$C$6:$G$50,3,TRUE)+VLOOKUP(O834,'Fee Data'!$I$6:$J$14,2,TRUE)+'Fee Data'!$J$20+'Fee Data'!$J$21)*'Assumptions'!G37</x:f>
        <x:v>1060</x:v>
      </x:c>
      <x:c r="Q834" s="27" t="n">
        <x:f>(VLOOKUP(O834,'Fee Data'!$C$6:$G$50,4,TRUE)+O834*VLOOKUP(O834,'Fee Data'!$C$6:$G$50,5,TRUE)+VLOOKUP(O834,'Fee Data'!$I$6:$J$14,2,TRUE)+'Fee Data'!$J$20+'Fee Data'!$J$21)*'Assumptions'!G37</x:f>
        <x:v>935</x:v>
      </x:c>
      <x:c r="R834" s="27" t="n">
        <x:f>P834*(1-'Assumptions'!$D$14)+Q834*'Assumptions'!$D$14</x:f>
        <x:v>997.5</x:v>
      </x:c>
      <x:c r="S834" s="27" t="n">
        <x:f>O834*'Carrier Engine'!E94</x:f>
        <x:v>256.46775322002</x:v>
      </x:c>
      <x:c r="T834" s="28" t="n">
        <x:f>R834+S834</x:f>
        <x:v>1253.9677532200199</x:v>
      </x:c>
      <x:c r="U834" s="27" t="n">
        <x:f>N834*'Fleet Engine'!I214</x:f>
        <x:v>0</x:v>
      </x:c>
      <x:c r="V834" s="28" t="n">
        <x:f>U834*T834</x:f>
        <x:v>0</x:v>
      </x:c>
      <x:c r="W834" s="28" t="n">
        <x:f>U834*O834</x:f>
        <x:v>0</x:v>
      </x:c>
    </x:row>
    <x:row r="835" ht="19" customHeight="1">
      <x:c r="A835" s="2"/>
      <x:c r="B835" s="2"/>
      <x:c r="C835" s="46" t="n">
        <x:v>3</x:v>
      </x:c>
      <x:c r="D835" s="46" t="n">
        <x:v>20</x:v>
      </x:c>
      <x:c r="E835" s="46" t="n">
        <x:v>3</x:v>
      </x:c>
      <x:c r="F835" s="46" t="n">
        <x:v>2</x:v>
      </x:c>
      <x:c r="G835" s="12" t="n">
        <x:v>0.1111111111111111</x:v>
      </x:c>
      <x:c r="H835" s="12" t="n">
        <x:v>0.2222222222222222</x:v>
      </x:c>
      <x:c r="I835" s="29" t="n">
        <x:f>'Assumptions'!$D$11+'Assumptions'!$D$12*(0.5-(G835+H835)/2)</x:f>
        <x:v>0.3666666666666667</x:v>
      </x:c>
      <x:c r="J835" s="27" t="n">
        <x:f>'Assumptions'!$D$8*EXP(-'Assumptions'!$D$9*('Fleet Engine'!E214-10))*'Assumptions'!E58*'Assumptions'!G36</x:f>
        <x:v>16487.212707001283</x:v>
      </x:c>
      <x:c r="K835" s="27" t="n">
        <x:f>'Source Data'!F219+LN('Assumptions'!D58)+LN('Assumptions'!G35)</x:f>
        <x:v>7.936584069520856</x:v>
      </x:c>
      <x:c r="L835" s="27" t="n">
        <x:f>J835*(1-I835*(1-'Carrier Engine'!E94))</x:f>
        <x:v>10683.71383413683</x:v>
      </x:c>
      <x:c r="M835" s="29" t="n">
        <x:f>NORM.S.DIST((LN(L835)-K835)/'Assumptions'!$D$10,TRUE)</x:f>
        <x:v>0.8032596960589325</x:v>
      </x:c>
      <x:c r="N835" s="30" t="n">
        <x:f>MAX(0,H835-MAX(G835,M835))</x:f>
        <x:v>0</x:v>
      </x:c>
      <x:c r="O835" s="28" t="n">
        <x:f>J835*I835</x:f>
        <x:v>6045.311325900471</x:v>
      </x:c>
      <x:c r="P835" s="27" t="n">
        <x:f>(VLOOKUP(O835,'Fee Data'!$C$6:$G$50,2,TRUE)+O835*VLOOKUP(O835,'Fee Data'!$C$6:$G$50,3,TRUE)+VLOOKUP(O835,'Fee Data'!$I$6:$J$14,2,TRUE)+'Fee Data'!$J$20+'Fee Data'!$J$21)*'Assumptions'!G37</x:f>
        <x:v>1060</x:v>
      </x:c>
      <x:c r="Q835" s="27" t="n">
        <x:f>(VLOOKUP(O835,'Fee Data'!$C$6:$G$50,4,TRUE)+O835*VLOOKUP(O835,'Fee Data'!$C$6:$G$50,5,TRUE)+VLOOKUP(O835,'Fee Data'!$I$6:$J$14,2,TRUE)+'Fee Data'!$J$20+'Fee Data'!$J$21)*'Assumptions'!G37</x:f>
        <x:v>935</x:v>
      </x:c>
      <x:c r="R835" s="27" t="n">
        <x:f>P835*(1-'Assumptions'!$D$14)+Q835*'Assumptions'!$D$14</x:f>
        <x:v>997.5</x:v>
      </x:c>
      <x:c r="S835" s="27" t="n">
        <x:f>O835*'Carrier Engine'!E94</x:f>
        <x:v>241.81245303601887</x:v>
      </x:c>
      <x:c r="T835" s="28" t="n">
        <x:f>R835+S835</x:f>
        <x:v>1239.312453036019</x:v>
      </x:c>
      <x:c r="U835" s="27" t="n">
        <x:f>N835*'Fleet Engine'!I214</x:f>
        <x:v>0</x:v>
      </x:c>
      <x:c r="V835" s="28" t="n">
        <x:f>U835*T835</x:f>
        <x:v>0</x:v>
      </x:c>
      <x:c r="W835" s="28" t="n">
        <x:f>U835*O835</x:f>
        <x:v>0</x:v>
      </x:c>
    </x:row>
    <x:row r="836" ht="19" customHeight="1">
      <x:c r="A836" s="2"/>
      <x:c r="B836" s="2"/>
      <x:c r="C836" s="46" t="n">
        <x:v>3</x:v>
      </x:c>
      <x:c r="D836" s="46" t="n">
        <x:v>20</x:v>
      </x:c>
      <x:c r="E836" s="46" t="n">
        <x:v>3</x:v>
      </x:c>
      <x:c r="F836" s="46" t="n">
        <x:v>2</x:v>
      </x:c>
      <x:c r="G836" s="12" t="n">
        <x:v>0.2222222222222222</x:v>
      </x:c>
      <x:c r="H836" s="12" t="n">
        <x:v>0.3333333333333333</x:v>
      </x:c>
      <x:c r="I836" s="29" t="n">
        <x:f>'Assumptions'!$D$11+'Assumptions'!$D$12*(0.5-(G836+H836)/2)</x:f>
        <x:v>0.34444444444444444</x:v>
      </x:c>
      <x:c r="J836" s="27" t="n">
        <x:f>'Assumptions'!$D$8*EXP(-'Assumptions'!$D$9*('Fleet Engine'!E214-10))*'Assumptions'!E58*'Assumptions'!G36</x:f>
        <x:v>16487.212707001283</x:v>
      </x:c>
      <x:c r="K836" s="27" t="n">
        <x:f>'Source Data'!F219+LN('Assumptions'!D58)+LN('Assumptions'!G35)</x:f>
        <x:v>7.936584069520856</x:v>
      </x:c>
      <x:c r="L836" s="27" t="n">
        <x:f>J836*(1-I836*(1-'Carrier Engine'!E94))</x:f>
        <x:v>11035.441038552859</x:v>
      </x:c>
      <x:c r="M836" s="29" t="n">
        <x:f>NORM.S.DIST((LN(L836)-K836)/'Assumptions'!$D$10,TRUE)</x:f>
        <x:v>0.8089275577472801</x:v>
      </x:c>
      <x:c r="N836" s="30" t="n">
        <x:f>MAX(0,H836-MAX(G836,M836))</x:f>
        <x:v>0</x:v>
      </x:c>
      <x:c r="O836" s="28" t="n">
        <x:f>J836*I836</x:f>
        <x:v>5678.928821300442</x:v>
      </x:c>
      <x:c r="P836" s="27" t="n">
        <x:f>(VLOOKUP(O836,'Fee Data'!$C$6:$G$50,2,TRUE)+O836*VLOOKUP(O836,'Fee Data'!$C$6:$G$50,3,TRUE)+VLOOKUP(O836,'Fee Data'!$I$6:$J$14,2,TRUE)+'Fee Data'!$J$20+'Fee Data'!$J$21)*'Assumptions'!G37</x:f>
        <x:v>1020</x:v>
      </x:c>
      <x:c r="Q836" s="27" t="n">
        <x:f>(VLOOKUP(O836,'Fee Data'!$C$6:$G$50,4,TRUE)+O836*VLOOKUP(O836,'Fee Data'!$C$6:$G$50,5,TRUE)+VLOOKUP(O836,'Fee Data'!$I$6:$J$14,2,TRUE)+'Fee Data'!$J$20+'Fee Data'!$J$21)*'Assumptions'!G37</x:f>
        <x:v>895</x:v>
      </x:c>
      <x:c r="R836" s="27" t="n">
        <x:f>P836*(1-'Assumptions'!$D$14)+Q836*'Assumptions'!$D$14</x:f>
        <x:v>957.5</x:v>
      </x:c>
      <x:c r="S836" s="27" t="n">
        <x:f>O836*'Carrier Engine'!E94</x:f>
        <x:v>227.15715285201767</x:v>
      </x:c>
      <x:c r="T836" s="28" t="n">
        <x:f>R836+S836</x:f>
        <x:v>1184.6571528520176</x:v>
      </x:c>
      <x:c r="U836" s="27" t="n">
        <x:f>N836*'Fleet Engine'!I214</x:f>
        <x:v>0</x:v>
      </x:c>
      <x:c r="V836" s="28" t="n">
        <x:f>U836*T836</x:f>
        <x:v>0</x:v>
      </x:c>
      <x:c r="W836" s="28" t="n">
        <x:f>U836*O836</x:f>
        <x:v>0</x:v>
      </x:c>
    </x:row>
    <x:row r="837" ht="19" customHeight="1">
      <x:c r="A837" s="2"/>
      <x:c r="B837" s="2"/>
      <x:c r="C837" s="46" t="n">
        <x:v>3</x:v>
      </x:c>
      <x:c r="D837" s="46" t="n">
        <x:v>20</x:v>
      </x:c>
      <x:c r="E837" s="46" t="n">
        <x:v>3</x:v>
      </x:c>
      <x:c r="F837" s="46" t="n">
        <x:v>2</x:v>
      </x:c>
      <x:c r="G837" s="12" t="n">
        <x:v>0.3333333333333333</x:v>
      </x:c>
      <x:c r="H837" s="12" t="n">
        <x:v>0.4444444444444444</x:v>
      </x:c>
      <x:c r="I837" s="29" t="n">
        <x:f>'Assumptions'!$D$11+'Assumptions'!$D$12*(0.5-(G837+H837)/2)</x:f>
        <x:v>0.32222222222222224</x:v>
      </x:c>
      <x:c r="J837" s="27" t="n">
        <x:f>'Assumptions'!$D$8*EXP(-'Assumptions'!$D$9*('Fleet Engine'!E214-10))*'Assumptions'!E58*'Assumptions'!G36</x:f>
        <x:v>16487.212707001283</x:v>
      </x:c>
      <x:c r="K837" s="27" t="n">
        <x:f>'Source Data'!F219+LN('Assumptions'!D58)+LN('Assumptions'!G35)</x:f>
        <x:v>7.936584069520856</x:v>
      </x:c>
      <x:c r="L837" s="27" t="n">
        <x:f>J837*(1-I837*(1-'Carrier Engine'!E94))</x:f>
        <x:v>11387.168242968886</x:v>
      </x:c>
      <x:c r="M837" s="29" t="n">
        <x:f>NORM.S.DIST((LN(L837)-K837)/'Assumptions'!$D$10,TRUE)</x:f>
        <x:v>0.8143210319055623</x:v>
      </x:c>
      <x:c r="N837" s="30" t="n">
        <x:f>MAX(0,H837-MAX(G837,M837))</x:f>
        <x:v>0</x:v>
      </x:c>
      <x:c r="O837" s="28" t="n">
        <x:f>J837*I837</x:f>
        <x:v>5312.546316700414</x:v>
      </x:c>
      <x:c r="P837" s="27" t="n">
        <x:f>(VLOOKUP(O837,'Fee Data'!$C$6:$G$50,2,TRUE)+O837*VLOOKUP(O837,'Fee Data'!$C$6:$G$50,3,TRUE)+VLOOKUP(O837,'Fee Data'!$I$6:$J$14,2,TRUE)+'Fee Data'!$J$20+'Fee Data'!$J$21)*'Assumptions'!G37</x:f>
        <x:v>995</x:v>
      </x:c>
      <x:c r="Q837" s="27" t="n">
        <x:f>(VLOOKUP(O837,'Fee Data'!$C$6:$G$50,4,TRUE)+O837*VLOOKUP(O837,'Fee Data'!$C$6:$G$50,5,TRUE)+VLOOKUP(O837,'Fee Data'!$I$6:$J$14,2,TRUE)+'Fee Data'!$J$20+'Fee Data'!$J$21)*'Assumptions'!G37</x:f>
        <x:v>870</x:v>
      </x:c>
      <x:c r="R837" s="27" t="n">
        <x:f>P837*(1-'Assumptions'!$D$14)+Q837*'Assumptions'!$D$14</x:f>
        <x:v>932.5</x:v>
      </x:c>
      <x:c r="S837" s="27" t="n">
        <x:f>O837*'Carrier Engine'!E94</x:f>
        <x:v>212.50185266801654</x:v>
      </x:c>
      <x:c r="T837" s="28" t="n">
        <x:f>R837+S837</x:f>
        <x:v>1145.0018526680165</x:v>
      </x:c>
      <x:c r="U837" s="27" t="n">
        <x:f>N837*'Fleet Engine'!I214</x:f>
        <x:v>0</x:v>
      </x:c>
      <x:c r="V837" s="28" t="n">
        <x:f>U837*T837</x:f>
        <x:v>0</x:v>
      </x:c>
      <x:c r="W837" s="28" t="n">
        <x:f>U837*O837</x:f>
        <x:v>0</x:v>
      </x:c>
    </x:row>
    <x:row r="838" ht="19" customHeight="1">
      <x:c r="A838" s="2"/>
      <x:c r="B838" s="2"/>
      <x:c r="C838" s="46" t="n">
        <x:v>3</x:v>
      </x:c>
      <x:c r="D838" s="46" t="n">
        <x:v>20</x:v>
      </x:c>
      <x:c r="E838" s="46" t="n">
        <x:v>3</x:v>
      </x:c>
      <x:c r="F838" s="46" t="n">
        <x:v>2</x:v>
      </x:c>
      <x:c r="G838" s="12" t="n">
        <x:v>0.4444444444444444</x:v>
      </x:c>
      <x:c r="H838" s="12" t="n">
        <x:v>0.5555555555555556</x:v>
      </x:c>
      <x:c r="I838" s="29" t="n">
        <x:f>'Assumptions'!$D$11+'Assumptions'!$D$12*(0.5-(G838+H838)/2)</x:f>
        <x:v>0.3</x:v>
      </x:c>
      <x:c r="J838" s="27" t="n">
        <x:f>'Assumptions'!$D$8*EXP(-'Assumptions'!$D$9*('Fleet Engine'!E214-10))*'Assumptions'!E58*'Assumptions'!G36</x:f>
        <x:v>16487.212707001283</x:v>
      </x:c>
      <x:c r="K838" s="27" t="n">
        <x:f>'Source Data'!F219+LN('Assumptions'!D58)+LN('Assumptions'!G35)</x:f>
        <x:v>7.936584069520856</x:v>
      </x:c>
      <x:c r="L838" s="27" t="n">
        <x:f>J838*(1-I838*(1-'Carrier Engine'!E94))</x:f>
        <x:v>11738.895447384913</x:v>
      </x:c>
      <x:c r="M838" s="29" t="n">
        <x:f>NORM.S.DIST((LN(L838)-K838)/'Assumptions'!$D$10,TRUE)</x:f>
        <x:v>0.8194592567333258</x:v>
      </x:c>
      <x:c r="N838" s="30" t="n">
        <x:f>MAX(0,H838-MAX(G838,M838))</x:f>
        <x:v>0</x:v>
      </x:c>
      <x:c r="O838" s="28" t="n">
        <x:f>J838*I838</x:f>
        <x:v>4946.163812100384</x:v>
      </x:c>
      <x:c r="P838" s="27" t="n">
        <x:f>(VLOOKUP(O838,'Fee Data'!$C$6:$G$50,2,TRUE)+O838*VLOOKUP(O838,'Fee Data'!$C$6:$G$50,3,TRUE)+VLOOKUP(O838,'Fee Data'!$I$6:$J$14,2,TRUE)+'Fee Data'!$J$20+'Fee Data'!$J$21)*'Assumptions'!G37</x:f>
        <x:v>970</x:v>
      </x:c>
      <x:c r="Q838" s="27" t="n">
        <x:f>(VLOOKUP(O838,'Fee Data'!$C$6:$G$50,4,TRUE)+O838*VLOOKUP(O838,'Fee Data'!$C$6:$G$50,5,TRUE)+VLOOKUP(O838,'Fee Data'!$I$6:$J$14,2,TRUE)+'Fee Data'!$J$20+'Fee Data'!$J$21)*'Assumptions'!G37</x:f>
        <x:v>845</x:v>
      </x:c>
      <x:c r="R838" s="27" t="n">
        <x:f>P838*(1-'Assumptions'!$D$14)+Q838*'Assumptions'!$D$14</x:f>
        <x:v>907.5</x:v>
      </x:c>
      <x:c r="S838" s="27" t="n">
        <x:f>O838*'Carrier Engine'!E94</x:f>
        <x:v>197.84655248401538</x:v>
      </x:c>
      <x:c r="T838" s="28" t="n">
        <x:f>R838+S838</x:f>
        <x:v>1105.3465524840153</x:v>
      </x:c>
      <x:c r="U838" s="27" t="n">
        <x:f>N838*'Fleet Engine'!I214</x:f>
        <x:v>0</x:v>
      </x:c>
      <x:c r="V838" s="28" t="n">
        <x:f>U838*T838</x:f>
        <x:v>0</x:v>
      </x:c>
      <x:c r="W838" s="28" t="n">
        <x:f>U838*O838</x:f>
        <x:v>0</x:v>
      </x:c>
    </x:row>
    <x:row r="839" ht="19" customHeight="1">
      <x:c r="A839" s="2"/>
      <x:c r="B839" s="2"/>
      <x:c r="C839" s="46" t="n">
        <x:v>3</x:v>
      </x:c>
      <x:c r="D839" s="46" t="n">
        <x:v>20</x:v>
      </x:c>
      <x:c r="E839" s="46" t="n">
        <x:v>3</x:v>
      </x:c>
      <x:c r="F839" s="46" t="n">
        <x:v>2</x:v>
      </x:c>
      <x:c r="G839" s="12" t="n">
        <x:v>0.5555555555555556</x:v>
      </x:c>
      <x:c r="H839" s="12" t="n">
        <x:v>0.6666666666666666</x:v>
      </x:c>
      <x:c r="I839" s="29" t="n">
        <x:f>'Assumptions'!$D$11+'Assumptions'!$D$12*(0.5-(G839+H839)/2)</x:f>
        <x:v>0.27777777777777773</x:v>
      </x:c>
      <x:c r="J839" s="27" t="n">
        <x:f>'Assumptions'!$D$8*EXP(-'Assumptions'!$D$9*('Fleet Engine'!E214-10))*'Assumptions'!E58*'Assumptions'!G36</x:f>
        <x:v>16487.212707001283</x:v>
      </x:c>
      <x:c r="K839" s="27" t="n">
        <x:f>'Source Data'!F219+LN('Assumptions'!D58)+LN('Assumptions'!G35)</x:f>
        <x:v>7.936584069520856</x:v>
      </x:c>
      <x:c r="L839" s="27" t="n">
        <x:f>J839*(1-I839*(1-'Carrier Engine'!E94))</x:f>
        <x:v>12090.622651800943</x:v>
      </x:c>
      <x:c r="M839" s="29" t="n">
        <x:f>NORM.S.DIST((LN(L839)-K839)/'Assumptions'!$D$10,TRUE)</x:f>
        <x:v>0.824359618018476</x:v>
      </x:c>
      <x:c r="N839" s="30" t="n">
        <x:f>MAX(0,H839-MAX(G839,M839))</x:f>
        <x:v>0</x:v>
      </x:c>
      <x:c r="O839" s="28" t="n">
        <x:f>J839*I839</x:f>
        <x:v>4579.781307500356</x:v>
      </x:c>
      <x:c r="P839" s="27" t="n">
        <x:f>(VLOOKUP(O839,'Fee Data'!$C$6:$G$50,2,TRUE)+O839*VLOOKUP(O839,'Fee Data'!$C$6:$G$50,3,TRUE)+VLOOKUP(O839,'Fee Data'!$I$6:$J$14,2,TRUE)+'Fee Data'!$J$20+'Fee Data'!$J$21)*'Assumptions'!G37</x:f>
        <x:v>970</x:v>
      </x:c>
      <x:c r="Q839" s="27" t="n">
        <x:f>(VLOOKUP(O839,'Fee Data'!$C$6:$G$50,4,TRUE)+O839*VLOOKUP(O839,'Fee Data'!$C$6:$G$50,5,TRUE)+VLOOKUP(O839,'Fee Data'!$I$6:$J$14,2,TRUE)+'Fee Data'!$J$20+'Fee Data'!$J$21)*'Assumptions'!G37</x:f>
        <x:v>845</x:v>
      </x:c>
      <x:c r="R839" s="27" t="n">
        <x:f>P839*(1-'Assumptions'!$D$14)+Q839*'Assumptions'!$D$14</x:f>
        <x:v>907.5</x:v>
      </x:c>
      <x:c r="S839" s="27" t="n">
        <x:f>O839*'Carrier Engine'!E94</x:f>
        <x:v>183.19125230001424</x:v>
      </x:c>
      <x:c r="T839" s="28" t="n">
        <x:f>R839+S839</x:f>
        <x:v>1090.6912523000142</x:v>
      </x:c>
      <x:c r="U839" s="27" t="n">
        <x:f>N839*'Fleet Engine'!I214</x:f>
        <x:v>0</x:v>
      </x:c>
      <x:c r="V839" s="28" t="n">
        <x:f>U839*T839</x:f>
        <x:v>0</x:v>
      </x:c>
      <x:c r="W839" s="28" t="n">
        <x:f>U839*O839</x:f>
        <x:v>0</x:v>
      </x:c>
    </x:row>
    <x:row r="840" ht="19" customHeight="1">
      <x:c r="A840" s="2"/>
      <x:c r="B840" s="2"/>
      <x:c r="C840" s="46" t="n">
        <x:v>3</x:v>
      </x:c>
      <x:c r="D840" s="46" t="n">
        <x:v>20</x:v>
      </x:c>
      <x:c r="E840" s="46" t="n">
        <x:v>3</x:v>
      </x:c>
      <x:c r="F840" s="46" t="n">
        <x:v>2</x:v>
      </x:c>
      <x:c r="G840" s="12" t="n">
        <x:v>0.6666666666666666</x:v>
      </x:c>
      <x:c r="H840" s="12" t="n">
        <x:v>0.7777777777777778</x:v>
      </x:c>
      <x:c r="I840" s="29" t="n">
        <x:f>'Assumptions'!$D$11+'Assumptions'!$D$12*(0.5-(G840+H840)/2)</x:f>
        <x:v>0.25555555555555554</x:v>
      </x:c>
      <x:c r="J840" s="27" t="n">
        <x:f>'Assumptions'!$D$8*EXP(-'Assumptions'!$D$9*('Fleet Engine'!E214-10))*'Assumptions'!E58*'Assumptions'!G36</x:f>
        <x:v>16487.212707001283</x:v>
      </x:c>
      <x:c r="K840" s="27" t="n">
        <x:f>'Source Data'!F219+LN('Assumptions'!D58)+LN('Assumptions'!G35)</x:f>
        <x:v>7.936584069520856</x:v>
      </x:c>
      <x:c r="L840" s="27" t="n">
        <x:f>J840*(1-I840*(1-'Carrier Engine'!E94))</x:f>
        <x:v>12442.34985621697</x:v>
      </x:c>
      <x:c r="M840" s="29" t="n">
        <x:f>NORM.S.DIST((LN(L840)-K840)/'Assumptions'!$D$10,TRUE)</x:f>
        <x:v>0.8290379475487466</x:v>
      </x:c>
      <x:c r="N840" s="30" t="n">
        <x:f>MAX(0,H840-MAX(G840,M840))</x:f>
        <x:v>0</x:v>
      </x:c>
      <x:c r="O840" s="28" t="n">
        <x:f>J840*I840</x:f>
        <x:v>4213.398802900328</x:v>
      </x:c>
      <x:c r="P840" s="27" t="n">
        <x:f>(VLOOKUP(O840,'Fee Data'!$C$6:$G$50,2,TRUE)+O840*VLOOKUP(O840,'Fee Data'!$C$6:$G$50,3,TRUE)+VLOOKUP(O840,'Fee Data'!$I$6:$J$14,2,TRUE)+'Fee Data'!$J$20+'Fee Data'!$J$21)*'Assumptions'!G37</x:f>
        <x:v>945</x:v>
      </x:c>
      <x:c r="Q840" s="27" t="n">
        <x:f>(VLOOKUP(O840,'Fee Data'!$C$6:$G$50,4,TRUE)+O840*VLOOKUP(O840,'Fee Data'!$C$6:$G$50,5,TRUE)+VLOOKUP(O840,'Fee Data'!$I$6:$J$14,2,TRUE)+'Fee Data'!$J$20+'Fee Data'!$J$21)*'Assumptions'!G37</x:f>
        <x:v>820</x:v>
      </x:c>
      <x:c r="R840" s="27" t="n">
        <x:f>P840*(1-'Assumptions'!$D$14)+Q840*'Assumptions'!$D$14</x:f>
        <x:v>882.5</x:v>
      </x:c>
      <x:c r="S840" s="27" t="n">
        <x:f>O840*'Carrier Engine'!E94</x:f>
        <x:v>168.5359521160131</x:v>
      </x:c>
      <x:c r="T840" s="28" t="n">
        <x:f>R840+S840</x:f>
        <x:v>1051.035952116013</x:v>
      </x:c>
      <x:c r="U840" s="27" t="n">
        <x:f>N840*'Fleet Engine'!I214</x:f>
        <x:v>0</x:v>
      </x:c>
      <x:c r="V840" s="28" t="n">
        <x:f>U840*T840</x:f>
        <x:v>0</x:v>
      </x:c>
      <x:c r="W840" s="28" t="n">
        <x:f>U840*O840</x:f>
        <x:v>0</x:v>
      </x:c>
    </x:row>
    <x:row r="841" ht="19" customHeight="1">
      <x:c r="A841" s="2"/>
      <x:c r="B841" s="2"/>
      <x:c r="C841" s="46" t="n">
        <x:v>3</x:v>
      </x:c>
      <x:c r="D841" s="46" t="n">
        <x:v>20</x:v>
      </x:c>
      <x:c r="E841" s="46" t="n">
        <x:v>3</x:v>
      </x:c>
      <x:c r="F841" s="46" t="n">
        <x:v>2</x:v>
      </x:c>
      <x:c r="G841" s="12" t="n">
        <x:v>0.7777777777777778</x:v>
      </x:c>
      <x:c r="H841" s="12" t="n">
        <x:v>0.8888888888888888</x:v>
      </x:c>
      <x:c r="I841" s="29" t="n">
        <x:f>'Assumptions'!$D$11+'Assumptions'!$D$12*(0.5-(G841+H841)/2)</x:f>
        <x:v>0.23333333333333334</x:v>
      </x:c>
      <x:c r="J841" s="27" t="n">
        <x:f>'Assumptions'!$D$8*EXP(-'Assumptions'!$D$9*('Fleet Engine'!E214-10))*'Assumptions'!E58*'Assumptions'!G36</x:f>
        <x:v>16487.212707001283</x:v>
      </x:c>
      <x:c r="K841" s="27" t="n">
        <x:f>'Source Data'!F219+LN('Assumptions'!D58)+LN('Assumptions'!G35)</x:f>
        <x:v>7.936584069520856</x:v>
      </x:c>
      <x:c r="L841" s="27" t="n">
        <x:f>J841*(1-I841*(1-'Carrier Engine'!E94))</x:f>
        <x:v>12794.077060632995</x:v>
      </x:c>
      <x:c r="M841" s="29" t="n">
        <x:f>NORM.S.DIST((LN(L841)-K841)/'Assumptions'!$D$10,TRUE)</x:f>
        <x:v>0.8335086948581082</x:v>
      </x:c>
      <x:c r="N841" s="30" t="n">
        <x:f>MAX(0,H841-MAX(G841,M841))</x:f>
        <x:v>0.05538019403078065</x:v>
      </x:c>
      <x:c r="O841" s="28" t="n">
        <x:f>J841*I841</x:f>
        <x:v>3847.0162983002992</x:v>
      </x:c>
      <x:c r="P841" s="27" t="n">
        <x:f>(VLOOKUP(O841,'Fee Data'!$C$6:$G$50,2,TRUE)+O841*VLOOKUP(O841,'Fee Data'!$C$6:$G$50,3,TRUE)+VLOOKUP(O841,'Fee Data'!$I$6:$J$14,2,TRUE)+'Fee Data'!$J$20+'Fee Data'!$J$21)*'Assumptions'!G37</x:f>
        <x:v>915</x:v>
      </x:c>
      <x:c r="Q841" s="27" t="n">
        <x:f>(VLOOKUP(O841,'Fee Data'!$C$6:$G$50,4,TRUE)+O841*VLOOKUP(O841,'Fee Data'!$C$6:$G$50,5,TRUE)+VLOOKUP(O841,'Fee Data'!$I$6:$J$14,2,TRUE)+'Fee Data'!$J$20+'Fee Data'!$J$21)*'Assumptions'!G37</x:f>
        <x:v>765</x:v>
      </x:c>
      <x:c r="R841" s="27" t="n">
        <x:f>P841*(1-'Assumptions'!$D$14)+Q841*'Assumptions'!$D$14</x:f>
        <x:v>840</x:v>
      </x:c>
      <x:c r="S841" s="27" t="n">
        <x:f>O841*'Carrier Engine'!E94</x:f>
        <x:v>153.88065193201197</x:v>
      </x:c>
      <x:c r="T841" s="28" t="n">
        <x:f>R841+S841</x:f>
        <x:v>993.8806519320119</x:v>
      </x:c>
      <x:c r="U841" s="27" t="n">
        <x:f>N841*'Fleet Engine'!I214</x:f>
        <x:v>145.12206374887688</x:v>
      </x:c>
      <x:c r="V841" s="28" t="n">
        <x:f>U841*T841</x:f>
        <x:v>144234.01132845276</x:v>
      </x:c>
      <x:c r="W841" s="28" t="n">
        <x:f>U841*O841</x:f>
        <x:v>558286.9444849044</x:v>
      </x:c>
    </x:row>
    <x:row r="842" ht="19" customHeight="1">
      <x:c r="A842" s="2"/>
      <x:c r="B842" s="2"/>
      <x:c r="C842" s="46" t="n">
        <x:v>3</x:v>
      </x:c>
      <x:c r="D842" s="46" t="n">
        <x:v>20</x:v>
      </x:c>
      <x:c r="E842" s="46" t="n">
        <x:v>3</x:v>
      </x:c>
      <x:c r="F842" s="46" t="n">
        <x:v>2</x:v>
      </x:c>
      <x:c r="G842" s="12" t="n">
        <x:v>0.8888888888888888</x:v>
      </x:c>
      <x:c r="H842" s="12" t="n">
        <x:v>1</x:v>
      </x:c>
      <x:c r="I842" s="29" t="n">
        <x:f>'Assumptions'!$D$11+'Assumptions'!$D$12*(0.5-(G842+H842)/2)</x:f>
        <x:v>0.21111111111111108</x:v>
      </x:c>
      <x:c r="J842" s="27" t="n">
        <x:f>'Assumptions'!$D$8*EXP(-'Assumptions'!$D$9*('Fleet Engine'!E214-10))*'Assumptions'!E58*'Assumptions'!G36</x:f>
        <x:v>16487.212707001283</x:v>
      </x:c>
      <x:c r="K842" s="27" t="n">
        <x:f>'Source Data'!F219+LN('Assumptions'!D58)+LN('Assumptions'!G35)</x:f>
        <x:v>7.936584069520856</x:v>
      </x:c>
      <x:c r="L842" s="27" t="n">
        <x:f>J842*(1-I842*(1-'Carrier Engine'!E94))</x:f>
        <x:v>13145.804265049022</x:v>
      </x:c>
      <x:c r="M842" s="29" t="n">
        <x:f>NORM.S.DIST((LN(L842)-K842)/'Assumptions'!$D$10,TRUE)</x:f>
        <x:v>0.8377850764390044</x:v>
      </x:c>
      <x:c r="N842" s="30" t="n">
        <x:f>MAX(0,H842-MAX(G842,M842))</x:f>
        <x:v>0.11111111111111116</x:v>
      </x:c>
      <x:c r="O842" s="28" t="n">
        <x:f>J842*I842</x:f>
        <x:v>3480.6337937002704</x:v>
      </x:c>
      <x:c r="P842" s="27" t="n">
        <x:f>(VLOOKUP(O842,'Fee Data'!$C$6:$G$50,2,TRUE)+O842*VLOOKUP(O842,'Fee Data'!$C$6:$G$50,3,TRUE)+VLOOKUP(O842,'Fee Data'!$I$6:$J$14,2,TRUE)+'Fee Data'!$J$20+'Fee Data'!$J$21)*'Assumptions'!G37</x:f>
        <x:v>865</x:v>
      </x:c>
      <x:c r="Q842" s="27" t="n">
        <x:f>(VLOOKUP(O842,'Fee Data'!$C$6:$G$50,4,TRUE)+O842*VLOOKUP(O842,'Fee Data'!$C$6:$G$50,5,TRUE)+VLOOKUP(O842,'Fee Data'!$I$6:$J$14,2,TRUE)+'Fee Data'!$J$20+'Fee Data'!$J$21)*'Assumptions'!G37</x:f>
        <x:v>715</x:v>
      </x:c>
      <x:c r="R842" s="27" t="n">
        <x:f>P842*(1-'Assumptions'!$D$14)+Q842*'Assumptions'!$D$14</x:f>
        <x:v>790</x:v>
      </x:c>
      <x:c r="S842" s="27" t="n">
        <x:f>O842*'Carrier Engine'!E94</x:f>
        <x:v>139.2253517480108</x:v>
      </x:c>
      <x:c r="T842" s="28" t="n">
        <x:f>R842+S842</x:f>
        <x:v>929.2253517480108</x:v>
      </x:c>
      <x:c r="U842" s="27" t="n">
        <x:f>N842*'Fleet Engine'!I214</x:f>
        <x:v>291.1631862631797</x:v>
      </x:c>
      <x:c r="V842" s="28" t="n">
        <x:f>U842*T842</x:f>
        <x:v>270556.21417147474</x:v>
      </x:c>
      <x:c r="W842" s="28" t="n">
        <x:f>U842*O842</x:f>
        <x:v>1013432.4255890696</x:v>
      </x:c>
    </x:row>
    <x:row r="843" ht="19" customHeight="1">
      <x:c r="A843" s="2"/>
      <x:c r="B843" s="2"/>
      <x:c r="C843" s="46" t="n">
        <x:v>3</x:v>
      </x:c>
      <x:c r="D843" s="46" t="n">
        <x:v>21</x:v>
      </x:c>
      <x:c r="E843" s="46" t="n">
        <x:v>3</x:v>
      </x:c>
      <x:c r="F843" s="46" t="n">
        <x:v>3</x:v>
      </x:c>
      <x:c r="G843" s="12" t="n">
        <x:v>0</x:v>
      </x:c>
      <x:c r="H843" s="12" t="n">
        <x:v>0.1111111111111111</x:v>
      </x:c>
      <x:c r="I843" s="29" t="n">
        <x:f>'Assumptions'!$D$11+'Assumptions'!$D$12*(0.5-(G843+H843)/2)</x:f>
        <x:v>0.3888888888888889</x:v>
      </x:c>
      <x:c r="J843" s="27" t="n">
        <x:f>'Assumptions'!$D$8*EXP(-'Assumptions'!$D$9*('Fleet Engine'!E215-10))*'Assumptions'!E58*'Assumptions'!G36</x:f>
        <x:v>12214.027581601698</x:v>
      </x:c>
      <x:c r="K843" s="27" t="n">
        <x:f>'Source Data'!F220+LN('Assumptions'!D58)+LN('Assumptions'!G35)</x:f>
        <x:v>8.04371664078851</x:v>
      </x:c>
      <x:c r="L843" s="27" t="n">
        <x:f>J843*(1-I843*(1-'Carrier Engine'!E94))</x:f>
        <x:v>7654.123951137065</x:v>
      </x:c>
      <x:c r="M843" s="29" t="n">
        <x:f>NORM.S.DIST((LN(L843)-K843)/'Assumptions'!$D$10,TRUE)</x:f>
        <x:v>0.7165817467781002</x:v>
      </x:c>
      <x:c r="N843" s="30" t="n">
        <x:f>MAX(0,H843-MAX(G843,M843))</x:f>
        <x:v>0</x:v>
      </x:c>
      <x:c r="O843" s="28" t="n">
        <x:f>J843*I843</x:f>
        <x:v>4749.899615067327</x:v>
      </x:c>
      <x:c r="P843" s="27" t="n">
        <x:f>(VLOOKUP(O843,'Fee Data'!$C$6:$G$50,2,TRUE)+O843*VLOOKUP(O843,'Fee Data'!$C$6:$G$50,3,TRUE)+VLOOKUP(O843,'Fee Data'!$I$6:$J$14,2,TRUE)+'Fee Data'!$J$20+'Fee Data'!$J$21)*'Assumptions'!G37</x:f>
        <x:v>970</x:v>
      </x:c>
      <x:c r="Q843" s="27" t="n">
        <x:f>(VLOOKUP(O843,'Fee Data'!$C$6:$G$50,4,TRUE)+O843*VLOOKUP(O843,'Fee Data'!$C$6:$G$50,5,TRUE)+VLOOKUP(O843,'Fee Data'!$I$6:$J$14,2,TRUE)+'Fee Data'!$J$20+'Fee Data'!$J$21)*'Assumptions'!G37</x:f>
        <x:v>845</x:v>
      </x:c>
      <x:c r="R843" s="27" t="n">
        <x:f>P843*(1-'Assumptions'!$D$14)+Q843*'Assumptions'!$D$14</x:f>
        <x:v>907.5</x:v>
      </x:c>
      <x:c r="S843" s="27" t="n">
        <x:f>O843*'Carrier Engine'!E94</x:f>
        <x:v>189.9959846026931</x:v>
      </x:c>
      <x:c r="T843" s="28" t="n">
        <x:f>R843+S843</x:f>
        <x:v>1097.4959846026932</x:v>
      </x:c>
      <x:c r="U843" s="27" t="n">
        <x:f>N843*'Fleet Engine'!I215</x:f>
        <x:v>0</x:v>
      </x:c>
      <x:c r="V843" s="28" t="n">
        <x:f>U843*T843</x:f>
        <x:v>0</x:v>
      </x:c>
      <x:c r="W843" s="28" t="n">
        <x:f>U843*O843</x:f>
        <x:v>0</x:v>
      </x:c>
    </x:row>
    <x:row r="844" ht="19" customHeight="1">
      <x:c r="A844" s="2"/>
      <x:c r="B844" s="2"/>
      <x:c r="C844" s="46" t="n">
        <x:v>3</x:v>
      </x:c>
      <x:c r="D844" s="46" t="n">
        <x:v>21</x:v>
      </x:c>
      <x:c r="E844" s="46" t="n">
        <x:v>3</x:v>
      </x:c>
      <x:c r="F844" s="46" t="n">
        <x:v>3</x:v>
      </x:c>
      <x:c r="G844" s="12" t="n">
        <x:v>0.1111111111111111</x:v>
      </x:c>
      <x:c r="H844" s="12" t="n">
        <x:v>0.2222222222222222</x:v>
      </x:c>
      <x:c r="I844" s="29" t="n">
        <x:f>'Assumptions'!$D$11+'Assumptions'!$D$12*(0.5-(G844+H844)/2)</x:f>
        <x:v>0.3666666666666667</x:v>
      </x:c>
      <x:c r="J844" s="27" t="n">
        <x:f>'Assumptions'!$D$8*EXP(-'Assumptions'!$D$9*('Fleet Engine'!E215-10))*'Assumptions'!E58*'Assumptions'!G36</x:f>
        <x:v>12214.027581601698</x:v>
      </x:c>
      <x:c r="K844" s="27" t="n">
        <x:f>'Source Data'!F220+LN('Assumptions'!D58)+LN('Assumptions'!G35)</x:f>
        <x:v>8.04371664078851</x:v>
      </x:c>
      <x:c r="L844" s="27" t="n">
        <x:f>J844*(1-I844*(1-'Carrier Engine'!E94))</x:f>
        <x:v>7914.6898728779</x:v>
      </x:c>
      <x:c r="M844" s="29" t="n">
        <x:f>NORM.S.DIST((LN(L844)-K844)/'Assumptions'!$D$10,TRUE)</x:f>
        <x:v>0.7237560438609862</x:v>
      </x:c>
      <x:c r="N844" s="30" t="n">
        <x:f>MAX(0,H844-MAX(G844,M844))</x:f>
        <x:v>0</x:v>
      </x:c>
      <x:c r="O844" s="28" t="n">
        <x:f>J844*I844</x:f>
        <x:v>4478.476779920623</x:v>
      </x:c>
      <x:c r="P844" s="27" t="n">
        <x:f>(VLOOKUP(O844,'Fee Data'!$C$6:$G$50,2,TRUE)+O844*VLOOKUP(O844,'Fee Data'!$C$6:$G$50,3,TRUE)+VLOOKUP(O844,'Fee Data'!$I$6:$J$14,2,TRUE)+'Fee Data'!$J$20+'Fee Data'!$J$21)*'Assumptions'!G37</x:f>
        <x:v>945</x:v>
      </x:c>
      <x:c r="Q844" s="27" t="n">
        <x:f>(VLOOKUP(O844,'Fee Data'!$C$6:$G$50,4,TRUE)+O844*VLOOKUP(O844,'Fee Data'!$C$6:$G$50,5,TRUE)+VLOOKUP(O844,'Fee Data'!$I$6:$J$14,2,TRUE)+'Fee Data'!$J$20+'Fee Data'!$J$21)*'Assumptions'!G37</x:f>
        <x:v>820</x:v>
      </x:c>
      <x:c r="R844" s="27" t="n">
        <x:f>P844*(1-'Assumptions'!$D$14)+Q844*'Assumptions'!$D$14</x:f>
        <x:v>882.5</x:v>
      </x:c>
      <x:c r="S844" s="27" t="n">
        <x:f>O844*'Carrier Engine'!E94</x:f>
        <x:v>179.13907119682491</x:v>
      </x:c>
      <x:c r="T844" s="28" t="n">
        <x:f>R844+S844</x:f>
        <x:v>1061.639071196825</x:v>
      </x:c>
      <x:c r="U844" s="27" t="n">
        <x:f>N844*'Fleet Engine'!I215</x:f>
        <x:v>0</x:v>
      </x:c>
      <x:c r="V844" s="28" t="n">
        <x:f>U844*T844</x:f>
        <x:v>0</x:v>
      </x:c>
      <x:c r="W844" s="28" t="n">
        <x:f>U844*O844</x:f>
        <x:v>0</x:v>
      </x:c>
    </x:row>
    <x:row r="845" ht="19" customHeight="1">
      <x:c r="A845" s="2"/>
      <x:c r="B845" s="2"/>
      <x:c r="C845" s="46" t="n">
        <x:v>3</x:v>
      </x:c>
      <x:c r="D845" s="46" t="n">
        <x:v>21</x:v>
      </x:c>
      <x:c r="E845" s="46" t="n">
        <x:v>3</x:v>
      </x:c>
      <x:c r="F845" s="46" t="n">
        <x:v>3</x:v>
      </x:c>
      <x:c r="G845" s="12" t="n">
        <x:v>0.2222222222222222</x:v>
      </x:c>
      <x:c r="H845" s="12" t="n">
        <x:v>0.3333333333333333</x:v>
      </x:c>
      <x:c r="I845" s="29" t="n">
        <x:f>'Assumptions'!$D$11+'Assumptions'!$D$12*(0.5-(G845+H845)/2)</x:f>
        <x:v>0.34444444444444444</x:v>
      </x:c>
      <x:c r="J845" s="27" t="n">
        <x:f>'Assumptions'!$D$8*EXP(-'Assumptions'!$D$9*('Fleet Engine'!E215-10))*'Assumptions'!E58*'Assumptions'!G36</x:f>
        <x:v>12214.027581601698</x:v>
      </x:c>
      <x:c r="K845" s="27" t="n">
        <x:f>'Source Data'!F220+LN('Assumptions'!D58)+LN('Assumptions'!G35)</x:f>
        <x:v>8.04371664078851</x:v>
      </x:c>
      <x:c r="L845" s="27" t="n">
        <x:f>J845*(1-I845*(1-'Carrier Engine'!E94))</x:f>
        <x:v>8175.255794618737</x:v>
      </x:c>
      <x:c r="M845" s="29" t="n">
        <x:f>NORM.S.DIST((LN(L845)-K845)/'Assumptions'!$D$10,TRUE)</x:f>
        <x:v>0.730612011881529</x:v>
      </x:c>
      <x:c r="N845" s="30" t="n">
        <x:f>MAX(0,H845-MAX(G845,M845))</x:f>
        <x:v>0</x:v>
      </x:c>
      <x:c r="O845" s="28" t="n">
        <x:f>J845*I845</x:f>
        <x:v>4207.053944773918</x:v>
      </x:c>
      <x:c r="P845" s="27" t="n">
        <x:f>(VLOOKUP(O845,'Fee Data'!$C$6:$G$50,2,TRUE)+O845*VLOOKUP(O845,'Fee Data'!$C$6:$G$50,3,TRUE)+VLOOKUP(O845,'Fee Data'!$I$6:$J$14,2,TRUE)+'Fee Data'!$J$20+'Fee Data'!$J$21)*'Assumptions'!G37</x:f>
        <x:v>945</x:v>
      </x:c>
      <x:c r="Q845" s="27" t="n">
        <x:f>(VLOOKUP(O845,'Fee Data'!$C$6:$G$50,4,TRUE)+O845*VLOOKUP(O845,'Fee Data'!$C$6:$G$50,5,TRUE)+VLOOKUP(O845,'Fee Data'!$I$6:$J$14,2,TRUE)+'Fee Data'!$J$20+'Fee Data'!$J$21)*'Assumptions'!G37</x:f>
        <x:v>820</x:v>
      </x:c>
      <x:c r="R845" s="27" t="n">
        <x:f>P845*(1-'Assumptions'!$D$14)+Q845*'Assumptions'!$D$14</x:f>
        <x:v>882.5</x:v>
      </x:c>
      <x:c r="S845" s="27" t="n">
        <x:f>O845*'Carrier Engine'!E94</x:f>
        <x:v>168.28215779095675</x:v>
      </x:c>
      <x:c r="T845" s="28" t="n">
        <x:f>R845+S845</x:f>
        <x:v>1050.7821577909567</x:v>
      </x:c>
      <x:c r="U845" s="27" t="n">
        <x:f>N845*'Fleet Engine'!I215</x:f>
        <x:v>0</x:v>
      </x:c>
      <x:c r="V845" s="28" t="n">
        <x:f>U845*T845</x:f>
        <x:v>0</x:v>
      </x:c>
      <x:c r="W845" s="28" t="n">
        <x:f>U845*O845</x:f>
        <x:v>0</x:v>
      </x:c>
    </x:row>
    <x:row r="846" ht="19" customHeight="1">
      <x:c r="A846" s="2"/>
      <x:c r="B846" s="2"/>
      <x:c r="C846" s="46" t="n">
        <x:v>3</x:v>
      </x:c>
      <x:c r="D846" s="46" t="n">
        <x:v>21</x:v>
      </x:c>
      <x:c r="E846" s="46" t="n">
        <x:v>3</x:v>
      </x:c>
      <x:c r="F846" s="46" t="n">
        <x:v>3</x:v>
      </x:c>
      <x:c r="G846" s="12" t="n">
        <x:v>0.3333333333333333</x:v>
      </x:c>
      <x:c r="H846" s="12" t="n">
        <x:v>0.4444444444444444</x:v>
      </x:c>
      <x:c r="I846" s="29" t="n">
        <x:f>'Assumptions'!$D$11+'Assumptions'!$D$12*(0.5-(G846+H846)/2)</x:f>
        <x:v>0.32222222222222224</x:v>
      </x:c>
      <x:c r="J846" s="27" t="n">
        <x:f>'Assumptions'!$D$8*EXP(-'Assumptions'!$D$9*('Fleet Engine'!E215-10))*'Assumptions'!E58*'Assumptions'!G36</x:f>
        <x:v>12214.027581601698</x:v>
      </x:c>
      <x:c r="K846" s="27" t="n">
        <x:f>'Source Data'!F220+LN('Assumptions'!D58)+LN('Assumptions'!G35)</x:f>
        <x:v>8.04371664078851</x:v>
      </x:c>
      <x:c r="L846" s="27" t="n">
        <x:f>J846*(1-I846*(1-'Carrier Engine'!E94))</x:f>
        <x:v>8435.821716359573</x:v>
      </x:c>
      <x:c r="M846" s="29" t="n">
        <x:f>NORM.S.DIST((LN(L846)-K846)/'Assumptions'!$D$10,TRUE)</x:f>
        <x:v>0.737170515190244</x:v>
      </x:c>
      <x:c r="N846" s="30" t="n">
        <x:f>MAX(0,H846-MAX(G846,M846))</x:f>
        <x:v>0</x:v>
      </x:c>
      <x:c r="O846" s="28" t="n">
        <x:f>J846*I846</x:f>
        <x:v>3935.6311096272143</x:v>
      </x:c>
      <x:c r="P846" s="27" t="n">
        <x:f>(VLOOKUP(O846,'Fee Data'!$C$6:$G$50,2,TRUE)+O846*VLOOKUP(O846,'Fee Data'!$C$6:$G$50,3,TRUE)+VLOOKUP(O846,'Fee Data'!$I$6:$J$14,2,TRUE)+'Fee Data'!$J$20+'Fee Data'!$J$21)*'Assumptions'!G37</x:f>
        <x:v>915</x:v>
      </x:c>
      <x:c r="Q846" s="27" t="n">
        <x:f>(VLOOKUP(O846,'Fee Data'!$C$6:$G$50,4,TRUE)+O846*VLOOKUP(O846,'Fee Data'!$C$6:$G$50,5,TRUE)+VLOOKUP(O846,'Fee Data'!$I$6:$J$14,2,TRUE)+'Fee Data'!$J$20+'Fee Data'!$J$21)*'Assumptions'!G37</x:f>
        <x:v>765</x:v>
      </x:c>
      <x:c r="R846" s="27" t="n">
        <x:f>P846*(1-'Assumptions'!$D$14)+Q846*'Assumptions'!$D$14</x:f>
        <x:v>840</x:v>
      </x:c>
      <x:c r="S846" s="27" t="n">
        <x:f>O846*'Carrier Engine'!E94</x:f>
        <x:v>157.42524438508858</x:v>
      </x:c>
      <x:c r="T846" s="28" t="n">
        <x:f>R846+S846</x:f>
        <x:v>997.4252443850886</x:v>
      </x:c>
      <x:c r="U846" s="27" t="n">
        <x:f>N846*'Fleet Engine'!I215</x:f>
        <x:v>0</x:v>
      </x:c>
      <x:c r="V846" s="28" t="n">
        <x:f>U846*T846</x:f>
        <x:v>0</x:v>
      </x:c>
      <x:c r="W846" s="28" t="n">
        <x:f>U846*O846</x:f>
        <x:v>0</x:v>
      </x:c>
    </x:row>
    <x:row r="847" ht="19" customHeight="1">
      <x:c r="A847" s="2"/>
      <x:c r="B847" s="2"/>
      <x:c r="C847" s="46" t="n">
        <x:v>3</x:v>
      </x:c>
      <x:c r="D847" s="46" t="n">
        <x:v>21</x:v>
      </x:c>
      <x:c r="E847" s="46" t="n">
        <x:v>3</x:v>
      </x:c>
      <x:c r="F847" s="46" t="n">
        <x:v>3</x:v>
      </x:c>
      <x:c r="G847" s="12" t="n">
        <x:v>0.4444444444444444</x:v>
      </x:c>
      <x:c r="H847" s="12" t="n">
        <x:v>0.5555555555555556</x:v>
      </x:c>
      <x:c r="I847" s="29" t="n">
        <x:f>'Assumptions'!$D$11+'Assumptions'!$D$12*(0.5-(G847+H847)/2)</x:f>
        <x:v>0.3</x:v>
      </x:c>
      <x:c r="J847" s="27" t="n">
        <x:f>'Assumptions'!$D$8*EXP(-'Assumptions'!$D$9*('Fleet Engine'!E215-10))*'Assumptions'!E58*'Assumptions'!G36</x:f>
        <x:v>12214.027581601698</x:v>
      </x:c>
      <x:c r="K847" s="27" t="n">
        <x:f>'Source Data'!F220+LN('Assumptions'!D58)+LN('Assumptions'!G35)</x:f>
        <x:v>8.04371664078851</x:v>
      </x:c>
      <x:c r="L847" s="27" t="n">
        <x:f>J847*(1-I847*(1-'Carrier Engine'!E94))</x:f>
        <x:v>8696.387638100408</x:v>
      </x:c>
      <x:c r="M847" s="29" t="n">
        <x:f>NORM.S.DIST((LN(L847)-K847)/'Assumptions'!$D$10,TRUE)</x:f>
        <x:v>0.7434505950635955</x:v>
      </x:c>
      <x:c r="N847" s="30" t="n">
        <x:f>MAX(0,H847-MAX(G847,M847))</x:f>
        <x:v>0</x:v>
      </x:c>
      <x:c r="O847" s="28" t="n">
        <x:f>J847*I847</x:f>
        <x:v>3664.2082744805093</x:v>
      </x:c>
      <x:c r="P847" s="27" t="n">
        <x:f>(VLOOKUP(O847,'Fee Data'!$C$6:$G$50,2,TRUE)+O847*VLOOKUP(O847,'Fee Data'!$C$6:$G$50,3,TRUE)+VLOOKUP(O847,'Fee Data'!$I$6:$J$14,2,TRUE)+'Fee Data'!$J$20+'Fee Data'!$J$21)*'Assumptions'!G37</x:f>
        <x:v>915</x:v>
      </x:c>
      <x:c r="Q847" s="27" t="n">
        <x:f>(VLOOKUP(O847,'Fee Data'!$C$6:$G$50,4,TRUE)+O847*VLOOKUP(O847,'Fee Data'!$C$6:$G$50,5,TRUE)+VLOOKUP(O847,'Fee Data'!$I$6:$J$14,2,TRUE)+'Fee Data'!$J$20+'Fee Data'!$J$21)*'Assumptions'!G37</x:f>
        <x:v>765</x:v>
      </x:c>
      <x:c r="R847" s="27" t="n">
        <x:f>P847*(1-'Assumptions'!$D$14)+Q847*'Assumptions'!$D$14</x:f>
        <x:v>840</x:v>
      </x:c>
      <x:c r="S847" s="27" t="n">
        <x:f>O847*'Carrier Engine'!E94</x:f>
        <x:v>146.56833097922038</x:v>
      </x:c>
      <x:c r="T847" s="28" t="n">
        <x:f>R847+S847</x:f>
        <x:v>986.5683309792204</x:v>
      </x:c>
      <x:c r="U847" s="27" t="n">
        <x:f>N847*'Fleet Engine'!I215</x:f>
        <x:v>0</x:v>
      </x:c>
      <x:c r="V847" s="28" t="n">
        <x:f>U847*T847</x:f>
        <x:v>0</x:v>
      </x:c>
      <x:c r="W847" s="28" t="n">
        <x:f>U847*O847</x:f>
        <x:v>0</x:v>
      </x:c>
    </x:row>
    <x:row r="848" ht="19" customHeight="1">
      <x:c r="A848" s="2"/>
      <x:c r="B848" s="2"/>
      <x:c r="C848" s="46" t="n">
        <x:v>3</x:v>
      </x:c>
      <x:c r="D848" s="46" t="n">
        <x:v>21</x:v>
      </x:c>
      <x:c r="E848" s="46" t="n">
        <x:v>3</x:v>
      </x:c>
      <x:c r="F848" s="46" t="n">
        <x:v>3</x:v>
      </x:c>
      <x:c r="G848" s="12" t="n">
        <x:v>0.5555555555555556</x:v>
      </x:c>
      <x:c r="H848" s="12" t="n">
        <x:v>0.6666666666666666</x:v>
      </x:c>
      <x:c r="I848" s="29" t="n">
        <x:f>'Assumptions'!$D$11+'Assumptions'!$D$12*(0.5-(G848+H848)/2)</x:f>
        <x:v>0.27777777777777773</x:v>
      </x:c>
      <x:c r="J848" s="27" t="n">
        <x:f>'Assumptions'!$D$8*EXP(-'Assumptions'!$D$9*('Fleet Engine'!E215-10))*'Assumptions'!E58*'Assumptions'!G36</x:f>
        <x:v>12214.027581601698</x:v>
      </x:c>
      <x:c r="K848" s="27" t="n">
        <x:f>'Source Data'!F220+LN('Assumptions'!D58)+LN('Assumptions'!G35)</x:f>
        <x:v>8.04371664078851</x:v>
      </x:c>
      <x:c r="L848" s="27" t="n">
        <x:f>J848*(1-I848*(1-'Carrier Engine'!E94))</x:f>
        <x:v>8956.953559841246</x:v>
      </x:c>
      <x:c r="M848" s="29" t="n">
        <x:f>NORM.S.DIST((LN(L848)-K848)/'Assumptions'!$D$10,TRUE)</x:f>
        <x:v>0.7494696686328344</x:v>
      </x:c>
      <x:c r="N848" s="30" t="n">
        <x:f>MAX(0,H848-MAX(G848,M848))</x:f>
        <x:v>0</x:v>
      </x:c>
      <x:c r="O848" s="28" t="n">
        <x:f>J848*I848</x:f>
        <x:v>3392.785439333805</x:v>
      </x:c>
      <x:c r="P848" s="27" t="n">
        <x:f>(VLOOKUP(O848,'Fee Data'!$C$6:$G$50,2,TRUE)+O848*VLOOKUP(O848,'Fee Data'!$C$6:$G$50,3,TRUE)+VLOOKUP(O848,'Fee Data'!$I$6:$J$14,2,TRUE)+'Fee Data'!$J$20+'Fee Data'!$J$21)*'Assumptions'!G37</x:f>
        <x:v>865</x:v>
      </x:c>
      <x:c r="Q848" s="27" t="n">
        <x:f>(VLOOKUP(O848,'Fee Data'!$C$6:$G$50,4,TRUE)+O848*VLOOKUP(O848,'Fee Data'!$C$6:$G$50,5,TRUE)+VLOOKUP(O848,'Fee Data'!$I$6:$J$14,2,TRUE)+'Fee Data'!$J$20+'Fee Data'!$J$21)*'Assumptions'!G37</x:f>
        <x:v>715</x:v>
      </x:c>
      <x:c r="R848" s="27" t="n">
        <x:f>P848*(1-'Assumptions'!$D$14)+Q848*'Assumptions'!$D$14</x:f>
        <x:v>790</x:v>
      </x:c>
      <x:c r="S848" s="27" t="n">
        <x:f>O848*'Carrier Engine'!E94</x:f>
        <x:v>135.7114175733522</x:v>
      </x:c>
      <x:c r="T848" s="28" t="n">
        <x:f>R848+S848</x:f>
        <x:v>925.7114175733523</x:v>
      </x:c>
      <x:c r="U848" s="27" t="n">
        <x:f>N848*'Fleet Engine'!I215</x:f>
        <x:v>0</x:v>
      </x:c>
      <x:c r="V848" s="28" t="n">
        <x:f>U848*T848</x:f>
        <x:v>0</x:v>
      </x:c>
      <x:c r="W848" s="28" t="n">
        <x:f>U848*O848</x:f>
        <x:v>0</x:v>
      </x:c>
    </x:row>
    <x:row r="849" ht="19" customHeight="1">
      <x:c r="A849" s="2"/>
      <x:c r="B849" s="2"/>
      <x:c r="C849" s="46" t="n">
        <x:v>3</x:v>
      </x:c>
      <x:c r="D849" s="46" t="n">
        <x:v>21</x:v>
      </x:c>
      <x:c r="E849" s="46" t="n">
        <x:v>3</x:v>
      </x:c>
      <x:c r="F849" s="46" t="n">
        <x:v>3</x:v>
      </x:c>
      <x:c r="G849" s="12" t="n">
        <x:v>0.6666666666666666</x:v>
      </x:c>
      <x:c r="H849" s="12" t="n">
        <x:v>0.7777777777777778</x:v>
      </x:c>
      <x:c r="I849" s="29" t="n">
        <x:f>'Assumptions'!$D$11+'Assumptions'!$D$12*(0.5-(G849+H849)/2)</x:f>
        <x:v>0.25555555555555554</x:v>
      </x:c>
      <x:c r="J849" s="27" t="n">
        <x:f>'Assumptions'!$D$8*EXP(-'Assumptions'!$D$9*('Fleet Engine'!E215-10))*'Assumptions'!E58*'Assumptions'!G36</x:f>
        <x:v>12214.027581601698</x:v>
      </x:c>
      <x:c r="K849" s="27" t="n">
        <x:f>'Source Data'!F220+LN('Assumptions'!D58)+LN('Assumptions'!G35)</x:f>
        <x:v>8.04371664078851</x:v>
      </x:c>
      <x:c r="L849" s="27" t="n">
        <x:f>J849*(1-I849*(1-'Carrier Engine'!E94))</x:f>
        <x:v>9217.519481582081</x:v>
      </x:c>
      <x:c r="M849" s="29" t="n">
        <x:f>NORM.S.DIST((LN(L849)-K849)/'Assumptions'!$D$10,TRUE)</x:f>
        <x:v>0.755243701876744</x:v>
      </x:c>
      <x:c r="N849" s="30" t="n">
        <x:f>MAX(0,H849-MAX(G849,M849))</x:f>
        <x:v>0.022534075901033845</x:v>
      </x:c>
      <x:c r="O849" s="28" t="n">
        <x:f>J849*I849</x:f>
        <x:v>3121.3626041871003</x:v>
      </x:c>
      <x:c r="P849" s="27" t="n">
        <x:f>(VLOOKUP(O849,'Fee Data'!$C$6:$G$50,2,TRUE)+O849*VLOOKUP(O849,'Fee Data'!$C$6:$G$50,3,TRUE)+VLOOKUP(O849,'Fee Data'!$I$6:$J$14,2,TRUE)+'Fee Data'!$J$20+'Fee Data'!$J$21)*'Assumptions'!G37</x:f>
        <x:v>865</x:v>
      </x:c>
      <x:c r="Q849" s="27" t="n">
        <x:f>(VLOOKUP(O849,'Fee Data'!$C$6:$G$50,4,TRUE)+O849*VLOOKUP(O849,'Fee Data'!$C$6:$G$50,5,TRUE)+VLOOKUP(O849,'Fee Data'!$I$6:$J$14,2,TRUE)+'Fee Data'!$J$20+'Fee Data'!$J$21)*'Assumptions'!G37</x:f>
        <x:v>715</x:v>
      </x:c>
      <x:c r="R849" s="27" t="n">
        <x:f>P849*(1-'Assumptions'!$D$14)+Q849*'Assumptions'!$D$14</x:f>
        <x:v>790</x:v>
      </x:c>
      <x:c r="S849" s="27" t="n">
        <x:f>O849*'Carrier Engine'!E94</x:f>
        <x:v>124.85450416748401</x:v>
      </x:c>
      <x:c r="T849" s="28" t="n">
        <x:f>R849+S849</x:f>
        <x:v>914.854504167484</x:v>
      </x:c>
      <x:c r="U849" s="27" t="n">
        <x:f>N849*'Fleet Engine'!I215</x:f>
        <x:v>46.4471584254637</x:v>
      </x:c>
      <x:c r="V849" s="28" t="n">
        <x:f>U849*T849</x:f>
        <x:v>42492.39209131617</x:v>
      </x:c>
      <x:c r="W849" s="28" t="n">
        <x:f>U849*O849</x:f>
        <x:v>144978.42337999618</x:v>
      </x:c>
    </x:row>
    <x:row r="850" ht="19" customHeight="1">
      <x:c r="A850" s="2"/>
      <x:c r="B850" s="2"/>
      <x:c r="C850" s="46" t="n">
        <x:v>3</x:v>
      </x:c>
      <x:c r="D850" s="46" t="n">
        <x:v>21</x:v>
      </x:c>
      <x:c r="E850" s="46" t="n">
        <x:v>3</x:v>
      </x:c>
      <x:c r="F850" s="46" t="n">
        <x:v>3</x:v>
      </x:c>
      <x:c r="G850" s="12" t="n">
        <x:v>0.7777777777777778</x:v>
      </x:c>
      <x:c r="H850" s="12" t="n">
        <x:v>0.8888888888888888</x:v>
      </x:c>
      <x:c r="I850" s="29" t="n">
        <x:f>'Assumptions'!$D$11+'Assumptions'!$D$12*(0.5-(G850+H850)/2)</x:f>
        <x:v>0.23333333333333334</x:v>
      </x:c>
      <x:c r="J850" s="27" t="n">
        <x:f>'Assumptions'!$D$8*EXP(-'Assumptions'!$D$9*('Fleet Engine'!E215-10))*'Assumptions'!E58*'Assumptions'!G36</x:f>
        <x:v>12214.027581601698</x:v>
      </x:c>
      <x:c r="K850" s="27" t="n">
        <x:f>'Source Data'!F220+LN('Assumptions'!D58)+LN('Assumptions'!G35)</x:f>
        <x:v>8.04371664078851</x:v>
      </x:c>
      <x:c r="L850" s="27" t="n">
        <x:f>J850*(1-I850*(1-'Carrier Engine'!E94))</x:f>
        <x:v>9478.085403322919</x:v>
      </x:c>
      <x:c r="M850" s="29" t="n">
        <x:f>NORM.S.DIST((LN(L850)-K850)/'Assumptions'!$D$10,TRUE)</x:f>
        <x:v>0.7607873605938249</x:v>
      </x:c>
      <x:c r="N850" s="30" t="n">
        <x:f>MAX(0,H850-MAX(G850,M850))</x:f>
        <x:v>0.11111111111111105</x:v>
      </x:c>
      <x:c r="O850" s="28" t="n">
        <x:f>J850*I850</x:f>
        <x:v>2849.939769040396</x:v>
      </x:c>
      <x:c r="P850" s="27" t="n">
        <x:f>(VLOOKUP(O850,'Fee Data'!$C$6:$G$50,2,TRUE)+O850*VLOOKUP(O850,'Fee Data'!$C$6:$G$50,3,TRUE)+VLOOKUP(O850,'Fee Data'!$I$6:$J$14,2,TRUE)+'Fee Data'!$J$20+'Fee Data'!$J$21)*'Assumptions'!G37</x:f>
        <x:v>820</x:v>
      </x:c>
      <x:c r="Q850" s="27" t="n">
        <x:f>(VLOOKUP(O850,'Fee Data'!$C$6:$G$50,4,TRUE)+O850*VLOOKUP(O850,'Fee Data'!$C$6:$G$50,5,TRUE)+VLOOKUP(O850,'Fee Data'!$I$6:$J$14,2,TRUE)+'Fee Data'!$J$20+'Fee Data'!$J$21)*'Assumptions'!G37</x:f>
        <x:v>670</x:v>
      </x:c>
      <x:c r="R850" s="27" t="n">
        <x:f>P850*(1-'Assumptions'!$D$14)+Q850*'Assumptions'!$D$14</x:f>
        <x:v>745</x:v>
      </x:c>
      <x:c r="S850" s="27" t="n">
        <x:f>O850*'Carrier Engine'!E94</x:f>
        <x:v>113.99759076161585</x:v>
      </x:c>
      <x:c r="T850" s="28" t="n">
        <x:f>R850+S850</x:f>
        <x:v>858.9975907616158</x:v>
      </x:c>
      <x:c r="U850" s="27" t="n">
        <x:f>N850*'Fleet Engine'!I215</x:f>
        <x:v>229.0218335676371</x:v>
      </x:c>
      <x:c r="V850" s="28" t="n">
        <x:f>U850*T850</x:f>
        <x:v>196729.203266408</x:v>
      </x:c>
      <x:c r="W850" s="28" t="n">
        <x:f>U850*O850</x:f>
        <x:v>652698.4314629597</x:v>
      </x:c>
    </x:row>
    <x:row r="851" ht="19" customHeight="1">
      <x:c r="A851" s="2"/>
      <x:c r="B851" s="2"/>
      <x:c r="C851" s="46" t="n">
        <x:v>3</x:v>
      </x:c>
      <x:c r="D851" s="46" t="n">
        <x:v>21</x:v>
      </x:c>
      <x:c r="E851" s="46" t="n">
        <x:v>3</x:v>
      </x:c>
      <x:c r="F851" s="46" t="n">
        <x:v>3</x:v>
      </x:c>
      <x:c r="G851" s="12" t="n">
        <x:v>0.8888888888888888</x:v>
      </x:c>
      <x:c r="H851" s="12" t="n">
        <x:v>1</x:v>
      </x:c>
      <x:c r="I851" s="29" t="n">
        <x:f>'Assumptions'!$D$11+'Assumptions'!$D$12*(0.5-(G851+H851)/2)</x:f>
        <x:v>0.21111111111111108</x:v>
      </x:c>
      <x:c r="J851" s="27" t="n">
        <x:f>'Assumptions'!$D$8*EXP(-'Assumptions'!$D$9*('Fleet Engine'!E215-10))*'Assumptions'!E58*'Assumptions'!G36</x:f>
        <x:v>12214.027581601698</x:v>
      </x:c>
      <x:c r="K851" s="27" t="n">
        <x:f>'Source Data'!F220+LN('Assumptions'!D58)+LN('Assumptions'!G35)</x:f>
        <x:v>8.04371664078851</x:v>
      </x:c>
      <x:c r="L851" s="27" t="n">
        <x:f>J851*(1-I851*(1-'Carrier Engine'!E94))</x:f>
        <x:v>9738.651325063754</x:v>
      </x:c>
      <x:c r="M851" s="29" t="n">
        <x:f>NORM.S.DIST((LN(L851)-K851)/'Assumptions'!$D$10,TRUE)</x:f>
        <x:v>0.7661141426007128</x:v>
      </x:c>
      <x:c r="N851" s="30" t="n">
        <x:f>MAX(0,H851-MAX(G851,M851))</x:f>
        <x:v>0.11111111111111116</x:v>
      </x:c>
      <x:c r="O851" s="28" t="n">
        <x:f>J851*I851</x:f>
        <x:v>2578.5169338936917</x:v>
      </x:c>
      <x:c r="P851" s="27" t="n">
        <x:f>(VLOOKUP(O851,'Fee Data'!$C$6:$G$50,2,TRUE)+O851*VLOOKUP(O851,'Fee Data'!$C$6:$G$50,3,TRUE)+VLOOKUP(O851,'Fee Data'!$I$6:$J$14,2,TRUE)+'Fee Data'!$J$20+'Fee Data'!$J$21)*'Assumptions'!G37</x:f>
        <x:v>820</x:v>
      </x:c>
      <x:c r="Q851" s="27" t="n">
        <x:f>(VLOOKUP(O851,'Fee Data'!$C$6:$G$50,4,TRUE)+O851*VLOOKUP(O851,'Fee Data'!$C$6:$G$50,5,TRUE)+VLOOKUP(O851,'Fee Data'!$I$6:$J$14,2,TRUE)+'Fee Data'!$J$20+'Fee Data'!$J$21)*'Assumptions'!G37</x:f>
        <x:v>670</x:v>
      </x:c>
      <x:c r="R851" s="27" t="n">
        <x:f>P851*(1-'Assumptions'!$D$14)+Q851*'Assumptions'!$D$14</x:f>
        <x:v>745</x:v>
      </x:c>
      <x:c r="S851" s="27" t="n">
        <x:f>O851*'Carrier Engine'!E94</x:f>
        <x:v>103.14067735574767</x:v>
      </x:c>
      <x:c r="T851" s="28" t="n">
        <x:f>R851+S851</x:f>
        <x:v>848.1406773557477</x:v>
      </x:c>
      <x:c r="U851" s="27" t="n">
        <x:f>N851*'Fleet Engine'!I215</x:f>
        <x:v>229.02183356763732</x:v>
      </x:c>
      <x:c r="V851" s="28" t="n">
        <x:f>U851*T851</x:f>
        <x:v>194242.73305131122</x:v>
      </x:c>
      <x:c r="W851" s="28" t="n">
        <x:f>U851*O851</x:f>
        <x:v>590536.6760855356</x:v>
      </x:c>
    </x:row>
    <x:row r="852" ht="19" customHeight="1">
      <x:c r="A852" s="2"/>
      <x:c r="B852" s="2"/>
      <x:c r="C852" s="46" t="n">
        <x:v>3</x:v>
      </x:c>
      <x:c r="D852" s="46" t="n">
        <x:v>22</x:v>
      </x:c>
      <x:c r="E852" s="46" t="n">
        <x:v>3</x:v>
      </x:c>
      <x:c r="F852" s="46" t="n">
        <x:v>4</x:v>
      </x:c>
      <x:c r="G852" s="12" t="n">
        <x:v>0</x:v>
      </x:c>
      <x:c r="H852" s="12" t="n">
        <x:v>0.1111111111111111</x:v>
      </x:c>
      <x:c r="I852" s="29" t="n">
        <x:f>'Assumptions'!$D$11+'Assumptions'!$D$12*(0.5-(G852+H852)/2)</x:f>
        <x:v>0.3888888888888889</x:v>
      </x:c>
      <x:c r="J852" s="27" t="n">
        <x:f>'Assumptions'!$D$8*EXP(-'Assumptions'!$D$9*('Fleet Engine'!E216-10))*'Assumptions'!E58*'Assumptions'!G36</x:f>
        <x:v>9048.374180359595</x:v>
      </x:c>
      <x:c r="K852" s="27" t="n">
        <x:f>'Source Data'!F221+LN('Assumptions'!D58)+LN('Assumptions'!G35)</x:f>
        <x:v>8.129564769703762</x:v>
      </x:c>
      <x:c r="L852" s="27" t="n">
        <x:f>J852*(1-I852*(1-'Carrier Engine'!E94))</x:f>
        <x:v>5670.3144863586795</x:v>
      </x:c>
      <x:c r="M852" s="29" t="n">
        <x:f>NORM.S.DIST((LN(L852)-K852)/'Assumptions'!$D$10,TRUE)</x:f>
        <x:v>0.6281606975277834</x:v>
      </x:c>
      <x:c r="N852" s="30" t="n">
        <x:f>MAX(0,H852-MAX(G852,M852))</x:f>
        <x:v>0</x:v>
      </x:c>
      <x:c r="O852" s="28" t="n">
        <x:f>J852*I852</x:f>
        <x:v>3518.8121812509535</x:v>
      </x:c>
      <x:c r="P852" s="27" t="n">
        <x:f>(VLOOKUP(O852,'Fee Data'!$C$6:$G$50,2,TRUE)+O852*VLOOKUP(O852,'Fee Data'!$C$6:$G$50,3,TRUE)+VLOOKUP(O852,'Fee Data'!$I$6:$J$14,2,TRUE)+'Fee Data'!$J$20+'Fee Data'!$J$21)*'Assumptions'!G37</x:f>
        <x:v>915</x:v>
      </x:c>
      <x:c r="Q852" s="27" t="n">
        <x:f>(VLOOKUP(O852,'Fee Data'!$C$6:$G$50,4,TRUE)+O852*VLOOKUP(O852,'Fee Data'!$C$6:$G$50,5,TRUE)+VLOOKUP(O852,'Fee Data'!$I$6:$J$14,2,TRUE)+'Fee Data'!$J$20+'Fee Data'!$J$21)*'Assumptions'!G37</x:f>
        <x:v>765</x:v>
      </x:c>
      <x:c r="R852" s="27" t="n">
        <x:f>P852*(1-'Assumptions'!$D$14)+Q852*'Assumptions'!$D$14</x:f>
        <x:v>840</x:v>
      </x:c>
      <x:c r="S852" s="27" t="n">
        <x:f>O852*'Carrier Engine'!E94</x:f>
        <x:v>140.75248725003814</x:v>
      </x:c>
      <x:c r="T852" s="28" t="n">
        <x:f>R852+S852</x:f>
        <x:v>980.7524872500381</x:v>
      </x:c>
      <x:c r="U852" s="27" t="n">
        <x:f>N852*'Fleet Engine'!I216</x:f>
        <x:v>0</x:v>
      </x:c>
      <x:c r="V852" s="28" t="n">
        <x:f>U852*T852</x:f>
        <x:v>0</x:v>
      </x:c>
      <x:c r="W852" s="28" t="n">
        <x:f>U852*O852</x:f>
        <x:v>0</x:v>
      </x:c>
    </x:row>
    <x:row r="853" ht="19" customHeight="1">
      <x:c r="A853" s="2"/>
      <x:c r="B853" s="2"/>
      <x:c r="C853" s="46" t="n">
        <x:v>3</x:v>
      </x:c>
      <x:c r="D853" s="46" t="n">
        <x:v>22</x:v>
      </x:c>
      <x:c r="E853" s="46" t="n">
        <x:v>3</x:v>
      </x:c>
      <x:c r="F853" s="46" t="n">
        <x:v>4</x:v>
      </x:c>
      <x:c r="G853" s="12" t="n">
        <x:v>0.1111111111111111</x:v>
      </x:c>
      <x:c r="H853" s="12" t="n">
        <x:v>0.2222222222222222</x:v>
      </x:c>
      <x:c r="I853" s="29" t="n">
        <x:f>'Assumptions'!$D$11+'Assumptions'!$D$12*(0.5-(G853+H853)/2)</x:f>
        <x:v>0.3666666666666667</x:v>
      </x:c>
      <x:c r="J853" s="27" t="n">
        <x:f>'Assumptions'!$D$8*EXP(-'Assumptions'!$D$9*('Fleet Engine'!E216-10))*'Assumptions'!E58*'Assumptions'!G36</x:f>
        <x:v>9048.374180359595</x:v>
      </x:c>
      <x:c r="K853" s="27" t="n">
        <x:f>'Source Data'!F221+LN('Assumptions'!D58)+LN('Assumptions'!G35)</x:f>
        <x:v>8.129564769703762</x:v>
      </x:c>
      <x:c r="L853" s="27" t="n">
        <x:f>J853*(1-I853*(1-'Carrier Engine'!E94))</x:f>
        <x:v>5863.346468873016</x:v>
      </x:c>
      <x:c r="M853" s="29" t="n">
        <x:f>NORM.S.DIST((LN(L853)-K853)/'Assumptions'!$D$10,TRUE)</x:f>
        <x:v>0.6361945348683504</x:v>
      </x:c>
      <x:c r="N853" s="30" t="n">
        <x:f>MAX(0,H853-MAX(G853,M853))</x:f>
        <x:v>0</x:v>
      </x:c>
      <x:c r="O853" s="28" t="n">
        <x:f>J853*I853</x:f>
        <x:v>3317.737199465185</x:v>
      </x:c>
      <x:c r="P853" s="27" t="n">
        <x:f>(VLOOKUP(O853,'Fee Data'!$C$6:$G$50,2,TRUE)+O853*VLOOKUP(O853,'Fee Data'!$C$6:$G$50,3,TRUE)+VLOOKUP(O853,'Fee Data'!$I$6:$J$14,2,TRUE)+'Fee Data'!$J$20+'Fee Data'!$J$21)*'Assumptions'!G37</x:f>
        <x:v>865</x:v>
      </x:c>
      <x:c r="Q853" s="27" t="n">
        <x:f>(VLOOKUP(O853,'Fee Data'!$C$6:$G$50,4,TRUE)+O853*VLOOKUP(O853,'Fee Data'!$C$6:$G$50,5,TRUE)+VLOOKUP(O853,'Fee Data'!$I$6:$J$14,2,TRUE)+'Fee Data'!$J$20+'Fee Data'!$J$21)*'Assumptions'!G37</x:f>
        <x:v>715</x:v>
      </x:c>
      <x:c r="R853" s="27" t="n">
        <x:f>P853*(1-'Assumptions'!$D$14)+Q853*'Assumptions'!$D$14</x:f>
        <x:v>790</x:v>
      </x:c>
      <x:c r="S853" s="27" t="n">
        <x:f>O853*'Carrier Engine'!E94</x:f>
        <x:v>132.7094879786074</x:v>
      </x:c>
      <x:c r="T853" s="28" t="n">
        <x:f>R853+S853</x:f>
        <x:v>922.7094879786074</x:v>
      </x:c>
      <x:c r="U853" s="27" t="n">
        <x:f>N853*'Fleet Engine'!I216</x:f>
        <x:v>0</x:v>
      </x:c>
      <x:c r="V853" s="28" t="n">
        <x:f>U853*T853</x:f>
        <x:v>0</x:v>
      </x:c>
      <x:c r="W853" s="28" t="n">
        <x:f>U853*O853</x:f>
        <x:v>0</x:v>
      </x:c>
    </x:row>
    <x:row r="854" ht="19" customHeight="1">
      <x:c r="A854" s="2"/>
      <x:c r="B854" s="2"/>
      <x:c r="C854" s="46" t="n">
        <x:v>3</x:v>
      </x:c>
      <x:c r="D854" s="46" t="n">
        <x:v>22</x:v>
      </x:c>
      <x:c r="E854" s="46" t="n">
        <x:v>3</x:v>
      </x:c>
      <x:c r="F854" s="46" t="n">
        <x:v>4</x:v>
      </x:c>
      <x:c r="G854" s="12" t="n">
        <x:v>0.2222222222222222</x:v>
      </x:c>
      <x:c r="H854" s="12" t="n">
        <x:v>0.3333333333333333</x:v>
      </x:c>
      <x:c r="I854" s="29" t="n">
        <x:f>'Assumptions'!$D$11+'Assumptions'!$D$12*(0.5-(G854+H854)/2)</x:f>
        <x:v>0.34444444444444444</x:v>
      </x:c>
      <x:c r="J854" s="27" t="n">
        <x:f>'Assumptions'!$D$8*EXP(-'Assumptions'!$D$9*('Fleet Engine'!E216-10))*'Assumptions'!E58*'Assumptions'!G36</x:f>
        <x:v>9048.374180359595</x:v>
      </x:c>
      <x:c r="K854" s="27" t="n">
        <x:f>'Source Data'!F221+LN('Assumptions'!D58)+LN('Assumptions'!G35)</x:f>
        <x:v>8.129564769703762</x:v>
      </x:c>
      <x:c r="L854" s="27" t="n">
        <x:f>J854*(1-I854*(1-'Carrier Engine'!E94))</x:f>
        <x:v>6056.378451387355</x:v>
      </x:c>
      <x:c r="M854" s="29" t="n">
        <x:f>NORM.S.DIST((LN(L854)-K854)/'Assumptions'!$D$10,TRUE)</x:f>
        <x:v>0.6439115766417938</x:v>
      </x:c>
      <x:c r="N854" s="30" t="n">
        <x:f>MAX(0,H854-MAX(G854,M854))</x:f>
        <x:v>0</x:v>
      </x:c>
      <x:c r="O854" s="28" t="n">
        <x:f>J854*I854</x:f>
        <x:v>3116.662217679416</x:v>
      </x:c>
      <x:c r="P854" s="27" t="n">
        <x:f>(VLOOKUP(O854,'Fee Data'!$C$6:$G$50,2,TRUE)+O854*VLOOKUP(O854,'Fee Data'!$C$6:$G$50,3,TRUE)+VLOOKUP(O854,'Fee Data'!$I$6:$J$14,2,TRUE)+'Fee Data'!$J$20+'Fee Data'!$J$21)*'Assumptions'!G37</x:f>
        <x:v>865</x:v>
      </x:c>
      <x:c r="Q854" s="27" t="n">
        <x:f>(VLOOKUP(O854,'Fee Data'!$C$6:$G$50,4,TRUE)+O854*VLOOKUP(O854,'Fee Data'!$C$6:$G$50,5,TRUE)+VLOOKUP(O854,'Fee Data'!$I$6:$J$14,2,TRUE)+'Fee Data'!$J$20+'Fee Data'!$J$21)*'Assumptions'!G37</x:f>
        <x:v>715</x:v>
      </x:c>
      <x:c r="R854" s="27" t="n">
        <x:f>P854*(1-'Assumptions'!$D$14)+Q854*'Assumptions'!$D$14</x:f>
        <x:v>790</x:v>
      </x:c>
      <x:c r="S854" s="27" t="n">
        <x:f>O854*'Carrier Engine'!E94</x:f>
        <x:v>124.66648870717664</x:v>
      </x:c>
      <x:c r="T854" s="28" t="n">
        <x:f>R854+S854</x:f>
        <x:v>914.6664887071767</x:v>
      </x:c>
      <x:c r="U854" s="27" t="n">
        <x:f>N854*'Fleet Engine'!I216</x:f>
        <x:v>0</x:v>
      </x:c>
      <x:c r="V854" s="28" t="n">
        <x:f>U854*T854</x:f>
        <x:v>0</x:v>
      </x:c>
      <x:c r="W854" s="28" t="n">
        <x:f>U854*O854</x:f>
        <x:v>0</x:v>
      </x:c>
    </x:row>
    <x:row r="855" ht="19" customHeight="1">
      <x:c r="A855" s="2"/>
      <x:c r="B855" s="2"/>
      <x:c r="C855" s="46" t="n">
        <x:v>3</x:v>
      </x:c>
      <x:c r="D855" s="46" t="n">
        <x:v>22</x:v>
      </x:c>
      <x:c r="E855" s="46" t="n">
        <x:v>3</x:v>
      </x:c>
      <x:c r="F855" s="46" t="n">
        <x:v>4</x:v>
      </x:c>
      <x:c r="G855" s="12" t="n">
        <x:v>0.3333333333333333</x:v>
      </x:c>
      <x:c r="H855" s="12" t="n">
        <x:v>0.4444444444444444</x:v>
      </x:c>
      <x:c r="I855" s="29" t="n">
        <x:f>'Assumptions'!$D$11+'Assumptions'!$D$12*(0.5-(G855+H855)/2)</x:f>
        <x:v>0.32222222222222224</x:v>
      </x:c>
      <x:c r="J855" s="27" t="n">
        <x:f>'Assumptions'!$D$8*EXP(-'Assumptions'!$D$9*('Fleet Engine'!E216-10))*'Assumptions'!E58*'Assumptions'!G36</x:f>
        <x:v>9048.374180359595</x:v>
      </x:c>
      <x:c r="K855" s="27" t="n">
        <x:f>'Source Data'!F221+LN('Assumptions'!D58)+LN('Assumptions'!G35)</x:f>
        <x:v>8.129564769703762</x:v>
      </x:c>
      <x:c r="L855" s="27" t="n">
        <x:f>J855*(1-I855*(1-'Carrier Engine'!E94))</x:f>
        <x:v>6249.410433901693</x:v>
      </x:c>
      <x:c r="M855" s="29" t="n">
        <x:f>NORM.S.DIST((LN(L855)-K855)/'Assumptions'!$D$10,TRUE)</x:f>
        <x:v>0.651330720808863</x:v>
      </x:c>
      <x:c r="N855" s="30" t="n">
        <x:f>MAX(0,H855-MAX(G855,M855))</x:f>
        <x:v>0</x:v>
      </x:c>
      <x:c r="O855" s="28" t="n">
        <x:f>J855*I855</x:f>
        <x:v>2915.5872358936476</x:v>
      </x:c>
      <x:c r="P855" s="27" t="n">
        <x:f>(VLOOKUP(O855,'Fee Data'!$C$6:$G$50,2,TRUE)+O855*VLOOKUP(O855,'Fee Data'!$C$6:$G$50,3,TRUE)+VLOOKUP(O855,'Fee Data'!$I$6:$J$14,2,TRUE)+'Fee Data'!$J$20+'Fee Data'!$J$21)*'Assumptions'!G37</x:f>
        <x:v>820</x:v>
      </x:c>
      <x:c r="Q855" s="27" t="n">
        <x:f>(VLOOKUP(O855,'Fee Data'!$C$6:$G$50,4,TRUE)+O855*VLOOKUP(O855,'Fee Data'!$C$6:$G$50,5,TRUE)+VLOOKUP(O855,'Fee Data'!$I$6:$J$14,2,TRUE)+'Fee Data'!$J$20+'Fee Data'!$J$21)*'Assumptions'!G37</x:f>
        <x:v>670</x:v>
      </x:c>
      <x:c r="R855" s="27" t="n">
        <x:f>P855*(1-'Assumptions'!$D$14)+Q855*'Assumptions'!$D$14</x:f>
        <x:v>745</x:v>
      </x:c>
      <x:c r="S855" s="27" t="n">
        <x:f>O855*'Carrier Engine'!E94</x:f>
        <x:v>116.62348943574591</x:v>
      </x:c>
      <x:c r="T855" s="28" t="n">
        <x:f>R855+S855</x:f>
        <x:v>861.6234894357459</x:v>
      </x:c>
      <x:c r="U855" s="27" t="n">
        <x:f>N855*'Fleet Engine'!I216</x:f>
        <x:v>0</x:v>
      </x:c>
      <x:c r="V855" s="28" t="n">
        <x:f>U855*T855</x:f>
        <x:v>0</x:v>
      </x:c>
      <x:c r="W855" s="28" t="n">
        <x:f>U855*O855</x:f>
        <x:v>0</x:v>
      </x:c>
    </x:row>
    <x:row r="856" ht="19" customHeight="1">
      <x:c r="A856" s="2"/>
      <x:c r="B856" s="2"/>
      <x:c r="C856" s="46" t="n">
        <x:v>3</x:v>
      </x:c>
      <x:c r="D856" s="46" t="n">
        <x:v>22</x:v>
      </x:c>
      <x:c r="E856" s="46" t="n">
        <x:v>3</x:v>
      </x:c>
      <x:c r="F856" s="46" t="n">
        <x:v>4</x:v>
      </x:c>
      <x:c r="G856" s="12" t="n">
        <x:v>0.4444444444444444</x:v>
      </x:c>
      <x:c r="H856" s="12" t="n">
        <x:v>0.5555555555555556</x:v>
      </x:c>
      <x:c r="I856" s="29" t="n">
        <x:f>'Assumptions'!$D$11+'Assumptions'!$D$12*(0.5-(G856+H856)/2)</x:f>
        <x:v>0.3</x:v>
      </x:c>
      <x:c r="J856" s="27" t="n">
        <x:f>'Assumptions'!$D$8*EXP(-'Assumptions'!$D$9*('Fleet Engine'!E216-10))*'Assumptions'!E58*'Assumptions'!G36</x:f>
        <x:v>9048.374180359595</x:v>
      </x:c>
      <x:c r="K856" s="27" t="n">
        <x:f>'Source Data'!F221+LN('Assumptions'!D58)+LN('Assumptions'!G35)</x:f>
        <x:v>8.129564769703762</x:v>
      </x:c>
      <x:c r="L856" s="27" t="n">
        <x:f>J856*(1-I856*(1-'Carrier Engine'!E94))</x:f>
        <x:v>6442.442416416031</x:v>
      </x:c>
      <x:c r="M856" s="29" t="n">
        <x:f>NORM.S.DIST((LN(L856)-K856)/'Assumptions'!$D$10,TRUE)</x:f>
        <x:v>0.6584693407393539</x:v>
      </x:c>
      <x:c r="N856" s="30" t="n">
        <x:f>MAX(0,H856-MAX(G856,M856))</x:f>
        <x:v>0</x:v>
      </x:c>
      <x:c r="O856" s="28" t="n">
        <x:f>J856*I856</x:f>
        <x:v>2714.5122541078786</x:v>
      </x:c>
      <x:c r="P856" s="27" t="n">
        <x:f>(VLOOKUP(O856,'Fee Data'!$C$6:$G$50,2,TRUE)+O856*VLOOKUP(O856,'Fee Data'!$C$6:$G$50,3,TRUE)+VLOOKUP(O856,'Fee Data'!$I$6:$J$14,2,TRUE)+'Fee Data'!$J$20+'Fee Data'!$J$21)*'Assumptions'!G37</x:f>
        <x:v>820</x:v>
      </x:c>
      <x:c r="Q856" s="27" t="n">
        <x:f>(VLOOKUP(O856,'Fee Data'!$C$6:$G$50,4,TRUE)+O856*VLOOKUP(O856,'Fee Data'!$C$6:$G$50,5,TRUE)+VLOOKUP(O856,'Fee Data'!$I$6:$J$14,2,TRUE)+'Fee Data'!$J$20+'Fee Data'!$J$21)*'Assumptions'!G37</x:f>
        <x:v>670</x:v>
      </x:c>
      <x:c r="R856" s="27" t="n">
        <x:f>P856*(1-'Assumptions'!$D$14)+Q856*'Assumptions'!$D$14</x:f>
        <x:v>745</x:v>
      </x:c>
      <x:c r="S856" s="27" t="n">
        <x:f>O856*'Carrier Engine'!E94</x:f>
        <x:v>108.58049016431515</x:v>
      </x:c>
      <x:c r="T856" s="28" t="n">
        <x:f>R856+S856</x:f>
        <x:v>853.5804901643152</x:v>
      </x:c>
      <x:c r="U856" s="27" t="n">
        <x:f>N856*'Fleet Engine'!I216</x:f>
        <x:v>0</x:v>
      </x:c>
      <x:c r="V856" s="28" t="n">
        <x:f>U856*T856</x:f>
        <x:v>0</x:v>
      </x:c>
      <x:c r="W856" s="28" t="n">
        <x:f>U856*O856</x:f>
        <x:v>0</x:v>
      </x:c>
    </x:row>
    <x:row r="857" ht="19" customHeight="1">
      <x:c r="A857" s="2"/>
      <x:c r="B857" s="2"/>
      <x:c r="C857" s="46" t="n">
        <x:v>3</x:v>
      </x:c>
      <x:c r="D857" s="46" t="n">
        <x:v>22</x:v>
      </x:c>
      <x:c r="E857" s="46" t="n">
        <x:v>3</x:v>
      </x:c>
      <x:c r="F857" s="46" t="n">
        <x:v>4</x:v>
      </x:c>
      <x:c r="G857" s="12" t="n">
        <x:v>0.5555555555555556</x:v>
      </x:c>
      <x:c r="H857" s="12" t="n">
        <x:v>0.6666666666666666</x:v>
      </x:c>
      <x:c r="I857" s="29" t="n">
        <x:f>'Assumptions'!$D$11+'Assumptions'!$D$12*(0.5-(G857+H857)/2)</x:f>
        <x:v>0.27777777777777773</x:v>
      </x:c>
      <x:c r="J857" s="27" t="n">
        <x:f>'Assumptions'!$D$8*EXP(-'Assumptions'!$D$9*('Fleet Engine'!E216-10))*'Assumptions'!E58*'Assumptions'!G36</x:f>
        <x:v>9048.374180359595</x:v>
      </x:c>
      <x:c r="K857" s="27" t="n">
        <x:f>'Source Data'!F221+LN('Assumptions'!D58)+LN('Assumptions'!G35)</x:f>
        <x:v>8.129564769703762</x:v>
      </x:c>
      <x:c r="L857" s="27" t="n">
        <x:f>J857*(1-I857*(1-'Carrier Engine'!E94))</x:f>
        <x:v>6635.47439893037</x:v>
      </x:c>
      <x:c r="M857" s="29" t="n">
        <x:f>NORM.S.DIST((LN(L857)-K857)/'Assumptions'!$D$10,TRUE)</x:f>
        <x:v>0.6653434401742447</x:v>
      </x:c>
      <x:c r="N857" s="30" t="n">
        <x:f>MAX(0,H857-MAX(G857,M857))</x:f>
        <x:v>0.0013232264924218917</x:v>
      </x:c>
      <x:c r="O857" s="28" t="n">
        <x:f>J857*I857</x:f>
        <x:v>2513.4372723221095</x:v>
      </x:c>
      <x:c r="P857" s="27" t="n">
        <x:f>(VLOOKUP(O857,'Fee Data'!$C$6:$G$50,2,TRUE)+O857*VLOOKUP(O857,'Fee Data'!$C$6:$G$50,3,TRUE)+VLOOKUP(O857,'Fee Data'!$I$6:$J$14,2,TRUE)+'Fee Data'!$J$20+'Fee Data'!$J$21)*'Assumptions'!G37</x:f>
        <x:v>820</x:v>
      </x:c>
      <x:c r="Q857" s="27" t="n">
        <x:f>(VLOOKUP(O857,'Fee Data'!$C$6:$G$50,4,TRUE)+O857*VLOOKUP(O857,'Fee Data'!$C$6:$G$50,5,TRUE)+VLOOKUP(O857,'Fee Data'!$I$6:$J$14,2,TRUE)+'Fee Data'!$J$20+'Fee Data'!$J$21)*'Assumptions'!G37</x:f>
        <x:v>670</x:v>
      </x:c>
      <x:c r="R857" s="27" t="n">
        <x:f>P857*(1-'Assumptions'!$D$14)+Q857*'Assumptions'!$D$14</x:f>
        <x:v>745</x:v>
      </x:c>
      <x:c r="S857" s="27" t="n">
        <x:f>O857*'Carrier Engine'!E94</x:f>
        <x:v>100.53749089288438</x:v>
      </x:c>
      <x:c r="T857" s="28" t="n">
        <x:f>R857+S857</x:f>
        <x:v>845.5374908928844</x:v>
      </x:c>
      <x:c r="U857" s="27" t="n">
        <x:f>N857*'Fleet Engine'!I216</x:f>
        <x:v>1.5001313516334343</x:v>
      </x:c>
      <x:c r="V857" s="28" t="n">
        <x:f>U857*T857</x:f>
        <x:v>1268.4172990698853</x:v>
      </x:c>
      <x:c r="W857" s="28" t="n">
        <x:f>U857*O857</x:f>
        <x:v>3770.4860525744184</x:v>
      </x:c>
    </x:row>
    <x:row r="858" ht="19" customHeight="1">
      <x:c r="A858" s="2"/>
      <x:c r="B858" s="2"/>
      <x:c r="C858" s="46" t="n">
        <x:v>3</x:v>
      </x:c>
      <x:c r="D858" s="46" t="n">
        <x:v>22</x:v>
      </x:c>
      <x:c r="E858" s="46" t="n">
        <x:v>3</x:v>
      </x:c>
      <x:c r="F858" s="46" t="n">
        <x:v>4</x:v>
      </x:c>
      <x:c r="G858" s="12" t="n">
        <x:v>0.6666666666666666</x:v>
      </x:c>
      <x:c r="H858" s="12" t="n">
        <x:v>0.7777777777777778</x:v>
      </x:c>
      <x:c r="I858" s="29" t="n">
        <x:f>'Assumptions'!$D$11+'Assumptions'!$D$12*(0.5-(G858+H858)/2)</x:f>
        <x:v>0.25555555555555554</x:v>
      </x:c>
      <x:c r="J858" s="27" t="n">
        <x:f>'Assumptions'!$D$8*EXP(-'Assumptions'!$D$9*('Fleet Engine'!E216-10))*'Assumptions'!E58*'Assumptions'!G36</x:f>
        <x:v>9048.374180359595</x:v>
      </x:c>
      <x:c r="K858" s="27" t="n">
        <x:f>'Source Data'!F221+LN('Assumptions'!D58)+LN('Assumptions'!G35)</x:f>
        <x:v>8.129564769703762</x:v>
      </x:c>
      <x:c r="L858" s="27" t="n">
        <x:f>J858*(1-I858*(1-'Carrier Engine'!E94))</x:f>
        <x:v>6828.506381444708</x:v>
      </x:c>
      <x:c r="M858" s="29" t="n">
        <x:f>NORM.S.DIST((LN(L858)-K858)/'Assumptions'!$D$10,TRUE)</x:f>
        <x:v>0.6719677892659592</x:v>
      </x:c>
      <x:c r="N858" s="30" t="n">
        <x:f>MAX(0,H858-MAX(G858,M858))</x:f>
        <x:v>0.10580998851181855</x:v>
      </x:c>
      <x:c r="O858" s="28" t="n">
        <x:f>J858*I858</x:f>
        <x:v>2312.362290536341</x:v>
      </x:c>
      <x:c r="P858" s="27" t="n">
        <x:f>(VLOOKUP(O858,'Fee Data'!$C$6:$G$50,2,TRUE)+O858*VLOOKUP(O858,'Fee Data'!$C$6:$G$50,3,TRUE)+VLOOKUP(O858,'Fee Data'!$I$6:$J$14,2,TRUE)+'Fee Data'!$J$20+'Fee Data'!$J$21)*'Assumptions'!G37</x:f>
        <x:v>745</x:v>
      </x:c>
      <x:c r="Q858" s="27" t="n">
        <x:f>(VLOOKUP(O858,'Fee Data'!$C$6:$G$50,4,TRUE)+O858*VLOOKUP(O858,'Fee Data'!$C$6:$G$50,5,TRUE)+VLOOKUP(O858,'Fee Data'!$I$6:$J$14,2,TRUE)+'Fee Data'!$J$20+'Fee Data'!$J$21)*'Assumptions'!G37</x:f>
        <x:v>600</x:v>
      </x:c>
      <x:c r="R858" s="27" t="n">
        <x:f>P858*(1-'Assumptions'!$D$14)+Q858*'Assumptions'!$D$14</x:f>
        <x:v>672.5</x:v>
      </x:c>
      <x:c r="S858" s="27" t="n">
        <x:f>O858*'Carrier Engine'!E94</x:f>
        <x:v>92.49449162145363</x:v>
      </x:c>
      <x:c r="T858" s="28" t="n">
        <x:f>R858+S858</x:f>
        <x:v>764.9944916214537</x:v>
      </x:c>
      <x:c r="U858" s="27" t="n">
        <x:f>N858*'Fleet Engine'!I216</x:f>
        <x:v>119.95594253258353</x:v>
      </x:c>
      <x:c r="V858" s="28" t="n">
        <x:f>U858*T858</x:f>
        <x:v>91765.63527468605</x:v>
      </x:c>
      <x:c r="W858" s="28" t="n">
        <x:f>U858*O858</x:f>
        <x:v>277381.5980380905</x:v>
      </x:c>
    </x:row>
    <x:row r="859" ht="19" customHeight="1">
      <x:c r="A859" s="2"/>
      <x:c r="B859" s="2"/>
      <x:c r="C859" s="46" t="n">
        <x:v>3</x:v>
      </x:c>
      <x:c r="D859" s="46" t="n">
        <x:v>22</x:v>
      </x:c>
      <x:c r="E859" s="46" t="n">
        <x:v>3</x:v>
      </x:c>
      <x:c r="F859" s="46" t="n">
        <x:v>4</x:v>
      </x:c>
      <x:c r="G859" s="12" t="n">
        <x:v>0.7777777777777778</x:v>
      </x:c>
      <x:c r="H859" s="12" t="n">
        <x:v>0.8888888888888888</x:v>
      </x:c>
      <x:c r="I859" s="29" t="n">
        <x:f>'Assumptions'!$D$11+'Assumptions'!$D$12*(0.5-(G859+H859)/2)</x:f>
        <x:v>0.23333333333333334</x:v>
      </x:c>
      <x:c r="J859" s="27" t="n">
        <x:f>'Assumptions'!$D$8*EXP(-'Assumptions'!$D$9*('Fleet Engine'!E216-10))*'Assumptions'!E58*'Assumptions'!G36</x:f>
        <x:v>9048.374180359595</x:v>
      </x:c>
      <x:c r="K859" s="27" t="n">
        <x:f>'Source Data'!F221+LN('Assumptions'!D58)+LN('Assumptions'!G35)</x:f>
        <x:v>8.129564769703762</x:v>
      </x:c>
      <x:c r="L859" s="27" t="n">
        <x:f>J859*(1-I859*(1-'Carrier Engine'!E94))</x:f>
        <x:v>7021.5383639590455</x:v>
      </x:c>
      <x:c r="M859" s="29" t="n">
        <x:f>NORM.S.DIST((LN(L859)-K859)/'Assumptions'!$D$10,TRUE)</x:f>
        <x:v>0.6783560443804386</x:v>
      </x:c>
      <x:c r="N859" s="30" t="n">
        <x:f>MAX(0,H859-MAX(G859,M859))</x:f>
        <x:v>0.11111111111111105</x:v>
      </x:c>
      <x:c r="O859" s="28" t="n">
        <x:f>J859*I859</x:f>
        <x:v>2111.2873087505723</x:v>
      </x:c>
      <x:c r="P859" s="27" t="n">
        <x:f>(VLOOKUP(O859,'Fee Data'!$C$6:$G$50,2,TRUE)+O859*VLOOKUP(O859,'Fee Data'!$C$6:$G$50,3,TRUE)+VLOOKUP(O859,'Fee Data'!$I$6:$J$14,2,TRUE)+'Fee Data'!$J$20+'Fee Data'!$J$21)*'Assumptions'!G37</x:f>
        <x:v>745</x:v>
      </x:c>
      <x:c r="Q859" s="27" t="n">
        <x:f>(VLOOKUP(O859,'Fee Data'!$C$6:$G$50,4,TRUE)+O859*VLOOKUP(O859,'Fee Data'!$C$6:$G$50,5,TRUE)+VLOOKUP(O859,'Fee Data'!$I$6:$J$14,2,TRUE)+'Fee Data'!$J$20+'Fee Data'!$J$21)*'Assumptions'!G37</x:f>
        <x:v>600</x:v>
      </x:c>
      <x:c r="R859" s="27" t="n">
        <x:f>P859*(1-'Assumptions'!$D$14)+Q859*'Assumptions'!$D$14</x:f>
        <x:v>672.5</x:v>
      </x:c>
      <x:c r="S859" s="27" t="n">
        <x:f>O859*'Carrier Engine'!E94</x:f>
        <x:v>84.45149235002289</x:v>
      </x:c>
      <x:c r="T859" s="28" t="n">
        <x:f>R859+S859</x:f>
        <x:v>756.9514923500229</x:v>
      </x:c>
      <x:c r="U859" s="27" t="n">
        <x:f>N859*'Fleet Engine'!I216</x:f>
        <x:v>125.96578306675846</x:v>
      </x:c>
      <x:c r="V859" s="28" t="n">
        <x:f>U859*T859</x:f>
        <x:v>95349.98747742207</x:v>
      </x:c>
      <x:c r="W859" s="28" t="n">
        <x:f>U859*O859</x:f>
        <x:v>265949.95912567485</x:v>
      </x:c>
    </x:row>
    <x:row r="860" ht="19" customHeight="1">
      <x:c r="A860" s="2"/>
      <x:c r="B860" s="2"/>
      <x:c r="C860" s="46" t="n">
        <x:v>3</x:v>
      </x:c>
      <x:c r="D860" s="46" t="n">
        <x:v>22</x:v>
      </x:c>
      <x:c r="E860" s="46" t="n">
        <x:v>3</x:v>
      </x:c>
      <x:c r="F860" s="46" t="n">
        <x:v>4</x:v>
      </x:c>
      <x:c r="G860" s="12" t="n">
        <x:v>0.8888888888888888</x:v>
      </x:c>
      <x:c r="H860" s="12" t="n">
        <x:v>1</x:v>
      </x:c>
      <x:c r="I860" s="29" t="n">
        <x:f>'Assumptions'!$D$11+'Assumptions'!$D$12*(0.5-(G860+H860)/2)</x:f>
        <x:v>0.21111111111111108</x:v>
      </x:c>
      <x:c r="J860" s="27" t="n">
        <x:f>'Assumptions'!$D$8*EXP(-'Assumptions'!$D$9*('Fleet Engine'!E216-10))*'Assumptions'!E58*'Assumptions'!G36</x:f>
        <x:v>9048.374180359595</x:v>
      </x:c>
      <x:c r="K860" s="27" t="n">
        <x:f>'Source Data'!F221+LN('Assumptions'!D58)+LN('Assumptions'!G35)</x:f>
        <x:v>8.129564769703762</x:v>
      </x:c>
      <x:c r="L860" s="27" t="n">
        <x:f>J860*(1-I860*(1-'Carrier Engine'!E94))</x:f>
        <x:v>7214.570346473383</x:v>
      </x:c>
      <x:c r="M860" s="29" t="n">
        <x:f>NORM.S.DIST((LN(L860)-K860)/'Assumptions'!$D$10,TRUE)</x:f>
        <x:v>0.6845208539134946</x:v>
      </x:c>
      <x:c r="N860" s="30" t="n">
        <x:f>MAX(0,H860-MAX(G860,M860))</x:f>
        <x:v>0.11111111111111116</x:v>
      </x:c>
      <x:c r="O860" s="28" t="n">
        <x:f>J860*I860</x:f>
        <x:v>1910.2123269648032</x:v>
      </x:c>
      <x:c r="P860" s="27" t="n">
        <x:f>(VLOOKUP(O860,'Fee Data'!$C$6:$G$50,2,TRUE)+O860*VLOOKUP(O860,'Fee Data'!$C$6:$G$50,3,TRUE)+VLOOKUP(O860,'Fee Data'!$I$6:$J$14,2,TRUE)+'Fee Data'!$J$20+'Fee Data'!$J$21)*'Assumptions'!G37</x:f>
        <x:v>705</x:v>
      </x:c>
      <x:c r="Q860" s="27" t="n">
        <x:f>(VLOOKUP(O860,'Fee Data'!$C$6:$G$50,4,TRUE)+O860*VLOOKUP(O860,'Fee Data'!$C$6:$G$50,5,TRUE)+VLOOKUP(O860,'Fee Data'!$I$6:$J$14,2,TRUE)+'Fee Data'!$J$20+'Fee Data'!$J$21)*'Assumptions'!G37</x:f>
        <x:v>565</x:v>
      </x:c>
      <x:c r="R860" s="27" t="n">
        <x:f>P860*(1-'Assumptions'!$D$14)+Q860*'Assumptions'!$D$14</x:f>
        <x:v>635</x:v>
      </x:c>
      <x:c r="S860" s="27" t="n">
        <x:f>O860*'Carrier Engine'!E94</x:f>
        <x:v>76.40849307859213</x:v>
      </x:c>
      <x:c r="T860" s="28" t="n">
        <x:f>R860+S860</x:f>
        <x:v>711.4084930785921</x:v>
      </x:c>
      <x:c r="U860" s="27" t="n">
        <x:f>N860*'Fleet Engine'!I216</x:f>
        <x:v>125.96578306675859</x:v>
      </x:c>
      <x:c r="V860" s="28" t="n">
        <x:f>U860*T860</x:f>
        <x:v>89613.12791098756</x:v>
      </x:c>
      <x:c r="W860" s="28" t="n">
        <x:f>U860*O860</x:f>
        <x:v>240621.39158989652</x:v>
      </x:c>
    </x:row>
    <x:row r="861" ht="19" customHeight="1">
      <x:c r="A861" s="2"/>
      <x:c r="B861" s="2"/>
      <x:c r="C861" s="46" t="n">
        <x:v>3</x:v>
      </x:c>
      <x:c r="D861" s="46" t="n">
        <x:v>23</x:v>
      </x:c>
      <x:c r="E861" s="46" t="n">
        <x:v>3</x:v>
      </x:c>
      <x:c r="F861" s="46" t="n">
        <x:v>5</x:v>
      </x:c>
      <x:c r="G861" s="12" t="n">
        <x:v>0</x:v>
      </x:c>
      <x:c r="H861" s="12" t="n">
        <x:v>0.1111111111111111</x:v>
      </x:c>
      <x:c r="I861" s="29" t="n">
        <x:f>'Assumptions'!$D$11+'Assumptions'!$D$12*(0.5-(G861+H861)/2)</x:f>
        <x:v>0.3888888888888889</x:v>
      </x:c>
      <x:c r="J861" s="27" t="n">
        <x:f>'Assumptions'!$D$8*EXP(-'Assumptions'!$D$9*('Fleet Engine'!E217-10))*'Assumptions'!E58*'Assumptions'!G36</x:f>
        <x:v>4965.853037914095</x:v>
      </x:c>
      <x:c r="K861" s="27" t="n">
        <x:f>'Source Data'!F222+LN('Assumptions'!D58)+LN('Assumptions'!G35)</x:f>
        <x:v>8.030635919980082</x:v>
      </x:c>
      <x:c r="L861" s="27" t="n">
        <x:f>J861*(1-I861*(1-'Carrier Engine'!E94))</x:f>
        <x:v>3111.9345704261664</x:v>
      </x:c>
      <x:c r="M861" s="29" t="n">
        <x:f>NORM.S.DIST((LN(L861)-K861)/'Assumptions'!$D$10,TRUE)</x:f>
        <x:v>0.5031412742530323</x:v>
      </x:c>
      <x:c r="N861" s="30" t="n">
        <x:f>MAX(0,H861-MAX(G861,M861))</x:f>
        <x:v>0</x:v>
      </x:c>
      <x:c r="O861" s="28" t="n">
        <x:f>J861*I861</x:f>
        <x:v>1931.1650702999257</x:v>
      </x:c>
      <x:c r="P861" s="27" t="n">
        <x:f>(VLOOKUP(O861,'Fee Data'!$C$6:$G$50,2,TRUE)+O861*VLOOKUP(O861,'Fee Data'!$C$6:$G$50,3,TRUE)+VLOOKUP(O861,'Fee Data'!$I$6:$J$14,2,TRUE)+'Fee Data'!$J$20+'Fee Data'!$J$21)*'Assumptions'!G37</x:f>
        <x:v>705</x:v>
      </x:c>
      <x:c r="Q861" s="27" t="n">
        <x:f>(VLOOKUP(O861,'Fee Data'!$C$6:$G$50,4,TRUE)+O861*VLOOKUP(O861,'Fee Data'!$C$6:$G$50,5,TRUE)+VLOOKUP(O861,'Fee Data'!$I$6:$J$14,2,TRUE)+'Fee Data'!$J$20+'Fee Data'!$J$21)*'Assumptions'!G37</x:f>
        <x:v>565</x:v>
      </x:c>
      <x:c r="R861" s="27" t="n">
        <x:f>P861*(1-'Assumptions'!$D$14)+Q861*'Assumptions'!$D$14</x:f>
        <x:v>635</x:v>
      </x:c>
      <x:c r="S861" s="27" t="n">
        <x:f>O861*'Carrier Engine'!E94</x:f>
        <x:v>77.24660281199702</x:v>
      </x:c>
      <x:c r="T861" s="28" t="n">
        <x:f>R861+S861</x:f>
        <x:v>712.246602811997</x:v>
      </x:c>
      <x:c r="U861" s="27" t="n">
        <x:f>N861*'Fleet Engine'!I217</x:f>
        <x:v>0</x:v>
      </x:c>
      <x:c r="V861" s="28" t="n">
        <x:f>U861*T861</x:f>
        <x:v>0</x:v>
      </x:c>
      <x:c r="W861" s="28" t="n">
        <x:f>U861*O861</x:f>
        <x:v>0</x:v>
      </x:c>
    </x:row>
    <x:row r="862" ht="19" customHeight="1">
      <x:c r="A862" s="2"/>
      <x:c r="B862" s="2"/>
      <x:c r="C862" s="46" t="n">
        <x:v>3</x:v>
      </x:c>
      <x:c r="D862" s="46" t="n">
        <x:v>23</x:v>
      </x:c>
      <x:c r="E862" s="46" t="n">
        <x:v>3</x:v>
      </x:c>
      <x:c r="F862" s="46" t="n">
        <x:v>5</x:v>
      </x:c>
      <x:c r="G862" s="12" t="n">
        <x:v>0.1111111111111111</x:v>
      </x:c>
      <x:c r="H862" s="12" t="n">
        <x:v>0.2222222222222222</x:v>
      </x:c>
      <x:c r="I862" s="29" t="n">
        <x:f>'Assumptions'!$D$11+'Assumptions'!$D$12*(0.5-(G862+H862)/2)</x:f>
        <x:v>0.3666666666666667</x:v>
      </x:c>
      <x:c r="J862" s="27" t="n">
        <x:f>'Assumptions'!$D$8*EXP(-'Assumptions'!$D$9*('Fleet Engine'!E217-10))*'Assumptions'!E58*'Assumptions'!G36</x:f>
        <x:v>4965.853037914095</x:v>
      </x:c>
      <x:c r="K862" s="27" t="n">
        <x:f>'Source Data'!F222+LN('Assumptions'!D58)+LN('Assumptions'!G35)</x:f>
        <x:v>8.030635919980082</x:v>
      </x:c>
      <x:c r="L862" s="27" t="n">
        <x:f>J862*(1-I862*(1-'Carrier Engine'!E94))</x:f>
        <x:v>3217.872768568333</x:v>
      </x:c>
      <x:c r="M862" s="29" t="n">
        <x:f>NORM.S.DIST((LN(L862)-K862)/'Assumptions'!$D$10,TRUE)</x:f>
        <x:v>0.511644883114373</x:v>
      </x:c>
      <x:c r="N862" s="30" t="n">
        <x:f>MAX(0,H862-MAX(G862,M862))</x:f>
        <x:v>0</x:v>
      </x:c>
      <x:c r="O862" s="28" t="n">
        <x:f>J862*I862</x:f>
        <x:v>1820.8127805685015</x:v>
      </x:c>
      <x:c r="P862" s="27" t="n">
        <x:f>(VLOOKUP(O862,'Fee Data'!$C$6:$G$50,2,TRUE)+O862*VLOOKUP(O862,'Fee Data'!$C$6:$G$50,3,TRUE)+VLOOKUP(O862,'Fee Data'!$I$6:$J$14,2,TRUE)+'Fee Data'!$J$20+'Fee Data'!$J$21)*'Assumptions'!G37</x:f>
        <x:v>705</x:v>
      </x:c>
      <x:c r="Q862" s="27" t="n">
        <x:f>(VLOOKUP(O862,'Fee Data'!$C$6:$G$50,4,TRUE)+O862*VLOOKUP(O862,'Fee Data'!$C$6:$G$50,5,TRUE)+VLOOKUP(O862,'Fee Data'!$I$6:$J$14,2,TRUE)+'Fee Data'!$J$20+'Fee Data'!$J$21)*'Assumptions'!G37</x:f>
        <x:v>565</x:v>
      </x:c>
      <x:c r="R862" s="27" t="n">
        <x:f>P862*(1-'Assumptions'!$D$14)+Q862*'Assumptions'!$D$14</x:f>
        <x:v>635</x:v>
      </x:c>
      <x:c r="S862" s="27" t="n">
        <x:f>O862*'Carrier Engine'!E94</x:f>
        <x:v>72.83251122274007</x:v>
      </x:c>
      <x:c r="T862" s="28" t="n">
        <x:f>R862+S862</x:f>
        <x:v>707.8325112227401</x:v>
      </x:c>
      <x:c r="U862" s="27" t="n">
        <x:f>N862*'Fleet Engine'!I217</x:f>
        <x:v>0</x:v>
      </x:c>
      <x:c r="V862" s="28" t="n">
        <x:f>U862*T862</x:f>
        <x:v>0</x:v>
      </x:c>
      <x:c r="W862" s="28" t="n">
        <x:f>U862*O862</x:f>
        <x:v>0</x:v>
      </x:c>
    </x:row>
    <x:row r="863" ht="19" customHeight="1">
      <x:c r="A863" s="2"/>
      <x:c r="B863" s="2"/>
      <x:c r="C863" s="46" t="n">
        <x:v>3</x:v>
      </x:c>
      <x:c r="D863" s="46" t="n">
        <x:v>23</x:v>
      </x:c>
      <x:c r="E863" s="46" t="n">
        <x:v>3</x:v>
      </x:c>
      <x:c r="F863" s="46" t="n">
        <x:v>5</x:v>
      </x:c>
      <x:c r="G863" s="12" t="n">
        <x:v>0.2222222222222222</x:v>
      </x:c>
      <x:c r="H863" s="12" t="n">
        <x:v>0.3333333333333333</x:v>
      </x:c>
      <x:c r="I863" s="29" t="n">
        <x:f>'Assumptions'!$D$11+'Assumptions'!$D$12*(0.5-(G863+H863)/2)</x:f>
        <x:v>0.34444444444444444</x:v>
      </x:c>
      <x:c r="J863" s="27" t="n">
        <x:f>'Assumptions'!$D$8*EXP(-'Assumptions'!$D$9*('Fleet Engine'!E217-10))*'Assumptions'!E58*'Assumptions'!G36</x:f>
        <x:v>4965.853037914095</x:v>
      </x:c>
      <x:c r="K863" s="27" t="n">
        <x:f>'Source Data'!F222+LN('Assumptions'!D58)+LN('Assumptions'!G35)</x:f>
        <x:v>8.030635919980082</x:v>
      </x:c>
      <x:c r="L863" s="27" t="n">
        <x:f>J863*(1-I863*(1-'Carrier Engine'!E94))</x:f>
        <x:v>3323.810966710501</x:v>
      </x:c>
      <x:c r="M863" s="29" t="n">
        <x:f>NORM.S.DIST((LN(L863)-K863)/'Assumptions'!$D$10,TRUE)</x:f>
        <x:v>0.5198680257298949</x:v>
      </x:c>
      <x:c r="N863" s="30" t="n">
        <x:f>MAX(0,H863-MAX(G863,M863))</x:f>
        <x:v>0</x:v>
      </x:c>
      <x:c r="O863" s="28" t="n">
        <x:f>J863*I863</x:f>
        <x:v>1710.460490837077</x:v>
      </x:c>
      <x:c r="P863" s="27" t="n">
        <x:f>(VLOOKUP(O863,'Fee Data'!$C$6:$G$50,2,TRUE)+O863*VLOOKUP(O863,'Fee Data'!$C$6:$G$50,3,TRUE)+VLOOKUP(O863,'Fee Data'!$I$6:$J$14,2,TRUE)+'Fee Data'!$J$20+'Fee Data'!$J$21)*'Assumptions'!G37</x:f>
        <x:v>680</x:v>
      </x:c>
      <x:c r="Q863" s="27" t="n">
        <x:f>(VLOOKUP(O863,'Fee Data'!$C$6:$G$50,4,TRUE)+O863*VLOOKUP(O863,'Fee Data'!$C$6:$G$50,5,TRUE)+VLOOKUP(O863,'Fee Data'!$I$6:$J$14,2,TRUE)+'Fee Data'!$J$20+'Fee Data'!$J$21)*'Assumptions'!G37</x:f>
        <x:v>545</x:v>
      </x:c>
      <x:c r="R863" s="27" t="n">
        <x:f>P863*(1-'Assumptions'!$D$14)+Q863*'Assumptions'!$D$14</x:f>
        <x:v>612.5</x:v>
      </x:c>
      <x:c r="S863" s="27" t="n">
        <x:f>O863*'Carrier Engine'!E94</x:f>
        <x:v>68.41841963348308</x:v>
      </x:c>
      <x:c r="T863" s="28" t="n">
        <x:f>R863+S863</x:f>
        <x:v>680.918419633483</x:v>
      </x:c>
      <x:c r="U863" s="27" t="n">
        <x:f>N863*'Fleet Engine'!I217</x:f>
        <x:v>0</x:v>
      </x:c>
      <x:c r="V863" s="28" t="n">
        <x:f>U863*T863</x:f>
        <x:v>0</x:v>
      </x:c>
      <x:c r="W863" s="28" t="n">
        <x:f>U863*O863</x:f>
        <x:v>0</x:v>
      </x:c>
    </x:row>
    <x:row r="864" ht="19" customHeight="1">
      <x:c r="A864" s="2"/>
      <x:c r="B864" s="2"/>
      <x:c r="C864" s="46" t="n">
        <x:v>3</x:v>
      </x:c>
      <x:c r="D864" s="46" t="n">
        <x:v>23</x:v>
      </x:c>
      <x:c r="E864" s="46" t="n">
        <x:v>3</x:v>
      </x:c>
      <x:c r="F864" s="46" t="n">
        <x:v>5</x:v>
      </x:c>
      <x:c r="G864" s="12" t="n">
        <x:v>0.3333333333333333</x:v>
      </x:c>
      <x:c r="H864" s="12" t="n">
        <x:v>0.4444444444444444</x:v>
      </x:c>
      <x:c r="I864" s="29" t="n">
        <x:f>'Assumptions'!$D$11+'Assumptions'!$D$12*(0.5-(G864+H864)/2)</x:f>
        <x:v>0.32222222222222224</x:v>
      </x:c>
      <x:c r="J864" s="27" t="n">
        <x:f>'Assumptions'!$D$8*EXP(-'Assumptions'!$D$9*('Fleet Engine'!E217-10))*'Assumptions'!E58*'Assumptions'!G36</x:f>
        <x:v>4965.853037914095</x:v>
      </x:c>
      <x:c r="K864" s="27" t="n">
        <x:f>'Source Data'!F222+LN('Assumptions'!D58)+LN('Assumptions'!G35)</x:f>
        <x:v>8.030635919980082</x:v>
      </x:c>
      <x:c r="L864" s="27" t="n">
        <x:f>J864*(1-I864*(1-'Carrier Engine'!E94))</x:f>
        <x:v>3429.749164852668</x:v>
      </x:c>
      <x:c r="M864" s="29" t="n">
        <x:f>NORM.S.DIST((LN(L864)-K864)/'Assumptions'!$D$10,TRUE)</x:f>
        <x:v>0.5278251256486162</x:v>
      </x:c>
      <x:c r="N864" s="30" t="n">
        <x:f>MAX(0,H864-MAX(G864,M864))</x:f>
        <x:v>0</x:v>
      </x:c>
      <x:c r="O864" s="28" t="n">
        <x:f>J864*I864</x:f>
        <x:v>1600.1082011056528</x:v>
      </x:c>
      <x:c r="P864" s="27" t="n">
        <x:f>(VLOOKUP(O864,'Fee Data'!$C$6:$G$50,2,TRUE)+O864*VLOOKUP(O864,'Fee Data'!$C$6:$G$50,3,TRUE)+VLOOKUP(O864,'Fee Data'!$I$6:$J$14,2,TRUE)+'Fee Data'!$J$20+'Fee Data'!$J$21)*'Assumptions'!G37</x:f>
        <x:v>660</x:v>
      </x:c>
      <x:c r="Q864" s="27" t="n">
        <x:f>(VLOOKUP(O864,'Fee Data'!$C$6:$G$50,4,TRUE)+O864*VLOOKUP(O864,'Fee Data'!$C$6:$G$50,5,TRUE)+VLOOKUP(O864,'Fee Data'!$I$6:$J$14,2,TRUE)+'Fee Data'!$J$20+'Fee Data'!$J$21)*'Assumptions'!G37</x:f>
        <x:v>525</x:v>
      </x:c>
      <x:c r="R864" s="27" t="n">
        <x:f>P864*(1-'Assumptions'!$D$14)+Q864*'Assumptions'!$D$14</x:f>
        <x:v>592.5</x:v>
      </x:c>
      <x:c r="S864" s="27" t="n">
        <x:f>O864*'Carrier Engine'!E94</x:f>
        <x:v>64.00432804422611</x:v>
      </x:c>
      <x:c r="T864" s="28" t="n">
        <x:f>R864+S864</x:f>
        <x:v>656.5043280442261</x:v>
      </x:c>
      <x:c r="U864" s="27" t="n">
        <x:f>N864*'Fleet Engine'!I217</x:f>
        <x:v>0</x:v>
      </x:c>
      <x:c r="V864" s="28" t="n">
        <x:f>U864*T864</x:f>
        <x:v>0</x:v>
      </x:c>
      <x:c r="W864" s="28" t="n">
        <x:f>U864*O864</x:f>
        <x:v>0</x:v>
      </x:c>
    </x:row>
    <x:row r="865" ht="19" customHeight="1">
      <x:c r="A865" s="2"/>
      <x:c r="B865" s="2"/>
      <x:c r="C865" s="46" t="n">
        <x:v>3</x:v>
      </x:c>
      <x:c r="D865" s="46" t="n">
        <x:v>23</x:v>
      </x:c>
      <x:c r="E865" s="46" t="n">
        <x:v>3</x:v>
      </x:c>
      <x:c r="F865" s="46" t="n">
        <x:v>5</x:v>
      </x:c>
      <x:c r="G865" s="12" t="n">
        <x:v>0.4444444444444444</x:v>
      </x:c>
      <x:c r="H865" s="12" t="n">
        <x:v>0.5555555555555556</x:v>
      </x:c>
      <x:c r="I865" s="29" t="n">
        <x:f>'Assumptions'!$D$11+'Assumptions'!$D$12*(0.5-(G865+H865)/2)</x:f>
        <x:v>0.3</x:v>
      </x:c>
      <x:c r="J865" s="27" t="n">
        <x:f>'Assumptions'!$D$8*EXP(-'Assumptions'!$D$9*('Fleet Engine'!E217-10))*'Assumptions'!E58*'Assumptions'!G36</x:f>
        <x:v>4965.853037914095</x:v>
      </x:c>
      <x:c r="K865" s="27" t="n">
        <x:f>'Source Data'!F222+LN('Assumptions'!D58)+LN('Assumptions'!G35)</x:f>
        <x:v>8.030635919980082</x:v>
      </x:c>
      <x:c r="L865" s="27" t="n">
        <x:f>J865*(1-I865*(1-'Carrier Engine'!E94))</x:f>
        <x:v>3535.6873629948354</x:v>
      </x:c>
      <x:c r="M865" s="29" t="n">
        <x:f>NORM.S.DIST((LN(L865)-K865)/'Assumptions'!$D$10,TRUE)</x:f>
        <x:v>0.5355295877473003</x:v>
      </x:c>
      <x:c r="N865" s="30" t="n">
        <x:f>MAX(0,H865-MAX(G865,M865))</x:f>
        <x:v>0.020025967808255274</x:v>
      </x:c>
      <x:c r="O865" s="28" t="n">
        <x:f>J865*I865</x:f>
        <x:v>1489.7559113742284</x:v>
      </x:c>
      <x:c r="P865" s="27" t="n">
        <x:f>(VLOOKUP(O865,'Fee Data'!$C$6:$G$50,2,TRUE)+O865*VLOOKUP(O865,'Fee Data'!$C$6:$G$50,3,TRUE)+VLOOKUP(O865,'Fee Data'!$I$6:$J$14,2,TRUE)+'Fee Data'!$J$20+'Fee Data'!$J$21)*'Assumptions'!G37</x:f>
        <x:v>615</x:v>
      </x:c>
      <x:c r="Q865" s="27" t="n">
        <x:f>(VLOOKUP(O865,'Fee Data'!$C$6:$G$50,4,TRUE)+O865*VLOOKUP(O865,'Fee Data'!$C$6:$G$50,5,TRUE)+VLOOKUP(O865,'Fee Data'!$I$6:$J$14,2,TRUE)+'Fee Data'!$J$20+'Fee Data'!$J$21)*'Assumptions'!G37</x:f>
        <x:v>485</x:v>
      </x:c>
      <x:c r="R865" s="27" t="n">
        <x:f>P865*(1-'Assumptions'!$D$14)+Q865*'Assumptions'!$D$14</x:f>
        <x:v>550</x:v>
      </x:c>
      <x:c r="S865" s="27" t="n">
        <x:f>O865*'Carrier Engine'!E94</x:f>
        <x:v>59.59023645496914</x:v>
      </x:c>
      <x:c r="T865" s="28" t="n">
        <x:f>R865+S865</x:f>
        <x:v>609.5902364549692</x:v>
      </x:c>
      <x:c r="U865" s="27" t="n">
        <x:f>N865*'Fleet Engine'!I217</x:f>
        <x:v>26.941420704592932</x:v>
      </x:c>
      <x:c r="V865" s="28" t="n">
        <x:f>U865*T865</x:f>
        <x:v>16423.22701774561</x:v>
      </x:c>
      <x:c r="W865" s="28" t="n">
        <x:f>U865*O865</x:f>
        <x:v>40136.14075548735</x:v>
      </x:c>
    </x:row>
    <x:row r="866" ht="19" customHeight="1">
      <x:c r="A866" s="2"/>
      <x:c r="B866" s="2"/>
      <x:c r="C866" s="46" t="n">
        <x:v>3</x:v>
      </x:c>
      <x:c r="D866" s="46" t="n">
        <x:v>23</x:v>
      </x:c>
      <x:c r="E866" s="46" t="n">
        <x:v>3</x:v>
      </x:c>
      <x:c r="F866" s="46" t="n">
        <x:v>5</x:v>
      </x:c>
      <x:c r="G866" s="12" t="n">
        <x:v>0.5555555555555556</x:v>
      </x:c>
      <x:c r="H866" s="12" t="n">
        <x:v>0.6666666666666666</x:v>
      </x:c>
      <x:c r="I866" s="29" t="n">
        <x:f>'Assumptions'!$D$11+'Assumptions'!$D$12*(0.5-(G866+H866)/2)</x:f>
        <x:v>0.27777777777777773</x:v>
      </x:c>
      <x:c r="J866" s="27" t="n">
        <x:f>'Assumptions'!$D$8*EXP(-'Assumptions'!$D$9*('Fleet Engine'!E217-10))*'Assumptions'!E58*'Assumptions'!G36</x:f>
        <x:v>4965.853037914095</x:v>
      </x:c>
      <x:c r="K866" s="27" t="n">
        <x:f>'Source Data'!F222+LN('Assumptions'!D58)+LN('Assumptions'!G35)</x:f>
        <x:v>8.030635919980082</x:v>
      </x:c>
      <x:c r="L866" s="27" t="n">
        <x:f>J866*(1-I866*(1-'Carrier Engine'!E94))</x:f>
        <x:v>3641.625561137003</x:v>
      </x:c>
      <x:c r="M866" s="29" t="n">
        <x:f>NORM.S.DIST((LN(L866)-K866)/'Assumptions'!$D$10,TRUE)</x:f>
        <x:v>0.5429938893858242</x:v>
      </x:c>
      <x:c r="N866" s="30" t="n">
        <x:f>MAX(0,H866-MAX(G866,M866))</x:f>
        <x:v>0.11111111111111105</x:v>
      </x:c>
      <x:c r="O866" s="28" t="n">
        <x:f>J866*I866</x:f>
        <x:v>1379.403621642804</x:v>
      </x:c>
      <x:c r="P866" s="27" t="n">
        <x:f>(VLOOKUP(O866,'Fee Data'!$C$6:$G$50,2,TRUE)+O866*VLOOKUP(O866,'Fee Data'!$C$6:$G$50,3,TRUE)+VLOOKUP(O866,'Fee Data'!$I$6:$J$14,2,TRUE)+'Fee Data'!$J$20+'Fee Data'!$J$21)*'Assumptions'!G37</x:f>
        <x:v>595</x:v>
      </x:c>
      <x:c r="Q866" s="27" t="n">
        <x:f>(VLOOKUP(O866,'Fee Data'!$C$6:$G$50,4,TRUE)+O866*VLOOKUP(O866,'Fee Data'!$C$6:$G$50,5,TRUE)+VLOOKUP(O866,'Fee Data'!$I$6:$J$14,2,TRUE)+'Fee Data'!$J$20+'Fee Data'!$J$21)*'Assumptions'!G37</x:f>
        <x:v>470</x:v>
      </x:c>
      <x:c r="R866" s="27" t="n">
        <x:f>P866*(1-'Assumptions'!$D$14)+Q866*'Assumptions'!$D$14</x:f>
        <x:v>532.5</x:v>
      </x:c>
      <x:c r="S866" s="27" t="n">
        <x:f>O866*'Carrier Engine'!E94</x:f>
        <x:v>55.17614486571216</x:v>
      </x:c>
      <x:c r="T866" s="28" t="n">
        <x:f>R866+S866</x:f>
        <x:v>587.6761448657121</x:v>
      </x:c>
      <x:c r="U866" s="27" t="n">
        <x:f>N866*'Fleet Engine'!I217</x:f>
        <x:v>149.48047545373615</x:v>
      </x:c>
      <x:c r="V866" s="28" t="n">
        <x:f>U866*T866</x:f>
        <x:v>87846.10954734536</x:v>
      </x:c>
      <x:c r="W866" s="28" t="n">
        <x:f>U866*O866</x:f>
        <x:v>206193.9092057719</x:v>
      </x:c>
    </x:row>
    <x:row r="867" ht="19" customHeight="1">
      <x:c r="A867" s="2"/>
      <x:c r="B867" s="2"/>
      <x:c r="C867" s="46" t="n">
        <x:v>3</x:v>
      </x:c>
      <x:c r="D867" s="46" t="n">
        <x:v>23</x:v>
      </x:c>
      <x:c r="E867" s="46" t="n">
        <x:v>3</x:v>
      </x:c>
      <x:c r="F867" s="46" t="n">
        <x:v>5</x:v>
      </x:c>
      <x:c r="G867" s="12" t="n">
        <x:v>0.6666666666666666</x:v>
      </x:c>
      <x:c r="H867" s="12" t="n">
        <x:v>0.7777777777777778</x:v>
      </x:c>
      <x:c r="I867" s="29" t="n">
        <x:f>'Assumptions'!$D$11+'Assumptions'!$D$12*(0.5-(G867+H867)/2)</x:f>
        <x:v>0.25555555555555554</x:v>
      </x:c>
      <x:c r="J867" s="27" t="n">
        <x:f>'Assumptions'!$D$8*EXP(-'Assumptions'!$D$9*('Fleet Engine'!E217-10))*'Assumptions'!E58*'Assumptions'!G36</x:f>
        <x:v>4965.853037914095</x:v>
      </x:c>
      <x:c r="K867" s="27" t="n">
        <x:f>'Source Data'!F222+LN('Assumptions'!D58)+LN('Assumptions'!G35)</x:f>
        <x:v>8.030635919980082</x:v>
      </x:c>
      <x:c r="L867" s="27" t="n">
        <x:f>J867*(1-I867*(1-'Carrier Engine'!E94))</x:f>
        <x:v>3747.5637592791704</x:v>
      </x:c>
      <x:c r="M867" s="29" t="n">
        <x:f>NORM.S.DIST((LN(L867)-K867)/'Assumptions'!$D$10,TRUE)</x:f>
        <x:v>0.5502296617814866</x:v>
      </x:c>
      <x:c r="N867" s="30" t="n">
        <x:f>MAX(0,H867-MAX(G867,M867))</x:f>
        <x:v>0.11111111111111116</x:v>
      </x:c>
      <x:c r="O867" s="28" t="n">
        <x:f>J867*I867</x:f>
        <x:v>1269.0513319113797</x:v>
      </x:c>
      <x:c r="P867" s="27" t="n">
        <x:f>(VLOOKUP(O867,'Fee Data'!$C$6:$G$50,2,TRUE)+O867*VLOOKUP(O867,'Fee Data'!$C$6:$G$50,3,TRUE)+VLOOKUP(O867,'Fee Data'!$I$6:$J$14,2,TRUE)+'Fee Data'!$J$20+'Fee Data'!$J$21)*'Assumptions'!G37</x:f>
        <x:v>580</x:v>
      </x:c>
      <x:c r="Q867" s="27" t="n">
        <x:f>(VLOOKUP(O867,'Fee Data'!$C$6:$G$50,4,TRUE)+O867*VLOOKUP(O867,'Fee Data'!$C$6:$G$50,5,TRUE)+VLOOKUP(O867,'Fee Data'!$I$6:$J$14,2,TRUE)+'Fee Data'!$J$20+'Fee Data'!$J$21)*'Assumptions'!G37</x:f>
        <x:v>455</x:v>
      </x:c>
      <x:c r="R867" s="27" t="n">
        <x:f>P867*(1-'Assumptions'!$D$14)+Q867*'Assumptions'!$D$14</x:f>
        <x:v>517.5</x:v>
      </x:c>
      <x:c r="S867" s="27" t="n">
        <x:f>O867*'Carrier Engine'!E94</x:f>
        <x:v>50.76205327645519</x:v>
      </x:c>
      <x:c r="T867" s="28" t="n">
        <x:f>R867+S867</x:f>
        <x:v>568.2620532764552</x:v>
      </x:c>
      <x:c r="U867" s="27" t="n">
        <x:f>N867*'Fleet Engine'!I217</x:f>
        <x:v>149.48047545373632</x:v>
      </x:c>
      <x:c r="V867" s="28" t="n">
        <x:f>U867*T867</x:f>
        <x:v>84944.08190608096</x:v>
      </x:c>
      <x:c r="W867" s="28" t="n">
        <x:f>U867*O867</x:f>
        <x:v>189698.3964693104</x:v>
      </x:c>
    </x:row>
    <x:row r="868" ht="19" customHeight="1">
      <x:c r="A868" s="2"/>
      <x:c r="B868" s="2"/>
      <x:c r="C868" s="46" t="n">
        <x:v>3</x:v>
      </x:c>
      <x:c r="D868" s="46" t="n">
        <x:v>23</x:v>
      </x:c>
      <x:c r="E868" s="46" t="n">
        <x:v>3</x:v>
      </x:c>
      <x:c r="F868" s="46" t="n">
        <x:v>5</x:v>
      </x:c>
      <x:c r="G868" s="12" t="n">
        <x:v>0.7777777777777778</x:v>
      </x:c>
      <x:c r="H868" s="12" t="n">
        <x:v>0.8888888888888888</x:v>
      </x:c>
      <x:c r="I868" s="29" t="n">
        <x:f>'Assumptions'!$D$11+'Assumptions'!$D$12*(0.5-(G868+H868)/2)</x:f>
        <x:v>0.23333333333333334</x:v>
      </x:c>
      <x:c r="J868" s="27" t="n">
        <x:f>'Assumptions'!$D$8*EXP(-'Assumptions'!$D$9*('Fleet Engine'!E217-10))*'Assumptions'!E58*'Assumptions'!G36</x:f>
        <x:v>4965.853037914095</x:v>
      </x:c>
      <x:c r="K868" s="27" t="n">
        <x:f>'Source Data'!F222+LN('Assumptions'!D58)+LN('Assumptions'!G35)</x:f>
        <x:v>8.030635919980082</x:v>
      </x:c>
      <x:c r="L868" s="27" t="n">
        <x:f>J868*(1-I868*(1-'Carrier Engine'!E94))</x:f>
        <x:v>3853.5019574213375</x:v>
      </x:c>
      <x:c r="M868" s="29" t="n">
        <x:f>NORM.S.DIST((LN(L868)-K868)/'Assumptions'!$D$10,TRUE)</x:f>
        <x:v>0.557247762810186</x:v>
      </x:c>
      <x:c r="N868" s="30" t="n">
        <x:f>MAX(0,H868-MAX(G868,M868))</x:f>
        <x:v>0.11111111111111105</x:v>
      </x:c>
      <x:c r="O868" s="28" t="n">
        <x:f>J868*I868</x:f>
        <x:v>1158.6990421799555</x:v>
      </x:c>
      <x:c r="P868" s="27" t="n">
        <x:f>(VLOOKUP(O868,'Fee Data'!$C$6:$G$50,2,TRUE)+O868*VLOOKUP(O868,'Fee Data'!$C$6:$G$50,3,TRUE)+VLOOKUP(O868,'Fee Data'!$I$6:$J$14,2,TRUE)+'Fee Data'!$J$20+'Fee Data'!$J$21)*'Assumptions'!G37</x:f>
        <x:v>560</x:v>
      </x:c>
      <x:c r="Q868" s="27" t="n">
        <x:f>(VLOOKUP(O868,'Fee Data'!$C$6:$G$50,4,TRUE)+O868*VLOOKUP(O868,'Fee Data'!$C$6:$G$50,5,TRUE)+VLOOKUP(O868,'Fee Data'!$I$6:$J$14,2,TRUE)+'Fee Data'!$J$20+'Fee Data'!$J$21)*'Assumptions'!G37</x:f>
        <x:v>435</x:v>
      </x:c>
      <x:c r="R868" s="27" t="n">
        <x:f>P868*(1-'Assumptions'!$D$14)+Q868*'Assumptions'!$D$14</x:f>
        <x:v>497.5</x:v>
      </x:c>
      <x:c r="S868" s="27" t="n">
        <x:f>O868*'Carrier Engine'!E94</x:f>
        <x:v>46.34796168719822</x:v>
      </x:c>
      <x:c r="T868" s="28" t="n">
        <x:f>R868+S868</x:f>
        <x:v>543.8479616871982</x:v>
      </x:c>
      <x:c r="U868" s="27" t="n">
        <x:f>N868*'Fleet Engine'!I217</x:f>
        <x:v>149.48047545373615</x:v>
      </x:c>
      <x:c r="V868" s="28" t="n">
        <x:f>U868*T868</x:f>
        <x:v>81294.65188754768</x:v>
      </x:c>
      <x:c r="W868" s="28" t="n">
        <x:f>U868*O868</x:f>
        <x:v>173202.88373284842</x:v>
      </x:c>
    </x:row>
    <x:row r="869" ht="19" customHeight="1">
      <x:c r="A869" s="2"/>
      <x:c r="B869" s="2"/>
      <x:c r="C869" s="46" t="n">
        <x:v>3</x:v>
      </x:c>
      <x:c r="D869" s="46" t="n">
        <x:v>23</x:v>
      </x:c>
      <x:c r="E869" s="46" t="n">
        <x:v>3</x:v>
      </x:c>
      <x:c r="F869" s="46" t="n">
        <x:v>5</x:v>
      </x:c>
      <x:c r="G869" s="12" t="n">
        <x:v>0.8888888888888888</x:v>
      </x:c>
      <x:c r="H869" s="12" t="n">
        <x:v>1</x:v>
      </x:c>
      <x:c r="I869" s="29" t="n">
        <x:f>'Assumptions'!$D$11+'Assumptions'!$D$12*(0.5-(G869+H869)/2)</x:f>
        <x:v>0.21111111111111108</x:v>
      </x:c>
      <x:c r="J869" s="27" t="n">
        <x:f>'Assumptions'!$D$8*EXP(-'Assumptions'!$D$9*('Fleet Engine'!E217-10))*'Assumptions'!E58*'Assumptions'!G36</x:f>
        <x:v>4965.853037914095</x:v>
      </x:c>
      <x:c r="K869" s="27" t="n">
        <x:f>'Source Data'!F222+LN('Assumptions'!D58)+LN('Assumptions'!G35)</x:f>
        <x:v>8.030635919980082</x:v>
      </x:c>
      <x:c r="L869" s="27" t="n">
        <x:f>J869*(1-I869*(1-'Carrier Engine'!E94))</x:f>
        <x:v>3959.440155563505</x:v>
      </x:c>
      <x:c r="M869" s="29" t="n">
        <x:f>NORM.S.DIST((LN(L869)-K869)/'Assumptions'!$D$10,TRUE)</x:f>
        <x:v>0.5640583422764271</x:v>
      </x:c>
      <x:c r="N869" s="30" t="n">
        <x:f>MAX(0,H869-MAX(G869,M869))</x:f>
        <x:v>0.11111111111111116</x:v>
      </x:c>
      <x:c r="O869" s="28" t="n">
        <x:f>J869*I869</x:f>
        <x:v>1048.3467524485309</x:v>
      </x:c>
      <x:c r="P869" s="27" t="n">
        <x:f>(VLOOKUP(O869,'Fee Data'!$C$6:$G$50,2,TRUE)+O869*VLOOKUP(O869,'Fee Data'!$C$6:$G$50,3,TRUE)+VLOOKUP(O869,'Fee Data'!$I$6:$J$14,2,TRUE)+'Fee Data'!$J$20+'Fee Data'!$J$21)*'Assumptions'!G37</x:f>
        <x:v>560</x:v>
      </x:c>
      <x:c r="Q869" s="27" t="n">
        <x:f>(VLOOKUP(O869,'Fee Data'!$C$6:$G$50,4,TRUE)+O869*VLOOKUP(O869,'Fee Data'!$C$6:$G$50,5,TRUE)+VLOOKUP(O869,'Fee Data'!$I$6:$J$14,2,TRUE)+'Fee Data'!$J$20+'Fee Data'!$J$21)*'Assumptions'!G37</x:f>
        <x:v>435</x:v>
      </x:c>
      <x:c r="R869" s="27" t="n">
        <x:f>P869*(1-'Assumptions'!$D$14)+Q869*'Assumptions'!$D$14</x:f>
        <x:v>497.5</x:v>
      </x:c>
      <x:c r="S869" s="27" t="n">
        <x:f>O869*'Carrier Engine'!E94</x:f>
        <x:v>41.93387009794124</x:v>
      </x:c>
      <x:c r="T869" s="28" t="n">
        <x:f>R869+S869</x:f>
        <x:v>539.4338700979413</x:v>
      </x:c>
      <x:c r="U869" s="27" t="n">
        <x:f>N869*'Fleet Engine'!I217</x:f>
        <x:v>149.48047545373632</x:v>
      </x:c>
      <x:c r="V869" s="28" t="n">
        <x:f>U869*T869</x:f>
        <x:v>80634.8313780893</x:v>
      </x:c>
      <x:c r="W869" s="28" t="n">
        <x:f>U869*O869</x:f>
        <x:v>156707.3709963868</x:v>
      </x:c>
    </x:row>
    <x:row r="870" ht="19" customHeight="1">
      <x:c r="A870" s="2"/>
      <x:c r="B870" s="2"/>
      <x:c r="C870" s="46" t="n">
        <x:v>4</x:v>
      </x:c>
      <x:c r="D870" s="46" t="n">
        <x:v>0</x:v>
      </x:c>
      <x:c r="E870" s="46" t="n">
        <x:v>0</x:v>
      </x:c>
      <x:c r="F870" s="46" t="n">
        <x:v>0</x:v>
      </x:c>
      <x:c r="G870" s="12" t="n">
        <x:v>0</x:v>
      </x:c>
      <x:c r="H870" s="12" t="n">
        <x:v>0.1111111111111111</x:v>
      </x:c>
      <x:c r="I870" s="29" t="n">
        <x:f>'Assumptions'!$D$11+'Assumptions'!$D$12*(0.5-(G870+H870)/2)</x:f>
        <x:v>0.3888888888888889</x:v>
      </x:c>
      <x:c r="J870" s="27" t="n">
        <x:f>'Assumptions'!$D$8*EXP(-'Assumptions'!$D$9*('Fleet Engine'!E194-10))*'Assumptions'!E55*'Assumptions'!H36</x:f>
        <x:v>27182.818284590452</x:v>
      </x:c>
      <x:c r="K870" s="27" t="n">
        <x:f>'Source Data'!F217+LN('Assumptions'!D55)+LN('Assumptions'!H35)</x:f>
        <x:v>8.024343827519704</x:v>
      </x:c>
      <x:c r="L870" s="27" t="n">
        <x:f>J870*(1-I870*(1-'Carrier Engine'!E95))</x:f>
        <x:v>17034.566125010017</x:v>
      </x:c>
      <x:c r="M870" s="29" t="n">
        <x:f>NORM.S.DIST((LN(L870)-K870)/'Assumptions'!$D$10,TRUE)</x:f>
        <x:v>0.8631412857617822</x:v>
      </x:c>
      <x:c r="N870" s="30" t="n">
        <x:f>MAX(0,H870-MAX(G870,M870))</x:f>
        <x:v>0</x:v>
      </x:c>
      <x:c r="O870" s="28" t="n">
        <x:f>J870*I870</x:f>
        <x:v>10571.095999562955</x:v>
      </x:c>
      <x:c r="P870" s="27" t="n">
        <x:f>(VLOOKUP(O870,'Fee Data'!$C$6:$G$50,2,TRUE)+O870*VLOOKUP(O870,'Fee Data'!$C$6:$G$50,3,TRUE)+VLOOKUP(O870,'Fee Data'!$I$6:$J$14,2,TRUE)+'Fee Data'!$J$20+'Fee Data'!$J$21)*'Assumptions'!H37</x:f>
        <x:v>1250</x:v>
      </x:c>
      <x:c r="Q870" s="27" t="n">
        <x:f>(VLOOKUP(O870,'Fee Data'!$C$6:$G$50,4,TRUE)+O870*VLOOKUP(O870,'Fee Data'!$C$6:$G$50,5,TRUE)+VLOOKUP(O870,'Fee Data'!$I$6:$J$14,2,TRUE)+'Fee Data'!$J$20+'Fee Data'!$J$21)*'Assumptions'!H37</x:f>
        <x:v>1100</x:v>
      </x:c>
      <x:c r="R870" s="27" t="n">
        <x:f>P870*(1-'Assumptions'!$D$14)+Q870*'Assumptions'!$D$14</x:f>
        <x:v>1175</x:v>
      </x:c>
      <x:c r="S870" s="27" t="n">
        <x:f>O870*'Carrier Engine'!E95</x:f>
        <x:v>422.84383998251826</x:v>
      </x:c>
      <x:c r="T870" s="28" t="n">
        <x:f>R870+S870</x:f>
        <x:v>1597.8438399825181</x:v>
      </x:c>
      <x:c r="U870" s="27" t="n">
        <x:f>N870*'Fleet Engine'!J194</x:f>
        <x:v>0</x:v>
      </x:c>
      <x:c r="V870" s="28" t="n">
        <x:f>U870*T870</x:f>
        <x:v>0</x:v>
      </x:c>
      <x:c r="W870" s="28" t="n">
        <x:f>U870*O870</x:f>
        <x:v>0</x:v>
      </x:c>
    </x:row>
    <x:row r="871" ht="19" customHeight="1">
      <x:c r="A871" s="2"/>
      <x:c r="B871" s="2"/>
      <x:c r="C871" s="46" t="n">
        <x:v>4</x:v>
      </x:c>
      <x:c r="D871" s="46" t="n">
        <x:v>0</x:v>
      </x:c>
      <x:c r="E871" s="46" t="n">
        <x:v>0</x:v>
      </x:c>
      <x:c r="F871" s="46" t="n">
        <x:v>0</x:v>
      </x:c>
      <x:c r="G871" s="12" t="n">
        <x:v>0.1111111111111111</x:v>
      </x:c>
      <x:c r="H871" s="12" t="n">
        <x:v>0.2222222222222222</x:v>
      </x:c>
      <x:c r="I871" s="29" t="n">
        <x:f>'Assumptions'!$D$11+'Assumptions'!$D$12*(0.5-(G871+H871)/2)</x:f>
        <x:v>0.3666666666666667</x:v>
      </x:c>
      <x:c r="J871" s="27" t="n">
        <x:f>'Assumptions'!$D$8*EXP(-'Assumptions'!$D$9*('Fleet Engine'!E194-10))*'Assumptions'!E55*'Assumptions'!H36</x:f>
        <x:v>27182.818284590452</x:v>
      </x:c>
      <x:c r="K871" s="27" t="n">
        <x:f>'Source Data'!F217+LN('Assumptions'!D55)+LN('Assumptions'!H35)</x:f>
        <x:v>8.024343827519704</x:v>
      </x:c>
      <x:c r="L871" s="27" t="n">
        <x:f>J871*(1-I871*(1-'Carrier Engine'!E95))</x:f>
        <x:v>17614.46624841461</x:v>
      </x:c>
      <x:c r="M871" s="29" t="n">
        <x:f>NORM.S.DIST((LN(L871)-K871)/'Assumptions'!$D$10,TRUE)</x:f>
        <x:v>0.867759233179046</x:v>
      </x:c>
      <x:c r="N871" s="30" t="n">
        <x:f>MAX(0,H871-MAX(G871,M871))</x:f>
        <x:v>0</x:v>
      </x:c>
      <x:c r="O871" s="28" t="n">
        <x:f>J871*I871</x:f>
        <x:v>9967.0333710165</x:v>
      </x:c>
      <x:c r="P871" s="27" t="n">
        <x:f>(VLOOKUP(O871,'Fee Data'!$C$6:$G$50,2,TRUE)+O871*VLOOKUP(O871,'Fee Data'!$C$6:$G$50,3,TRUE)+VLOOKUP(O871,'Fee Data'!$I$6:$J$14,2,TRUE)+'Fee Data'!$J$20+'Fee Data'!$J$21)*'Assumptions'!H37</x:f>
        <x:v>1195</x:v>
      </x:c>
      <x:c r="Q871" s="27" t="n">
        <x:f>(VLOOKUP(O871,'Fee Data'!$C$6:$G$50,4,TRUE)+O871*VLOOKUP(O871,'Fee Data'!$C$6:$G$50,5,TRUE)+VLOOKUP(O871,'Fee Data'!$I$6:$J$14,2,TRUE)+'Fee Data'!$J$20+'Fee Data'!$J$21)*'Assumptions'!H37</x:f>
        <x:v>1070</x:v>
      </x:c>
      <x:c r="R871" s="27" t="n">
        <x:f>P871*(1-'Assumptions'!$D$14)+Q871*'Assumptions'!$D$14</x:f>
        <x:v>1132.5</x:v>
      </x:c>
      <x:c r="S871" s="27" t="n">
        <x:f>O871*'Carrier Engine'!E95</x:f>
        <x:v>398.68133484066004</x:v>
      </x:c>
      <x:c r="T871" s="28" t="n">
        <x:f>R871+S871</x:f>
        <x:v>1531.18133484066</x:v>
      </x:c>
      <x:c r="U871" s="27" t="n">
        <x:f>N871*'Fleet Engine'!J194</x:f>
        <x:v>0</x:v>
      </x:c>
      <x:c r="V871" s="28" t="n">
        <x:f>U871*T871</x:f>
        <x:v>0</x:v>
      </x:c>
      <x:c r="W871" s="28" t="n">
        <x:f>U871*O871</x:f>
        <x:v>0</x:v>
      </x:c>
    </x:row>
    <x:row r="872" ht="19" customHeight="1">
      <x:c r="A872" s="2"/>
      <x:c r="B872" s="2"/>
      <x:c r="C872" s="46" t="n">
        <x:v>4</x:v>
      </x:c>
      <x:c r="D872" s="46" t="n">
        <x:v>0</x:v>
      </x:c>
      <x:c r="E872" s="46" t="n">
        <x:v>0</x:v>
      </x:c>
      <x:c r="F872" s="46" t="n">
        <x:v>0</x:v>
      </x:c>
      <x:c r="G872" s="12" t="n">
        <x:v>0.2222222222222222</x:v>
      </x:c>
      <x:c r="H872" s="12" t="n">
        <x:v>0.3333333333333333</x:v>
      </x:c>
      <x:c r="I872" s="29" t="n">
        <x:f>'Assumptions'!$D$11+'Assumptions'!$D$12*(0.5-(G872+H872)/2)</x:f>
        <x:v>0.34444444444444444</x:v>
      </x:c>
      <x:c r="J872" s="27" t="n">
        <x:f>'Assumptions'!$D$8*EXP(-'Assumptions'!$D$9*('Fleet Engine'!E194-10))*'Assumptions'!E55*'Assumptions'!H36</x:f>
        <x:v>27182.818284590452</x:v>
      </x:c>
      <x:c r="K872" s="27" t="n">
        <x:f>'Source Data'!F217+LN('Assumptions'!D55)+LN('Assumptions'!H35)</x:f>
        <x:v>8.024343827519704</x:v>
      </x:c>
      <x:c r="L872" s="27" t="n">
        <x:f>J872*(1-I872*(1-'Carrier Engine'!E95))</x:f>
        <x:v>18194.36637181921</x:v>
      </x:c>
      <x:c r="M872" s="29" t="n">
        <x:f>NORM.S.DIST((LN(L872)-K872)/'Assumptions'!$D$10,TRUE)</x:f>
        <x:v>0.8721242391048682</x:v>
      </x:c>
      <x:c r="N872" s="30" t="n">
        <x:f>MAX(0,H872-MAX(G872,M872))</x:f>
        <x:v>0</x:v>
      </x:c>
      <x:c r="O872" s="28" t="n">
        <x:f>J872*I872</x:f>
        <x:v>9362.970742470045</x:v>
      </x:c>
      <x:c r="P872" s="27" t="n">
        <x:f>(VLOOKUP(O872,'Fee Data'!$C$6:$G$50,2,TRUE)+O872*VLOOKUP(O872,'Fee Data'!$C$6:$G$50,3,TRUE)+VLOOKUP(O872,'Fee Data'!$I$6:$J$14,2,TRUE)+'Fee Data'!$J$20+'Fee Data'!$J$21)*'Assumptions'!H37</x:f>
        <x:v>1195</x:v>
      </x:c>
      <x:c r="Q872" s="27" t="n">
        <x:f>(VLOOKUP(O872,'Fee Data'!$C$6:$G$50,4,TRUE)+O872*VLOOKUP(O872,'Fee Data'!$C$6:$G$50,5,TRUE)+VLOOKUP(O872,'Fee Data'!$I$6:$J$14,2,TRUE)+'Fee Data'!$J$20+'Fee Data'!$J$21)*'Assumptions'!H37</x:f>
        <x:v>1070</x:v>
      </x:c>
      <x:c r="R872" s="27" t="n">
        <x:f>P872*(1-'Assumptions'!$D$14)+Q872*'Assumptions'!$D$14</x:f>
        <x:v>1132.5</x:v>
      </x:c>
      <x:c r="S872" s="27" t="n">
        <x:f>O872*'Carrier Engine'!E95</x:f>
        <x:v>374.5188296988019</x:v>
      </x:c>
      <x:c r="T872" s="28" t="n">
        <x:f>R872+S872</x:f>
        <x:v>1507.018829698802</x:v>
      </x:c>
      <x:c r="U872" s="27" t="n">
        <x:f>N872*'Fleet Engine'!J194</x:f>
        <x:v>0</x:v>
      </x:c>
      <x:c r="V872" s="28" t="n">
        <x:f>U872*T872</x:f>
        <x:v>0</x:v>
      </x:c>
      <x:c r="W872" s="28" t="n">
        <x:f>U872*O872</x:f>
        <x:v>0</x:v>
      </x:c>
    </x:row>
    <x:row r="873" ht="19" customHeight="1">
      <x:c r="A873" s="2"/>
      <x:c r="B873" s="2"/>
      <x:c r="C873" s="46" t="n">
        <x:v>4</x:v>
      </x:c>
      <x:c r="D873" s="46" t="n">
        <x:v>0</x:v>
      </x:c>
      <x:c r="E873" s="46" t="n">
        <x:v>0</x:v>
      </x:c>
      <x:c r="F873" s="46" t="n">
        <x:v>0</x:v>
      </x:c>
      <x:c r="G873" s="12" t="n">
        <x:v>0.3333333333333333</x:v>
      </x:c>
      <x:c r="H873" s="12" t="n">
        <x:v>0.4444444444444444</x:v>
      </x:c>
      <x:c r="I873" s="29" t="n">
        <x:f>'Assumptions'!$D$11+'Assumptions'!$D$12*(0.5-(G873+H873)/2)</x:f>
        <x:v>0.32222222222222224</x:v>
      </x:c>
      <x:c r="J873" s="27" t="n">
        <x:f>'Assumptions'!$D$8*EXP(-'Assumptions'!$D$9*('Fleet Engine'!E194-10))*'Assumptions'!E55*'Assumptions'!H36</x:f>
        <x:v>27182.818284590452</x:v>
      </x:c>
      <x:c r="K873" s="27" t="n">
        <x:f>'Source Data'!F217+LN('Assumptions'!D55)+LN('Assumptions'!H35)</x:f>
        <x:v>8.024343827519704</x:v>
      </x:c>
      <x:c r="L873" s="27" t="n">
        <x:f>J873*(1-I873*(1-'Carrier Engine'!E95))</x:f>
        <x:v>18774.266495223805</x:v>
      </x:c>
      <x:c r="M873" s="29" t="n">
        <x:f>NORM.S.DIST((LN(L873)-K873)/'Assumptions'!$D$10,TRUE)</x:f>
        <x:v>0.8762558445797033</x:v>
      </x:c>
      <x:c r="N873" s="30" t="n">
        <x:f>MAX(0,H873-MAX(G873,M873))</x:f>
        <x:v>0</x:v>
      </x:c>
      <x:c r="O873" s="28" t="n">
        <x:f>J873*I873</x:f>
        <x:v>8758.908113923591</x:v>
      </x:c>
      <x:c r="P873" s="27" t="n">
        <x:f>(VLOOKUP(O873,'Fee Data'!$C$6:$G$50,2,TRUE)+O873*VLOOKUP(O873,'Fee Data'!$C$6:$G$50,3,TRUE)+VLOOKUP(O873,'Fee Data'!$I$6:$J$14,2,TRUE)+'Fee Data'!$J$20+'Fee Data'!$J$21)*'Assumptions'!H37</x:f>
        <x:v>1195</x:v>
      </x:c>
      <x:c r="Q873" s="27" t="n">
        <x:f>(VLOOKUP(O873,'Fee Data'!$C$6:$G$50,4,TRUE)+O873*VLOOKUP(O873,'Fee Data'!$C$6:$G$50,5,TRUE)+VLOOKUP(O873,'Fee Data'!$I$6:$J$14,2,TRUE)+'Fee Data'!$J$20+'Fee Data'!$J$21)*'Assumptions'!H37</x:f>
        <x:v>1070</x:v>
      </x:c>
      <x:c r="R873" s="27" t="n">
        <x:f>P873*(1-'Assumptions'!$D$14)+Q873*'Assumptions'!$D$14</x:f>
        <x:v>1132.5</x:v>
      </x:c>
      <x:c r="S873" s="27" t="n">
        <x:f>O873*'Carrier Engine'!E95</x:f>
        <x:v>350.3563245569437</x:v>
      </x:c>
      <x:c r="T873" s="28" t="n">
        <x:f>R873+S873</x:f>
        <x:v>1482.8563245569437</x:v>
      </x:c>
      <x:c r="U873" s="27" t="n">
        <x:f>N873*'Fleet Engine'!J194</x:f>
        <x:v>0</x:v>
      </x:c>
      <x:c r="V873" s="28" t="n">
        <x:f>U873*T873</x:f>
        <x:v>0</x:v>
      </x:c>
      <x:c r="W873" s="28" t="n">
        <x:f>U873*O873</x:f>
        <x:v>0</x:v>
      </x:c>
    </x:row>
    <x:row r="874" ht="19" customHeight="1">
      <x:c r="A874" s="2"/>
      <x:c r="B874" s="2"/>
      <x:c r="C874" s="46" t="n">
        <x:v>4</x:v>
      </x:c>
      <x:c r="D874" s="46" t="n">
        <x:v>0</x:v>
      </x:c>
      <x:c r="E874" s="46" t="n">
        <x:v>0</x:v>
      </x:c>
      <x:c r="F874" s="46" t="n">
        <x:v>0</x:v>
      </x:c>
      <x:c r="G874" s="12" t="n">
        <x:v>0.4444444444444444</x:v>
      </x:c>
      <x:c r="H874" s="12" t="n">
        <x:v>0.5555555555555556</x:v>
      </x:c>
      <x:c r="I874" s="29" t="n">
        <x:f>'Assumptions'!$D$11+'Assumptions'!$D$12*(0.5-(G874+H874)/2)</x:f>
        <x:v>0.3</x:v>
      </x:c>
      <x:c r="J874" s="27" t="n">
        <x:f>'Assumptions'!$D$8*EXP(-'Assumptions'!$D$9*('Fleet Engine'!E194-10))*'Assumptions'!E55*'Assumptions'!H36</x:f>
        <x:v>27182.818284590452</x:v>
      </x:c>
      <x:c r="K874" s="27" t="n">
        <x:f>'Source Data'!F217+LN('Assumptions'!D55)+LN('Assumptions'!H35)</x:f>
        <x:v>8.024343827519704</x:v>
      </x:c>
      <x:c r="L874" s="27" t="n">
        <x:f>J874*(1-I874*(1-'Carrier Engine'!E95))</x:f>
        <x:v>19354.166618628402</x:v>
      </x:c>
      <x:c r="M874" s="29" t="n">
        <x:f>NORM.S.DIST((LN(L874)-K874)/'Assumptions'!$D$10,TRUE)</x:f>
        <x:v>0.8801716361024907</x:v>
      </x:c>
      <x:c r="N874" s="30" t="n">
        <x:f>MAX(0,H874-MAX(G874,M874))</x:f>
        <x:v>0</x:v>
      </x:c>
      <x:c r="O874" s="28" t="n">
        <x:f>J874*I874</x:f>
        <x:v>8154.845485377135</x:v>
      </x:c>
      <x:c r="P874" s="27" t="n">
        <x:f>(VLOOKUP(O874,'Fee Data'!$C$6:$G$50,2,TRUE)+O874*VLOOKUP(O874,'Fee Data'!$C$6:$G$50,3,TRUE)+VLOOKUP(O874,'Fee Data'!$I$6:$J$14,2,TRUE)+'Fee Data'!$J$20+'Fee Data'!$J$21)*'Assumptions'!H37</x:f>
        <x:v>1175</x:v>
      </x:c>
      <x:c r="Q874" s="27" t="n">
        <x:f>(VLOOKUP(O874,'Fee Data'!$C$6:$G$50,4,TRUE)+O874*VLOOKUP(O874,'Fee Data'!$C$6:$G$50,5,TRUE)+VLOOKUP(O874,'Fee Data'!$I$6:$J$14,2,TRUE)+'Fee Data'!$J$20+'Fee Data'!$J$21)*'Assumptions'!H37</x:f>
        <x:v>1050</x:v>
      </x:c>
      <x:c r="R874" s="27" t="n">
        <x:f>P874*(1-'Assumptions'!$D$14)+Q874*'Assumptions'!$D$14</x:f>
        <x:v>1112.5</x:v>
      </x:c>
      <x:c r="S874" s="27" t="n">
        <x:f>O874*'Carrier Engine'!E95</x:f>
        <x:v>326.1938194150855</x:v>
      </x:c>
      <x:c r="T874" s="28" t="n">
        <x:f>R874+S874</x:f>
        <x:v>1438.6938194150855</x:v>
      </x:c>
      <x:c r="U874" s="27" t="n">
        <x:f>N874*'Fleet Engine'!J194</x:f>
        <x:v>0</x:v>
      </x:c>
      <x:c r="V874" s="28" t="n">
        <x:f>U874*T874</x:f>
        <x:v>0</x:v>
      </x:c>
      <x:c r="W874" s="28" t="n">
        <x:f>U874*O874</x:f>
        <x:v>0</x:v>
      </x:c>
    </x:row>
    <x:row r="875" ht="19" customHeight="1">
      <x:c r="A875" s="2"/>
      <x:c r="B875" s="2"/>
      <x:c r="C875" s="46" t="n">
        <x:v>4</x:v>
      </x:c>
      <x:c r="D875" s="46" t="n">
        <x:v>0</x:v>
      </x:c>
      <x:c r="E875" s="46" t="n">
        <x:v>0</x:v>
      </x:c>
      <x:c r="F875" s="46" t="n">
        <x:v>0</x:v>
      </x:c>
      <x:c r="G875" s="12" t="n">
        <x:v>0.5555555555555556</x:v>
      </x:c>
      <x:c r="H875" s="12" t="n">
        <x:v>0.6666666666666666</x:v>
      </x:c>
      <x:c r="I875" s="29" t="n">
        <x:f>'Assumptions'!$D$11+'Assumptions'!$D$12*(0.5-(G875+H875)/2)</x:f>
        <x:v>0.27777777777777773</x:v>
      </x:c>
      <x:c r="J875" s="27" t="n">
        <x:f>'Assumptions'!$D$8*EXP(-'Assumptions'!$D$9*('Fleet Engine'!E194-10))*'Assumptions'!E55*'Assumptions'!H36</x:f>
        <x:v>27182.818284590452</x:v>
      </x:c>
      <x:c r="K875" s="27" t="n">
        <x:f>'Source Data'!F217+LN('Assumptions'!D55)+LN('Assumptions'!H35)</x:f>
        <x:v>8.024343827519704</x:v>
      </x:c>
      <x:c r="L875" s="27" t="n">
        <x:f>J875*(1-I875*(1-'Carrier Engine'!E95))</x:f>
        <x:v>19934.066742033</x:v>
      </x:c>
      <x:c r="M875" s="29" t="n">
        <x:f>NORM.S.DIST((LN(L875)-K875)/'Assumptions'!$D$10,TRUE)</x:f>
        <x:v>0.8838874850458363</x:v>
      </x:c>
      <x:c r="N875" s="30" t="n">
        <x:f>MAX(0,H875-MAX(G875,M875))</x:f>
        <x:v>0</x:v>
      </x:c>
      <x:c r="O875" s="28" t="n">
        <x:f>J875*I875</x:f>
        <x:v>7550.7828568306795</x:v>
      </x:c>
      <x:c r="P875" s="27" t="n">
        <x:f>(VLOOKUP(O875,'Fee Data'!$C$6:$G$50,2,TRUE)+O875*VLOOKUP(O875,'Fee Data'!$C$6:$G$50,3,TRUE)+VLOOKUP(O875,'Fee Data'!$I$6:$J$14,2,TRUE)+'Fee Data'!$J$20+'Fee Data'!$J$21)*'Assumptions'!H37</x:f>
        <x:v>1135</x:v>
      </x:c>
      <x:c r="Q875" s="27" t="n">
        <x:f>(VLOOKUP(O875,'Fee Data'!$C$6:$G$50,4,TRUE)+O875*VLOOKUP(O875,'Fee Data'!$C$6:$G$50,5,TRUE)+VLOOKUP(O875,'Fee Data'!$I$6:$J$14,2,TRUE)+'Fee Data'!$J$20+'Fee Data'!$J$21)*'Assumptions'!H37</x:f>
        <x:v>1010</x:v>
      </x:c>
      <x:c r="R875" s="27" t="n">
        <x:f>P875*(1-'Assumptions'!$D$14)+Q875*'Assumptions'!$D$14</x:f>
        <x:v>1072.5</x:v>
      </x:c>
      <x:c r="S875" s="27" t="n">
        <x:f>O875*'Carrier Engine'!E95</x:f>
        <x:v>302.0313142732272</x:v>
      </x:c>
      <x:c r="T875" s="28" t="n">
        <x:f>R875+S875</x:f>
        <x:v>1374.5313142732273</x:v>
      </x:c>
      <x:c r="U875" s="27" t="n">
        <x:f>N875*'Fleet Engine'!J194</x:f>
        <x:v>0</x:v>
      </x:c>
      <x:c r="V875" s="28" t="n">
        <x:f>U875*T875</x:f>
        <x:v>0</x:v>
      </x:c>
      <x:c r="W875" s="28" t="n">
        <x:f>U875*O875</x:f>
        <x:v>0</x:v>
      </x:c>
    </x:row>
    <x:row r="876" ht="19" customHeight="1">
      <x:c r="A876" s="2"/>
      <x:c r="B876" s="2"/>
      <x:c r="C876" s="46" t="n">
        <x:v>4</x:v>
      </x:c>
      <x:c r="D876" s="46" t="n">
        <x:v>0</x:v>
      </x:c>
      <x:c r="E876" s="46" t="n">
        <x:v>0</x:v>
      </x:c>
      <x:c r="F876" s="46" t="n">
        <x:v>0</x:v>
      </x:c>
      <x:c r="G876" s="12" t="n">
        <x:v>0.6666666666666666</x:v>
      </x:c>
      <x:c r="H876" s="12" t="n">
        <x:v>0.7777777777777778</x:v>
      </x:c>
      <x:c r="I876" s="29" t="n">
        <x:f>'Assumptions'!$D$11+'Assumptions'!$D$12*(0.5-(G876+H876)/2)</x:f>
        <x:v>0.25555555555555554</x:v>
      </x:c>
      <x:c r="J876" s="27" t="n">
        <x:f>'Assumptions'!$D$8*EXP(-'Assumptions'!$D$9*('Fleet Engine'!E194-10))*'Assumptions'!E55*'Assumptions'!H36</x:f>
        <x:v>27182.818284590452</x:v>
      </x:c>
      <x:c r="K876" s="27" t="n">
        <x:f>'Source Data'!F217+LN('Assumptions'!D55)+LN('Assumptions'!H35)</x:f>
        <x:v>8.024343827519704</x:v>
      </x:c>
      <x:c r="L876" s="27" t="n">
        <x:f>J876*(1-I876*(1-'Carrier Engine'!E95))</x:f>
        <x:v>20513.966865437596</x:v>
      </x:c>
      <x:c r="M876" s="29" t="n">
        <x:f>NORM.S.DIST((LN(L876)-K876)/'Assumptions'!$D$10,TRUE)</x:f>
        <x:v>0.8874177525057891</x:v>
      </x:c>
      <x:c r="N876" s="30" t="n">
        <x:f>MAX(0,H876-MAX(G876,M876))</x:f>
        <x:v>0</x:v>
      </x:c>
      <x:c r="O876" s="28" t="n">
        <x:f>J876*I876</x:f>
        <x:v>6946.720228284226</x:v>
      </x:c>
      <x:c r="P876" s="27" t="n">
        <x:f>(VLOOKUP(O876,'Fee Data'!$C$6:$G$50,2,TRUE)+O876*VLOOKUP(O876,'Fee Data'!$C$6:$G$50,3,TRUE)+VLOOKUP(O876,'Fee Data'!$I$6:$J$14,2,TRUE)+'Fee Data'!$J$20+'Fee Data'!$J$21)*'Assumptions'!H37</x:f>
        <x:v>1080</x:v>
      </x:c>
      <x:c r="Q876" s="27" t="n">
        <x:f>(VLOOKUP(O876,'Fee Data'!$C$6:$G$50,4,TRUE)+O876*VLOOKUP(O876,'Fee Data'!$C$6:$G$50,5,TRUE)+VLOOKUP(O876,'Fee Data'!$I$6:$J$14,2,TRUE)+'Fee Data'!$J$20+'Fee Data'!$J$21)*'Assumptions'!H37</x:f>
        <x:v>955</x:v>
      </x:c>
      <x:c r="R876" s="27" t="n">
        <x:f>P876*(1-'Assumptions'!$D$14)+Q876*'Assumptions'!$D$14</x:f>
        <x:v>1017.5</x:v>
      </x:c>
      <x:c r="S876" s="27" t="n">
        <x:f>O876*'Carrier Engine'!E95</x:f>
        <x:v>277.8688091313691</x:v>
      </x:c>
      <x:c r="T876" s="28" t="n">
        <x:f>R876+S876</x:f>
        <x:v>1295.368809131369</x:v>
      </x:c>
      <x:c r="U876" s="27" t="n">
        <x:f>N876*'Fleet Engine'!J194</x:f>
        <x:v>0</x:v>
      </x:c>
      <x:c r="V876" s="28" t="n">
        <x:f>U876*T876</x:f>
        <x:v>0</x:v>
      </x:c>
      <x:c r="W876" s="28" t="n">
        <x:f>U876*O876</x:f>
        <x:v>0</x:v>
      </x:c>
    </x:row>
    <x:row r="877" ht="19" customHeight="1">
      <x:c r="A877" s="2"/>
      <x:c r="B877" s="2"/>
      <x:c r="C877" s="46" t="n">
        <x:v>4</x:v>
      </x:c>
      <x:c r="D877" s="46" t="n">
        <x:v>0</x:v>
      </x:c>
      <x:c r="E877" s="46" t="n">
        <x:v>0</x:v>
      </x:c>
      <x:c r="F877" s="46" t="n">
        <x:v>0</x:v>
      </x:c>
      <x:c r="G877" s="12" t="n">
        <x:v>0.7777777777777778</x:v>
      </x:c>
      <x:c r="H877" s="12" t="n">
        <x:v>0.8888888888888888</x:v>
      </x:c>
      <x:c r="I877" s="29" t="n">
        <x:f>'Assumptions'!$D$11+'Assumptions'!$D$12*(0.5-(G877+H877)/2)</x:f>
        <x:v>0.23333333333333334</x:v>
      </x:c>
      <x:c r="J877" s="27" t="n">
        <x:f>'Assumptions'!$D$8*EXP(-'Assumptions'!$D$9*('Fleet Engine'!E194-10))*'Assumptions'!E55*'Assumptions'!H36</x:f>
        <x:v>27182.818284590452</x:v>
      </x:c>
      <x:c r="K877" s="27" t="n">
        <x:f>'Source Data'!F217+LN('Assumptions'!D55)+LN('Assumptions'!H35)</x:f>
        <x:v>8.024343827519704</x:v>
      </x:c>
      <x:c r="L877" s="27" t="n">
        <x:f>J877*(1-I877*(1-'Carrier Engine'!E95))</x:f>
        <x:v>21093.86698884219</x:v>
      </x:c>
      <x:c r="M877" s="29" t="n">
        <x:f>NORM.S.DIST((LN(L877)-K877)/'Assumptions'!$D$10,TRUE)</x:f>
        <x:v>0.8907754653078662</x:v>
      </x:c>
      <x:c r="N877" s="30" t="n">
        <x:f>MAX(0,H877-MAX(G877,M877))</x:f>
        <x:v>0</x:v>
      </x:c>
      <x:c r="O877" s="28" t="n">
        <x:f>J877*I877</x:f>
        <x:v>6342.657599737772</x:v>
      </x:c>
      <x:c r="P877" s="27" t="n">
        <x:f>(VLOOKUP(O877,'Fee Data'!$C$6:$G$50,2,TRUE)+O877*VLOOKUP(O877,'Fee Data'!$C$6:$G$50,3,TRUE)+VLOOKUP(O877,'Fee Data'!$I$6:$J$14,2,TRUE)+'Fee Data'!$J$20+'Fee Data'!$J$21)*'Assumptions'!H37</x:f>
        <x:v>1060</x:v>
      </x:c>
      <x:c r="Q877" s="27" t="n">
        <x:f>(VLOOKUP(O877,'Fee Data'!$C$6:$G$50,4,TRUE)+O877*VLOOKUP(O877,'Fee Data'!$C$6:$G$50,5,TRUE)+VLOOKUP(O877,'Fee Data'!$I$6:$J$14,2,TRUE)+'Fee Data'!$J$20+'Fee Data'!$J$21)*'Assumptions'!H37</x:f>
        <x:v>935</x:v>
      </x:c>
      <x:c r="R877" s="27" t="n">
        <x:f>P877*(1-'Assumptions'!$D$14)+Q877*'Assumptions'!$D$14</x:f>
        <x:v>997.5</x:v>
      </x:c>
      <x:c r="S877" s="27" t="n">
        <x:f>O877*'Carrier Engine'!E95</x:f>
        <x:v>253.70630398951093</x:v>
      </x:c>
      <x:c r="T877" s="28" t="n">
        <x:f>R877+S877</x:f>
        <x:v>1251.2063039895108</x:v>
      </x:c>
      <x:c r="U877" s="27" t="n">
        <x:f>N877*'Fleet Engine'!J194</x:f>
        <x:v>0</x:v>
      </x:c>
      <x:c r="V877" s="28" t="n">
        <x:f>U877*T877</x:f>
        <x:v>0</x:v>
      </x:c>
      <x:c r="W877" s="28" t="n">
        <x:f>U877*O877</x:f>
        <x:v>0</x:v>
      </x:c>
    </x:row>
    <x:row r="878" ht="19" customHeight="1">
      <x:c r="A878" s="2"/>
      <x:c r="B878" s="2"/>
      <x:c r="C878" s="46" t="n">
        <x:v>4</x:v>
      </x:c>
      <x:c r="D878" s="46" t="n">
        <x:v>0</x:v>
      </x:c>
      <x:c r="E878" s="46" t="n">
        <x:v>0</x:v>
      </x:c>
      <x:c r="F878" s="46" t="n">
        <x:v>0</x:v>
      </x:c>
      <x:c r="G878" s="12" t="n">
        <x:v>0.8888888888888888</x:v>
      </x:c>
      <x:c r="H878" s="12" t="n">
        <x:v>1</x:v>
      </x:c>
      <x:c r="I878" s="29" t="n">
        <x:f>'Assumptions'!$D$11+'Assumptions'!$D$12*(0.5-(G878+H878)/2)</x:f>
        <x:v>0.21111111111111108</x:v>
      </x:c>
      <x:c r="J878" s="27" t="n">
        <x:f>'Assumptions'!$D$8*EXP(-'Assumptions'!$D$9*('Fleet Engine'!E194-10))*'Assumptions'!E55*'Assumptions'!H36</x:f>
        <x:v>27182.818284590452</x:v>
      </x:c>
      <x:c r="K878" s="27" t="n">
        <x:f>'Source Data'!F217+LN('Assumptions'!D55)+LN('Assumptions'!H35)</x:f>
        <x:v>8.024343827519704</x:v>
      </x:c>
      <x:c r="L878" s="27" t="n">
        <x:f>J878*(1-I878*(1-'Carrier Engine'!E95))</x:f>
        <x:v>21673.767112246787</x:v>
      </x:c>
      <x:c r="M878" s="29" t="n">
        <x:f>NORM.S.DIST((LN(L878)-K878)/'Assumptions'!$D$10,TRUE)</x:f>
        <x:v>0.8939724678273033</x:v>
      </x:c>
      <x:c r="N878" s="30" t="n">
        <x:f>MAX(0,H878-MAX(G878,M878))</x:f>
        <x:v>0.10602753217269667</x:v>
      </x:c>
      <x:c r="O878" s="28" t="n">
        <x:f>J878*I878</x:f>
        <x:v>5738.594971191317</x:v>
      </x:c>
      <x:c r="P878" s="27" t="n">
        <x:f>(VLOOKUP(O878,'Fee Data'!$C$6:$G$50,2,TRUE)+O878*VLOOKUP(O878,'Fee Data'!$C$6:$G$50,3,TRUE)+VLOOKUP(O878,'Fee Data'!$I$6:$J$14,2,TRUE)+'Fee Data'!$J$20+'Fee Data'!$J$21)*'Assumptions'!H37</x:f>
        <x:v>1020</x:v>
      </x:c>
      <x:c r="Q878" s="27" t="n">
        <x:f>(VLOOKUP(O878,'Fee Data'!$C$6:$G$50,4,TRUE)+O878*VLOOKUP(O878,'Fee Data'!$C$6:$G$50,5,TRUE)+VLOOKUP(O878,'Fee Data'!$I$6:$J$14,2,TRUE)+'Fee Data'!$J$20+'Fee Data'!$J$21)*'Assumptions'!H37</x:f>
        <x:v>895</x:v>
      </x:c>
      <x:c r="R878" s="27" t="n">
        <x:f>P878*(1-'Assumptions'!$D$14)+Q878*'Assumptions'!$D$14</x:f>
        <x:v>957.5</x:v>
      </x:c>
      <x:c r="S878" s="27" t="n">
        <x:f>O878*'Carrier Engine'!E95</x:f>
        <x:v>229.54379884765274</x:v>
      </x:c>
      <x:c r="T878" s="28" t="n">
        <x:f>R878+S878</x:f>
        <x:v>1187.0437988476529</x:v>
      </x:c>
      <x:c r="U878" s="27" t="n">
        <x:f>N878*'Fleet Engine'!J194</x:f>
        <x:v>146.55125496910134</x:v>
      </x:c>
      <x:c r="V878" s="28" t="n">
        <x:f>U878*T878</x:f>
        <x:v>173962.758424413</x:v>
      </x:c>
      <x:c r="W878" s="28" t="n">
        <x:f>U878*O878</x:f>
        <x:v>840998.2947874615</x:v>
      </x:c>
    </x:row>
    <x:row r="879" ht="19" customHeight="1">
      <x:c r="A879" s="2"/>
      <x:c r="B879" s="2"/>
      <x:c r="C879" s="46" t="n">
        <x:v>4</x:v>
      </x:c>
      <x:c r="D879" s="46" t="n">
        <x:v>1</x:v>
      </x:c>
      <x:c r="E879" s="46" t="n">
        <x:v>0</x:v>
      </x:c>
      <x:c r="F879" s="46" t="n">
        <x:v>1</x:v>
      </x:c>
      <x:c r="G879" s="12" t="n">
        <x:v>0</x:v>
      </x:c>
      <x:c r="H879" s="12" t="n">
        <x:v>0.1111111111111111</x:v>
      </x:c>
      <x:c r="I879" s="29" t="n">
        <x:f>'Assumptions'!$D$11+'Assumptions'!$D$12*(0.5-(G879+H879)/2)</x:f>
        <x:v>0.3888888888888889</x:v>
      </x:c>
      <x:c r="J879" s="27" t="n">
        <x:f>'Assumptions'!$D$8*EXP(-'Assumptions'!$D$9*('Fleet Engine'!E195-10))*'Assumptions'!E55*'Assumptions'!H36</x:f>
        <x:v>22255.409284924677</x:v>
      </x:c>
      <x:c r="K879" s="27" t="n">
        <x:f>'Source Data'!F218+LN('Assumptions'!D55)+LN('Assumptions'!H35)</x:f>
        <x:v>7.909903025975467</x:v>
      </x:c>
      <x:c r="L879" s="27" t="n">
        <x:f>J879*(1-I879*(1-'Carrier Engine'!E95))</x:f>
        <x:v>13946.723151886132</x:v>
      </x:c>
      <x:c r="M879" s="29" t="n">
        <x:f>NORM.S.DIST((LN(L879)-K879)/'Assumptions'!$D$10,TRUE)</x:f>
        <x:v>0.8508422763569413</x:v>
      </x:c>
      <x:c r="N879" s="30" t="n">
        <x:f>MAX(0,H879-MAX(G879,M879))</x:f>
        <x:v>0</x:v>
      </x:c>
      <x:c r="O879" s="28" t="n">
        <x:f>J879*I879</x:f>
        <x:v>8654.88138858182</x:v>
      </x:c>
      <x:c r="P879" s="27" t="n">
        <x:f>(VLOOKUP(O879,'Fee Data'!$C$6:$G$50,2,TRUE)+O879*VLOOKUP(O879,'Fee Data'!$C$6:$G$50,3,TRUE)+VLOOKUP(O879,'Fee Data'!$I$6:$J$14,2,TRUE)+'Fee Data'!$J$20+'Fee Data'!$J$21)*'Assumptions'!H37</x:f>
        <x:v>1195</x:v>
      </x:c>
      <x:c r="Q879" s="27" t="n">
        <x:f>(VLOOKUP(O879,'Fee Data'!$C$6:$G$50,4,TRUE)+O879*VLOOKUP(O879,'Fee Data'!$C$6:$G$50,5,TRUE)+VLOOKUP(O879,'Fee Data'!$I$6:$J$14,2,TRUE)+'Fee Data'!$J$20+'Fee Data'!$J$21)*'Assumptions'!H37</x:f>
        <x:v>1070</x:v>
      </x:c>
      <x:c r="R879" s="27" t="n">
        <x:f>P879*(1-'Assumptions'!$D$14)+Q879*'Assumptions'!$D$14</x:f>
        <x:v>1132.5</x:v>
      </x:c>
      <x:c r="S879" s="27" t="n">
        <x:f>O879*'Carrier Engine'!E95</x:f>
        <x:v>346.1952555432729</x:v>
      </x:c>
      <x:c r="T879" s="28" t="n">
        <x:f>R879+S879</x:f>
        <x:v>1478.6952555432729</x:v>
      </x:c>
      <x:c r="U879" s="27" t="n">
        <x:f>N879*'Fleet Engine'!J195</x:f>
        <x:v>0</x:v>
      </x:c>
      <x:c r="V879" s="28" t="n">
        <x:f>U879*T879</x:f>
        <x:v>0</x:v>
      </x:c>
      <x:c r="W879" s="28" t="n">
        <x:f>U879*O879</x:f>
        <x:v>0</x:v>
      </x:c>
    </x:row>
    <x:row r="880" ht="19" customHeight="1">
      <x:c r="A880" s="2"/>
      <x:c r="B880" s="2"/>
      <x:c r="C880" s="46" t="n">
        <x:v>4</x:v>
      </x:c>
      <x:c r="D880" s="46" t="n">
        <x:v>1</x:v>
      </x:c>
      <x:c r="E880" s="46" t="n">
        <x:v>0</x:v>
      </x:c>
      <x:c r="F880" s="46" t="n">
        <x:v>1</x:v>
      </x:c>
      <x:c r="G880" s="12" t="n">
        <x:v>0.1111111111111111</x:v>
      </x:c>
      <x:c r="H880" s="12" t="n">
        <x:v>0.2222222222222222</x:v>
      </x:c>
      <x:c r="I880" s="29" t="n">
        <x:f>'Assumptions'!$D$11+'Assumptions'!$D$12*(0.5-(G880+H880)/2)</x:f>
        <x:v>0.3666666666666667</x:v>
      </x:c>
      <x:c r="J880" s="27" t="n">
        <x:f>'Assumptions'!$D$8*EXP(-'Assumptions'!$D$9*('Fleet Engine'!E195-10))*'Assumptions'!E55*'Assumptions'!H36</x:f>
        <x:v>22255.409284924677</x:v>
      </x:c>
      <x:c r="K880" s="27" t="n">
        <x:f>'Source Data'!F218+LN('Assumptions'!D55)+LN('Assumptions'!H35)</x:f>
        <x:v>7.909903025975467</x:v>
      </x:c>
      <x:c r="L880" s="27" t="n">
        <x:f>J880*(1-I880*(1-'Carrier Engine'!E95))</x:f>
        <x:v>14421.505216631189</x:v>
      </x:c>
      <x:c r="M880" s="29" t="n">
        <x:f>NORM.S.DIST((LN(L880)-K880)/'Assumptions'!$D$10,TRUE)</x:f>
        <x:v>0.8557395814099102</x:v>
      </x:c>
      <x:c r="N880" s="30" t="n">
        <x:f>MAX(0,H880-MAX(G880,M880))</x:f>
        <x:v>0</x:v>
      </x:c>
      <x:c r="O880" s="28" t="n">
        <x:f>J880*I880</x:f>
        <x:v>8160.316737805716</x:v>
      </x:c>
      <x:c r="P880" s="27" t="n">
        <x:f>(VLOOKUP(O880,'Fee Data'!$C$6:$G$50,2,TRUE)+O880*VLOOKUP(O880,'Fee Data'!$C$6:$G$50,3,TRUE)+VLOOKUP(O880,'Fee Data'!$I$6:$J$14,2,TRUE)+'Fee Data'!$J$20+'Fee Data'!$J$21)*'Assumptions'!H37</x:f>
        <x:v>1175</x:v>
      </x:c>
      <x:c r="Q880" s="27" t="n">
        <x:f>(VLOOKUP(O880,'Fee Data'!$C$6:$G$50,4,TRUE)+O880*VLOOKUP(O880,'Fee Data'!$C$6:$G$50,5,TRUE)+VLOOKUP(O880,'Fee Data'!$I$6:$J$14,2,TRUE)+'Fee Data'!$J$20+'Fee Data'!$J$21)*'Assumptions'!H37</x:f>
        <x:v>1050</x:v>
      </x:c>
      <x:c r="R880" s="27" t="n">
        <x:f>P880*(1-'Assumptions'!$D$14)+Q880*'Assumptions'!$D$14</x:f>
        <x:v>1112.5</x:v>
      </x:c>
      <x:c r="S880" s="27" t="n">
        <x:f>O880*'Carrier Engine'!E95</x:f>
        <x:v>326.4126695122287</x:v>
      </x:c>
      <x:c r="T880" s="28" t="n">
        <x:f>R880+S880</x:f>
        <x:v>1438.9126695122286</x:v>
      </x:c>
      <x:c r="U880" s="27" t="n">
        <x:f>N880*'Fleet Engine'!J195</x:f>
        <x:v>0</x:v>
      </x:c>
      <x:c r="V880" s="28" t="n">
        <x:f>U880*T880</x:f>
        <x:v>0</x:v>
      </x:c>
      <x:c r="W880" s="28" t="n">
        <x:f>U880*O880</x:f>
        <x:v>0</x:v>
      </x:c>
    </x:row>
    <x:row r="881" ht="19" customHeight="1">
      <x:c r="A881" s="2"/>
      <x:c r="B881" s="2"/>
      <x:c r="C881" s="46" t="n">
        <x:v>4</x:v>
      </x:c>
      <x:c r="D881" s="46" t="n">
        <x:v>1</x:v>
      </x:c>
      <x:c r="E881" s="46" t="n">
        <x:v>0</x:v>
      </x:c>
      <x:c r="F881" s="46" t="n">
        <x:v>1</x:v>
      </x:c>
      <x:c r="G881" s="12" t="n">
        <x:v>0.2222222222222222</x:v>
      </x:c>
      <x:c r="H881" s="12" t="n">
        <x:v>0.3333333333333333</x:v>
      </x:c>
      <x:c r="I881" s="29" t="n">
        <x:f>'Assumptions'!$D$11+'Assumptions'!$D$12*(0.5-(G881+H881)/2)</x:f>
        <x:v>0.34444444444444444</x:v>
      </x:c>
      <x:c r="J881" s="27" t="n">
        <x:f>'Assumptions'!$D$8*EXP(-'Assumptions'!$D$9*('Fleet Engine'!E195-10))*'Assumptions'!E55*'Assumptions'!H36</x:f>
        <x:v>22255.409284924677</x:v>
      </x:c>
      <x:c r="K881" s="27" t="n">
        <x:f>'Source Data'!F218+LN('Assumptions'!D55)+LN('Assumptions'!H35)</x:f>
        <x:v>7.909903025975467</x:v>
      </x:c>
      <x:c r="L881" s="27" t="n">
        <x:f>J881*(1-I881*(1-'Carrier Engine'!E95))</x:f>
        <x:v>14896.287281376251</x:v>
      </x:c>
      <x:c r="M881" s="29" t="n">
        <x:f>NORM.S.DIST((LN(L881)-K881)/'Assumptions'!$D$10,TRUE)</x:f>
        <x:v>0.8603739374321665</x:v>
      </x:c>
      <x:c r="N881" s="30" t="n">
        <x:f>MAX(0,H881-MAX(G881,M881))</x:f>
        <x:v>0</x:v>
      </x:c>
      <x:c r="O881" s="28" t="n">
        <x:f>J881*I881</x:f>
        <x:v>7665.752087029611</x:v>
      </x:c>
      <x:c r="P881" s="27" t="n">
        <x:f>(VLOOKUP(O881,'Fee Data'!$C$6:$G$50,2,TRUE)+O881*VLOOKUP(O881,'Fee Data'!$C$6:$G$50,3,TRUE)+VLOOKUP(O881,'Fee Data'!$I$6:$J$14,2,TRUE)+'Fee Data'!$J$20+'Fee Data'!$J$21)*'Assumptions'!H37</x:f>
        <x:v>1135</x:v>
      </x:c>
      <x:c r="Q881" s="27" t="n">
        <x:f>(VLOOKUP(O881,'Fee Data'!$C$6:$G$50,4,TRUE)+O881*VLOOKUP(O881,'Fee Data'!$C$6:$G$50,5,TRUE)+VLOOKUP(O881,'Fee Data'!$I$6:$J$14,2,TRUE)+'Fee Data'!$J$20+'Fee Data'!$J$21)*'Assumptions'!H37</x:f>
        <x:v>1010</x:v>
      </x:c>
      <x:c r="R881" s="27" t="n">
        <x:f>P881*(1-'Assumptions'!$D$14)+Q881*'Assumptions'!$D$14</x:f>
        <x:v>1072.5</x:v>
      </x:c>
      <x:c r="S881" s="27" t="n">
        <x:f>O881*'Carrier Engine'!E95</x:f>
        <x:v>306.6300834811845</x:v>
      </x:c>
      <x:c r="T881" s="28" t="n">
        <x:f>R881+S881</x:f>
        <x:v>1379.1300834811846</x:v>
      </x:c>
      <x:c r="U881" s="27" t="n">
        <x:f>N881*'Fleet Engine'!J195</x:f>
        <x:v>0</x:v>
      </x:c>
      <x:c r="V881" s="28" t="n">
        <x:f>U881*T881</x:f>
        <x:v>0</x:v>
      </x:c>
      <x:c r="W881" s="28" t="n">
        <x:f>U881*O881</x:f>
        <x:v>0</x:v>
      </x:c>
    </x:row>
    <x:row r="882" ht="19" customHeight="1">
      <x:c r="A882" s="2"/>
      <x:c r="B882" s="2"/>
      <x:c r="C882" s="46" t="n">
        <x:v>4</x:v>
      </x:c>
      <x:c r="D882" s="46" t="n">
        <x:v>1</x:v>
      </x:c>
      <x:c r="E882" s="46" t="n">
        <x:v>0</x:v>
      </x:c>
      <x:c r="F882" s="46" t="n">
        <x:v>1</x:v>
      </x:c>
      <x:c r="G882" s="12" t="n">
        <x:v>0.3333333333333333</x:v>
      </x:c>
      <x:c r="H882" s="12" t="n">
        <x:v>0.4444444444444444</x:v>
      </x:c>
      <x:c r="I882" s="29" t="n">
        <x:f>'Assumptions'!$D$11+'Assumptions'!$D$12*(0.5-(G882+H882)/2)</x:f>
        <x:v>0.32222222222222224</x:v>
      </x:c>
      <x:c r="J882" s="27" t="n">
        <x:f>'Assumptions'!$D$8*EXP(-'Assumptions'!$D$9*('Fleet Engine'!E195-10))*'Assumptions'!E55*'Assumptions'!H36</x:f>
        <x:v>22255.409284924677</x:v>
      </x:c>
      <x:c r="K882" s="27" t="n">
        <x:f>'Source Data'!F218+LN('Assumptions'!D55)+LN('Assumptions'!H35)</x:f>
        <x:v>7.909903025975467</x:v>
      </x:c>
      <x:c r="L882" s="27" t="n">
        <x:f>J882*(1-I882*(1-'Carrier Engine'!E95))</x:f>
        <x:v>15371.06934612131</x:v>
      </x:c>
      <x:c r="M882" s="29" t="n">
        <x:f>NORM.S.DIST((LN(L882)-K882)/'Assumptions'!$D$10,TRUE)</x:f>
        <x:v>0.8647653470677638</x:v>
      </x:c>
      <x:c r="N882" s="30" t="n">
        <x:f>MAX(0,H882-MAX(G882,M882))</x:f>
        <x:v>0</x:v>
      </x:c>
      <x:c r="O882" s="28" t="n">
        <x:f>J882*I882</x:f>
        <x:v>7171.187436253507</x:v>
      </x:c>
      <x:c r="P882" s="27" t="n">
        <x:f>(VLOOKUP(O882,'Fee Data'!$C$6:$G$50,2,TRUE)+O882*VLOOKUP(O882,'Fee Data'!$C$6:$G$50,3,TRUE)+VLOOKUP(O882,'Fee Data'!$I$6:$J$14,2,TRUE)+'Fee Data'!$J$20+'Fee Data'!$J$21)*'Assumptions'!H37</x:f>
        <x:v>1115</x:v>
      </x:c>
      <x:c r="Q882" s="27" t="n">
        <x:f>(VLOOKUP(O882,'Fee Data'!$C$6:$G$50,4,TRUE)+O882*VLOOKUP(O882,'Fee Data'!$C$6:$G$50,5,TRUE)+VLOOKUP(O882,'Fee Data'!$I$6:$J$14,2,TRUE)+'Fee Data'!$J$20+'Fee Data'!$J$21)*'Assumptions'!H37</x:f>
        <x:v>990</x:v>
      </x:c>
      <x:c r="R882" s="27" t="n">
        <x:f>P882*(1-'Assumptions'!$D$14)+Q882*'Assumptions'!$D$14</x:f>
        <x:v>1052.5</x:v>
      </x:c>
      <x:c r="S882" s="27" t="n">
        <x:f>O882*'Carrier Engine'!E95</x:f>
        <x:v>286.84749745014034</x:v>
      </x:c>
      <x:c r="T882" s="28" t="n">
        <x:f>R882+S882</x:f>
        <x:v>1339.3474974501403</x:v>
      </x:c>
      <x:c r="U882" s="27" t="n">
        <x:f>N882*'Fleet Engine'!J195</x:f>
        <x:v>0</x:v>
      </x:c>
      <x:c r="V882" s="28" t="n">
        <x:f>U882*T882</x:f>
        <x:v>0</x:v>
      </x:c>
      <x:c r="W882" s="28" t="n">
        <x:f>U882*O882</x:f>
        <x:v>0</x:v>
      </x:c>
    </x:row>
    <x:row r="883" ht="19" customHeight="1">
      <x:c r="A883" s="2"/>
      <x:c r="B883" s="2"/>
      <x:c r="C883" s="46" t="n">
        <x:v>4</x:v>
      </x:c>
      <x:c r="D883" s="46" t="n">
        <x:v>1</x:v>
      </x:c>
      <x:c r="E883" s="46" t="n">
        <x:v>0</x:v>
      </x:c>
      <x:c r="F883" s="46" t="n">
        <x:v>1</x:v>
      </x:c>
      <x:c r="G883" s="12" t="n">
        <x:v>0.4444444444444444</x:v>
      </x:c>
      <x:c r="H883" s="12" t="n">
        <x:v>0.5555555555555556</x:v>
      </x:c>
      <x:c r="I883" s="29" t="n">
        <x:f>'Assumptions'!$D$11+'Assumptions'!$D$12*(0.5-(G883+H883)/2)</x:f>
        <x:v>0.3</x:v>
      </x:c>
      <x:c r="J883" s="27" t="n">
        <x:f>'Assumptions'!$D$8*EXP(-'Assumptions'!$D$9*('Fleet Engine'!E195-10))*'Assumptions'!E55*'Assumptions'!H36</x:f>
        <x:v>22255.409284924677</x:v>
      </x:c>
      <x:c r="K883" s="27" t="n">
        <x:f>'Source Data'!F218+LN('Assumptions'!D55)+LN('Assumptions'!H35)</x:f>
        <x:v>7.909903025975467</x:v>
      </x:c>
      <x:c r="L883" s="27" t="n">
        <x:f>J883*(1-I883*(1-'Carrier Engine'!E95))</x:f>
        <x:v>15845.85141086637</x:v>
      </x:c>
      <x:c r="M883" s="29" t="n">
        <x:f>NORM.S.DIST((LN(L883)-K883)/'Assumptions'!$D$10,TRUE)</x:f>
        <x:v>0.8689318372553634</x:v>
      </x:c>
      <x:c r="N883" s="30" t="n">
        <x:f>MAX(0,H883-MAX(G883,M883))</x:f>
        <x:v>0</x:v>
      </x:c>
      <x:c r="O883" s="28" t="n">
        <x:f>J883*I883</x:f>
        <x:v>6676.622785477403</x:v>
      </x:c>
      <x:c r="P883" s="27" t="n">
        <x:f>(VLOOKUP(O883,'Fee Data'!$C$6:$G$50,2,TRUE)+O883*VLOOKUP(O883,'Fee Data'!$C$6:$G$50,3,TRUE)+VLOOKUP(O883,'Fee Data'!$I$6:$J$14,2,TRUE)+'Fee Data'!$J$20+'Fee Data'!$J$21)*'Assumptions'!H37</x:f>
        <x:v>1080</x:v>
      </x:c>
      <x:c r="Q883" s="27" t="n">
        <x:f>(VLOOKUP(O883,'Fee Data'!$C$6:$G$50,4,TRUE)+O883*VLOOKUP(O883,'Fee Data'!$C$6:$G$50,5,TRUE)+VLOOKUP(O883,'Fee Data'!$I$6:$J$14,2,TRUE)+'Fee Data'!$J$20+'Fee Data'!$J$21)*'Assumptions'!H37</x:f>
        <x:v>955</x:v>
      </x:c>
      <x:c r="R883" s="27" t="n">
        <x:f>P883*(1-'Assumptions'!$D$14)+Q883*'Assumptions'!$D$14</x:f>
        <x:v>1017.5</x:v>
      </x:c>
      <x:c r="S883" s="27" t="n">
        <x:f>O883*'Carrier Engine'!E95</x:f>
        <x:v>267.0649114190962</x:v>
      </x:c>
      <x:c r="T883" s="28" t="n">
        <x:f>R883+S883</x:f>
        <x:v>1284.5649114190962</x:v>
      </x:c>
      <x:c r="U883" s="27" t="n">
        <x:f>N883*'Fleet Engine'!J195</x:f>
        <x:v>0</x:v>
      </x:c>
      <x:c r="V883" s="28" t="n">
        <x:f>U883*T883</x:f>
        <x:v>0</x:v>
      </x:c>
      <x:c r="W883" s="28" t="n">
        <x:f>U883*O883</x:f>
        <x:v>0</x:v>
      </x:c>
    </x:row>
    <x:row r="884" ht="19" customHeight="1">
      <x:c r="A884" s="2"/>
      <x:c r="B884" s="2"/>
      <x:c r="C884" s="46" t="n">
        <x:v>4</x:v>
      </x:c>
      <x:c r="D884" s="46" t="n">
        <x:v>1</x:v>
      </x:c>
      <x:c r="E884" s="46" t="n">
        <x:v>0</x:v>
      </x:c>
      <x:c r="F884" s="46" t="n">
        <x:v>1</x:v>
      </x:c>
      <x:c r="G884" s="12" t="n">
        <x:v>0.5555555555555556</x:v>
      </x:c>
      <x:c r="H884" s="12" t="n">
        <x:v>0.6666666666666666</x:v>
      </x:c>
      <x:c r="I884" s="29" t="n">
        <x:f>'Assumptions'!$D$11+'Assumptions'!$D$12*(0.5-(G884+H884)/2)</x:f>
        <x:v>0.27777777777777773</x:v>
      </x:c>
      <x:c r="J884" s="27" t="n">
        <x:f>'Assumptions'!$D$8*EXP(-'Assumptions'!$D$9*('Fleet Engine'!E195-10))*'Assumptions'!E55*'Assumptions'!H36</x:f>
        <x:v>22255.409284924677</x:v>
      </x:c>
      <x:c r="K884" s="27" t="n">
        <x:f>'Source Data'!F218+LN('Assumptions'!D55)+LN('Assumptions'!H35)</x:f>
        <x:v>7.909903025975467</x:v>
      </x:c>
      <x:c r="L884" s="27" t="n">
        <x:f>J884*(1-I884*(1-'Carrier Engine'!E95))</x:f>
        <x:v>16320.633475611432</x:v>
      </x:c>
      <x:c r="M884" s="29" t="n">
        <x:f>NORM.S.DIST((LN(L884)-K884)/'Assumptions'!$D$10,TRUE)</x:f>
        <x:v>0.8728896986796358</x:v>
      </x:c>
      <x:c r="N884" s="30" t="n">
        <x:f>MAX(0,H884-MAX(G884,M884))</x:f>
        <x:v>0</x:v>
      </x:c>
      <x:c r="O884" s="28" t="n">
        <x:f>J884*I884</x:f>
        <x:v>6182.0581347012985</x:v>
      </x:c>
      <x:c r="P884" s="27" t="n">
        <x:f>(VLOOKUP(O884,'Fee Data'!$C$6:$G$50,2,TRUE)+O884*VLOOKUP(O884,'Fee Data'!$C$6:$G$50,3,TRUE)+VLOOKUP(O884,'Fee Data'!$I$6:$J$14,2,TRUE)+'Fee Data'!$J$20+'Fee Data'!$J$21)*'Assumptions'!H37</x:f>
        <x:v>1060</x:v>
      </x:c>
      <x:c r="Q884" s="27" t="n">
        <x:f>(VLOOKUP(O884,'Fee Data'!$C$6:$G$50,4,TRUE)+O884*VLOOKUP(O884,'Fee Data'!$C$6:$G$50,5,TRUE)+VLOOKUP(O884,'Fee Data'!$I$6:$J$14,2,TRUE)+'Fee Data'!$J$20+'Fee Data'!$J$21)*'Assumptions'!H37</x:f>
        <x:v>935</x:v>
      </x:c>
      <x:c r="R884" s="27" t="n">
        <x:f>P884*(1-'Assumptions'!$D$14)+Q884*'Assumptions'!$D$14</x:f>
        <x:v>997.5</x:v>
      </x:c>
      <x:c r="S884" s="27" t="n">
        <x:f>O884*'Carrier Engine'!E95</x:f>
        <x:v>247.282325388052</x:v>
      </x:c>
      <x:c r="T884" s="28" t="n">
        <x:f>R884+S884</x:f>
        <x:v>1244.782325388052</x:v>
      </x:c>
      <x:c r="U884" s="27" t="n">
        <x:f>N884*'Fleet Engine'!J195</x:f>
        <x:v>0</x:v>
      </x:c>
      <x:c r="V884" s="28" t="n">
        <x:f>U884*T884</x:f>
        <x:v>0</x:v>
      </x:c>
      <x:c r="W884" s="28" t="n">
        <x:f>U884*O884</x:f>
        <x:v>0</x:v>
      </x:c>
    </x:row>
    <x:row r="885" ht="19" customHeight="1">
      <x:c r="A885" s="2"/>
      <x:c r="B885" s="2"/>
      <x:c r="C885" s="46" t="n">
        <x:v>4</x:v>
      </x:c>
      <x:c r="D885" s="46" t="n">
        <x:v>1</x:v>
      </x:c>
      <x:c r="E885" s="46" t="n">
        <x:v>0</x:v>
      </x:c>
      <x:c r="F885" s="46" t="n">
        <x:v>1</x:v>
      </x:c>
      <x:c r="G885" s="12" t="n">
        <x:v>0.6666666666666666</x:v>
      </x:c>
      <x:c r="H885" s="12" t="n">
        <x:v>0.7777777777777778</x:v>
      </x:c>
      <x:c r="I885" s="29" t="n">
        <x:f>'Assumptions'!$D$11+'Assumptions'!$D$12*(0.5-(G885+H885)/2)</x:f>
        <x:v>0.25555555555555554</x:v>
      </x:c>
      <x:c r="J885" s="27" t="n">
        <x:f>'Assumptions'!$D$8*EXP(-'Assumptions'!$D$9*('Fleet Engine'!E195-10))*'Assumptions'!E55*'Assumptions'!H36</x:f>
        <x:v>22255.409284924677</x:v>
      </x:c>
      <x:c r="K885" s="27" t="n">
        <x:f>'Source Data'!F218+LN('Assumptions'!D55)+LN('Assumptions'!H35)</x:f>
        <x:v>7.909903025975467</x:v>
      </x:c>
      <x:c r="L885" s="27" t="n">
        <x:f>J885*(1-I885*(1-'Carrier Engine'!E95))</x:f>
        <x:v>16795.41554035649</x:v>
      </x:c>
      <x:c r="M885" s="29" t="n">
        <x:f>NORM.S.DIST((LN(L885)-K885)/'Assumptions'!$D$10,TRUE)</x:f>
        <x:v>0.8766536909691995</x:v>
      </x:c>
      <x:c r="N885" s="30" t="n">
        <x:f>MAX(0,H885-MAX(G885,M885))</x:f>
        <x:v>0</x:v>
      </x:c>
      <x:c r="O885" s="28" t="n">
        <x:f>J885*I885</x:f>
        <x:v>5687.493483925195</x:v>
      </x:c>
      <x:c r="P885" s="27" t="n">
        <x:f>(VLOOKUP(O885,'Fee Data'!$C$6:$G$50,2,TRUE)+O885*VLOOKUP(O885,'Fee Data'!$C$6:$G$50,3,TRUE)+VLOOKUP(O885,'Fee Data'!$I$6:$J$14,2,TRUE)+'Fee Data'!$J$20+'Fee Data'!$J$21)*'Assumptions'!H37</x:f>
        <x:v>1020</x:v>
      </x:c>
      <x:c r="Q885" s="27" t="n">
        <x:f>(VLOOKUP(O885,'Fee Data'!$C$6:$G$50,4,TRUE)+O885*VLOOKUP(O885,'Fee Data'!$C$6:$G$50,5,TRUE)+VLOOKUP(O885,'Fee Data'!$I$6:$J$14,2,TRUE)+'Fee Data'!$J$20+'Fee Data'!$J$21)*'Assumptions'!H37</x:f>
        <x:v>895</x:v>
      </x:c>
      <x:c r="R885" s="27" t="n">
        <x:f>P885*(1-'Assumptions'!$D$14)+Q885*'Assumptions'!$D$14</x:f>
        <x:v>957.5</x:v>
      </x:c>
      <x:c r="S885" s="27" t="n">
        <x:f>O885*'Carrier Engine'!E95</x:f>
        <x:v>227.49973935700783</x:v>
      </x:c>
      <x:c r="T885" s="28" t="n">
        <x:f>R885+S885</x:f>
        <x:v>1184.999739357008</x:v>
      </x:c>
      <x:c r="U885" s="27" t="n">
        <x:f>N885*'Fleet Engine'!J195</x:f>
        <x:v>0</x:v>
      </x:c>
      <x:c r="V885" s="28" t="n">
        <x:f>U885*T885</x:f>
        <x:v>0</x:v>
      </x:c>
      <x:c r="W885" s="28" t="n">
        <x:f>U885*O885</x:f>
        <x:v>0</x:v>
      </x:c>
    </x:row>
    <x:row r="886" ht="19" customHeight="1">
      <x:c r="A886" s="2"/>
      <x:c r="B886" s="2"/>
      <x:c r="C886" s="46" t="n">
        <x:v>4</x:v>
      </x:c>
      <x:c r="D886" s="46" t="n">
        <x:v>1</x:v>
      </x:c>
      <x:c r="E886" s="46" t="n">
        <x:v>0</x:v>
      </x:c>
      <x:c r="F886" s="46" t="n">
        <x:v>1</x:v>
      </x:c>
      <x:c r="G886" s="12" t="n">
        <x:v>0.7777777777777778</x:v>
      </x:c>
      <x:c r="H886" s="12" t="n">
        <x:v>0.8888888888888888</x:v>
      </x:c>
      <x:c r="I886" s="29" t="n">
        <x:f>'Assumptions'!$D$11+'Assumptions'!$D$12*(0.5-(G886+H886)/2)</x:f>
        <x:v>0.23333333333333334</x:v>
      </x:c>
      <x:c r="J886" s="27" t="n">
        <x:f>'Assumptions'!$D$8*EXP(-'Assumptions'!$D$9*('Fleet Engine'!E195-10))*'Assumptions'!E55*'Assumptions'!H36</x:f>
        <x:v>22255.409284924677</x:v>
      </x:c>
      <x:c r="K886" s="27" t="n">
        <x:f>'Source Data'!F218+LN('Assumptions'!D55)+LN('Assumptions'!H35)</x:f>
        <x:v>7.909903025975467</x:v>
      </x:c>
      <x:c r="L886" s="27" t="n">
        <x:f>J886*(1-I886*(1-'Carrier Engine'!E95))</x:f>
        <x:v>17270.19760510155</x:v>
      </x:c>
      <x:c r="M886" s="29" t="n">
        <x:f>NORM.S.DIST((LN(L886)-K886)/'Assumptions'!$D$10,TRUE)</x:f>
        <x:v>0.880237219264955</x:v>
      </x:c>
      <x:c r="N886" s="30" t="n">
        <x:f>MAX(0,H886-MAX(G886,M886))</x:f>
        <x:v>0.008651669623933822</x:v>
      </x:c>
      <x:c r="O886" s="28" t="n">
        <x:f>J886*I886</x:f>
        <x:v>5192.928833149092</x:v>
      </x:c>
      <x:c r="P886" s="27" t="n">
        <x:f>(VLOOKUP(O886,'Fee Data'!$C$6:$G$50,2,TRUE)+O886*VLOOKUP(O886,'Fee Data'!$C$6:$G$50,3,TRUE)+VLOOKUP(O886,'Fee Data'!$I$6:$J$14,2,TRUE)+'Fee Data'!$J$20+'Fee Data'!$J$21)*'Assumptions'!H37</x:f>
        <x:v>995</x:v>
      </x:c>
      <x:c r="Q886" s="27" t="n">
        <x:f>(VLOOKUP(O886,'Fee Data'!$C$6:$G$50,4,TRUE)+O886*VLOOKUP(O886,'Fee Data'!$C$6:$G$50,5,TRUE)+VLOOKUP(O886,'Fee Data'!$I$6:$J$14,2,TRUE)+'Fee Data'!$J$20+'Fee Data'!$J$21)*'Assumptions'!H37</x:f>
        <x:v>870</x:v>
      </x:c>
      <x:c r="R886" s="27" t="n">
        <x:f>P886*(1-'Assumptions'!$D$14)+Q886*'Assumptions'!$D$14</x:f>
        <x:v>932.5</x:v>
      </x:c>
      <x:c r="S886" s="27" t="n">
        <x:f>O886*'Carrier Engine'!E95</x:f>
        <x:v>207.7171533259637</x:v>
      </x:c>
      <x:c r="T886" s="28" t="n">
        <x:f>R886+S886</x:f>
        <x:v>1140.2171533259636</x:v>
      </x:c>
      <x:c r="U886" s="27" t="n">
        <x:f>N886*'Fleet Engine'!J195</x:f>
        <x:v>77.81897804706153</x:v>
      </x:c>
      <x:c r="V886" s="28" t="n">
        <x:f>U886*T886</x:f>
        <x:v>88730.53362355616</x:v>
      </x:c>
      <x:c r="W886" s="28" t="n">
        <x:f>U886*O886</x:f>
        <x:v>404108.414866782</x:v>
      </x:c>
    </x:row>
    <x:row r="887" ht="19" customHeight="1">
      <x:c r="A887" s="2"/>
      <x:c r="B887" s="2"/>
      <x:c r="C887" s="46" t="n">
        <x:v>4</x:v>
      </x:c>
      <x:c r="D887" s="46" t="n">
        <x:v>1</x:v>
      </x:c>
      <x:c r="E887" s="46" t="n">
        <x:v>0</x:v>
      </x:c>
      <x:c r="F887" s="46" t="n">
        <x:v>1</x:v>
      </x:c>
      <x:c r="G887" s="12" t="n">
        <x:v>0.8888888888888888</x:v>
      </x:c>
      <x:c r="H887" s="12" t="n">
        <x:v>1</x:v>
      </x:c>
      <x:c r="I887" s="29" t="n">
        <x:f>'Assumptions'!$D$11+'Assumptions'!$D$12*(0.5-(G887+H887)/2)</x:f>
        <x:v>0.21111111111111108</x:v>
      </x:c>
      <x:c r="J887" s="27" t="n">
        <x:f>'Assumptions'!$D$8*EXP(-'Assumptions'!$D$9*('Fleet Engine'!E195-10))*'Assumptions'!E55*'Assumptions'!H36</x:f>
        <x:v>22255.409284924677</x:v>
      </x:c>
      <x:c r="K887" s="27" t="n">
        <x:f>'Source Data'!F218+LN('Assumptions'!D55)+LN('Assumptions'!H35)</x:f>
        <x:v>7.909903025975467</x:v>
      </x:c>
      <x:c r="L887" s="27" t="n">
        <x:f>J887*(1-I887*(1-'Carrier Engine'!E95))</x:f>
        <x:v>17744.97966984661</x:v>
      </x:c>
      <x:c r="M887" s="29" t="n">
        <x:f>NORM.S.DIST((LN(L887)-K887)/'Assumptions'!$D$10,TRUE)</x:f>
        <x:v>0.8836524867448694</x:v>
      </x:c>
      <x:c r="N887" s="30" t="n">
        <x:f>MAX(0,H887-MAX(G887,M887))</x:f>
        <x:v>0.11111111111111116</x:v>
      </x:c>
      <x:c r="O887" s="28" t="n">
        <x:f>J887*I887</x:f>
        <x:v>4698.364182372987</x:v>
      </x:c>
      <x:c r="P887" s="27" t="n">
        <x:f>(VLOOKUP(O887,'Fee Data'!$C$6:$G$50,2,TRUE)+O887*VLOOKUP(O887,'Fee Data'!$C$6:$G$50,3,TRUE)+VLOOKUP(O887,'Fee Data'!$I$6:$J$14,2,TRUE)+'Fee Data'!$J$20+'Fee Data'!$J$21)*'Assumptions'!H37</x:f>
        <x:v>970</x:v>
      </x:c>
      <x:c r="Q887" s="27" t="n">
        <x:f>(VLOOKUP(O887,'Fee Data'!$C$6:$G$50,4,TRUE)+O887*VLOOKUP(O887,'Fee Data'!$C$6:$G$50,5,TRUE)+VLOOKUP(O887,'Fee Data'!$I$6:$J$14,2,TRUE)+'Fee Data'!$J$20+'Fee Data'!$J$21)*'Assumptions'!H37</x:f>
        <x:v>845</x:v>
      </x:c>
      <x:c r="R887" s="27" t="n">
        <x:f>P887*(1-'Assumptions'!$D$14)+Q887*'Assumptions'!$D$14</x:f>
        <x:v>907.5</x:v>
      </x:c>
      <x:c r="S887" s="27" t="n">
        <x:f>O887*'Carrier Engine'!E95</x:f>
        <x:v>187.9345672949195</x:v>
      </x:c>
      <x:c r="T887" s="28" t="n">
        <x:f>R887+S887</x:f>
        <x:v>1095.4345672949196</x:v>
      </x:c>
      <x:c r="U887" s="27" t="n">
        <x:f>N887*'Fleet Engine'!J195</x:f>
        <x:v>999.4086103820362</x:v>
      </x:c>
      <x:c r="V887" s="28" t="n">
        <x:f>U887*T887</x:f>
        <x:v>1094786.7386646627</x:v>
      </x:c>
      <x:c r="W887" s="28" t="n">
        <x:f>U887*O887</x:f>
        <x:v>4695585.618574118</x:v>
      </x:c>
    </x:row>
    <x:row r="888" ht="19" customHeight="1">
      <x:c r="A888" s="2"/>
      <x:c r="B888" s="2"/>
      <x:c r="C888" s="46" t="n">
        <x:v>4</x:v>
      </x:c>
      <x:c r="D888" s="46" t="n">
        <x:v>2</x:v>
      </x:c>
      <x:c r="E888" s="46" t="n">
        <x:v>0</x:v>
      </x:c>
      <x:c r="F888" s="46" t="n">
        <x:v>2</x:v>
      </x:c>
      <x:c r="G888" s="12" t="n">
        <x:v>0</x:v>
      </x:c>
      <x:c r="H888" s="12" t="n">
        <x:v>0.1111111111111111</x:v>
      </x:c>
      <x:c r="I888" s="29" t="n">
        <x:f>'Assumptions'!$D$11+'Assumptions'!$D$12*(0.5-(G888+H888)/2)</x:f>
        <x:v>0.3888888888888889</x:v>
      </x:c>
      <x:c r="J888" s="27" t="n">
        <x:f>'Assumptions'!$D$8*EXP(-'Assumptions'!$D$9*('Fleet Engine'!E196-10))*'Assumptions'!E55*'Assumptions'!H36</x:f>
        <x:v>16487.212707001283</x:v>
      </x:c>
      <x:c r="K888" s="27" t="n">
        <x:f>'Source Data'!F219+LN('Assumptions'!D55)+LN('Assumptions'!H35)</x:f>
        <x:v>7.955584867261274</x:v>
      </x:c>
      <x:c r="L888" s="27" t="n">
        <x:f>J888*(1-I888*(1-'Carrier Engine'!E95))</x:f>
        <x:v>10331.986629720805</x:v>
      </x:c>
      <x:c r="M888" s="29" t="n">
        <x:f>NORM.S.DIST((LN(L888)-K888)/'Assumptions'!$D$10,TRUE)</x:f>
        <x:v>0.7938640109511643</x:v>
      </x:c>
      <x:c r="N888" s="30" t="n">
        <x:f>MAX(0,H888-MAX(G888,M888))</x:f>
        <x:v>0</x:v>
      </x:c>
      <x:c r="O888" s="28" t="n">
        <x:f>J888*I888</x:f>
        <x:v>6411.693830500499</x:v>
      </x:c>
      <x:c r="P888" s="27" t="n">
        <x:f>(VLOOKUP(O888,'Fee Data'!$C$6:$G$50,2,TRUE)+O888*VLOOKUP(O888,'Fee Data'!$C$6:$G$50,3,TRUE)+VLOOKUP(O888,'Fee Data'!$I$6:$J$14,2,TRUE)+'Fee Data'!$J$20+'Fee Data'!$J$21)*'Assumptions'!H37</x:f>
        <x:v>1060</x:v>
      </x:c>
      <x:c r="Q888" s="27" t="n">
        <x:f>(VLOOKUP(O888,'Fee Data'!$C$6:$G$50,4,TRUE)+O888*VLOOKUP(O888,'Fee Data'!$C$6:$G$50,5,TRUE)+VLOOKUP(O888,'Fee Data'!$I$6:$J$14,2,TRUE)+'Fee Data'!$J$20+'Fee Data'!$J$21)*'Assumptions'!H37</x:f>
        <x:v>935</x:v>
      </x:c>
      <x:c r="R888" s="27" t="n">
        <x:f>P888*(1-'Assumptions'!$D$14)+Q888*'Assumptions'!$D$14</x:f>
        <x:v>997.5</x:v>
      </x:c>
      <x:c r="S888" s="27" t="n">
        <x:f>O888*'Carrier Engine'!E95</x:f>
        <x:v>256.46775322002</x:v>
      </x:c>
      <x:c r="T888" s="28" t="n">
        <x:f>R888+S888</x:f>
        <x:v>1253.9677532200199</x:v>
      </x:c>
      <x:c r="U888" s="27" t="n">
        <x:f>N888*'Fleet Engine'!J196</x:f>
        <x:v>0</x:v>
      </x:c>
      <x:c r="V888" s="28" t="n">
        <x:f>U888*T888</x:f>
        <x:v>0</x:v>
      </x:c>
      <x:c r="W888" s="28" t="n">
        <x:f>U888*O888</x:f>
        <x:v>0</x:v>
      </x:c>
    </x:row>
    <x:row r="889" ht="19" customHeight="1">
      <x:c r="A889" s="2"/>
      <x:c r="B889" s="2"/>
      <x:c r="C889" s="46" t="n">
        <x:v>4</x:v>
      </x:c>
      <x:c r="D889" s="46" t="n">
        <x:v>2</x:v>
      </x:c>
      <x:c r="E889" s="46" t="n">
        <x:v>0</x:v>
      </x:c>
      <x:c r="F889" s="46" t="n">
        <x:v>2</x:v>
      </x:c>
      <x:c r="G889" s="12" t="n">
        <x:v>0.1111111111111111</x:v>
      </x:c>
      <x:c r="H889" s="12" t="n">
        <x:v>0.2222222222222222</x:v>
      </x:c>
      <x:c r="I889" s="29" t="n">
        <x:f>'Assumptions'!$D$11+'Assumptions'!$D$12*(0.5-(G889+H889)/2)</x:f>
        <x:v>0.3666666666666667</x:v>
      </x:c>
      <x:c r="J889" s="27" t="n">
        <x:f>'Assumptions'!$D$8*EXP(-'Assumptions'!$D$9*('Fleet Engine'!E196-10))*'Assumptions'!E55*'Assumptions'!H36</x:f>
        <x:v>16487.212707001283</x:v>
      </x:c>
      <x:c r="K889" s="27" t="n">
        <x:f>'Source Data'!F219+LN('Assumptions'!D55)+LN('Assumptions'!H35)</x:f>
        <x:v>7.955584867261274</x:v>
      </x:c>
      <x:c r="L889" s="27" t="n">
        <x:f>J889*(1-I889*(1-'Carrier Engine'!E95))</x:f>
        <x:v>10683.71383413683</x:v>
      </x:c>
      <x:c r="M889" s="29" t="n">
        <x:f>NORM.S.DIST((LN(L889)-K889)/'Assumptions'!$D$10,TRUE)</x:f>
        <x:v>0.7998880565872375</x:v>
      </x:c>
      <x:c r="N889" s="30" t="n">
        <x:f>MAX(0,H889-MAX(G889,M889))</x:f>
        <x:v>0</x:v>
      </x:c>
      <x:c r="O889" s="28" t="n">
        <x:f>J889*I889</x:f>
        <x:v>6045.311325900471</x:v>
      </x:c>
      <x:c r="P889" s="27" t="n">
        <x:f>(VLOOKUP(O889,'Fee Data'!$C$6:$G$50,2,TRUE)+O889*VLOOKUP(O889,'Fee Data'!$C$6:$G$50,3,TRUE)+VLOOKUP(O889,'Fee Data'!$I$6:$J$14,2,TRUE)+'Fee Data'!$J$20+'Fee Data'!$J$21)*'Assumptions'!H37</x:f>
        <x:v>1060</x:v>
      </x:c>
      <x:c r="Q889" s="27" t="n">
        <x:f>(VLOOKUP(O889,'Fee Data'!$C$6:$G$50,4,TRUE)+O889*VLOOKUP(O889,'Fee Data'!$C$6:$G$50,5,TRUE)+VLOOKUP(O889,'Fee Data'!$I$6:$J$14,2,TRUE)+'Fee Data'!$J$20+'Fee Data'!$J$21)*'Assumptions'!H37</x:f>
        <x:v>935</x:v>
      </x:c>
      <x:c r="R889" s="27" t="n">
        <x:f>P889*(1-'Assumptions'!$D$14)+Q889*'Assumptions'!$D$14</x:f>
        <x:v>997.5</x:v>
      </x:c>
      <x:c r="S889" s="27" t="n">
        <x:f>O889*'Carrier Engine'!E95</x:f>
        <x:v>241.8124530360189</x:v>
      </x:c>
      <x:c r="T889" s="28" t="n">
        <x:f>R889+S889</x:f>
        <x:v>1239.312453036019</x:v>
      </x:c>
      <x:c r="U889" s="27" t="n">
        <x:f>N889*'Fleet Engine'!J196</x:f>
        <x:v>0</x:v>
      </x:c>
      <x:c r="V889" s="28" t="n">
        <x:f>U889*T889</x:f>
        <x:v>0</x:v>
      </x:c>
      <x:c r="W889" s="28" t="n">
        <x:f>U889*O889</x:f>
        <x:v>0</x:v>
      </x:c>
    </x:row>
    <x:row r="890" ht="19" customHeight="1">
      <x:c r="A890" s="2"/>
      <x:c r="B890" s="2"/>
      <x:c r="C890" s="46" t="n">
        <x:v>4</x:v>
      </x:c>
      <x:c r="D890" s="46" t="n">
        <x:v>2</x:v>
      </x:c>
      <x:c r="E890" s="46" t="n">
        <x:v>0</x:v>
      </x:c>
      <x:c r="F890" s="46" t="n">
        <x:v>2</x:v>
      </x:c>
      <x:c r="G890" s="12" t="n">
        <x:v>0.2222222222222222</x:v>
      </x:c>
      <x:c r="H890" s="12" t="n">
        <x:v>0.3333333333333333</x:v>
      </x:c>
      <x:c r="I890" s="29" t="n">
        <x:f>'Assumptions'!$D$11+'Assumptions'!$D$12*(0.5-(G890+H890)/2)</x:f>
        <x:v>0.34444444444444444</x:v>
      </x:c>
      <x:c r="J890" s="27" t="n">
        <x:f>'Assumptions'!$D$8*EXP(-'Assumptions'!$D$9*('Fleet Engine'!E196-10))*'Assumptions'!E55*'Assumptions'!H36</x:f>
        <x:v>16487.212707001283</x:v>
      </x:c>
      <x:c r="K890" s="27" t="n">
        <x:f>'Source Data'!F219+LN('Assumptions'!D55)+LN('Assumptions'!H35)</x:f>
        <x:v>7.955584867261274</x:v>
      </x:c>
      <x:c r="L890" s="27" t="n">
        <x:f>J890*(1-I890*(1-'Carrier Engine'!E95))</x:f>
        <x:v>11035.441038552859</x:v>
      </x:c>
      <x:c r="M890" s="29" t="n">
        <x:f>NORM.S.DIST((LN(L890)-K890)/'Assumptions'!$D$10,TRUE)</x:f>
        <x:v>0.8056150406948284</x:v>
      </x:c>
      <x:c r="N890" s="30" t="n">
        <x:f>MAX(0,H890-MAX(G890,M890))</x:f>
        <x:v>0</x:v>
      </x:c>
      <x:c r="O890" s="28" t="n">
        <x:f>J890*I890</x:f>
        <x:v>5678.928821300442</x:v>
      </x:c>
      <x:c r="P890" s="27" t="n">
        <x:f>(VLOOKUP(O890,'Fee Data'!$C$6:$G$50,2,TRUE)+O890*VLOOKUP(O890,'Fee Data'!$C$6:$G$50,3,TRUE)+VLOOKUP(O890,'Fee Data'!$I$6:$J$14,2,TRUE)+'Fee Data'!$J$20+'Fee Data'!$J$21)*'Assumptions'!H37</x:f>
        <x:v>1020</x:v>
      </x:c>
      <x:c r="Q890" s="27" t="n">
        <x:f>(VLOOKUP(O890,'Fee Data'!$C$6:$G$50,4,TRUE)+O890*VLOOKUP(O890,'Fee Data'!$C$6:$G$50,5,TRUE)+VLOOKUP(O890,'Fee Data'!$I$6:$J$14,2,TRUE)+'Fee Data'!$J$20+'Fee Data'!$J$21)*'Assumptions'!H37</x:f>
        <x:v>895</x:v>
      </x:c>
      <x:c r="R890" s="27" t="n">
        <x:f>P890*(1-'Assumptions'!$D$14)+Q890*'Assumptions'!$D$14</x:f>
        <x:v>957.5</x:v>
      </x:c>
      <x:c r="S890" s="27" t="n">
        <x:f>O890*'Carrier Engine'!E95</x:f>
        <x:v>227.15715285201773</x:v>
      </x:c>
      <x:c r="T890" s="28" t="n">
        <x:f>R890+S890</x:f>
        <x:v>1184.6571528520178</x:v>
      </x:c>
      <x:c r="U890" s="27" t="n">
        <x:f>N890*'Fleet Engine'!J196</x:f>
        <x:v>0</x:v>
      </x:c>
      <x:c r="V890" s="28" t="n">
        <x:f>U890*T890</x:f>
        <x:v>0</x:v>
      </x:c>
      <x:c r="W890" s="28" t="n">
        <x:f>U890*O890</x:f>
        <x:v>0</x:v>
      </x:c>
    </x:row>
    <x:row r="891" ht="19" customHeight="1">
      <x:c r="A891" s="2"/>
      <x:c r="B891" s="2"/>
      <x:c r="C891" s="46" t="n">
        <x:v>4</x:v>
      </x:c>
      <x:c r="D891" s="46" t="n">
        <x:v>2</x:v>
      </x:c>
      <x:c r="E891" s="46" t="n">
        <x:v>0</x:v>
      </x:c>
      <x:c r="F891" s="46" t="n">
        <x:v>2</x:v>
      </x:c>
      <x:c r="G891" s="12" t="n">
        <x:v>0.3333333333333333</x:v>
      </x:c>
      <x:c r="H891" s="12" t="n">
        <x:v>0.4444444444444444</x:v>
      </x:c>
      <x:c r="I891" s="29" t="n">
        <x:f>'Assumptions'!$D$11+'Assumptions'!$D$12*(0.5-(G891+H891)/2)</x:f>
        <x:v>0.32222222222222224</x:v>
      </x:c>
      <x:c r="J891" s="27" t="n">
        <x:f>'Assumptions'!$D$8*EXP(-'Assumptions'!$D$9*('Fleet Engine'!E196-10))*'Assumptions'!E55*'Assumptions'!H36</x:f>
        <x:v>16487.212707001283</x:v>
      </x:c>
      <x:c r="K891" s="27" t="n">
        <x:f>'Source Data'!F219+LN('Assumptions'!D55)+LN('Assumptions'!H35)</x:f>
        <x:v>7.955584867261274</x:v>
      </x:c>
      <x:c r="L891" s="27" t="n">
        <x:f>J891*(1-I891*(1-'Carrier Engine'!E95))</x:f>
        <x:v>11387.168242968886</x:v>
      </x:c>
      <x:c r="M891" s="29" t="n">
        <x:f>NORM.S.DIST((LN(L891)-K891)/'Assumptions'!$D$10,TRUE)</x:f>
        <x:v>0.8110661143853564</x:v>
      </x:c>
      <x:c r="N891" s="30" t="n">
        <x:f>MAX(0,H891-MAX(G891,M891))</x:f>
        <x:v>0</x:v>
      </x:c>
      <x:c r="O891" s="28" t="n">
        <x:f>J891*I891</x:f>
        <x:v>5312.546316700414</x:v>
      </x:c>
      <x:c r="P891" s="27" t="n">
        <x:f>(VLOOKUP(O891,'Fee Data'!$C$6:$G$50,2,TRUE)+O891*VLOOKUP(O891,'Fee Data'!$C$6:$G$50,3,TRUE)+VLOOKUP(O891,'Fee Data'!$I$6:$J$14,2,TRUE)+'Fee Data'!$J$20+'Fee Data'!$J$21)*'Assumptions'!H37</x:f>
        <x:v>995</x:v>
      </x:c>
      <x:c r="Q891" s="27" t="n">
        <x:f>(VLOOKUP(O891,'Fee Data'!$C$6:$G$50,4,TRUE)+O891*VLOOKUP(O891,'Fee Data'!$C$6:$G$50,5,TRUE)+VLOOKUP(O891,'Fee Data'!$I$6:$J$14,2,TRUE)+'Fee Data'!$J$20+'Fee Data'!$J$21)*'Assumptions'!H37</x:f>
        <x:v>870</x:v>
      </x:c>
      <x:c r="R891" s="27" t="n">
        <x:f>P891*(1-'Assumptions'!$D$14)+Q891*'Assumptions'!$D$14</x:f>
        <x:v>932.5</x:v>
      </x:c>
      <x:c r="S891" s="27" t="n">
        <x:f>O891*'Carrier Engine'!E95</x:f>
        <x:v>212.5018526680166</x:v>
      </x:c>
      <x:c r="T891" s="28" t="n">
        <x:f>R891+S891</x:f>
        <x:v>1145.0018526680167</x:v>
      </x:c>
      <x:c r="U891" s="27" t="n">
        <x:f>N891*'Fleet Engine'!J196</x:f>
        <x:v>0</x:v>
      </x:c>
      <x:c r="V891" s="28" t="n">
        <x:f>U891*T891</x:f>
        <x:v>0</x:v>
      </x:c>
      <x:c r="W891" s="28" t="n">
        <x:f>U891*O891</x:f>
        <x:v>0</x:v>
      </x:c>
    </x:row>
    <x:row r="892" ht="19" customHeight="1">
      <x:c r="A892" s="2"/>
      <x:c r="B892" s="2"/>
      <x:c r="C892" s="46" t="n">
        <x:v>4</x:v>
      </x:c>
      <x:c r="D892" s="46" t="n">
        <x:v>2</x:v>
      </x:c>
      <x:c r="E892" s="46" t="n">
        <x:v>0</x:v>
      </x:c>
      <x:c r="F892" s="46" t="n">
        <x:v>2</x:v>
      </x:c>
      <x:c r="G892" s="12" t="n">
        <x:v>0.4444444444444444</x:v>
      </x:c>
      <x:c r="H892" s="12" t="n">
        <x:v>0.5555555555555556</x:v>
      </x:c>
      <x:c r="I892" s="29" t="n">
        <x:f>'Assumptions'!$D$11+'Assumptions'!$D$12*(0.5-(G892+H892)/2)</x:f>
        <x:v>0.3</x:v>
      </x:c>
      <x:c r="J892" s="27" t="n">
        <x:f>'Assumptions'!$D$8*EXP(-'Assumptions'!$D$9*('Fleet Engine'!E196-10))*'Assumptions'!E55*'Assumptions'!H36</x:f>
        <x:v>16487.212707001283</x:v>
      </x:c>
      <x:c r="K892" s="27" t="n">
        <x:f>'Source Data'!F219+LN('Assumptions'!D55)+LN('Assumptions'!H35)</x:f>
        <x:v>7.955584867261274</x:v>
      </x:c>
      <x:c r="L892" s="27" t="n">
        <x:f>J892*(1-I892*(1-'Carrier Engine'!E95))</x:f>
        <x:v>11738.895447384913</x:v>
      </x:c>
      <x:c r="M892" s="29" t="n">
        <x:f>NORM.S.DIST((LN(L892)-K892)/'Assumptions'!$D$10,TRUE)</x:f>
        <x:v>0.816260449587562</x:v>
      </x:c>
      <x:c r="N892" s="30" t="n">
        <x:f>MAX(0,H892-MAX(G892,M892))</x:f>
        <x:v>0</x:v>
      </x:c>
      <x:c r="O892" s="28" t="n">
        <x:f>J892*I892</x:f>
        <x:v>4946.163812100384</x:v>
      </x:c>
      <x:c r="P892" s="27" t="n">
        <x:f>(VLOOKUP(O892,'Fee Data'!$C$6:$G$50,2,TRUE)+O892*VLOOKUP(O892,'Fee Data'!$C$6:$G$50,3,TRUE)+VLOOKUP(O892,'Fee Data'!$I$6:$J$14,2,TRUE)+'Fee Data'!$J$20+'Fee Data'!$J$21)*'Assumptions'!H37</x:f>
        <x:v>970</x:v>
      </x:c>
      <x:c r="Q892" s="27" t="n">
        <x:f>(VLOOKUP(O892,'Fee Data'!$C$6:$G$50,4,TRUE)+O892*VLOOKUP(O892,'Fee Data'!$C$6:$G$50,5,TRUE)+VLOOKUP(O892,'Fee Data'!$I$6:$J$14,2,TRUE)+'Fee Data'!$J$20+'Fee Data'!$J$21)*'Assumptions'!H37</x:f>
        <x:v>845</x:v>
      </x:c>
      <x:c r="R892" s="27" t="n">
        <x:f>P892*(1-'Assumptions'!$D$14)+Q892*'Assumptions'!$D$14</x:f>
        <x:v>907.5</x:v>
      </x:c>
      <x:c r="S892" s="27" t="n">
        <x:f>O892*'Carrier Engine'!E95</x:f>
        <x:v>197.8465524840154</x:v>
      </x:c>
      <x:c r="T892" s="28" t="n">
        <x:f>R892+S892</x:f>
        <x:v>1105.3465524840153</x:v>
      </x:c>
      <x:c r="U892" s="27" t="n">
        <x:f>N892*'Fleet Engine'!J196</x:f>
        <x:v>0</x:v>
      </x:c>
      <x:c r="V892" s="28" t="n">
        <x:f>U892*T892</x:f>
        <x:v>0</x:v>
      </x:c>
      <x:c r="W892" s="28" t="n">
        <x:f>U892*O892</x:f>
        <x:v>0</x:v>
      </x:c>
    </x:row>
    <x:row r="893" ht="19" customHeight="1">
      <x:c r="A893" s="2"/>
      <x:c r="B893" s="2"/>
      <x:c r="C893" s="46" t="n">
        <x:v>4</x:v>
      </x:c>
      <x:c r="D893" s="46" t="n">
        <x:v>2</x:v>
      </x:c>
      <x:c r="E893" s="46" t="n">
        <x:v>0</x:v>
      </x:c>
      <x:c r="F893" s="46" t="n">
        <x:v>2</x:v>
      </x:c>
      <x:c r="G893" s="12" t="n">
        <x:v>0.5555555555555556</x:v>
      </x:c>
      <x:c r="H893" s="12" t="n">
        <x:v>0.6666666666666666</x:v>
      </x:c>
      <x:c r="I893" s="29" t="n">
        <x:f>'Assumptions'!$D$11+'Assumptions'!$D$12*(0.5-(G893+H893)/2)</x:f>
        <x:v>0.27777777777777773</x:v>
      </x:c>
      <x:c r="J893" s="27" t="n">
        <x:f>'Assumptions'!$D$8*EXP(-'Assumptions'!$D$9*('Fleet Engine'!E196-10))*'Assumptions'!E55*'Assumptions'!H36</x:f>
        <x:v>16487.212707001283</x:v>
      </x:c>
      <x:c r="K893" s="27" t="n">
        <x:f>'Source Data'!F219+LN('Assumptions'!D55)+LN('Assumptions'!H35)</x:f>
        <x:v>7.955584867261274</x:v>
      </x:c>
      <x:c r="L893" s="27" t="n">
        <x:f>J893*(1-I893*(1-'Carrier Engine'!E95))</x:f>
        <x:v>12090.622651800943</x:v>
      </x:c>
      <x:c r="M893" s="29" t="n">
        <x:f>NORM.S.DIST((LN(L893)-K893)/'Assumptions'!$D$10,TRUE)</x:f>
        <x:v>0.8212154681565336</x:v>
      </x:c>
      <x:c r="N893" s="30" t="n">
        <x:f>MAX(0,H893-MAX(G893,M893))</x:f>
        <x:v>0</x:v>
      </x:c>
      <x:c r="O893" s="28" t="n">
        <x:f>J893*I893</x:f>
        <x:v>4579.781307500356</x:v>
      </x:c>
      <x:c r="P893" s="27" t="n">
        <x:f>(VLOOKUP(O893,'Fee Data'!$C$6:$G$50,2,TRUE)+O893*VLOOKUP(O893,'Fee Data'!$C$6:$G$50,3,TRUE)+VLOOKUP(O893,'Fee Data'!$I$6:$J$14,2,TRUE)+'Fee Data'!$J$20+'Fee Data'!$J$21)*'Assumptions'!H37</x:f>
        <x:v>970</x:v>
      </x:c>
      <x:c r="Q893" s="27" t="n">
        <x:f>(VLOOKUP(O893,'Fee Data'!$C$6:$G$50,4,TRUE)+O893*VLOOKUP(O893,'Fee Data'!$C$6:$G$50,5,TRUE)+VLOOKUP(O893,'Fee Data'!$I$6:$J$14,2,TRUE)+'Fee Data'!$J$20+'Fee Data'!$J$21)*'Assumptions'!H37</x:f>
        <x:v>845</x:v>
      </x:c>
      <x:c r="R893" s="27" t="n">
        <x:f>P893*(1-'Assumptions'!$D$14)+Q893*'Assumptions'!$D$14</x:f>
        <x:v>907.5</x:v>
      </x:c>
      <x:c r="S893" s="27" t="n">
        <x:f>O893*'Carrier Engine'!E95</x:f>
        <x:v>183.19125230001427</x:v>
      </x:c>
      <x:c r="T893" s="28" t="n">
        <x:f>R893+S893</x:f>
        <x:v>1090.6912523000142</x:v>
      </x:c>
      <x:c r="U893" s="27" t="n">
        <x:f>N893*'Fleet Engine'!J196</x:f>
        <x:v>0</x:v>
      </x:c>
      <x:c r="V893" s="28" t="n">
        <x:f>U893*T893</x:f>
        <x:v>0</x:v>
      </x:c>
      <x:c r="W893" s="28" t="n">
        <x:f>U893*O893</x:f>
        <x:v>0</x:v>
      </x:c>
    </x:row>
    <x:row r="894" ht="19" customHeight="1">
      <x:c r="A894" s="2"/>
      <x:c r="B894" s="2"/>
      <x:c r="C894" s="46" t="n">
        <x:v>4</x:v>
      </x:c>
      <x:c r="D894" s="46" t="n">
        <x:v>2</x:v>
      </x:c>
      <x:c r="E894" s="46" t="n">
        <x:v>0</x:v>
      </x:c>
      <x:c r="F894" s="46" t="n">
        <x:v>2</x:v>
      </x:c>
      <x:c r="G894" s="12" t="n">
        <x:v>0.6666666666666666</x:v>
      </x:c>
      <x:c r="H894" s="12" t="n">
        <x:v>0.7777777777777778</x:v>
      </x:c>
      <x:c r="I894" s="29" t="n">
        <x:f>'Assumptions'!$D$11+'Assumptions'!$D$12*(0.5-(G894+H894)/2)</x:f>
        <x:v>0.25555555555555554</x:v>
      </x:c>
      <x:c r="J894" s="27" t="n">
        <x:f>'Assumptions'!$D$8*EXP(-'Assumptions'!$D$9*('Fleet Engine'!E196-10))*'Assumptions'!E55*'Assumptions'!H36</x:f>
        <x:v>16487.212707001283</x:v>
      </x:c>
      <x:c r="K894" s="27" t="n">
        <x:f>'Source Data'!F219+LN('Assumptions'!D55)+LN('Assumptions'!H35)</x:f>
        <x:v>7.955584867261274</x:v>
      </x:c>
      <x:c r="L894" s="27" t="n">
        <x:f>J894*(1-I894*(1-'Carrier Engine'!E95))</x:f>
        <x:v>12442.34985621697</x:v>
      </x:c>
      <x:c r="M894" s="29" t="n">
        <x:f>NORM.S.DIST((LN(L894)-K894)/'Assumptions'!$D$10,TRUE)</x:f>
        <x:v>0.8259470394978756</x:v>
      </x:c>
      <x:c r="N894" s="30" t="n">
        <x:f>MAX(0,H894-MAX(G894,M894))</x:f>
        <x:v>0</x:v>
      </x:c>
      <x:c r="O894" s="28" t="n">
        <x:f>J894*I894</x:f>
        <x:v>4213.398802900328</x:v>
      </x:c>
      <x:c r="P894" s="27" t="n">
        <x:f>(VLOOKUP(O894,'Fee Data'!$C$6:$G$50,2,TRUE)+O894*VLOOKUP(O894,'Fee Data'!$C$6:$G$50,3,TRUE)+VLOOKUP(O894,'Fee Data'!$I$6:$J$14,2,TRUE)+'Fee Data'!$J$20+'Fee Data'!$J$21)*'Assumptions'!H37</x:f>
        <x:v>945</x:v>
      </x:c>
      <x:c r="Q894" s="27" t="n">
        <x:f>(VLOOKUP(O894,'Fee Data'!$C$6:$G$50,4,TRUE)+O894*VLOOKUP(O894,'Fee Data'!$C$6:$G$50,5,TRUE)+VLOOKUP(O894,'Fee Data'!$I$6:$J$14,2,TRUE)+'Fee Data'!$J$20+'Fee Data'!$J$21)*'Assumptions'!H37</x:f>
        <x:v>820</x:v>
      </x:c>
      <x:c r="R894" s="27" t="n">
        <x:f>P894*(1-'Assumptions'!$D$14)+Q894*'Assumptions'!$D$14</x:f>
        <x:v>882.5</x:v>
      </x:c>
      <x:c r="S894" s="27" t="n">
        <x:f>O894*'Carrier Engine'!E95</x:f>
        <x:v>168.53595211601314</x:v>
      </x:c>
      <x:c r="T894" s="28" t="n">
        <x:f>R894+S894</x:f>
        <x:v>1051.035952116013</x:v>
      </x:c>
      <x:c r="U894" s="27" t="n">
        <x:f>N894*'Fleet Engine'!J196</x:f>
        <x:v>0</x:v>
      </x:c>
      <x:c r="V894" s="28" t="n">
        <x:f>U894*T894</x:f>
        <x:v>0</x:v>
      </x:c>
      <x:c r="W894" s="28" t="n">
        <x:f>U894*O894</x:f>
        <x:v>0</x:v>
      </x:c>
    </x:row>
    <x:row r="895" ht="19" customHeight="1">
      <x:c r="A895" s="2"/>
      <x:c r="B895" s="2"/>
      <x:c r="C895" s="46" t="n">
        <x:v>4</x:v>
      </x:c>
      <x:c r="D895" s="46" t="n">
        <x:v>2</x:v>
      </x:c>
      <x:c r="E895" s="46" t="n">
        <x:v>0</x:v>
      </x:c>
      <x:c r="F895" s="46" t="n">
        <x:v>2</x:v>
      </x:c>
      <x:c r="G895" s="12" t="n">
        <x:v>0.7777777777777778</x:v>
      </x:c>
      <x:c r="H895" s="12" t="n">
        <x:v>0.8888888888888888</x:v>
      </x:c>
      <x:c r="I895" s="29" t="n">
        <x:f>'Assumptions'!$D$11+'Assumptions'!$D$12*(0.5-(G895+H895)/2)</x:f>
        <x:v>0.23333333333333334</x:v>
      </x:c>
      <x:c r="J895" s="27" t="n">
        <x:f>'Assumptions'!$D$8*EXP(-'Assumptions'!$D$9*('Fleet Engine'!E196-10))*'Assumptions'!E55*'Assumptions'!H36</x:f>
        <x:v>16487.212707001283</x:v>
      </x:c>
      <x:c r="K895" s="27" t="n">
        <x:f>'Source Data'!F219+LN('Assumptions'!D55)+LN('Assumptions'!H35)</x:f>
        <x:v>7.955584867261274</x:v>
      </x:c>
      <x:c r="L895" s="27" t="n">
        <x:f>J895*(1-I895*(1-'Carrier Engine'!E95))</x:f>
        <x:v>12794.077060632995</x:v>
      </x:c>
      <x:c r="M895" s="29" t="n">
        <x:f>NORM.S.DIST((LN(L895)-K895)/'Assumptions'!$D$10,TRUE)</x:f>
        <x:v>0.8304696516941905</x:v>
      </x:c>
      <x:c r="N895" s="30" t="n">
        <x:f>MAX(0,H895-MAX(G895,M895))</x:f>
        <x:v>0.058419237194698326</x:v>
      </x:c>
      <x:c r="O895" s="28" t="n">
        <x:f>J895*I895</x:f>
        <x:v>3847.0162983002992</x:v>
      </x:c>
      <x:c r="P895" s="27" t="n">
        <x:f>(VLOOKUP(O895,'Fee Data'!$C$6:$G$50,2,TRUE)+O895*VLOOKUP(O895,'Fee Data'!$C$6:$G$50,3,TRUE)+VLOOKUP(O895,'Fee Data'!$I$6:$J$14,2,TRUE)+'Fee Data'!$J$20+'Fee Data'!$J$21)*'Assumptions'!H37</x:f>
        <x:v>915</x:v>
      </x:c>
      <x:c r="Q895" s="27" t="n">
        <x:f>(VLOOKUP(O895,'Fee Data'!$C$6:$G$50,4,TRUE)+O895*VLOOKUP(O895,'Fee Data'!$C$6:$G$50,5,TRUE)+VLOOKUP(O895,'Fee Data'!$I$6:$J$14,2,TRUE)+'Fee Data'!$J$20+'Fee Data'!$J$21)*'Assumptions'!H37</x:f>
        <x:v>765</x:v>
      </x:c>
      <x:c r="R895" s="27" t="n">
        <x:f>P895*(1-'Assumptions'!$D$14)+Q895*'Assumptions'!$D$14</x:f>
        <x:v>840</x:v>
      </x:c>
      <x:c r="S895" s="27" t="n">
        <x:f>O895*'Carrier Engine'!E95</x:f>
        <x:v>153.880651932012</x:v>
      </x:c>
      <x:c r="T895" s="28" t="n">
        <x:f>R895+S895</x:f>
        <x:v>993.880651932012</x:v>
      </x:c>
      <x:c r="U895" s="27" t="n">
        <x:f>N895*'Fleet Engine'!J196</x:f>
        <x:v>586.1407511334851</x:v>
      </x:c>
      <x:c r="V895" s="28" t="n">
        <x:f>U895*T895</x:f>
        <x:v>582553.9518604673</x:v>
      </x:c>
      <x:c r="W895" s="28" t="n">
        <x:f>U895*O895</x:f>
        <x:v>2254893.0227084965</x:v>
      </x:c>
    </x:row>
    <x:row r="896" ht="19" customHeight="1">
      <x:c r="A896" s="2"/>
      <x:c r="B896" s="2"/>
      <x:c r="C896" s="46" t="n">
        <x:v>4</x:v>
      </x:c>
      <x:c r="D896" s="46" t="n">
        <x:v>2</x:v>
      </x:c>
      <x:c r="E896" s="46" t="n">
        <x:v>0</x:v>
      </x:c>
      <x:c r="F896" s="46" t="n">
        <x:v>2</x:v>
      </x:c>
      <x:c r="G896" s="12" t="n">
        <x:v>0.8888888888888888</x:v>
      </x:c>
      <x:c r="H896" s="12" t="n">
        <x:v>1</x:v>
      </x:c>
      <x:c r="I896" s="29" t="n">
        <x:f>'Assumptions'!$D$11+'Assumptions'!$D$12*(0.5-(G896+H896)/2)</x:f>
        <x:v>0.21111111111111108</x:v>
      </x:c>
      <x:c r="J896" s="27" t="n">
        <x:f>'Assumptions'!$D$8*EXP(-'Assumptions'!$D$9*('Fleet Engine'!E196-10))*'Assumptions'!E55*'Assumptions'!H36</x:f>
        <x:v>16487.212707001283</x:v>
      </x:c>
      <x:c r="K896" s="27" t="n">
        <x:f>'Source Data'!F219+LN('Assumptions'!D55)+LN('Assumptions'!H35)</x:f>
        <x:v>7.955584867261274</x:v>
      </x:c>
      <x:c r="L896" s="27" t="n">
        <x:f>J896*(1-I896*(1-'Carrier Engine'!E95))</x:f>
        <x:v>13145.804265049022</x:v>
      </x:c>
      <x:c r="M896" s="29" t="n">
        <x:f>NORM.S.DIST((LN(L896)-K896)/'Assumptions'!$D$10,TRUE)</x:f>
        <x:v>0.8347965602302723</x:v>
      </x:c>
      <x:c r="N896" s="30" t="n">
        <x:f>MAX(0,H896-MAX(G896,M896))</x:f>
        <x:v>0.11111111111111116</x:v>
      </x:c>
      <x:c r="O896" s="28" t="n">
        <x:f>J896*I896</x:f>
        <x:v>3480.6337937002704</x:v>
      </x:c>
      <x:c r="P896" s="27" t="n">
        <x:f>(VLOOKUP(O896,'Fee Data'!$C$6:$G$50,2,TRUE)+O896*VLOOKUP(O896,'Fee Data'!$C$6:$G$50,3,TRUE)+VLOOKUP(O896,'Fee Data'!$I$6:$J$14,2,TRUE)+'Fee Data'!$J$20+'Fee Data'!$J$21)*'Assumptions'!H37</x:f>
        <x:v>865</x:v>
      </x:c>
      <x:c r="Q896" s="27" t="n">
        <x:f>(VLOOKUP(O896,'Fee Data'!$C$6:$G$50,4,TRUE)+O896*VLOOKUP(O896,'Fee Data'!$C$6:$G$50,5,TRUE)+VLOOKUP(O896,'Fee Data'!$I$6:$J$14,2,TRUE)+'Fee Data'!$J$20+'Fee Data'!$J$21)*'Assumptions'!H37</x:f>
        <x:v>715</x:v>
      </x:c>
      <x:c r="R896" s="27" t="n">
        <x:f>P896*(1-'Assumptions'!$D$14)+Q896*'Assumptions'!$D$14</x:f>
        <x:v>790</x:v>
      </x:c>
      <x:c r="S896" s="27" t="n">
        <x:f>O896*'Carrier Engine'!E95</x:f>
        <x:v>139.22535174801084</x:v>
      </x:c>
      <x:c r="T896" s="28" t="n">
        <x:f>R896+S896</x:f>
        <x:v>929.2253517480108</x:v>
      </x:c>
      <x:c r="U896" s="27" t="n">
        <x:f>N896*'Fleet Engine'!J196</x:f>
        <x:v>1114.8168523476238</x:v>
      </x:c>
      <x:c r="V896" s="28" t="n">
        <x:f>U896*T896</x:f>
        <x:v>1035916.0817573309</x:v>
      </x:c>
      <x:c r="W896" s="28" t="n">
        <x:f>U896*O896</x:f>
        <x:v>3880269.210067704</x:v>
      </x:c>
    </x:row>
    <x:row r="897" ht="19" customHeight="1">
      <x:c r="A897" s="2"/>
      <x:c r="B897" s="2"/>
      <x:c r="C897" s="46" t="n">
        <x:v>4</x:v>
      </x:c>
      <x:c r="D897" s="46" t="n">
        <x:v>3</x:v>
      </x:c>
      <x:c r="E897" s="46" t="n">
        <x:v>0</x:v>
      </x:c>
      <x:c r="F897" s="46" t="n">
        <x:v>3</x:v>
      </x:c>
      <x:c r="G897" s="12" t="n">
        <x:v>0</x:v>
      </x:c>
      <x:c r="H897" s="12" t="n">
        <x:v>0.1111111111111111</x:v>
      </x:c>
      <x:c r="I897" s="29" t="n">
        <x:f>'Assumptions'!$D$11+'Assumptions'!$D$12*(0.5-(G897+H897)/2)</x:f>
        <x:v>0.3888888888888889</x:v>
      </x:c>
      <x:c r="J897" s="27" t="n">
        <x:f>'Assumptions'!$D$8*EXP(-'Assumptions'!$D$9*('Fleet Engine'!E197-10))*'Assumptions'!E55*'Assumptions'!H36</x:f>
        <x:v>12214.027581601698</x:v>
      </x:c>
      <x:c r="K897" s="27" t="n">
        <x:f>'Source Data'!F220+LN('Assumptions'!D55)+LN('Assumptions'!H35)</x:f>
        <x:v>8.062717438528928</x:v>
      </x:c>
      <x:c r="L897" s="27" t="n">
        <x:f>J897*(1-I897*(1-'Carrier Engine'!E95))</x:f>
        <x:v>7654.123951137065</x:v>
      </x:c>
      <x:c r="M897" s="29" t="n">
        <x:f>NORM.S.DIST((LN(L897)-K897)/'Assumptions'!$D$10,TRUE)</x:f>
        <x:v>0.7124702952152316</x:v>
      </x:c>
      <x:c r="N897" s="30" t="n">
        <x:f>MAX(0,H897-MAX(G897,M897))</x:f>
        <x:v>0</x:v>
      </x:c>
      <x:c r="O897" s="28" t="n">
        <x:f>J897*I897</x:f>
        <x:v>4749.899615067327</x:v>
      </x:c>
      <x:c r="P897" s="27" t="n">
        <x:f>(VLOOKUP(O897,'Fee Data'!$C$6:$G$50,2,TRUE)+O897*VLOOKUP(O897,'Fee Data'!$C$6:$G$50,3,TRUE)+VLOOKUP(O897,'Fee Data'!$I$6:$J$14,2,TRUE)+'Fee Data'!$J$20+'Fee Data'!$J$21)*'Assumptions'!H37</x:f>
        <x:v>970</x:v>
      </x:c>
      <x:c r="Q897" s="27" t="n">
        <x:f>(VLOOKUP(O897,'Fee Data'!$C$6:$G$50,4,TRUE)+O897*VLOOKUP(O897,'Fee Data'!$C$6:$G$50,5,TRUE)+VLOOKUP(O897,'Fee Data'!$I$6:$J$14,2,TRUE)+'Fee Data'!$J$20+'Fee Data'!$J$21)*'Assumptions'!H37</x:f>
        <x:v>845</x:v>
      </x:c>
      <x:c r="R897" s="27" t="n">
        <x:f>P897*(1-'Assumptions'!$D$14)+Q897*'Assumptions'!$D$14</x:f>
        <x:v>907.5</x:v>
      </x:c>
      <x:c r="S897" s="27" t="n">
        <x:f>O897*'Carrier Engine'!E95</x:f>
        <x:v>189.99598460269314</x:v>
      </x:c>
      <x:c r="T897" s="28" t="n">
        <x:f>R897+S897</x:f>
        <x:v>1097.4959846026932</x:v>
      </x:c>
      <x:c r="U897" s="27" t="n">
        <x:f>N897*'Fleet Engine'!J197</x:f>
        <x:v>0</x:v>
      </x:c>
      <x:c r="V897" s="28" t="n">
        <x:f>U897*T897</x:f>
        <x:v>0</x:v>
      </x:c>
      <x:c r="W897" s="28" t="n">
        <x:f>U897*O897</x:f>
        <x:v>0</x:v>
      </x:c>
    </x:row>
    <x:row r="898" ht="19" customHeight="1">
      <x:c r="A898" s="2"/>
      <x:c r="B898" s="2"/>
      <x:c r="C898" s="46" t="n">
        <x:v>4</x:v>
      </x:c>
      <x:c r="D898" s="46" t="n">
        <x:v>3</x:v>
      </x:c>
      <x:c r="E898" s="46" t="n">
        <x:v>0</x:v>
      </x:c>
      <x:c r="F898" s="46" t="n">
        <x:v>3</x:v>
      </x:c>
      <x:c r="G898" s="12" t="n">
        <x:v>0.1111111111111111</x:v>
      </x:c>
      <x:c r="H898" s="12" t="n">
        <x:v>0.2222222222222222</x:v>
      </x:c>
      <x:c r="I898" s="29" t="n">
        <x:f>'Assumptions'!$D$11+'Assumptions'!$D$12*(0.5-(G898+H898)/2)</x:f>
        <x:v>0.3666666666666667</x:v>
      </x:c>
      <x:c r="J898" s="27" t="n">
        <x:f>'Assumptions'!$D$8*EXP(-'Assumptions'!$D$9*('Fleet Engine'!E197-10))*'Assumptions'!E55*'Assumptions'!H36</x:f>
        <x:v>12214.027581601698</x:v>
      </x:c>
      <x:c r="K898" s="27" t="n">
        <x:f>'Source Data'!F220+LN('Assumptions'!D55)+LN('Assumptions'!H35)</x:f>
        <x:v>8.062717438528928</x:v>
      </x:c>
      <x:c r="L898" s="27" t="n">
        <x:f>J898*(1-I898*(1-'Carrier Engine'!E95))</x:f>
        <x:v>7914.6898728779</x:v>
      </x:c>
      <x:c r="M898" s="29" t="n">
        <x:f>NORM.S.DIST((LN(L898)-K898)/'Assumptions'!$D$10,TRUE)</x:f>
        <x:v>0.7196948864067317</x:v>
      </x:c>
      <x:c r="N898" s="30" t="n">
        <x:f>MAX(0,H898-MAX(G898,M898))</x:f>
        <x:v>0</x:v>
      </x:c>
      <x:c r="O898" s="28" t="n">
        <x:f>J898*I898</x:f>
        <x:v>4478.476779920623</x:v>
      </x:c>
      <x:c r="P898" s="27" t="n">
        <x:f>(VLOOKUP(O898,'Fee Data'!$C$6:$G$50,2,TRUE)+O898*VLOOKUP(O898,'Fee Data'!$C$6:$G$50,3,TRUE)+VLOOKUP(O898,'Fee Data'!$I$6:$J$14,2,TRUE)+'Fee Data'!$J$20+'Fee Data'!$J$21)*'Assumptions'!H37</x:f>
        <x:v>945</x:v>
      </x:c>
      <x:c r="Q898" s="27" t="n">
        <x:f>(VLOOKUP(O898,'Fee Data'!$C$6:$G$50,4,TRUE)+O898*VLOOKUP(O898,'Fee Data'!$C$6:$G$50,5,TRUE)+VLOOKUP(O898,'Fee Data'!$I$6:$J$14,2,TRUE)+'Fee Data'!$J$20+'Fee Data'!$J$21)*'Assumptions'!H37</x:f>
        <x:v>820</x:v>
      </x:c>
      <x:c r="R898" s="27" t="n">
        <x:f>P898*(1-'Assumptions'!$D$14)+Q898*'Assumptions'!$D$14</x:f>
        <x:v>882.5</x:v>
      </x:c>
      <x:c r="S898" s="27" t="n">
        <x:f>O898*'Carrier Engine'!E95</x:f>
        <x:v>179.13907119682494</x:v>
      </x:c>
      <x:c r="T898" s="28" t="n">
        <x:f>R898+S898</x:f>
        <x:v>1061.639071196825</x:v>
      </x:c>
      <x:c r="U898" s="27" t="n">
        <x:f>N898*'Fleet Engine'!J197</x:f>
        <x:v>0</x:v>
      </x:c>
      <x:c r="V898" s="28" t="n">
        <x:f>U898*T898</x:f>
        <x:v>0</x:v>
      </x:c>
      <x:c r="W898" s="28" t="n">
        <x:f>U898*O898</x:f>
        <x:v>0</x:v>
      </x:c>
    </x:row>
    <x:row r="899" ht="19" customHeight="1">
      <x:c r="A899" s="2"/>
      <x:c r="B899" s="2"/>
      <x:c r="C899" s="46" t="n">
        <x:v>4</x:v>
      </x:c>
      <x:c r="D899" s="46" t="n">
        <x:v>3</x:v>
      </x:c>
      <x:c r="E899" s="46" t="n">
        <x:v>0</x:v>
      </x:c>
      <x:c r="F899" s="46" t="n">
        <x:v>3</x:v>
      </x:c>
      <x:c r="G899" s="12" t="n">
        <x:v>0.2222222222222222</x:v>
      </x:c>
      <x:c r="H899" s="12" t="n">
        <x:v>0.3333333333333333</x:v>
      </x:c>
      <x:c r="I899" s="29" t="n">
        <x:f>'Assumptions'!$D$11+'Assumptions'!$D$12*(0.5-(G899+H899)/2)</x:f>
        <x:v>0.34444444444444444</x:v>
      </x:c>
      <x:c r="J899" s="27" t="n">
        <x:f>'Assumptions'!$D$8*EXP(-'Assumptions'!$D$9*('Fleet Engine'!E197-10))*'Assumptions'!E55*'Assumptions'!H36</x:f>
        <x:v>12214.027581601698</x:v>
      </x:c>
      <x:c r="K899" s="27" t="n">
        <x:f>'Source Data'!F220+LN('Assumptions'!D55)+LN('Assumptions'!H35)</x:f>
        <x:v>8.062717438528928</x:v>
      </x:c>
      <x:c r="L899" s="27" t="n">
        <x:f>J899*(1-I899*(1-'Carrier Engine'!E95))</x:f>
        <x:v>8175.255794618737</x:v>
      </x:c>
      <x:c r="M899" s="29" t="n">
        <x:f>NORM.S.DIST((LN(L899)-K899)/'Assumptions'!$D$10,TRUE)</x:f>
        <x:v>0.7266006694983298</x:v>
      </x:c>
      <x:c r="N899" s="30" t="n">
        <x:f>MAX(0,H899-MAX(G899,M899))</x:f>
        <x:v>0</x:v>
      </x:c>
      <x:c r="O899" s="28" t="n">
        <x:f>J899*I899</x:f>
        <x:v>4207.053944773918</x:v>
      </x:c>
      <x:c r="P899" s="27" t="n">
        <x:f>(VLOOKUP(O899,'Fee Data'!$C$6:$G$50,2,TRUE)+O899*VLOOKUP(O899,'Fee Data'!$C$6:$G$50,3,TRUE)+VLOOKUP(O899,'Fee Data'!$I$6:$J$14,2,TRUE)+'Fee Data'!$J$20+'Fee Data'!$J$21)*'Assumptions'!H37</x:f>
        <x:v>945</x:v>
      </x:c>
      <x:c r="Q899" s="27" t="n">
        <x:f>(VLOOKUP(O899,'Fee Data'!$C$6:$G$50,4,TRUE)+O899*VLOOKUP(O899,'Fee Data'!$C$6:$G$50,5,TRUE)+VLOOKUP(O899,'Fee Data'!$I$6:$J$14,2,TRUE)+'Fee Data'!$J$20+'Fee Data'!$J$21)*'Assumptions'!H37</x:f>
        <x:v>820</x:v>
      </x:c>
      <x:c r="R899" s="27" t="n">
        <x:f>P899*(1-'Assumptions'!$D$14)+Q899*'Assumptions'!$D$14</x:f>
        <x:v>882.5</x:v>
      </x:c>
      <x:c r="S899" s="27" t="n">
        <x:f>O899*'Carrier Engine'!E95</x:f>
        <x:v>168.28215779095677</x:v>
      </x:c>
      <x:c r="T899" s="28" t="n">
        <x:f>R899+S899</x:f>
        <x:v>1050.7821577909567</x:v>
      </x:c>
      <x:c r="U899" s="27" t="n">
        <x:f>N899*'Fleet Engine'!J197</x:f>
        <x:v>0</x:v>
      </x:c>
      <x:c r="V899" s="28" t="n">
        <x:f>U899*T899</x:f>
        <x:v>0</x:v>
      </x:c>
      <x:c r="W899" s="28" t="n">
        <x:f>U899*O899</x:f>
        <x:v>0</x:v>
      </x:c>
    </x:row>
    <x:row r="900" ht="19" customHeight="1">
      <x:c r="A900" s="2"/>
      <x:c r="B900" s="2"/>
      <x:c r="C900" s="46" t="n">
        <x:v>4</x:v>
      </x:c>
      <x:c r="D900" s="46" t="n">
        <x:v>3</x:v>
      </x:c>
      <x:c r="E900" s="46" t="n">
        <x:v>0</x:v>
      </x:c>
      <x:c r="F900" s="46" t="n">
        <x:v>3</x:v>
      </x:c>
      <x:c r="G900" s="12" t="n">
        <x:v>0.3333333333333333</x:v>
      </x:c>
      <x:c r="H900" s="12" t="n">
        <x:v>0.4444444444444444</x:v>
      </x:c>
      <x:c r="I900" s="29" t="n">
        <x:f>'Assumptions'!$D$11+'Assumptions'!$D$12*(0.5-(G900+H900)/2)</x:f>
        <x:v>0.32222222222222224</x:v>
      </x:c>
      <x:c r="J900" s="27" t="n">
        <x:f>'Assumptions'!$D$8*EXP(-'Assumptions'!$D$9*('Fleet Engine'!E197-10))*'Assumptions'!E55*'Assumptions'!H36</x:f>
        <x:v>12214.027581601698</x:v>
      </x:c>
      <x:c r="K900" s="27" t="n">
        <x:f>'Source Data'!F220+LN('Assumptions'!D55)+LN('Assumptions'!H35)</x:f>
        <x:v>8.062717438528928</x:v>
      </x:c>
      <x:c r="L900" s="27" t="n">
        <x:f>J900*(1-I900*(1-'Carrier Engine'!E95))</x:f>
        <x:v>8435.821716359573</x:v>
      </x:c>
      <x:c r="M900" s="29" t="n">
        <x:f>NORM.S.DIST((LN(L900)-K900)/'Assumptions'!$D$10,TRUE)</x:f>
        <x:v>0.7332084499624358</x:v>
      </x:c>
      <x:c r="N900" s="30" t="n">
        <x:f>MAX(0,H900-MAX(G900,M900))</x:f>
        <x:v>0</x:v>
      </x:c>
      <x:c r="O900" s="28" t="n">
        <x:f>J900*I900</x:f>
        <x:v>3935.6311096272143</x:v>
      </x:c>
      <x:c r="P900" s="27" t="n">
        <x:f>(VLOOKUP(O900,'Fee Data'!$C$6:$G$50,2,TRUE)+O900*VLOOKUP(O900,'Fee Data'!$C$6:$G$50,3,TRUE)+VLOOKUP(O900,'Fee Data'!$I$6:$J$14,2,TRUE)+'Fee Data'!$J$20+'Fee Data'!$J$21)*'Assumptions'!H37</x:f>
        <x:v>915</x:v>
      </x:c>
      <x:c r="Q900" s="27" t="n">
        <x:f>(VLOOKUP(O900,'Fee Data'!$C$6:$G$50,4,TRUE)+O900*VLOOKUP(O900,'Fee Data'!$C$6:$G$50,5,TRUE)+VLOOKUP(O900,'Fee Data'!$I$6:$J$14,2,TRUE)+'Fee Data'!$J$20+'Fee Data'!$J$21)*'Assumptions'!H37</x:f>
        <x:v>765</x:v>
      </x:c>
      <x:c r="R900" s="27" t="n">
        <x:f>P900*(1-'Assumptions'!$D$14)+Q900*'Assumptions'!$D$14</x:f>
        <x:v>840</x:v>
      </x:c>
      <x:c r="S900" s="27" t="n">
        <x:f>O900*'Carrier Engine'!E95</x:f>
        <x:v>157.4252443850886</x:v>
      </x:c>
      <x:c r="T900" s="28" t="n">
        <x:f>R900+S900</x:f>
        <x:v>997.4252443850886</x:v>
      </x:c>
      <x:c r="U900" s="27" t="n">
        <x:f>N900*'Fleet Engine'!J197</x:f>
        <x:v>0</x:v>
      </x:c>
      <x:c r="V900" s="28" t="n">
        <x:f>U900*T900</x:f>
        <x:v>0</x:v>
      </x:c>
      <x:c r="W900" s="28" t="n">
        <x:f>U900*O900</x:f>
        <x:v>0</x:v>
      </x:c>
    </x:row>
    <x:row r="901" ht="19" customHeight="1">
      <x:c r="A901" s="2"/>
      <x:c r="B901" s="2"/>
      <x:c r="C901" s="46" t="n">
        <x:v>4</x:v>
      </x:c>
      <x:c r="D901" s="46" t="n">
        <x:v>3</x:v>
      </x:c>
      <x:c r="E901" s="46" t="n">
        <x:v>0</x:v>
      </x:c>
      <x:c r="F901" s="46" t="n">
        <x:v>3</x:v>
      </x:c>
      <x:c r="G901" s="12" t="n">
        <x:v>0.4444444444444444</x:v>
      </x:c>
      <x:c r="H901" s="12" t="n">
        <x:v>0.5555555555555556</x:v>
      </x:c>
      <x:c r="I901" s="29" t="n">
        <x:f>'Assumptions'!$D$11+'Assumptions'!$D$12*(0.5-(G901+H901)/2)</x:f>
        <x:v>0.3</x:v>
      </x:c>
      <x:c r="J901" s="27" t="n">
        <x:f>'Assumptions'!$D$8*EXP(-'Assumptions'!$D$9*('Fleet Engine'!E197-10))*'Assumptions'!E55*'Assumptions'!H36</x:f>
        <x:v>12214.027581601698</x:v>
      </x:c>
      <x:c r="K901" s="27" t="n">
        <x:f>'Source Data'!F220+LN('Assumptions'!D55)+LN('Assumptions'!H35)</x:f>
        <x:v>8.062717438528928</x:v>
      </x:c>
      <x:c r="L901" s="27" t="n">
        <x:f>J901*(1-I901*(1-'Carrier Engine'!E95))</x:f>
        <x:v>8696.387638100408</x:v>
      </x:c>
      <x:c r="M901" s="29" t="n">
        <x:f>NORM.S.DIST((LN(L901)-K901)/'Assumptions'!$D$10,TRUE)</x:f>
        <x:v>0.7395372219077186</x:v>
      </x:c>
      <x:c r="N901" s="30" t="n">
        <x:f>MAX(0,H901-MAX(G901,M901))</x:f>
        <x:v>0</x:v>
      </x:c>
      <x:c r="O901" s="28" t="n">
        <x:f>J901*I901</x:f>
        <x:v>3664.2082744805093</x:v>
      </x:c>
      <x:c r="P901" s="27" t="n">
        <x:f>(VLOOKUP(O901,'Fee Data'!$C$6:$G$50,2,TRUE)+O901*VLOOKUP(O901,'Fee Data'!$C$6:$G$50,3,TRUE)+VLOOKUP(O901,'Fee Data'!$I$6:$J$14,2,TRUE)+'Fee Data'!$J$20+'Fee Data'!$J$21)*'Assumptions'!H37</x:f>
        <x:v>915</x:v>
      </x:c>
      <x:c r="Q901" s="27" t="n">
        <x:f>(VLOOKUP(O901,'Fee Data'!$C$6:$G$50,4,TRUE)+O901*VLOOKUP(O901,'Fee Data'!$C$6:$G$50,5,TRUE)+VLOOKUP(O901,'Fee Data'!$I$6:$J$14,2,TRUE)+'Fee Data'!$J$20+'Fee Data'!$J$21)*'Assumptions'!H37</x:f>
        <x:v>765</x:v>
      </x:c>
      <x:c r="R901" s="27" t="n">
        <x:f>P901*(1-'Assumptions'!$D$14)+Q901*'Assumptions'!$D$14</x:f>
        <x:v>840</x:v>
      </x:c>
      <x:c r="S901" s="27" t="n">
        <x:f>O901*'Carrier Engine'!E95</x:f>
        <x:v>146.5683309792204</x:v>
      </x:c>
      <x:c r="T901" s="28" t="n">
        <x:f>R901+S901</x:f>
        <x:v>986.5683309792204</x:v>
      </x:c>
      <x:c r="U901" s="27" t="n">
        <x:f>N901*'Fleet Engine'!J197</x:f>
        <x:v>0</x:v>
      </x:c>
      <x:c r="V901" s="28" t="n">
        <x:f>U901*T901</x:f>
        <x:v>0</x:v>
      </x:c>
      <x:c r="W901" s="28" t="n">
        <x:f>U901*O901</x:f>
        <x:v>0</x:v>
      </x:c>
    </x:row>
    <x:row r="902" ht="19" customHeight="1">
      <x:c r="A902" s="2"/>
      <x:c r="B902" s="2"/>
      <x:c r="C902" s="46" t="n">
        <x:v>4</x:v>
      </x:c>
      <x:c r="D902" s="46" t="n">
        <x:v>3</x:v>
      </x:c>
      <x:c r="E902" s="46" t="n">
        <x:v>0</x:v>
      </x:c>
      <x:c r="F902" s="46" t="n">
        <x:v>3</x:v>
      </x:c>
      <x:c r="G902" s="12" t="n">
        <x:v>0.5555555555555556</x:v>
      </x:c>
      <x:c r="H902" s="12" t="n">
        <x:v>0.6666666666666666</x:v>
      </x:c>
      <x:c r="I902" s="29" t="n">
        <x:f>'Assumptions'!$D$11+'Assumptions'!$D$12*(0.5-(G902+H902)/2)</x:f>
        <x:v>0.27777777777777773</x:v>
      </x:c>
      <x:c r="J902" s="27" t="n">
        <x:f>'Assumptions'!$D$8*EXP(-'Assumptions'!$D$9*('Fleet Engine'!E197-10))*'Assumptions'!E55*'Assumptions'!H36</x:f>
        <x:v>12214.027581601698</x:v>
      </x:c>
      <x:c r="K902" s="27" t="n">
        <x:f>'Source Data'!F220+LN('Assumptions'!D55)+LN('Assumptions'!H35)</x:f>
        <x:v>8.062717438528928</x:v>
      </x:c>
      <x:c r="L902" s="27" t="n">
        <x:f>J902*(1-I902*(1-'Carrier Engine'!E95))</x:f>
        <x:v>8956.953559841246</x:v>
      </x:c>
      <x:c r="M902" s="29" t="n">
        <x:f>NORM.S.DIST((LN(L902)-K902)/'Assumptions'!$D$10,TRUE)</x:f>
        <x:v>0.7456043651066011</x:v>
      </x:c>
      <x:c r="N902" s="30" t="n">
        <x:f>MAX(0,H902-MAX(G902,M902))</x:f>
        <x:v>0</x:v>
      </x:c>
      <x:c r="O902" s="28" t="n">
        <x:f>J902*I902</x:f>
        <x:v>3392.785439333805</x:v>
      </x:c>
      <x:c r="P902" s="27" t="n">
        <x:f>(VLOOKUP(O902,'Fee Data'!$C$6:$G$50,2,TRUE)+O902*VLOOKUP(O902,'Fee Data'!$C$6:$G$50,3,TRUE)+VLOOKUP(O902,'Fee Data'!$I$6:$J$14,2,TRUE)+'Fee Data'!$J$20+'Fee Data'!$J$21)*'Assumptions'!H37</x:f>
        <x:v>865</x:v>
      </x:c>
      <x:c r="Q902" s="27" t="n">
        <x:f>(VLOOKUP(O902,'Fee Data'!$C$6:$G$50,4,TRUE)+O902*VLOOKUP(O902,'Fee Data'!$C$6:$G$50,5,TRUE)+VLOOKUP(O902,'Fee Data'!$I$6:$J$14,2,TRUE)+'Fee Data'!$J$20+'Fee Data'!$J$21)*'Assumptions'!H37</x:f>
        <x:v>715</x:v>
      </x:c>
      <x:c r="R902" s="27" t="n">
        <x:f>P902*(1-'Assumptions'!$D$14)+Q902*'Assumptions'!$D$14</x:f>
        <x:v>790</x:v>
      </x:c>
      <x:c r="S902" s="27" t="n">
        <x:f>O902*'Carrier Engine'!E95</x:f>
        <x:v>135.7114175733522</x:v>
      </x:c>
      <x:c r="T902" s="28" t="n">
        <x:f>R902+S902</x:f>
        <x:v>925.7114175733523</x:v>
      </x:c>
      <x:c r="U902" s="27" t="n">
        <x:f>N902*'Fleet Engine'!J197</x:f>
        <x:v>0</x:v>
      </x:c>
      <x:c r="V902" s="28" t="n">
        <x:f>U902*T902</x:f>
        <x:v>0</x:v>
      </x:c>
      <x:c r="W902" s="28" t="n">
        <x:f>U902*O902</x:f>
        <x:v>0</x:v>
      </x:c>
    </x:row>
    <x:row r="903" ht="19" customHeight="1">
      <x:c r="A903" s="2"/>
      <x:c r="B903" s="2"/>
      <x:c r="C903" s="46" t="n">
        <x:v>4</x:v>
      </x:c>
      <x:c r="D903" s="46" t="n">
        <x:v>3</x:v>
      </x:c>
      <x:c r="E903" s="46" t="n">
        <x:v>0</x:v>
      </x:c>
      <x:c r="F903" s="46" t="n">
        <x:v>3</x:v>
      </x:c>
      <x:c r="G903" s="12" t="n">
        <x:v>0.6666666666666666</x:v>
      </x:c>
      <x:c r="H903" s="12" t="n">
        <x:v>0.7777777777777778</x:v>
      </x:c>
      <x:c r="I903" s="29" t="n">
        <x:f>'Assumptions'!$D$11+'Assumptions'!$D$12*(0.5-(G903+H903)/2)</x:f>
        <x:v>0.25555555555555554</x:v>
      </x:c>
      <x:c r="J903" s="27" t="n">
        <x:f>'Assumptions'!$D$8*EXP(-'Assumptions'!$D$9*('Fleet Engine'!E197-10))*'Assumptions'!E55*'Assumptions'!H36</x:f>
        <x:v>12214.027581601698</x:v>
      </x:c>
      <x:c r="K903" s="27" t="n">
        <x:f>'Source Data'!F220+LN('Assumptions'!D55)+LN('Assumptions'!H35)</x:f>
        <x:v>8.062717438528928</x:v>
      </x:c>
      <x:c r="L903" s="27" t="n">
        <x:f>J903*(1-I903*(1-'Carrier Engine'!E95))</x:f>
        <x:v>9217.519481582081</x:v>
      </x:c>
      <x:c r="M903" s="29" t="n">
        <x:f>NORM.S.DIST((LN(L903)-K903)/'Assumptions'!$D$10,TRUE)</x:f>
        <x:v>0.7514258164078012</x:v>
      </x:c>
      <x:c r="N903" s="30" t="n">
        <x:f>MAX(0,H903-MAX(G903,M903))</x:f>
        <x:v>0.02635196136997664</x:v>
      </x:c>
      <x:c r="O903" s="28" t="n">
        <x:f>J903*I903</x:f>
        <x:v>3121.3626041871003</x:v>
      </x:c>
      <x:c r="P903" s="27" t="n">
        <x:f>(VLOOKUP(O903,'Fee Data'!$C$6:$G$50,2,TRUE)+O903*VLOOKUP(O903,'Fee Data'!$C$6:$G$50,3,TRUE)+VLOOKUP(O903,'Fee Data'!$I$6:$J$14,2,TRUE)+'Fee Data'!$J$20+'Fee Data'!$J$21)*'Assumptions'!H37</x:f>
        <x:v>865</x:v>
      </x:c>
      <x:c r="Q903" s="27" t="n">
        <x:f>(VLOOKUP(O903,'Fee Data'!$C$6:$G$50,4,TRUE)+O903*VLOOKUP(O903,'Fee Data'!$C$6:$G$50,5,TRUE)+VLOOKUP(O903,'Fee Data'!$I$6:$J$14,2,TRUE)+'Fee Data'!$J$20+'Fee Data'!$J$21)*'Assumptions'!H37</x:f>
        <x:v>715</x:v>
      </x:c>
      <x:c r="R903" s="27" t="n">
        <x:f>P903*(1-'Assumptions'!$D$14)+Q903*'Assumptions'!$D$14</x:f>
        <x:v>790</x:v>
      </x:c>
      <x:c r="S903" s="27" t="n">
        <x:f>O903*'Carrier Engine'!E95</x:f>
        <x:v>124.85450416748404</x:v>
      </x:c>
      <x:c r="T903" s="28" t="n">
        <x:f>R903+S903</x:f>
        <x:v>914.854504167484</x:v>
      </x:c>
      <x:c r="U903" s="27" t="n">
        <x:f>N903*'Fleet Engine'!J197</x:f>
        <x:v>349.75457023103223</x:v>
      </x:c>
      <x:c r="V903" s="28" t="n">
        <x:f>U903*T903</x:f>
        <x:v>319974.54392902245</x:v>
      </x:c>
      <x:c r="W903" s="28" t="n">
        <x:f>U903*O903</x:f>
        <x:v>1091710.8361626747</x:v>
      </x:c>
    </x:row>
    <x:row r="904" ht="19" customHeight="1">
      <x:c r="A904" s="2"/>
      <x:c r="B904" s="2"/>
      <x:c r="C904" s="46" t="n">
        <x:v>4</x:v>
      </x:c>
      <x:c r="D904" s="46" t="n">
        <x:v>3</x:v>
      </x:c>
      <x:c r="E904" s="46" t="n">
        <x:v>0</x:v>
      </x:c>
      <x:c r="F904" s="46" t="n">
        <x:v>3</x:v>
      </x:c>
      <x:c r="G904" s="12" t="n">
        <x:v>0.7777777777777778</x:v>
      </x:c>
      <x:c r="H904" s="12" t="n">
        <x:v>0.8888888888888888</x:v>
      </x:c>
      <x:c r="I904" s="29" t="n">
        <x:f>'Assumptions'!$D$11+'Assumptions'!$D$12*(0.5-(G904+H904)/2)</x:f>
        <x:v>0.23333333333333334</x:v>
      </x:c>
      <x:c r="J904" s="27" t="n">
        <x:f>'Assumptions'!$D$8*EXP(-'Assumptions'!$D$9*('Fleet Engine'!E197-10))*'Assumptions'!E55*'Assumptions'!H36</x:f>
        <x:v>12214.027581601698</x:v>
      </x:c>
      <x:c r="K904" s="27" t="n">
        <x:f>'Source Data'!F220+LN('Assumptions'!D55)+LN('Assumptions'!H35)</x:f>
        <x:v>8.062717438528928</x:v>
      </x:c>
      <x:c r="L904" s="27" t="n">
        <x:f>J904*(1-I904*(1-'Carrier Engine'!E95))</x:f>
        <x:v>9478.085403322919</x:v>
      </x:c>
      <x:c r="M904" s="29" t="n">
        <x:f>NORM.S.DIST((LN(L904)-K904)/'Assumptions'!$D$10,TRUE)</x:f>
        <x:v>0.7570162193907342</x:v>
      </x:c>
      <x:c r="N904" s="30" t="n">
        <x:f>MAX(0,H904-MAX(G904,M904))</x:f>
        <x:v>0.11111111111111105</x:v>
      </x:c>
      <x:c r="O904" s="28" t="n">
        <x:f>J904*I904</x:f>
        <x:v>2849.939769040396</x:v>
      </x:c>
      <x:c r="P904" s="27" t="n">
        <x:f>(VLOOKUP(O904,'Fee Data'!$C$6:$G$50,2,TRUE)+O904*VLOOKUP(O904,'Fee Data'!$C$6:$G$50,3,TRUE)+VLOOKUP(O904,'Fee Data'!$I$6:$J$14,2,TRUE)+'Fee Data'!$J$20+'Fee Data'!$J$21)*'Assumptions'!H37</x:f>
        <x:v>820</x:v>
      </x:c>
      <x:c r="Q904" s="27" t="n">
        <x:f>(VLOOKUP(O904,'Fee Data'!$C$6:$G$50,4,TRUE)+O904*VLOOKUP(O904,'Fee Data'!$C$6:$G$50,5,TRUE)+VLOOKUP(O904,'Fee Data'!$I$6:$J$14,2,TRUE)+'Fee Data'!$J$20+'Fee Data'!$J$21)*'Assumptions'!H37</x:f>
        <x:v>670</x:v>
      </x:c>
      <x:c r="R904" s="27" t="n">
        <x:f>P904*(1-'Assumptions'!$D$14)+Q904*'Assumptions'!$D$14</x:f>
        <x:v>745</x:v>
      </x:c>
      <x:c r="S904" s="27" t="n">
        <x:f>O904*'Carrier Engine'!E95</x:f>
        <x:v>113.99759076161587</x:v>
      </x:c>
      <x:c r="T904" s="28" t="n">
        <x:f>R904+S904</x:f>
        <x:v>858.9975907616158</x:v>
      </x:c>
      <x:c r="U904" s="27" t="n">
        <x:f>N904*'Fleet Engine'!J197</x:f>
        <x:v>1474.71447642736</x:v>
      </x:c>
      <x:c r="V904" s="28" t="n">
        <x:f>U904*T904</x:f>
        <x:v>1266776.18231238</x:v>
      </x:c>
      <x:c r="W904" s="28" t="n">
        <x:f>U904*O904</x:f>
        <x:v>4202847.43434992</x:v>
      </x:c>
    </x:row>
    <x:row r="905" ht="19" customHeight="1">
      <x:c r="A905" s="2"/>
      <x:c r="B905" s="2"/>
      <x:c r="C905" s="46" t="n">
        <x:v>4</x:v>
      </x:c>
      <x:c r="D905" s="46" t="n">
        <x:v>3</x:v>
      </x:c>
      <x:c r="E905" s="46" t="n">
        <x:v>0</x:v>
      </x:c>
      <x:c r="F905" s="46" t="n">
        <x:v>3</x:v>
      </x:c>
      <x:c r="G905" s="12" t="n">
        <x:v>0.8888888888888888</x:v>
      </x:c>
      <x:c r="H905" s="12" t="n">
        <x:v>1</x:v>
      </x:c>
      <x:c r="I905" s="29" t="n">
        <x:f>'Assumptions'!$D$11+'Assumptions'!$D$12*(0.5-(G905+H905)/2)</x:f>
        <x:v>0.21111111111111108</x:v>
      </x:c>
      <x:c r="J905" s="27" t="n">
        <x:f>'Assumptions'!$D$8*EXP(-'Assumptions'!$D$9*('Fleet Engine'!E197-10))*'Assumptions'!E55*'Assumptions'!H36</x:f>
        <x:v>12214.027581601698</x:v>
      </x:c>
      <x:c r="K905" s="27" t="n">
        <x:f>'Source Data'!F220+LN('Assumptions'!D55)+LN('Assumptions'!H35)</x:f>
        <x:v>8.062717438528928</x:v>
      </x:c>
      <x:c r="L905" s="27" t="n">
        <x:f>J905*(1-I905*(1-'Carrier Engine'!E95))</x:f>
        <x:v>9738.651325063754</x:v>
      </x:c>
      <x:c r="M905" s="29" t="n">
        <x:f>NORM.S.DIST((LN(L905)-K905)/'Assumptions'!$D$10,TRUE)</x:f>
        <x:v>0.76238905546153</x:v>
      </x:c>
      <x:c r="N905" s="30" t="n">
        <x:f>MAX(0,H905-MAX(G905,M905))</x:f>
        <x:v>0.11111111111111116</x:v>
      </x:c>
      <x:c r="O905" s="28" t="n">
        <x:f>J905*I905</x:f>
        <x:v>2578.5169338936917</x:v>
      </x:c>
      <x:c r="P905" s="27" t="n">
        <x:f>(VLOOKUP(O905,'Fee Data'!$C$6:$G$50,2,TRUE)+O905*VLOOKUP(O905,'Fee Data'!$C$6:$G$50,3,TRUE)+VLOOKUP(O905,'Fee Data'!$I$6:$J$14,2,TRUE)+'Fee Data'!$J$20+'Fee Data'!$J$21)*'Assumptions'!H37</x:f>
        <x:v>820</x:v>
      </x:c>
      <x:c r="Q905" s="27" t="n">
        <x:f>(VLOOKUP(O905,'Fee Data'!$C$6:$G$50,4,TRUE)+O905*VLOOKUP(O905,'Fee Data'!$C$6:$G$50,5,TRUE)+VLOOKUP(O905,'Fee Data'!$I$6:$J$14,2,TRUE)+'Fee Data'!$J$20+'Fee Data'!$J$21)*'Assumptions'!H37</x:f>
        <x:v>670</x:v>
      </x:c>
      <x:c r="R905" s="27" t="n">
        <x:f>P905*(1-'Assumptions'!$D$14)+Q905*'Assumptions'!$D$14</x:f>
        <x:v>745</x:v>
      </x:c>
      <x:c r="S905" s="27" t="n">
        <x:f>O905*'Carrier Engine'!E95</x:f>
        <x:v>103.14067735574768</x:v>
      </x:c>
      <x:c r="T905" s="28" t="n">
        <x:f>R905+S905</x:f>
        <x:v>848.1406773557477</x:v>
      </x:c>
      <x:c r="U905" s="27" t="n">
        <x:f>N905*'Fleet Engine'!J197</x:f>
        <x:v>1474.7144764273614</x:v>
      </x:c>
      <x:c r="V905" s="28" t="n">
        <x:f>U905*T905</x:f>
        <x:v>1250765.334943429</x:v>
      </x:c>
      <x:c r="W905" s="28" t="n">
        <x:f>U905*O905</x:f>
        <x:v>3802576.2501261206</x:v>
      </x:c>
    </x:row>
    <x:row r="906" ht="19" customHeight="1">
      <x:c r="A906" s="2"/>
      <x:c r="B906" s="2"/>
      <x:c r="C906" s="46" t="n">
        <x:v>4</x:v>
      </x:c>
      <x:c r="D906" s="46" t="n">
        <x:v>4</x:v>
      </x:c>
      <x:c r="E906" s="46" t="n">
        <x:v>0</x:v>
      </x:c>
      <x:c r="F906" s="46" t="n">
        <x:v>4</x:v>
      </x:c>
      <x:c r="G906" s="12" t="n">
        <x:v>0</x:v>
      </x:c>
      <x:c r="H906" s="12" t="n">
        <x:v>0.1111111111111111</x:v>
      </x:c>
      <x:c r="I906" s="29" t="n">
        <x:f>'Assumptions'!$D$11+'Assumptions'!$D$12*(0.5-(G906+H906)/2)</x:f>
        <x:v>0.3888888888888889</x:v>
      </x:c>
      <x:c r="J906" s="27" t="n">
        <x:f>'Assumptions'!$D$8*EXP(-'Assumptions'!$D$9*('Fleet Engine'!E198-10))*'Assumptions'!E55*'Assumptions'!H36</x:f>
        <x:v>9048.374180359595</x:v>
      </x:c>
      <x:c r="K906" s="27" t="n">
        <x:f>'Source Data'!F221+LN('Assumptions'!D55)+LN('Assumptions'!H35)</x:f>
        <x:v>8.14856556744418</x:v>
      </x:c>
      <x:c r="L906" s="27" t="n">
        <x:f>J906*(1-I906*(1-'Carrier Engine'!E95))</x:f>
        <x:v>5670.3144863586795</x:v>
      </x:c>
      <x:c r="M906" s="29" t="n">
        <x:f>NORM.S.DIST((LN(L906)-K906)/'Assumptions'!$D$10,TRUE)</x:f>
        <x:v>0.6235755127669419</x:v>
      </x:c>
      <x:c r="N906" s="30" t="n">
        <x:f>MAX(0,H906-MAX(G906,M906))</x:f>
        <x:v>0</x:v>
      </x:c>
      <x:c r="O906" s="28" t="n">
        <x:f>J906*I906</x:f>
        <x:v>3518.8121812509535</x:v>
      </x:c>
      <x:c r="P906" s="27" t="n">
        <x:f>(VLOOKUP(O906,'Fee Data'!$C$6:$G$50,2,TRUE)+O906*VLOOKUP(O906,'Fee Data'!$C$6:$G$50,3,TRUE)+VLOOKUP(O906,'Fee Data'!$I$6:$J$14,2,TRUE)+'Fee Data'!$J$20+'Fee Data'!$J$21)*'Assumptions'!H37</x:f>
        <x:v>915</x:v>
      </x:c>
      <x:c r="Q906" s="27" t="n">
        <x:f>(VLOOKUP(O906,'Fee Data'!$C$6:$G$50,4,TRUE)+O906*VLOOKUP(O906,'Fee Data'!$C$6:$G$50,5,TRUE)+VLOOKUP(O906,'Fee Data'!$I$6:$J$14,2,TRUE)+'Fee Data'!$J$20+'Fee Data'!$J$21)*'Assumptions'!H37</x:f>
        <x:v>765</x:v>
      </x:c>
      <x:c r="R906" s="27" t="n">
        <x:f>P906*(1-'Assumptions'!$D$14)+Q906*'Assumptions'!$D$14</x:f>
        <x:v>840</x:v>
      </x:c>
      <x:c r="S906" s="27" t="n">
        <x:f>O906*'Carrier Engine'!E95</x:f>
        <x:v>140.75248725003817</x:v>
      </x:c>
      <x:c r="T906" s="28" t="n">
        <x:f>R906+S906</x:f>
        <x:v>980.7524872500381</x:v>
      </x:c>
      <x:c r="U906" s="27" t="n">
        <x:f>N906*'Fleet Engine'!J198</x:f>
        <x:v>0</x:v>
      </x:c>
      <x:c r="V906" s="28" t="n">
        <x:f>U906*T906</x:f>
        <x:v>0</x:v>
      </x:c>
      <x:c r="W906" s="28" t="n">
        <x:f>U906*O906</x:f>
        <x:v>0</x:v>
      </x:c>
    </x:row>
    <x:row r="907" ht="19" customHeight="1">
      <x:c r="A907" s="2"/>
      <x:c r="B907" s="2"/>
      <x:c r="C907" s="46" t="n">
        <x:v>4</x:v>
      </x:c>
      <x:c r="D907" s="46" t="n">
        <x:v>4</x:v>
      </x:c>
      <x:c r="E907" s="46" t="n">
        <x:v>0</x:v>
      </x:c>
      <x:c r="F907" s="46" t="n">
        <x:v>4</x:v>
      </x:c>
      <x:c r="G907" s="12" t="n">
        <x:v>0.1111111111111111</x:v>
      </x:c>
      <x:c r="H907" s="12" t="n">
        <x:v>0.2222222222222222</x:v>
      </x:c>
      <x:c r="I907" s="29" t="n">
        <x:f>'Assumptions'!$D$11+'Assumptions'!$D$12*(0.5-(G907+H907)/2)</x:f>
        <x:v>0.3666666666666667</x:v>
      </x:c>
      <x:c r="J907" s="27" t="n">
        <x:f>'Assumptions'!$D$8*EXP(-'Assumptions'!$D$9*('Fleet Engine'!E198-10))*'Assumptions'!E55*'Assumptions'!H36</x:f>
        <x:v>9048.374180359595</x:v>
      </x:c>
      <x:c r="K907" s="27" t="n">
        <x:f>'Source Data'!F221+LN('Assumptions'!D55)+LN('Assumptions'!H35)</x:f>
        <x:v>8.14856556744418</x:v>
      </x:c>
      <x:c r="L907" s="27" t="n">
        <x:f>J907*(1-I907*(1-'Carrier Engine'!E95))</x:f>
        <x:v>5863.346468873016</x:v>
      </x:c>
      <x:c r="M907" s="29" t="n">
        <x:f>NORM.S.DIST((LN(L907)-K907)/'Assumptions'!$D$10,TRUE)</x:f>
        <x:v>0.6316416500338942</x:v>
      </x:c>
      <x:c r="N907" s="30" t="n">
        <x:f>MAX(0,H907-MAX(G907,M907))</x:f>
        <x:v>0</x:v>
      </x:c>
      <x:c r="O907" s="28" t="n">
        <x:f>J907*I907</x:f>
        <x:v>3317.737199465185</x:v>
      </x:c>
      <x:c r="P907" s="27" t="n">
        <x:f>(VLOOKUP(O907,'Fee Data'!$C$6:$G$50,2,TRUE)+O907*VLOOKUP(O907,'Fee Data'!$C$6:$G$50,3,TRUE)+VLOOKUP(O907,'Fee Data'!$I$6:$J$14,2,TRUE)+'Fee Data'!$J$20+'Fee Data'!$J$21)*'Assumptions'!H37</x:f>
        <x:v>865</x:v>
      </x:c>
      <x:c r="Q907" s="27" t="n">
        <x:f>(VLOOKUP(O907,'Fee Data'!$C$6:$G$50,4,TRUE)+O907*VLOOKUP(O907,'Fee Data'!$C$6:$G$50,5,TRUE)+VLOOKUP(O907,'Fee Data'!$I$6:$J$14,2,TRUE)+'Fee Data'!$J$20+'Fee Data'!$J$21)*'Assumptions'!H37</x:f>
        <x:v>715</x:v>
      </x:c>
      <x:c r="R907" s="27" t="n">
        <x:f>P907*(1-'Assumptions'!$D$14)+Q907*'Assumptions'!$D$14</x:f>
        <x:v>790</x:v>
      </x:c>
      <x:c r="S907" s="27" t="n">
        <x:f>O907*'Carrier Engine'!E95</x:f>
        <x:v>132.70948797860743</x:v>
      </x:c>
      <x:c r="T907" s="28" t="n">
        <x:f>R907+S907</x:f>
        <x:v>922.7094879786074</x:v>
      </x:c>
      <x:c r="U907" s="27" t="n">
        <x:f>N907*'Fleet Engine'!J198</x:f>
        <x:v>0</x:v>
      </x:c>
      <x:c r="V907" s="28" t="n">
        <x:f>U907*T907</x:f>
        <x:v>0</x:v>
      </x:c>
      <x:c r="W907" s="28" t="n">
        <x:f>U907*O907</x:f>
        <x:v>0</x:v>
      </x:c>
    </x:row>
    <x:row r="908" ht="19" customHeight="1">
      <x:c r="A908" s="2"/>
      <x:c r="B908" s="2"/>
      <x:c r="C908" s="46" t="n">
        <x:v>4</x:v>
      </x:c>
      <x:c r="D908" s="46" t="n">
        <x:v>4</x:v>
      </x:c>
      <x:c r="E908" s="46" t="n">
        <x:v>0</x:v>
      </x:c>
      <x:c r="F908" s="46" t="n">
        <x:v>4</x:v>
      </x:c>
      <x:c r="G908" s="12" t="n">
        <x:v>0.2222222222222222</x:v>
      </x:c>
      <x:c r="H908" s="12" t="n">
        <x:v>0.3333333333333333</x:v>
      </x:c>
      <x:c r="I908" s="29" t="n">
        <x:f>'Assumptions'!$D$11+'Assumptions'!$D$12*(0.5-(G908+H908)/2)</x:f>
        <x:v>0.34444444444444444</x:v>
      </x:c>
      <x:c r="J908" s="27" t="n">
        <x:f>'Assumptions'!$D$8*EXP(-'Assumptions'!$D$9*('Fleet Engine'!E198-10))*'Assumptions'!E55*'Assumptions'!H36</x:f>
        <x:v>9048.374180359595</x:v>
      </x:c>
      <x:c r="K908" s="27" t="n">
        <x:f>'Source Data'!F221+LN('Assumptions'!D55)+LN('Assumptions'!H35)</x:f>
        <x:v>8.14856556744418</x:v>
      </x:c>
      <x:c r="L908" s="27" t="n">
        <x:f>J908*(1-I908*(1-'Carrier Engine'!E95))</x:f>
        <x:v>6056.378451387355</x:v>
      </x:c>
      <x:c r="M908" s="29" t="n">
        <x:f>NORM.S.DIST((LN(L908)-K908)/'Assumptions'!$D$10,TRUE)</x:f>
        <x:v>0.6393916848110384</x:v>
      </x:c>
      <x:c r="N908" s="30" t="n">
        <x:f>MAX(0,H908-MAX(G908,M908))</x:f>
        <x:v>0</x:v>
      </x:c>
      <x:c r="O908" s="28" t="n">
        <x:f>J908*I908</x:f>
        <x:v>3116.662217679416</x:v>
      </x:c>
      <x:c r="P908" s="27" t="n">
        <x:f>(VLOOKUP(O908,'Fee Data'!$C$6:$G$50,2,TRUE)+O908*VLOOKUP(O908,'Fee Data'!$C$6:$G$50,3,TRUE)+VLOOKUP(O908,'Fee Data'!$I$6:$J$14,2,TRUE)+'Fee Data'!$J$20+'Fee Data'!$J$21)*'Assumptions'!H37</x:f>
        <x:v>865</x:v>
      </x:c>
      <x:c r="Q908" s="27" t="n">
        <x:f>(VLOOKUP(O908,'Fee Data'!$C$6:$G$50,4,TRUE)+O908*VLOOKUP(O908,'Fee Data'!$C$6:$G$50,5,TRUE)+VLOOKUP(O908,'Fee Data'!$I$6:$J$14,2,TRUE)+'Fee Data'!$J$20+'Fee Data'!$J$21)*'Assumptions'!H37</x:f>
        <x:v>715</x:v>
      </x:c>
      <x:c r="R908" s="27" t="n">
        <x:f>P908*(1-'Assumptions'!$D$14)+Q908*'Assumptions'!$D$14</x:f>
        <x:v>790</x:v>
      </x:c>
      <x:c r="S908" s="27" t="n">
        <x:f>O908*'Carrier Engine'!E95</x:f>
        <x:v>124.66648870717665</x:v>
      </x:c>
      <x:c r="T908" s="28" t="n">
        <x:f>R908+S908</x:f>
        <x:v>914.6664887071767</x:v>
      </x:c>
      <x:c r="U908" s="27" t="n">
        <x:f>N908*'Fleet Engine'!J198</x:f>
        <x:v>0</x:v>
      </x:c>
      <x:c r="V908" s="28" t="n">
        <x:f>U908*T908</x:f>
        <x:v>0</x:v>
      </x:c>
      <x:c r="W908" s="28" t="n">
        <x:f>U908*O908</x:f>
        <x:v>0</x:v>
      </x:c>
    </x:row>
    <x:row r="909" ht="19" customHeight="1">
      <x:c r="A909" s="2"/>
      <x:c r="B909" s="2"/>
      <x:c r="C909" s="46" t="n">
        <x:v>4</x:v>
      </x:c>
      <x:c r="D909" s="46" t="n">
        <x:v>4</x:v>
      </x:c>
      <x:c r="E909" s="46" t="n">
        <x:v>0</x:v>
      </x:c>
      <x:c r="F909" s="46" t="n">
        <x:v>4</x:v>
      </x:c>
      <x:c r="G909" s="12" t="n">
        <x:v>0.3333333333333333</x:v>
      </x:c>
      <x:c r="H909" s="12" t="n">
        <x:v>0.4444444444444444</x:v>
      </x:c>
      <x:c r="I909" s="29" t="n">
        <x:f>'Assumptions'!$D$11+'Assumptions'!$D$12*(0.5-(G909+H909)/2)</x:f>
        <x:v>0.32222222222222224</x:v>
      </x:c>
      <x:c r="J909" s="27" t="n">
        <x:f>'Assumptions'!$D$8*EXP(-'Assumptions'!$D$9*('Fleet Engine'!E198-10))*'Assumptions'!E55*'Assumptions'!H36</x:f>
        <x:v>9048.374180359595</x:v>
      </x:c>
      <x:c r="K909" s="27" t="n">
        <x:f>'Source Data'!F221+LN('Assumptions'!D55)+LN('Assumptions'!H35)</x:f>
        <x:v>8.14856556744418</x:v>
      </x:c>
      <x:c r="L909" s="27" t="n">
        <x:f>J909*(1-I909*(1-'Carrier Engine'!E95))</x:f>
        <x:v>6249.410433901693</x:v>
      </x:c>
      <x:c r="M909" s="29" t="n">
        <x:f>NORM.S.DIST((LN(L909)-K909)/'Assumptions'!$D$10,TRUE)</x:f>
        <x:v>0.6468443793490292</x:v>
      </x:c>
      <x:c r="N909" s="30" t="n">
        <x:f>MAX(0,H909-MAX(G909,M909))</x:f>
        <x:v>0</x:v>
      </x:c>
      <x:c r="O909" s="28" t="n">
        <x:f>J909*I909</x:f>
        <x:v>2915.5872358936476</x:v>
      </x:c>
      <x:c r="P909" s="27" t="n">
        <x:f>(VLOOKUP(O909,'Fee Data'!$C$6:$G$50,2,TRUE)+O909*VLOOKUP(O909,'Fee Data'!$C$6:$G$50,3,TRUE)+VLOOKUP(O909,'Fee Data'!$I$6:$J$14,2,TRUE)+'Fee Data'!$J$20+'Fee Data'!$J$21)*'Assumptions'!H37</x:f>
        <x:v>820</x:v>
      </x:c>
      <x:c r="Q909" s="27" t="n">
        <x:f>(VLOOKUP(O909,'Fee Data'!$C$6:$G$50,4,TRUE)+O909*VLOOKUP(O909,'Fee Data'!$C$6:$G$50,5,TRUE)+VLOOKUP(O909,'Fee Data'!$I$6:$J$14,2,TRUE)+'Fee Data'!$J$20+'Fee Data'!$J$21)*'Assumptions'!H37</x:f>
        <x:v>670</x:v>
      </x:c>
      <x:c r="R909" s="27" t="n">
        <x:f>P909*(1-'Assumptions'!$D$14)+Q909*'Assumptions'!$D$14</x:f>
        <x:v>745</x:v>
      </x:c>
      <x:c r="S909" s="27" t="n">
        <x:f>O909*'Carrier Engine'!E95</x:f>
        <x:v>116.62348943574592</x:v>
      </x:c>
      <x:c r="T909" s="28" t="n">
        <x:f>R909+S909</x:f>
        <x:v>861.6234894357459</x:v>
      </x:c>
      <x:c r="U909" s="27" t="n">
        <x:f>N909*'Fleet Engine'!J198</x:f>
        <x:v>0</x:v>
      </x:c>
      <x:c r="V909" s="28" t="n">
        <x:f>U909*T909</x:f>
        <x:v>0</x:v>
      </x:c>
      <x:c r="W909" s="28" t="n">
        <x:f>U909*O909</x:f>
        <x:v>0</x:v>
      </x:c>
    </x:row>
    <x:row r="910" ht="19" customHeight="1">
      <x:c r="A910" s="2"/>
      <x:c r="B910" s="2"/>
      <x:c r="C910" s="46" t="n">
        <x:v>4</x:v>
      </x:c>
      <x:c r="D910" s="46" t="n">
        <x:v>4</x:v>
      </x:c>
      <x:c r="E910" s="46" t="n">
        <x:v>0</x:v>
      </x:c>
      <x:c r="F910" s="46" t="n">
        <x:v>4</x:v>
      </x:c>
      <x:c r="G910" s="12" t="n">
        <x:v>0.4444444444444444</x:v>
      </x:c>
      <x:c r="H910" s="12" t="n">
        <x:v>0.5555555555555556</x:v>
      </x:c>
      <x:c r="I910" s="29" t="n">
        <x:f>'Assumptions'!$D$11+'Assumptions'!$D$12*(0.5-(G910+H910)/2)</x:f>
        <x:v>0.3</x:v>
      </x:c>
      <x:c r="J910" s="27" t="n">
        <x:f>'Assumptions'!$D$8*EXP(-'Assumptions'!$D$9*('Fleet Engine'!E198-10))*'Assumptions'!E55*'Assumptions'!H36</x:f>
        <x:v>9048.374180359595</x:v>
      </x:c>
      <x:c r="K910" s="27" t="n">
        <x:f>'Source Data'!F221+LN('Assumptions'!D55)+LN('Assumptions'!H35)</x:f>
        <x:v>8.14856556744418</x:v>
      </x:c>
      <x:c r="L910" s="27" t="n">
        <x:f>J910*(1-I910*(1-'Carrier Engine'!E95))</x:f>
        <x:v>6442.442416416031</x:v>
      </x:c>
      <x:c r="M910" s="29" t="n">
        <x:f>NORM.S.DIST((LN(L910)-K910)/'Assumptions'!$D$10,TRUE)</x:f>
        <x:v>0.654016988796613</x:v>
      </x:c>
      <x:c r="N910" s="30" t="n">
        <x:f>MAX(0,H910-MAX(G910,M910))</x:f>
        <x:v>0</x:v>
      </x:c>
      <x:c r="O910" s="28" t="n">
        <x:f>J910*I910</x:f>
        <x:v>2714.5122541078786</x:v>
      </x:c>
      <x:c r="P910" s="27" t="n">
        <x:f>(VLOOKUP(O910,'Fee Data'!$C$6:$G$50,2,TRUE)+O910*VLOOKUP(O910,'Fee Data'!$C$6:$G$50,3,TRUE)+VLOOKUP(O910,'Fee Data'!$I$6:$J$14,2,TRUE)+'Fee Data'!$J$20+'Fee Data'!$J$21)*'Assumptions'!H37</x:f>
        <x:v>820</x:v>
      </x:c>
      <x:c r="Q910" s="27" t="n">
        <x:f>(VLOOKUP(O910,'Fee Data'!$C$6:$G$50,4,TRUE)+O910*VLOOKUP(O910,'Fee Data'!$C$6:$G$50,5,TRUE)+VLOOKUP(O910,'Fee Data'!$I$6:$J$14,2,TRUE)+'Fee Data'!$J$20+'Fee Data'!$J$21)*'Assumptions'!H37</x:f>
        <x:v>670</x:v>
      </x:c>
      <x:c r="R910" s="27" t="n">
        <x:f>P910*(1-'Assumptions'!$D$14)+Q910*'Assumptions'!$D$14</x:f>
        <x:v>745</x:v>
      </x:c>
      <x:c r="S910" s="27" t="n">
        <x:f>O910*'Carrier Engine'!E95</x:f>
        <x:v>108.58049016431517</x:v>
      </x:c>
      <x:c r="T910" s="28" t="n">
        <x:f>R910+S910</x:f>
        <x:v>853.5804901643152</x:v>
      </x:c>
      <x:c r="U910" s="27" t="n">
        <x:f>N910*'Fleet Engine'!J198</x:f>
        <x:v>0</x:v>
      </x:c>
      <x:c r="V910" s="28" t="n">
        <x:f>U910*T910</x:f>
        <x:v>0</x:v>
      </x:c>
      <x:c r="W910" s="28" t="n">
        <x:f>U910*O910</x:f>
        <x:v>0</x:v>
      </x:c>
    </x:row>
    <x:row r="911" ht="19" customHeight="1">
      <x:c r="A911" s="2"/>
      <x:c r="B911" s="2"/>
      <x:c r="C911" s="46" t="n">
        <x:v>4</x:v>
      </x:c>
      <x:c r="D911" s="46" t="n">
        <x:v>4</x:v>
      </x:c>
      <x:c r="E911" s="46" t="n">
        <x:v>0</x:v>
      </x:c>
      <x:c r="F911" s="46" t="n">
        <x:v>4</x:v>
      </x:c>
      <x:c r="G911" s="12" t="n">
        <x:v>0.5555555555555556</x:v>
      </x:c>
      <x:c r="H911" s="12" t="n">
        <x:v>0.6666666666666666</x:v>
      </x:c>
      <x:c r="I911" s="29" t="n">
        <x:f>'Assumptions'!$D$11+'Assumptions'!$D$12*(0.5-(G911+H911)/2)</x:f>
        <x:v>0.27777777777777773</x:v>
      </x:c>
      <x:c r="J911" s="27" t="n">
        <x:f>'Assumptions'!$D$8*EXP(-'Assumptions'!$D$9*('Fleet Engine'!E198-10))*'Assumptions'!E55*'Assumptions'!H36</x:f>
        <x:v>9048.374180359595</x:v>
      </x:c>
      <x:c r="K911" s="27" t="n">
        <x:f>'Source Data'!F221+LN('Assumptions'!D55)+LN('Assumptions'!H35)</x:f>
        <x:v>8.14856556744418</x:v>
      </x:c>
      <x:c r="L911" s="27" t="n">
        <x:f>J911*(1-I911*(1-'Carrier Engine'!E95))</x:f>
        <x:v>6635.47439893037</x:v>
      </x:c>
      <x:c r="M911" s="29" t="n">
        <x:f>NORM.S.DIST((LN(L911)-K911)/'Assumptions'!$D$10,TRUE)</x:f>
        <x:v>0.6609254137826943</x:v>
      </x:c>
      <x:c r="N911" s="30" t="n">
        <x:f>MAX(0,H911-MAX(G911,M911))</x:f>
        <x:v>0.005741252883972314</x:v>
      </x:c>
      <x:c r="O911" s="28" t="n">
        <x:f>J911*I911</x:f>
        <x:v>2513.4372723221095</x:v>
      </x:c>
      <x:c r="P911" s="27" t="n">
        <x:f>(VLOOKUP(O911,'Fee Data'!$C$6:$G$50,2,TRUE)+O911*VLOOKUP(O911,'Fee Data'!$C$6:$G$50,3,TRUE)+VLOOKUP(O911,'Fee Data'!$I$6:$J$14,2,TRUE)+'Fee Data'!$J$20+'Fee Data'!$J$21)*'Assumptions'!H37</x:f>
        <x:v>820</x:v>
      </x:c>
      <x:c r="Q911" s="27" t="n">
        <x:f>(VLOOKUP(O911,'Fee Data'!$C$6:$G$50,4,TRUE)+O911*VLOOKUP(O911,'Fee Data'!$C$6:$G$50,5,TRUE)+VLOOKUP(O911,'Fee Data'!$I$6:$J$14,2,TRUE)+'Fee Data'!$J$20+'Fee Data'!$J$21)*'Assumptions'!H37</x:f>
        <x:v>670</x:v>
      </x:c>
      <x:c r="R911" s="27" t="n">
        <x:f>P911*(1-'Assumptions'!$D$14)+Q911*'Assumptions'!$D$14</x:f>
        <x:v>745</x:v>
      </x:c>
      <x:c r="S911" s="27" t="n">
        <x:f>O911*'Carrier Engine'!E95</x:f>
        <x:v>100.53749089288439</x:v>
      </x:c>
      <x:c r="T911" s="28" t="n">
        <x:f>R911+S911</x:f>
        <x:v>845.5374908928844</x:v>
      </x:c>
      <x:c r="U911" s="27" t="n">
        <x:f>N911*'Fleet Engine'!J198</x:f>
        <x:v>73.6412867531997</x:v>
      </x:c>
      <x:c r="V911" s="28" t="n">
        <x:f>U911*T911</x:f>
        <x:v>62266.46882742388</x:v>
      </x:c>
      <x:c r="W911" s="28" t="n">
        <x:f>U911*O911</x:f>
        <x:v>185092.75490725253</x:v>
      </x:c>
    </x:row>
    <x:row r="912" ht="19" customHeight="1">
      <x:c r="A912" s="2"/>
      <x:c r="B912" s="2"/>
      <x:c r="C912" s="46" t="n">
        <x:v>4</x:v>
      </x:c>
      <x:c r="D912" s="46" t="n">
        <x:v>4</x:v>
      </x:c>
      <x:c r="E912" s="46" t="n">
        <x:v>0</x:v>
      </x:c>
      <x:c r="F912" s="46" t="n">
        <x:v>4</x:v>
      </x:c>
      <x:c r="G912" s="12" t="n">
        <x:v>0.6666666666666666</x:v>
      </x:c>
      <x:c r="H912" s="12" t="n">
        <x:v>0.7777777777777778</x:v>
      </x:c>
      <x:c r="I912" s="29" t="n">
        <x:f>'Assumptions'!$D$11+'Assumptions'!$D$12*(0.5-(G912+H912)/2)</x:f>
        <x:v>0.25555555555555554</x:v>
      </x:c>
      <x:c r="J912" s="27" t="n">
        <x:f>'Assumptions'!$D$8*EXP(-'Assumptions'!$D$9*('Fleet Engine'!E198-10))*'Assumptions'!E55*'Assumptions'!H36</x:f>
        <x:v>9048.374180359595</x:v>
      </x:c>
      <x:c r="K912" s="27" t="n">
        <x:f>'Source Data'!F221+LN('Assumptions'!D55)+LN('Assumptions'!H35)</x:f>
        <x:v>8.14856556744418</x:v>
      </x:c>
      <x:c r="L912" s="27" t="n">
        <x:f>J912*(1-I912*(1-'Carrier Engine'!E95))</x:f>
        <x:v>6828.506381444708</x:v>
      </x:c>
      <x:c r="M912" s="29" t="n">
        <x:f>NORM.S.DIST((LN(L912)-K912)/'Assumptions'!$D$10,TRUE)</x:f>
        <x:v>0.6675843344367494</x:v>
      </x:c>
      <x:c r="N912" s="30" t="n">
        <x:f>MAX(0,H912-MAX(G912,M912))</x:f>
        <x:v>0.11019344334102843</x:v>
      </x:c>
      <x:c r="O912" s="28" t="n">
        <x:f>J912*I912</x:f>
        <x:v>2312.362290536341</x:v>
      </x:c>
      <x:c r="P912" s="27" t="n">
        <x:f>(VLOOKUP(O912,'Fee Data'!$C$6:$G$50,2,TRUE)+O912*VLOOKUP(O912,'Fee Data'!$C$6:$G$50,3,TRUE)+VLOOKUP(O912,'Fee Data'!$I$6:$J$14,2,TRUE)+'Fee Data'!$J$20+'Fee Data'!$J$21)*'Assumptions'!H37</x:f>
        <x:v>745</x:v>
      </x:c>
      <x:c r="Q912" s="27" t="n">
        <x:f>(VLOOKUP(O912,'Fee Data'!$C$6:$G$50,4,TRUE)+O912*VLOOKUP(O912,'Fee Data'!$C$6:$G$50,5,TRUE)+VLOOKUP(O912,'Fee Data'!$I$6:$J$14,2,TRUE)+'Fee Data'!$J$20+'Fee Data'!$J$21)*'Assumptions'!H37</x:f>
        <x:v>600</x:v>
      </x:c>
      <x:c r="R912" s="27" t="n">
        <x:f>P912*(1-'Assumptions'!$D$14)+Q912*'Assumptions'!$D$14</x:f>
        <x:v>672.5</x:v>
      </x:c>
      <x:c r="S912" s="27" t="n">
        <x:f>O912*'Carrier Engine'!E95</x:f>
        <x:v>92.49449162145365</x:v>
      </x:c>
      <x:c r="T912" s="28" t="n">
        <x:f>R912+S912</x:f>
        <x:v>764.9944916214537</x:v>
      </x:c>
      <x:c r="U912" s="27" t="n">
        <x:f>N912*'Fleet Engine'!J198</x:f>
        <x:v>1413.417441000195</x:v>
      </x:c>
      <x:c r="V912" s="28" t="n">
        <x:f>U912*T912</x:f>
        <x:v>1081256.55672684</x:v>
      </x:c>
      <x:c r="W912" s="28" t="n">
        <x:f>U912*O912</x:f>
        <x:v>3268333.1913552242</x:v>
      </x:c>
    </x:row>
    <x:row r="913" ht="19" customHeight="1">
      <x:c r="A913" s="2"/>
      <x:c r="B913" s="2"/>
      <x:c r="C913" s="46" t="n">
        <x:v>4</x:v>
      </x:c>
      <x:c r="D913" s="46" t="n">
        <x:v>4</x:v>
      </x:c>
      <x:c r="E913" s="46" t="n">
        <x:v>0</x:v>
      </x:c>
      <x:c r="F913" s="46" t="n">
        <x:v>4</x:v>
      </x:c>
      <x:c r="G913" s="12" t="n">
        <x:v>0.7777777777777778</x:v>
      </x:c>
      <x:c r="H913" s="12" t="n">
        <x:v>0.8888888888888888</x:v>
      </x:c>
      <x:c r="I913" s="29" t="n">
        <x:f>'Assumptions'!$D$11+'Assumptions'!$D$12*(0.5-(G913+H913)/2)</x:f>
        <x:v>0.23333333333333334</x:v>
      </x:c>
      <x:c r="J913" s="27" t="n">
        <x:f>'Assumptions'!$D$8*EXP(-'Assumptions'!$D$9*('Fleet Engine'!E198-10))*'Assumptions'!E55*'Assumptions'!H36</x:f>
        <x:v>9048.374180359595</x:v>
      </x:c>
      <x:c r="K913" s="27" t="n">
        <x:f>'Source Data'!F221+LN('Assumptions'!D55)+LN('Assumptions'!H35)</x:f>
        <x:v>8.14856556744418</x:v>
      </x:c>
      <x:c r="L913" s="27" t="n">
        <x:f>J913*(1-I913*(1-'Carrier Engine'!E95))</x:f>
        <x:v>7021.5383639590455</x:v>
      </x:c>
      <x:c r="M913" s="29" t="n">
        <x:f>NORM.S.DIST((LN(L913)-K913)/'Assumptions'!$D$10,TRUE)</x:f>
        <x:v>0.6740073284704973</x:v>
      </x:c>
      <x:c r="N913" s="30" t="n">
        <x:f>MAX(0,H913-MAX(G913,M913))</x:f>
        <x:v>0.11111111111111105</x:v>
      </x:c>
      <x:c r="O913" s="28" t="n">
        <x:f>J913*I913</x:f>
        <x:v>2111.2873087505723</x:v>
      </x:c>
      <x:c r="P913" s="27" t="n">
        <x:f>(VLOOKUP(O913,'Fee Data'!$C$6:$G$50,2,TRUE)+O913*VLOOKUP(O913,'Fee Data'!$C$6:$G$50,3,TRUE)+VLOOKUP(O913,'Fee Data'!$I$6:$J$14,2,TRUE)+'Fee Data'!$J$20+'Fee Data'!$J$21)*'Assumptions'!H37</x:f>
        <x:v>745</x:v>
      </x:c>
      <x:c r="Q913" s="27" t="n">
        <x:f>(VLOOKUP(O913,'Fee Data'!$C$6:$G$50,4,TRUE)+O913*VLOOKUP(O913,'Fee Data'!$C$6:$G$50,5,TRUE)+VLOOKUP(O913,'Fee Data'!$I$6:$J$14,2,TRUE)+'Fee Data'!$J$20+'Fee Data'!$J$21)*'Assumptions'!H37</x:f>
        <x:v>600</x:v>
      </x:c>
      <x:c r="R913" s="27" t="n">
        <x:f>P913*(1-'Assumptions'!$D$14)+Q913*'Assumptions'!$D$14</x:f>
        <x:v>672.5</x:v>
      </x:c>
      <x:c r="S913" s="27" t="n">
        <x:f>O913*'Carrier Engine'!E95</x:f>
        <x:v>84.4514923500229</x:v>
      </x:c>
      <x:c r="T913" s="28" t="n">
        <x:f>R913+S913</x:f>
        <x:v>756.9514923500229</x:v>
      </x:c>
      <x:c r="U913" s="27" t="n">
        <x:f>N913*'Fleet Engine'!J198</x:f>
        <x:v>1425.1880835352904</x:v>
      </x:c>
      <x:c r="V913" s="28" t="n">
        <x:f>U913*T913</x:f>
        <x:v>1078798.2467115072</x:v>
      </x:c>
      <x:c r="W913" s="28" t="n">
        <x:f>U913*O913</x:f>
        <x:v>3008981.513350609</x:v>
      </x:c>
    </x:row>
    <x:row r="914" ht="19" customHeight="1">
      <x:c r="A914" s="2"/>
      <x:c r="B914" s="2"/>
      <x:c r="C914" s="46" t="n">
        <x:v>4</x:v>
      </x:c>
      <x:c r="D914" s="46" t="n">
        <x:v>4</x:v>
      </x:c>
      <x:c r="E914" s="46" t="n">
        <x:v>0</x:v>
      </x:c>
      <x:c r="F914" s="46" t="n">
        <x:v>4</x:v>
      </x:c>
      <x:c r="G914" s="12" t="n">
        <x:v>0.8888888888888888</x:v>
      </x:c>
      <x:c r="H914" s="12" t="n">
        <x:v>1</x:v>
      </x:c>
      <x:c r="I914" s="29" t="n">
        <x:f>'Assumptions'!$D$11+'Assumptions'!$D$12*(0.5-(G914+H914)/2)</x:f>
        <x:v>0.21111111111111108</x:v>
      </x:c>
      <x:c r="J914" s="27" t="n">
        <x:f>'Assumptions'!$D$8*EXP(-'Assumptions'!$D$9*('Fleet Engine'!E198-10))*'Assumptions'!E55*'Assumptions'!H36</x:f>
        <x:v>9048.374180359595</x:v>
      </x:c>
      <x:c r="K914" s="27" t="n">
        <x:f>'Source Data'!F221+LN('Assumptions'!D55)+LN('Assumptions'!H35)</x:f>
        <x:v>8.14856556744418</x:v>
      </x:c>
      <x:c r="L914" s="27" t="n">
        <x:f>J914*(1-I914*(1-'Carrier Engine'!E95))</x:f>
        <x:v>7214.570346473383</x:v>
      </x:c>
      <x:c r="M914" s="29" t="n">
        <x:f>NORM.S.DIST((LN(L914)-K914)/'Assumptions'!$D$10,TRUE)</x:f>
        <x:v>0.680206975523874</x:v>
      </x:c>
      <x:c r="N914" s="30" t="n">
        <x:f>MAX(0,H914-MAX(G914,M914))</x:f>
        <x:v>0.11111111111111116</x:v>
      </x:c>
      <x:c r="O914" s="28" t="n">
        <x:f>J914*I914</x:f>
        <x:v>1910.2123269648032</x:v>
      </x:c>
      <x:c r="P914" s="27" t="n">
        <x:f>(VLOOKUP(O914,'Fee Data'!$C$6:$G$50,2,TRUE)+O914*VLOOKUP(O914,'Fee Data'!$C$6:$G$50,3,TRUE)+VLOOKUP(O914,'Fee Data'!$I$6:$J$14,2,TRUE)+'Fee Data'!$J$20+'Fee Data'!$J$21)*'Assumptions'!H37</x:f>
        <x:v>705</x:v>
      </x:c>
      <x:c r="Q914" s="27" t="n">
        <x:f>(VLOOKUP(O914,'Fee Data'!$C$6:$G$50,4,TRUE)+O914*VLOOKUP(O914,'Fee Data'!$C$6:$G$50,5,TRUE)+VLOOKUP(O914,'Fee Data'!$I$6:$J$14,2,TRUE)+'Fee Data'!$J$20+'Fee Data'!$J$21)*'Assumptions'!H37</x:f>
        <x:v>565</x:v>
      </x:c>
      <x:c r="R914" s="27" t="n">
        <x:f>P914*(1-'Assumptions'!$D$14)+Q914*'Assumptions'!$D$14</x:f>
        <x:v>635</x:v>
      </x:c>
      <x:c r="S914" s="27" t="n">
        <x:f>O914*'Carrier Engine'!E95</x:f>
        <x:v>76.40849307859214</x:v>
      </x:c>
      <x:c r="T914" s="28" t="n">
        <x:f>R914+S914</x:f>
        <x:v>711.4084930785922</x:v>
      </x:c>
      <x:c r="U914" s="27" t="n">
        <x:f>N914*'Fleet Engine'!J198</x:f>
        <x:v>1425.1880835352918</x:v>
      </x:c>
      <x:c r="V914" s="28" t="n">
        <x:f>U914*T914</x:f>
        <x:v>1013890.9068614086</x:v>
      </x:c>
      <x:c r="W914" s="28" t="n">
        <x:f>U914*O914</x:f>
        <x:v>2722411.845412458</x:v>
      </x:c>
    </x:row>
    <x:row r="915" ht="19" customHeight="1">
      <x:c r="A915" s="2"/>
      <x:c r="B915" s="2"/>
      <x:c r="C915" s="46" t="n">
        <x:v>4</x:v>
      </x:c>
      <x:c r="D915" s="46" t="n">
        <x:v>5</x:v>
      </x:c>
      <x:c r="E915" s="46" t="n">
        <x:v>0</x:v>
      </x:c>
      <x:c r="F915" s="46" t="n">
        <x:v>5</x:v>
      </x:c>
      <x:c r="G915" s="12" t="n">
        <x:v>0</x:v>
      </x:c>
      <x:c r="H915" s="12" t="n">
        <x:v>0.1111111111111111</x:v>
      </x:c>
      <x:c r="I915" s="29" t="n">
        <x:f>'Assumptions'!$D$11+'Assumptions'!$D$12*(0.5-(G915+H915)/2)</x:f>
        <x:v>0.3888888888888889</x:v>
      </x:c>
      <x:c r="J915" s="27" t="n">
        <x:f>'Assumptions'!$D$8*EXP(-'Assumptions'!$D$9*('Fleet Engine'!E199-10))*'Assumptions'!E55*'Assumptions'!H36</x:f>
        <x:v>4965.853037914095</x:v>
      </x:c>
      <x:c r="K915" s="27" t="n">
        <x:f>'Source Data'!F222+LN('Assumptions'!D55)+LN('Assumptions'!H35)</x:f>
        <x:v>8.0496367177205</x:v>
      </x:c>
      <x:c r="L915" s="27" t="n">
        <x:f>J915*(1-I915*(1-'Carrier Engine'!E95))</x:f>
        <x:v>3111.9345704261664</x:v>
      </x:c>
      <x:c r="M915" s="29" t="n">
        <x:f>NORM.S.DIST((LN(L915)-K915)/'Assumptions'!$D$10,TRUE)</x:f>
        <x:v>0.4983137783845791</x:v>
      </x:c>
      <x:c r="N915" s="30" t="n">
        <x:f>MAX(0,H915-MAX(G915,M915))</x:f>
        <x:v>0</x:v>
      </x:c>
      <x:c r="O915" s="28" t="n">
        <x:f>J915*I915</x:f>
        <x:v>1931.1650702999257</x:v>
      </x:c>
      <x:c r="P915" s="27" t="n">
        <x:f>(VLOOKUP(O915,'Fee Data'!$C$6:$G$50,2,TRUE)+O915*VLOOKUP(O915,'Fee Data'!$C$6:$G$50,3,TRUE)+VLOOKUP(O915,'Fee Data'!$I$6:$J$14,2,TRUE)+'Fee Data'!$J$20+'Fee Data'!$J$21)*'Assumptions'!H37</x:f>
        <x:v>705</x:v>
      </x:c>
      <x:c r="Q915" s="27" t="n">
        <x:f>(VLOOKUP(O915,'Fee Data'!$C$6:$G$50,4,TRUE)+O915*VLOOKUP(O915,'Fee Data'!$C$6:$G$50,5,TRUE)+VLOOKUP(O915,'Fee Data'!$I$6:$J$14,2,TRUE)+'Fee Data'!$J$20+'Fee Data'!$J$21)*'Assumptions'!H37</x:f>
        <x:v>565</x:v>
      </x:c>
      <x:c r="R915" s="27" t="n">
        <x:f>P915*(1-'Assumptions'!$D$14)+Q915*'Assumptions'!$D$14</x:f>
        <x:v>635</x:v>
      </x:c>
      <x:c r="S915" s="27" t="n">
        <x:f>O915*'Carrier Engine'!E95</x:f>
        <x:v>77.24660281199704</x:v>
      </x:c>
      <x:c r="T915" s="28" t="n">
        <x:f>R915+S915</x:f>
        <x:v>712.246602811997</x:v>
      </x:c>
      <x:c r="U915" s="27" t="n">
        <x:f>N915*'Fleet Engine'!J199</x:f>
        <x:v>0</x:v>
      </x:c>
      <x:c r="V915" s="28" t="n">
        <x:f>U915*T915</x:f>
        <x:v>0</x:v>
      </x:c>
      <x:c r="W915" s="28" t="n">
        <x:f>U915*O915</x:f>
        <x:v>0</x:v>
      </x:c>
    </x:row>
    <x:row r="916" ht="19" customHeight="1">
      <x:c r="A916" s="2"/>
      <x:c r="B916" s="2"/>
      <x:c r="C916" s="46" t="n">
        <x:v>4</x:v>
      </x:c>
      <x:c r="D916" s="46" t="n">
        <x:v>5</x:v>
      </x:c>
      <x:c r="E916" s="46" t="n">
        <x:v>0</x:v>
      </x:c>
      <x:c r="F916" s="46" t="n">
        <x:v>5</x:v>
      </x:c>
      <x:c r="G916" s="12" t="n">
        <x:v>0.1111111111111111</x:v>
      </x:c>
      <x:c r="H916" s="12" t="n">
        <x:v>0.2222222222222222</x:v>
      </x:c>
      <x:c r="I916" s="29" t="n">
        <x:f>'Assumptions'!$D$11+'Assumptions'!$D$12*(0.5-(G916+H916)/2)</x:f>
        <x:v>0.3666666666666667</x:v>
      </x:c>
      <x:c r="J916" s="27" t="n">
        <x:f>'Assumptions'!$D$8*EXP(-'Assumptions'!$D$9*('Fleet Engine'!E199-10))*'Assumptions'!E55*'Assumptions'!H36</x:f>
        <x:v>4965.853037914095</x:v>
      </x:c>
      <x:c r="K916" s="27" t="n">
        <x:f>'Source Data'!F222+LN('Assumptions'!D55)+LN('Assumptions'!H35)</x:f>
        <x:v>8.0496367177205</x:v>
      </x:c>
      <x:c r="L916" s="27" t="n">
        <x:f>J916*(1-I916*(1-'Carrier Engine'!E95))</x:f>
        <x:v>3217.872768568333</x:v>
      </x:c>
      <x:c r="M916" s="29" t="n">
        <x:f>NORM.S.DIST((LN(L916)-K916)/'Assumptions'!$D$10,TRUE)</x:f>
        <x:v>0.5068186718451688</x:v>
      </x:c>
      <x:c r="N916" s="30" t="n">
        <x:f>MAX(0,H916-MAX(G916,M916))</x:f>
        <x:v>0</x:v>
      </x:c>
      <x:c r="O916" s="28" t="n">
        <x:f>J916*I916</x:f>
        <x:v>1820.8127805685015</x:v>
      </x:c>
      <x:c r="P916" s="27" t="n">
        <x:f>(VLOOKUP(O916,'Fee Data'!$C$6:$G$50,2,TRUE)+O916*VLOOKUP(O916,'Fee Data'!$C$6:$G$50,3,TRUE)+VLOOKUP(O916,'Fee Data'!$I$6:$J$14,2,TRUE)+'Fee Data'!$J$20+'Fee Data'!$J$21)*'Assumptions'!H37</x:f>
        <x:v>705</x:v>
      </x:c>
      <x:c r="Q916" s="27" t="n">
        <x:f>(VLOOKUP(O916,'Fee Data'!$C$6:$G$50,4,TRUE)+O916*VLOOKUP(O916,'Fee Data'!$C$6:$G$50,5,TRUE)+VLOOKUP(O916,'Fee Data'!$I$6:$J$14,2,TRUE)+'Fee Data'!$J$20+'Fee Data'!$J$21)*'Assumptions'!H37</x:f>
        <x:v>565</x:v>
      </x:c>
      <x:c r="R916" s="27" t="n">
        <x:f>P916*(1-'Assumptions'!$D$14)+Q916*'Assumptions'!$D$14</x:f>
        <x:v>635</x:v>
      </x:c>
      <x:c r="S916" s="27" t="n">
        <x:f>O916*'Carrier Engine'!E95</x:f>
        <x:v>72.83251122274007</x:v>
      </x:c>
      <x:c r="T916" s="28" t="n">
        <x:f>R916+S916</x:f>
        <x:v>707.8325112227401</x:v>
      </x:c>
      <x:c r="U916" s="27" t="n">
        <x:f>N916*'Fleet Engine'!J199</x:f>
        <x:v>0</x:v>
      </x:c>
      <x:c r="V916" s="28" t="n">
        <x:f>U916*T916</x:f>
        <x:v>0</x:v>
      </x:c>
      <x:c r="W916" s="28" t="n">
        <x:f>U916*O916</x:f>
        <x:v>0</x:v>
      </x:c>
    </x:row>
    <x:row r="917" ht="19" customHeight="1">
      <x:c r="A917" s="2"/>
      <x:c r="B917" s="2"/>
      <x:c r="C917" s="46" t="n">
        <x:v>4</x:v>
      </x:c>
      <x:c r="D917" s="46" t="n">
        <x:v>5</x:v>
      </x:c>
      <x:c r="E917" s="46" t="n">
        <x:v>0</x:v>
      </x:c>
      <x:c r="F917" s="46" t="n">
        <x:v>5</x:v>
      </x:c>
      <x:c r="G917" s="12" t="n">
        <x:v>0.2222222222222222</x:v>
      </x:c>
      <x:c r="H917" s="12" t="n">
        <x:v>0.3333333333333333</x:v>
      </x:c>
      <x:c r="I917" s="29" t="n">
        <x:f>'Assumptions'!$D$11+'Assumptions'!$D$12*(0.5-(G917+H917)/2)</x:f>
        <x:v>0.34444444444444444</x:v>
      </x:c>
      <x:c r="J917" s="27" t="n">
        <x:f>'Assumptions'!$D$8*EXP(-'Assumptions'!$D$9*('Fleet Engine'!E199-10))*'Assumptions'!E55*'Assumptions'!H36</x:f>
        <x:v>4965.853037914095</x:v>
      </x:c>
      <x:c r="K917" s="27" t="n">
        <x:f>'Source Data'!F222+LN('Assumptions'!D55)+LN('Assumptions'!H35)</x:f>
        <x:v>8.0496367177205</x:v>
      </x:c>
      <x:c r="L917" s="27" t="n">
        <x:f>J917*(1-I917*(1-'Carrier Engine'!E95))</x:f>
        <x:v>3323.810966710501</x:v>
      </x:c>
      <x:c r="M917" s="29" t="n">
        <x:f>NORM.S.DIST((LN(L917)-K917)/'Assumptions'!$D$10,TRUE)</x:f>
        <x:v>0.5150451442708714</x:v>
      </x:c>
      <x:c r="N917" s="30" t="n">
        <x:f>MAX(0,H917-MAX(G917,M917))</x:f>
        <x:v>0</x:v>
      </x:c>
      <x:c r="O917" s="28" t="n">
        <x:f>J917*I917</x:f>
        <x:v>1710.460490837077</x:v>
      </x:c>
      <x:c r="P917" s="27" t="n">
        <x:f>(VLOOKUP(O917,'Fee Data'!$C$6:$G$50,2,TRUE)+O917*VLOOKUP(O917,'Fee Data'!$C$6:$G$50,3,TRUE)+VLOOKUP(O917,'Fee Data'!$I$6:$J$14,2,TRUE)+'Fee Data'!$J$20+'Fee Data'!$J$21)*'Assumptions'!H37</x:f>
        <x:v>680</x:v>
      </x:c>
      <x:c r="Q917" s="27" t="n">
        <x:f>(VLOOKUP(O917,'Fee Data'!$C$6:$G$50,4,TRUE)+O917*VLOOKUP(O917,'Fee Data'!$C$6:$G$50,5,TRUE)+VLOOKUP(O917,'Fee Data'!$I$6:$J$14,2,TRUE)+'Fee Data'!$J$20+'Fee Data'!$J$21)*'Assumptions'!H37</x:f>
        <x:v>545</x:v>
      </x:c>
      <x:c r="R917" s="27" t="n">
        <x:f>P917*(1-'Assumptions'!$D$14)+Q917*'Assumptions'!$D$14</x:f>
        <x:v>612.5</x:v>
      </x:c>
      <x:c r="S917" s="27" t="n">
        <x:f>O917*'Carrier Engine'!E95</x:f>
        <x:v>68.4184196334831</x:v>
      </x:c>
      <x:c r="T917" s="28" t="n">
        <x:f>R917+S917</x:f>
        <x:v>680.9184196334832</x:v>
      </x:c>
      <x:c r="U917" s="27" t="n">
        <x:f>N917*'Fleet Engine'!J199</x:f>
        <x:v>0</x:v>
      </x:c>
      <x:c r="V917" s="28" t="n">
        <x:f>U917*T917</x:f>
        <x:v>0</x:v>
      </x:c>
      <x:c r="W917" s="28" t="n">
        <x:f>U917*O917</x:f>
        <x:v>0</x:v>
      </x:c>
    </x:row>
    <x:row r="918" ht="19" customHeight="1">
      <x:c r="A918" s="2"/>
      <x:c r="B918" s="2"/>
      <x:c r="C918" s="46" t="n">
        <x:v>4</x:v>
      </x:c>
      <x:c r="D918" s="46" t="n">
        <x:v>5</x:v>
      </x:c>
      <x:c r="E918" s="46" t="n">
        <x:v>0</x:v>
      </x:c>
      <x:c r="F918" s="46" t="n">
        <x:v>5</x:v>
      </x:c>
      <x:c r="G918" s="12" t="n">
        <x:v>0.3333333333333333</x:v>
      </x:c>
      <x:c r="H918" s="12" t="n">
        <x:v>0.4444444444444444</x:v>
      </x:c>
      <x:c r="I918" s="29" t="n">
        <x:f>'Assumptions'!$D$11+'Assumptions'!$D$12*(0.5-(G918+H918)/2)</x:f>
        <x:v>0.32222222222222224</x:v>
      </x:c>
      <x:c r="J918" s="27" t="n">
        <x:f>'Assumptions'!$D$8*EXP(-'Assumptions'!$D$9*('Fleet Engine'!E199-10))*'Assumptions'!E55*'Assumptions'!H36</x:f>
        <x:v>4965.853037914095</x:v>
      </x:c>
      <x:c r="K918" s="27" t="n">
        <x:f>'Source Data'!F222+LN('Assumptions'!D55)+LN('Assumptions'!H35)</x:f>
        <x:v>8.0496367177205</x:v>
      </x:c>
      <x:c r="L918" s="27" t="n">
        <x:f>J918*(1-I918*(1-'Carrier Engine'!E95))</x:f>
        <x:v>3429.749164852668</x:v>
      </x:c>
      <x:c r="M918" s="29" t="n">
        <x:f>NORM.S.DIST((LN(L918)-K918)/'Assumptions'!$D$10,TRUE)</x:f>
        <x:v>0.5230074223798904</x:v>
      </x:c>
      <x:c r="N918" s="30" t="n">
        <x:f>MAX(0,H918-MAX(G918,M918))</x:f>
        <x:v>0</x:v>
      </x:c>
      <x:c r="O918" s="28" t="n">
        <x:f>J918*I918</x:f>
        <x:v>1600.1082011056528</x:v>
      </x:c>
      <x:c r="P918" s="27" t="n">
        <x:f>(VLOOKUP(O918,'Fee Data'!$C$6:$G$50,2,TRUE)+O918*VLOOKUP(O918,'Fee Data'!$C$6:$G$50,3,TRUE)+VLOOKUP(O918,'Fee Data'!$I$6:$J$14,2,TRUE)+'Fee Data'!$J$20+'Fee Data'!$J$21)*'Assumptions'!H37</x:f>
        <x:v>660</x:v>
      </x:c>
      <x:c r="Q918" s="27" t="n">
        <x:f>(VLOOKUP(O918,'Fee Data'!$C$6:$G$50,4,TRUE)+O918*VLOOKUP(O918,'Fee Data'!$C$6:$G$50,5,TRUE)+VLOOKUP(O918,'Fee Data'!$I$6:$J$14,2,TRUE)+'Fee Data'!$J$20+'Fee Data'!$J$21)*'Assumptions'!H37</x:f>
        <x:v>525</x:v>
      </x:c>
      <x:c r="R918" s="27" t="n">
        <x:f>P918*(1-'Assumptions'!$D$14)+Q918*'Assumptions'!$D$14</x:f>
        <x:v>592.5</x:v>
      </x:c>
      <x:c r="S918" s="27" t="n">
        <x:f>O918*'Carrier Engine'!E95</x:f>
        <x:v>64.00432804422613</x:v>
      </x:c>
      <x:c r="T918" s="28" t="n">
        <x:f>R918+S918</x:f>
        <x:v>656.5043280442261</x:v>
      </x:c>
      <x:c r="U918" s="27" t="n">
        <x:f>N918*'Fleet Engine'!J199</x:f>
        <x:v>0</x:v>
      </x:c>
      <x:c r="V918" s="28" t="n">
        <x:f>U918*T918</x:f>
        <x:v>0</x:v>
      </x:c>
      <x:c r="W918" s="28" t="n">
        <x:f>U918*O918</x:f>
        <x:v>0</x:v>
      </x:c>
    </x:row>
    <x:row r="919" ht="19" customHeight="1">
      <x:c r="A919" s="2"/>
      <x:c r="B919" s="2"/>
      <x:c r="C919" s="46" t="n">
        <x:v>4</x:v>
      </x:c>
      <x:c r="D919" s="46" t="n">
        <x:v>5</x:v>
      </x:c>
      <x:c r="E919" s="46" t="n">
        <x:v>0</x:v>
      </x:c>
      <x:c r="F919" s="46" t="n">
        <x:v>5</x:v>
      </x:c>
      <x:c r="G919" s="12" t="n">
        <x:v>0.4444444444444444</x:v>
      </x:c>
      <x:c r="H919" s="12" t="n">
        <x:v>0.5555555555555556</x:v>
      </x:c>
      <x:c r="I919" s="29" t="n">
        <x:f>'Assumptions'!$D$11+'Assumptions'!$D$12*(0.5-(G919+H919)/2)</x:f>
        <x:v>0.3</x:v>
      </x:c>
      <x:c r="J919" s="27" t="n">
        <x:f>'Assumptions'!$D$8*EXP(-'Assumptions'!$D$9*('Fleet Engine'!E199-10))*'Assumptions'!E55*'Assumptions'!H36</x:f>
        <x:v>4965.853037914095</x:v>
      </x:c>
      <x:c r="K919" s="27" t="n">
        <x:f>'Source Data'!F222+LN('Assumptions'!D55)+LN('Assumptions'!H35)</x:f>
        <x:v>8.0496367177205</x:v>
      </x:c>
      <x:c r="L919" s="27" t="n">
        <x:f>J919*(1-I919*(1-'Carrier Engine'!E95))</x:f>
        <x:v>3535.6873629948354</x:v>
      </x:c>
      <x:c r="M919" s="29" t="n">
        <x:f>NORM.S.DIST((LN(L919)-K919)/'Assumptions'!$D$10,TRUE)</x:f>
        <x:v>0.530718734175407</x:v>
      </x:c>
      <x:c r="N919" s="30" t="n">
        <x:f>MAX(0,H919-MAX(G919,M919))</x:f>
        <x:v>0.024836821380148533</x:v>
      </x:c>
      <x:c r="O919" s="28" t="n">
        <x:f>J919*I919</x:f>
        <x:v>1489.7559113742284</x:v>
      </x:c>
      <x:c r="P919" s="27" t="n">
        <x:f>(VLOOKUP(O919,'Fee Data'!$C$6:$G$50,2,TRUE)+O919*VLOOKUP(O919,'Fee Data'!$C$6:$G$50,3,TRUE)+VLOOKUP(O919,'Fee Data'!$I$6:$J$14,2,TRUE)+'Fee Data'!$J$20+'Fee Data'!$J$21)*'Assumptions'!H37</x:f>
        <x:v>615</x:v>
      </x:c>
      <x:c r="Q919" s="27" t="n">
        <x:f>(VLOOKUP(O919,'Fee Data'!$C$6:$G$50,4,TRUE)+O919*VLOOKUP(O919,'Fee Data'!$C$6:$G$50,5,TRUE)+VLOOKUP(O919,'Fee Data'!$I$6:$J$14,2,TRUE)+'Fee Data'!$J$20+'Fee Data'!$J$21)*'Assumptions'!H37</x:f>
        <x:v>485</x:v>
      </x:c>
      <x:c r="R919" s="27" t="n">
        <x:f>P919*(1-'Assumptions'!$D$14)+Q919*'Assumptions'!$D$14</x:f>
        <x:v>550</x:v>
      </x:c>
      <x:c r="S919" s="27" t="n">
        <x:f>O919*'Carrier Engine'!E95</x:f>
        <x:v>59.590236454969144</x:v>
      </x:c>
      <x:c r="T919" s="28" t="n">
        <x:f>R919+S919</x:f>
        <x:v>609.5902364549692</x:v>
      </x:c>
      <x:c r="U919" s="27" t="n">
        <x:f>N919*'Fleet Engine'!J199</x:f>
        <x:v>447.25551338284396</x:v>
      </x:c>
      <x:c r="V919" s="28" t="n">
        <x:f>U919*T919</x:f>
        <x:v>272642.59415883647</x:v>
      </x:c>
      <x:c r="W919" s="28" t="n">
        <x:f>U919*O919</x:f>
        <x:v>666301.544956807</x:v>
      </x:c>
    </x:row>
    <x:row r="920" ht="19" customHeight="1">
      <x:c r="A920" s="2"/>
      <x:c r="B920" s="2"/>
      <x:c r="C920" s="46" t="n">
        <x:v>4</x:v>
      </x:c>
      <x:c r="D920" s="46" t="n">
        <x:v>5</x:v>
      </x:c>
      <x:c r="E920" s="46" t="n">
        <x:v>0</x:v>
      </x:c>
      <x:c r="F920" s="46" t="n">
        <x:v>5</x:v>
      </x:c>
      <x:c r="G920" s="12" t="n">
        <x:v>0.5555555555555556</x:v>
      </x:c>
      <x:c r="H920" s="12" t="n">
        <x:v>0.6666666666666666</x:v>
      </x:c>
      <x:c r="I920" s="29" t="n">
        <x:f>'Assumptions'!$D$11+'Assumptions'!$D$12*(0.5-(G920+H920)/2)</x:f>
        <x:v>0.27777777777777773</x:v>
      </x:c>
      <x:c r="J920" s="27" t="n">
        <x:f>'Assumptions'!$D$8*EXP(-'Assumptions'!$D$9*('Fleet Engine'!E199-10))*'Assumptions'!E55*'Assumptions'!H36</x:f>
        <x:v>4965.853037914095</x:v>
      </x:c>
      <x:c r="K920" s="27" t="n">
        <x:f>'Source Data'!F222+LN('Assumptions'!D55)+LN('Assumptions'!H35)</x:f>
        <x:v>8.0496367177205</x:v>
      </x:c>
      <x:c r="L920" s="27" t="n">
        <x:f>J920*(1-I920*(1-'Carrier Engine'!E95))</x:f>
        <x:v>3641.625561137003</x:v>
      </x:c>
      <x:c r="M920" s="29" t="n">
        <x:f>NORM.S.DIST((LN(L920)-K920)/'Assumptions'!$D$10,TRUE)</x:f>
        <x:v>0.5381913977645012</x:v>
      </x:c>
      <x:c r="N920" s="30" t="n">
        <x:f>MAX(0,H920-MAX(G920,M920))</x:f>
        <x:v>0.11111111111111105</x:v>
      </x:c>
      <x:c r="O920" s="28" t="n">
        <x:f>J920*I920</x:f>
        <x:v>1379.403621642804</x:v>
      </x:c>
      <x:c r="P920" s="27" t="n">
        <x:f>(VLOOKUP(O920,'Fee Data'!$C$6:$G$50,2,TRUE)+O920*VLOOKUP(O920,'Fee Data'!$C$6:$G$50,3,TRUE)+VLOOKUP(O920,'Fee Data'!$I$6:$J$14,2,TRUE)+'Fee Data'!$J$20+'Fee Data'!$J$21)*'Assumptions'!H37</x:f>
        <x:v>595</x:v>
      </x:c>
      <x:c r="Q920" s="27" t="n">
        <x:f>(VLOOKUP(O920,'Fee Data'!$C$6:$G$50,4,TRUE)+O920*VLOOKUP(O920,'Fee Data'!$C$6:$G$50,5,TRUE)+VLOOKUP(O920,'Fee Data'!$I$6:$J$14,2,TRUE)+'Fee Data'!$J$20+'Fee Data'!$J$21)*'Assumptions'!H37</x:f>
        <x:v>470</x:v>
      </x:c>
      <x:c r="R920" s="27" t="n">
        <x:f>P920*(1-'Assumptions'!$D$14)+Q920*'Assumptions'!$D$14</x:f>
        <x:v>532.5</x:v>
      </x:c>
      <x:c r="S920" s="27" t="n">
        <x:f>O920*'Carrier Engine'!E95</x:f>
        <x:v>55.17614486571217</x:v>
      </x:c>
      <x:c r="T920" s="28" t="n">
        <x:f>R920+S920</x:f>
        <x:v>587.6761448657122</x:v>
      </x:c>
      <x:c r="U920" s="27" t="n">
        <x:f>N920*'Fleet Engine'!J199</x:f>
        <x:v>2000.862198987276</x:v>
      </x:c>
      <x:c r="V920" s="28" t="n">
        <x:f>U920*T920</x:f>
        <x:v>1175858.983508374</x:v>
      </x:c>
      <x:c r="W920" s="28" t="n">
        <x:f>U920*O920</x:f>
        <x:v>2759996.5636912333</x:v>
      </x:c>
    </x:row>
    <x:row r="921" ht="19" customHeight="1">
      <x:c r="A921" s="2"/>
      <x:c r="B921" s="2"/>
      <x:c r="C921" s="46" t="n">
        <x:v>4</x:v>
      </x:c>
      <x:c r="D921" s="46" t="n">
        <x:v>5</x:v>
      </x:c>
      <x:c r="E921" s="46" t="n">
        <x:v>0</x:v>
      </x:c>
      <x:c r="F921" s="46" t="n">
        <x:v>5</x:v>
      </x:c>
      <x:c r="G921" s="12" t="n">
        <x:v>0.6666666666666666</x:v>
      </x:c>
      <x:c r="H921" s="12" t="n">
        <x:v>0.7777777777777778</x:v>
      </x:c>
      <x:c r="I921" s="29" t="n">
        <x:f>'Assumptions'!$D$11+'Assumptions'!$D$12*(0.5-(G921+H921)/2)</x:f>
        <x:v>0.25555555555555554</x:v>
      </x:c>
      <x:c r="J921" s="27" t="n">
        <x:f>'Assumptions'!$D$8*EXP(-'Assumptions'!$D$9*('Fleet Engine'!E199-10))*'Assumptions'!E55*'Assumptions'!H36</x:f>
        <x:v>4965.853037914095</x:v>
      </x:c>
      <x:c r="K921" s="27" t="n">
        <x:f>'Source Data'!F222+LN('Assumptions'!D55)+LN('Assumptions'!H35)</x:f>
        <x:v>8.0496367177205</x:v>
      </x:c>
      <x:c r="L921" s="27" t="n">
        <x:f>J921*(1-I921*(1-'Carrier Engine'!E95))</x:f>
        <x:v>3747.5637592791704</x:v>
      </x:c>
      <x:c r="M921" s="29" t="n">
        <x:f>NORM.S.DIST((LN(L921)-K921)/'Assumptions'!$D$10,TRUE)</x:f>
        <x:v>0.5454369007114661</x:v>
      </x:c>
      <x:c r="N921" s="30" t="n">
        <x:f>MAX(0,H921-MAX(G921,M921))</x:f>
        <x:v>0.11111111111111116</x:v>
      </x:c>
      <x:c r="O921" s="28" t="n">
        <x:f>J921*I921</x:f>
        <x:v>1269.0513319113797</x:v>
      </x:c>
      <x:c r="P921" s="27" t="n">
        <x:f>(VLOOKUP(O921,'Fee Data'!$C$6:$G$50,2,TRUE)+O921*VLOOKUP(O921,'Fee Data'!$C$6:$G$50,3,TRUE)+VLOOKUP(O921,'Fee Data'!$I$6:$J$14,2,TRUE)+'Fee Data'!$J$20+'Fee Data'!$J$21)*'Assumptions'!H37</x:f>
        <x:v>580</x:v>
      </x:c>
      <x:c r="Q921" s="27" t="n">
        <x:f>(VLOOKUP(O921,'Fee Data'!$C$6:$G$50,4,TRUE)+O921*VLOOKUP(O921,'Fee Data'!$C$6:$G$50,5,TRUE)+VLOOKUP(O921,'Fee Data'!$I$6:$J$14,2,TRUE)+'Fee Data'!$J$20+'Fee Data'!$J$21)*'Assumptions'!H37</x:f>
        <x:v>455</x:v>
      </x:c>
      <x:c r="R921" s="27" t="n">
        <x:f>P921*(1-'Assumptions'!$D$14)+Q921*'Assumptions'!$D$14</x:f>
        <x:v>517.5</x:v>
      </x:c>
      <x:c r="S921" s="27" t="n">
        <x:f>O921*'Carrier Engine'!E95</x:f>
        <x:v>50.7620532764552</x:v>
      </x:c>
      <x:c r="T921" s="28" t="n">
        <x:f>R921+S921</x:f>
        <x:v>568.2620532764552</x:v>
      </x:c>
      <x:c r="U921" s="27" t="n">
        <x:f>N921*'Fleet Engine'!J199</x:f>
        <x:v>2000.8621989872781</x:v>
      </x:c>
      <x:c r="V921" s="28" t="n">
        <x:f>U921*T921</x:f>
        <x:v>1137014.061519754</x:v>
      </x:c>
      <x:c r="W921" s="28" t="n">
        <x:f>U921*O921</x:f>
        <x:v>2539196.8385959375</x:v>
      </x:c>
    </x:row>
    <x:row r="922" ht="19" customHeight="1">
      <x:c r="A922" s="2"/>
      <x:c r="B922" s="2"/>
      <x:c r="C922" s="46" t="n">
        <x:v>4</x:v>
      </x:c>
      <x:c r="D922" s="46" t="n">
        <x:v>5</x:v>
      </x:c>
      <x:c r="E922" s="46" t="n">
        <x:v>0</x:v>
      </x:c>
      <x:c r="F922" s="46" t="n">
        <x:v>5</x:v>
      </x:c>
      <x:c r="G922" s="12" t="n">
        <x:v>0.7777777777777778</x:v>
      </x:c>
      <x:c r="H922" s="12" t="n">
        <x:v>0.8888888888888888</x:v>
      </x:c>
      <x:c r="I922" s="29" t="n">
        <x:f>'Assumptions'!$D$11+'Assumptions'!$D$12*(0.5-(G922+H922)/2)</x:f>
        <x:v>0.23333333333333334</x:v>
      </x:c>
      <x:c r="J922" s="27" t="n">
        <x:f>'Assumptions'!$D$8*EXP(-'Assumptions'!$D$9*('Fleet Engine'!E199-10))*'Assumptions'!E55*'Assumptions'!H36</x:f>
        <x:v>4965.853037914095</x:v>
      </x:c>
      <x:c r="K922" s="27" t="n">
        <x:f>'Source Data'!F222+LN('Assumptions'!D55)+LN('Assumptions'!H35)</x:f>
        <x:v>8.0496367177205</x:v>
      </x:c>
      <x:c r="L922" s="27" t="n">
        <x:f>J922*(1-I922*(1-'Carrier Engine'!E95))</x:f>
        <x:v>3853.5019574213375</x:v>
      </x:c>
      <x:c r="M922" s="29" t="n">
        <x:f>NORM.S.DIST((LN(L922)-K922)/'Assumptions'!$D$10,TRUE)</x:f>
        <x:v>0.5524659710850595</x:v>
      </x:c>
      <x:c r="N922" s="30" t="n">
        <x:f>MAX(0,H922-MAX(G922,M922))</x:f>
        <x:v>0.11111111111111105</x:v>
      </x:c>
      <x:c r="O922" s="28" t="n">
        <x:f>J922*I922</x:f>
        <x:v>1158.6990421799555</x:v>
      </x:c>
      <x:c r="P922" s="27" t="n">
        <x:f>(VLOOKUP(O922,'Fee Data'!$C$6:$G$50,2,TRUE)+O922*VLOOKUP(O922,'Fee Data'!$C$6:$G$50,3,TRUE)+VLOOKUP(O922,'Fee Data'!$I$6:$J$14,2,TRUE)+'Fee Data'!$J$20+'Fee Data'!$J$21)*'Assumptions'!H37</x:f>
        <x:v>560</x:v>
      </x:c>
      <x:c r="Q922" s="27" t="n">
        <x:f>(VLOOKUP(O922,'Fee Data'!$C$6:$G$50,4,TRUE)+O922*VLOOKUP(O922,'Fee Data'!$C$6:$G$50,5,TRUE)+VLOOKUP(O922,'Fee Data'!$I$6:$J$14,2,TRUE)+'Fee Data'!$J$20+'Fee Data'!$J$21)*'Assumptions'!H37</x:f>
        <x:v>435</x:v>
      </x:c>
      <x:c r="R922" s="27" t="n">
        <x:f>P922*(1-'Assumptions'!$D$14)+Q922*'Assumptions'!$D$14</x:f>
        <x:v>497.5</x:v>
      </x:c>
      <x:c r="S922" s="27" t="n">
        <x:f>O922*'Carrier Engine'!E95</x:f>
        <x:v>46.34796168719823</x:v>
      </x:c>
      <x:c r="T922" s="28" t="n">
        <x:f>R922+S922</x:f>
        <x:v>543.8479616871982</x:v>
      </x:c>
      <x:c r="U922" s="27" t="n">
        <x:f>N922*'Fleet Engine'!J199</x:f>
        <x:v>2000.862198987276</x:v>
      </x:c>
      <x:c r="V922" s="28" t="n">
        <x:f>U922*T922</x:f>
        <x:v>1088164.8285361952</x:v>
      </x:c>
      <x:c r="W922" s="28" t="n">
        <x:f>U922*O922</x:f>
        <x:v>2318397.1135006365</x:v>
      </x:c>
    </x:row>
    <x:row r="923" ht="19" customHeight="1">
      <x:c r="A923" s="2"/>
      <x:c r="B923" s="2"/>
      <x:c r="C923" s="46" t="n">
        <x:v>4</x:v>
      </x:c>
      <x:c r="D923" s="46" t="n">
        <x:v>5</x:v>
      </x:c>
      <x:c r="E923" s="46" t="n">
        <x:v>0</x:v>
      </x:c>
      <x:c r="F923" s="46" t="n">
        <x:v>5</x:v>
      </x:c>
      <x:c r="G923" s="12" t="n">
        <x:v>0.8888888888888888</x:v>
      </x:c>
      <x:c r="H923" s="12" t="n">
        <x:v>1</x:v>
      </x:c>
      <x:c r="I923" s="29" t="n">
        <x:f>'Assumptions'!$D$11+'Assumptions'!$D$12*(0.5-(G923+H923)/2)</x:f>
        <x:v>0.21111111111111108</x:v>
      </x:c>
      <x:c r="J923" s="27" t="n">
        <x:f>'Assumptions'!$D$8*EXP(-'Assumptions'!$D$9*('Fleet Engine'!E199-10))*'Assumptions'!E55*'Assumptions'!H36</x:f>
        <x:v>4965.853037914095</x:v>
      </x:c>
      <x:c r="K923" s="27" t="n">
        <x:f>'Source Data'!F222+LN('Assumptions'!D55)+LN('Assumptions'!H35)</x:f>
        <x:v>8.0496367177205</x:v>
      </x:c>
      <x:c r="L923" s="27" t="n">
        <x:f>J923*(1-I923*(1-'Carrier Engine'!E95))</x:f>
        <x:v>3959.440155563505</x:v>
      </x:c>
      <x:c r="M923" s="29" t="n">
        <x:f>NORM.S.DIST((LN(L923)-K923)/'Assumptions'!$D$10,TRUE)</x:f>
        <x:v>0.5592886412015461</x:v>
      </x:c>
      <x:c r="N923" s="30" t="n">
        <x:f>MAX(0,H923-MAX(G923,M923))</x:f>
        <x:v>0.11111111111111116</x:v>
      </x:c>
      <x:c r="O923" s="28" t="n">
        <x:f>J923*I923</x:f>
        <x:v>1048.3467524485309</x:v>
      </x:c>
      <x:c r="P923" s="27" t="n">
        <x:f>(VLOOKUP(O923,'Fee Data'!$C$6:$G$50,2,TRUE)+O923*VLOOKUP(O923,'Fee Data'!$C$6:$G$50,3,TRUE)+VLOOKUP(O923,'Fee Data'!$I$6:$J$14,2,TRUE)+'Fee Data'!$J$20+'Fee Data'!$J$21)*'Assumptions'!H37</x:f>
        <x:v>560</x:v>
      </x:c>
      <x:c r="Q923" s="27" t="n">
        <x:f>(VLOOKUP(O923,'Fee Data'!$C$6:$G$50,4,TRUE)+O923*VLOOKUP(O923,'Fee Data'!$C$6:$G$50,5,TRUE)+VLOOKUP(O923,'Fee Data'!$I$6:$J$14,2,TRUE)+'Fee Data'!$J$20+'Fee Data'!$J$21)*'Assumptions'!H37</x:f>
        <x:v>435</x:v>
      </x:c>
      <x:c r="R923" s="27" t="n">
        <x:f>P923*(1-'Assumptions'!$D$14)+Q923*'Assumptions'!$D$14</x:f>
        <x:v>497.5</x:v>
      </x:c>
      <x:c r="S923" s="27" t="n">
        <x:f>O923*'Carrier Engine'!E95</x:f>
        <x:v>41.933870097941245</x:v>
      </x:c>
      <x:c r="T923" s="28" t="n">
        <x:f>R923+S923</x:f>
        <x:v>539.4338700979413</x:v>
      </x:c>
      <x:c r="U923" s="27" t="n">
        <x:f>N923*'Fleet Engine'!J199</x:f>
        <x:v>2000.8621989872781</x:v>
      </x:c>
      <x:c r="V923" s="28" t="n">
        <x:f>U923*T923</x:f>
        <x:v>1079332.8395323844</x:v>
      </x:c>
      <x:c r="W923" s="28" t="n">
        <x:f>U923*O923</x:f>
        <x:v>2097597.3884053393</x:v>
      </x:c>
    </x:row>
    <x:row r="924" ht="19" customHeight="1">
      <x:c r="A924" s="2"/>
      <x:c r="B924" s="2"/>
      <x:c r="C924" s="46" t="n">
        <x:v>4</x:v>
      </x:c>
      <x:c r="D924" s="46" t="n">
        <x:v>6</x:v>
      </x:c>
      <x:c r="E924" s="46" t="n">
        <x:v>1</x:v>
      </x:c>
      <x:c r="F924" s="46" t="n">
        <x:v>0</x:v>
      </x:c>
      <x:c r="G924" s="12" t="n">
        <x:v>0</x:v>
      </x:c>
      <x:c r="H924" s="12" t="n">
        <x:v>0.1111111111111111</x:v>
      </x:c>
      <x:c r="I924" s="29" t="n">
        <x:f>'Assumptions'!$D$11+'Assumptions'!$D$12*(0.5-(G924+H924)/2)</x:f>
        <x:v>0.3888888888888889</x:v>
      </x:c>
      <x:c r="J924" s="27" t="n">
        <x:f>'Assumptions'!$D$8*EXP(-'Assumptions'!$D$9*('Fleet Engine'!E200-10))*'Assumptions'!E56*'Assumptions'!H36</x:f>
        <x:v>30662.21902501803</x:v>
      </x:c>
      <x:c r="K924" s="27" t="n">
        <x:f>'Source Data'!F217+LN('Assumptions'!D56)+LN('Assumptions'!H35)</x:f>
        <x:v>8.031104662881733</x:v>
      </x:c>
      <x:c r="L924" s="27" t="n">
        <x:f>J924*(1-I924*(1-'Carrier Engine'!E95))</x:f>
        <x:v>19214.9905890113</x:v>
      </x:c>
      <x:c r="M924" s="29" t="n">
        <x:f>NORM.S.DIST((LN(L924)-K924)/'Assumptions'!$D$10,TRUE)</x:f>
        <x:v>0.8783833710855731</x:v>
      </x:c>
      <x:c r="N924" s="30" t="n">
        <x:f>MAX(0,H924-MAX(G924,M924))</x:f>
        <x:v>0</x:v>
      </x:c>
      <x:c r="O924" s="28" t="n">
        <x:f>J924*I924</x:f>
        <x:v>11924.196287507011</x:v>
      </x:c>
      <x:c r="P924" s="27" t="n">
        <x:f>(VLOOKUP(O924,'Fee Data'!$C$6:$G$50,2,TRUE)+O924*VLOOKUP(O924,'Fee Data'!$C$6:$G$50,3,TRUE)+VLOOKUP(O924,'Fee Data'!$I$6:$J$14,2,TRUE)+'Fee Data'!$J$20+'Fee Data'!$J$21)*'Assumptions'!H37</x:f>
        <x:v>1250</x:v>
      </x:c>
      <x:c r="Q924" s="27" t="n">
        <x:f>(VLOOKUP(O924,'Fee Data'!$C$6:$G$50,4,TRUE)+O924*VLOOKUP(O924,'Fee Data'!$C$6:$G$50,5,TRUE)+VLOOKUP(O924,'Fee Data'!$I$6:$J$14,2,TRUE)+'Fee Data'!$J$20+'Fee Data'!$J$21)*'Assumptions'!H37</x:f>
        <x:v>1110</x:v>
      </x:c>
      <x:c r="R924" s="27" t="n">
        <x:f>P924*(1-'Assumptions'!$D$14)+Q924*'Assumptions'!$D$14</x:f>
        <x:v>1180</x:v>
      </x:c>
      <x:c r="S924" s="27" t="n">
        <x:f>O924*'Carrier Engine'!E95</x:f>
        <x:v>476.9678515002805</x:v>
      </x:c>
      <x:c r="T924" s="28" t="n">
        <x:f>R924+S924</x:f>
        <x:v>1656.9678515002806</x:v>
      </x:c>
      <x:c r="U924" s="27" t="n">
        <x:f>N924*'Fleet Engine'!J200</x:f>
        <x:v>0</x:v>
      </x:c>
      <x:c r="V924" s="28" t="n">
        <x:f>U924*T924</x:f>
        <x:v>0</x:v>
      </x:c>
      <x:c r="W924" s="28" t="n">
        <x:f>U924*O924</x:f>
        <x:v>0</x:v>
      </x:c>
    </x:row>
    <x:row r="925" ht="19" customHeight="1">
      <x:c r="A925" s="2"/>
      <x:c r="B925" s="2"/>
      <x:c r="C925" s="46" t="n">
        <x:v>4</x:v>
      </x:c>
      <x:c r="D925" s="46" t="n">
        <x:v>6</x:v>
      </x:c>
      <x:c r="E925" s="46" t="n">
        <x:v>1</x:v>
      </x:c>
      <x:c r="F925" s="46" t="n">
        <x:v>0</x:v>
      </x:c>
      <x:c r="G925" s="12" t="n">
        <x:v>0.1111111111111111</x:v>
      </x:c>
      <x:c r="H925" s="12" t="n">
        <x:v>0.2222222222222222</x:v>
      </x:c>
      <x:c r="I925" s="29" t="n">
        <x:f>'Assumptions'!$D$11+'Assumptions'!$D$12*(0.5-(G925+H925)/2)</x:f>
        <x:v>0.3666666666666667</x:v>
      </x:c>
      <x:c r="J925" s="27" t="n">
        <x:f>'Assumptions'!$D$8*EXP(-'Assumptions'!$D$9*('Fleet Engine'!E200-10))*'Assumptions'!E56*'Assumptions'!H36</x:f>
        <x:v>30662.21902501803</x:v>
      </x:c>
      <x:c r="K925" s="27" t="n">
        <x:f>'Source Data'!F217+LN('Assumptions'!D56)+LN('Assumptions'!H35)</x:f>
        <x:v>8.031104662881733</x:v>
      </x:c>
      <x:c r="L925" s="27" t="n">
        <x:f>J925*(1-I925*(1-'Carrier Engine'!E95))</x:f>
        <x:v>19869.11792821168</x:v>
      </x:c>
      <x:c r="M925" s="29" t="n">
        <x:f>NORM.S.DIST((LN(L925)-K925)/'Assumptions'!$D$10,TRUE)</x:f>
        <x:v>0.8826350510019572</x:v>
      </x:c>
      <x:c r="N925" s="30" t="n">
        <x:f>MAX(0,H925-MAX(G925,M925))</x:f>
        <x:v>0</x:v>
      </x:c>
      <x:c r="O925" s="28" t="n">
        <x:f>J925*I925</x:f>
        <x:v>11242.813642506611</x:v>
      </x:c>
      <x:c r="P925" s="27" t="n">
        <x:f>(VLOOKUP(O925,'Fee Data'!$C$6:$G$50,2,TRUE)+O925*VLOOKUP(O925,'Fee Data'!$C$6:$G$50,3,TRUE)+VLOOKUP(O925,'Fee Data'!$I$6:$J$14,2,TRUE)+'Fee Data'!$J$20+'Fee Data'!$J$21)*'Assumptions'!H37</x:f>
        <x:v>1250</x:v>
      </x:c>
      <x:c r="Q925" s="27" t="n">
        <x:f>(VLOOKUP(O925,'Fee Data'!$C$6:$G$50,4,TRUE)+O925*VLOOKUP(O925,'Fee Data'!$C$6:$G$50,5,TRUE)+VLOOKUP(O925,'Fee Data'!$I$6:$J$14,2,TRUE)+'Fee Data'!$J$20+'Fee Data'!$J$21)*'Assumptions'!H37</x:f>
        <x:v>1100</x:v>
      </x:c>
      <x:c r="R925" s="27" t="n">
        <x:f>P925*(1-'Assumptions'!$D$14)+Q925*'Assumptions'!$D$14</x:f>
        <x:v>1175</x:v>
      </x:c>
      <x:c r="S925" s="27" t="n">
        <x:f>O925*'Carrier Engine'!E95</x:f>
        <x:v>449.7125457002645</x:v>
      </x:c>
      <x:c r="T925" s="28" t="n">
        <x:f>R925+S925</x:f>
        <x:v>1624.7125457002644</x:v>
      </x:c>
      <x:c r="U925" s="27" t="n">
        <x:f>N925*'Fleet Engine'!J200</x:f>
        <x:v>0</x:v>
      </x:c>
      <x:c r="V925" s="28" t="n">
        <x:f>U925*T925</x:f>
        <x:v>0</x:v>
      </x:c>
      <x:c r="W925" s="28" t="n">
        <x:f>U925*O925</x:f>
        <x:v>0</x:v>
      </x:c>
    </x:row>
    <x:row r="926" ht="19" customHeight="1">
      <x:c r="A926" s="2"/>
      <x:c r="B926" s="2"/>
      <x:c r="C926" s="46" t="n">
        <x:v>4</x:v>
      </x:c>
      <x:c r="D926" s="46" t="n">
        <x:v>6</x:v>
      </x:c>
      <x:c r="E926" s="46" t="n">
        <x:v>1</x:v>
      </x:c>
      <x:c r="F926" s="46" t="n">
        <x:v>0</x:v>
      </x:c>
      <x:c r="G926" s="12" t="n">
        <x:v>0.2222222222222222</x:v>
      </x:c>
      <x:c r="H926" s="12" t="n">
        <x:v>0.3333333333333333</x:v>
      </x:c>
      <x:c r="I926" s="29" t="n">
        <x:f>'Assumptions'!$D$11+'Assumptions'!$D$12*(0.5-(G926+H926)/2)</x:f>
        <x:v>0.34444444444444444</x:v>
      </x:c>
      <x:c r="J926" s="27" t="n">
        <x:f>'Assumptions'!$D$8*EXP(-'Assumptions'!$D$9*('Fleet Engine'!E200-10))*'Assumptions'!E56*'Assumptions'!H36</x:f>
        <x:v>30662.21902501803</x:v>
      </x:c>
      <x:c r="K926" s="27" t="n">
        <x:f>'Source Data'!F217+LN('Assumptions'!D56)+LN('Assumptions'!H35)</x:f>
        <x:v>8.031104662881733</x:v>
      </x:c>
      <x:c r="L926" s="27" t="n">
        <x:f>J926*(1-I926*(1-'Carrier Engine'!E95))</x:f>
        <x:v>20523.24526741207</x:v>
      </x:c>
      <x:c r="M926" s="29" t="n">
        <x:f>NORM.S.DIST((LN(L926)-K926)/'Assumptions'!$D$10,TRUE)</x:f>
        <x:v>0.8866477524669126</x:v>
      </x:c>
      <x:c r="N926" s="30" t="n">
        <x:f>MAX(0,H926-MAX(G926,M926))</x:f>
        <x:v>0</x:v>
      </x:c>
      <x:c r="O926" s="28" t="n">
        <x:f>J926*I926</x:f>
        <x:v>10561.43099750621</x:v>
      </x:c>
      <x:c r="P926" s="27" t="n">
        <x:f>(VLOOKUP(O926,'Fee Data'!$C$6:$G$50,2,TRUE)+O926*VLOOKUP(O926,'Fee Data'!$C$6:$G$50,3,TRUE)+VLOOKUP(O926,'Fee Data'!$I$6:$J$14,2,TRUE)+'Fee Data'!$J$20+'Fee Data'!$J$21)*'Assumptions'!H37</x:f>
        <x:v>1250</x:v>
      </x:c>
      <x:c r="Q926" s="27" t="n">
        <x:f>(VLOOKUP(O926,'Fee Data'!$C$6:$G$50,4,TRUE)+O926*VLOOKUP(O926,'Fee Data'!$C$6:$G$50,5,TRUE)+VLOOKUP(O926,'Fee Data'!$I$6:$J$14,2,TRUE)+'Fee Data'!$J$20+'Fee Data'!$J$21)*'Assumptions'!H37</x:f>
        <x:v>1100</x:v>
      </x:c>
      <x:c r="R926" s="27" t="n">
        <x:f>P926*(1-'Assumptions'!$D$14)+Q926*'Assumptions'!$D$14</x:f>
        <x:v>1175</x:v>
      </x:c>
      <x:c r="S926" s="27" t="n">
        <x:f>O926*'Carrier Engine'!E95</x:f>
        <x:v>422.45723990024845</x:v>
      </x:c>
      <x:c r="T926" s="28" t="n">
        <x:f>R926+S926</x:f>
        <x:v>1597.4572399002484</x:v>
      </x:c>
      <x:c r="U926" s="27" t="n">
        <x:f>N926*'Fleet Engine'!J200</x:f>
        <x:v>0</x:v>
      </x:c>
      <x:c r="V926" s="28" t="n">
        <x:f>U926*T926</x:f>
        <x:v>0</x:v>
      </x:c>
      <x:c r="W926" s="28" t="n">
        <x:f>U926*O926</x:f>
        <x:v>0</x:v>
      </x:c>
    </x:row>
    <x:row r="927" ht="19" customHeight="1">
      <x:c r="A927" s="2"/>
      <x:c r="B927" s="2"/>
      <x:c r="C927" s="46" t="n">
        <x:v>4</x:v>
      </x:c>
      <x:c r="D927" s="46" t="n">
        <x:v>6</x:v>
      </x:c>
      <x:c r="E927" s="46" t="n">
        <x:v>1</x:v>
      </x:c>
      <x:c r="F927" s="46" t="n">
        <x:v>0</x:v>
      </x:c>
      <x:c r="G927" s="12" t="n">
        <x:v>0.3333333333333333</x:v>
      </x:c>
      <x:c r="H927" s="12" t="n">
        <x:v>0.4444444444444444</x:v>
      </x:c>
      <x:c r="I927" s="29" t="n">
        <x:f>'Assumptions'!$D$11+'Assumptions'!$D$12*(0.5-(G927+H927)/2)</x:f>
        <x:v>0.32222222222222224</x:v>
      </x:c>
      <x:c r="J927" s="27" t="n">
        <x:f>'Assumptions'!$D$8*EXP(-'Assumptions'!$D$9*('Fleet Engine'!E200-10))*'Assumptions'!E56*'Assumptions'!H36</x:f>
        <x:v>30662.21902501803</x:v>
      </x:c>
      <x:c r="K927" s="27" t="n">
        <x:f>'Source Data'!F217+LN('Assumptions'!D56)+LN('Assumptions'!H35)</x:f>
        <x:v>8.031104662881733</x:v>
      </x:c>
      <x:c r="L927" s="27" t="n">
        <x:f>J927*(1-I927*(1-'Carrier Engine'!E95))</x:f>
        <x:v>21177.37260661245</x:v>
      </x:c>
      <x:c r="M927" s="29" t="n">
        <x:f>NORM.S.DIST((LN(L927)-K927)/'Assumptions'!$D$10,TRUE)</x:f>
        <x:v>0.8904403113358262</x:v>
      </x:c>
      <x:c r="N927" s="30" t="n">
        <x:f>MAX(0,H927-MAX(G927,M927))</x:f>
        <x:v>0</x:v>
      </x:c>
      <x:c r="O927" s="28" t="n">
        <x:f>J927*I927</x:f>
        <x:v>9880.04835250581</x:v>
      </x:c>
      <x:c r="P927" s="27" t="n">
        <x:f>(VLOOKUP(O927,'Fee Data'!$C$6:$G$50,2,TRUE)+O927*VLOOKUP(O927,'Fee Data'!$C$6:$G$50,3,TRUE)+VLOOKUP(O927,'Fee Data'!$I$6:$J$14,2,TRUE)+'Fee Data'!$J$20+'Fee Data'!$J$21)*'Assumptions'!H37</x:f>
        <x:v>1195</x:v>
      </x:c>
      <x:c r="Q927" s="27" t="n">
        <x:f>(VLOOKUP(O927,'Fee Data'!$C$6:$G$50,4,TRUE)+O927*VLOOKUP(O927,'Fee Data'!$C$6:$G$50,5,TRUE)+VLOOKUP(O927,'Fee Data'!$I$6:$J$14,2,TRUE)+'Fee Data'!$J$20+'Fee Data'!$J$21)*'Assumptions'!H37</x:f>
        <x:v>1070</x:v>
      </x:c>
      <x:c r="R927" s="27" t="n">
        <x:f>P927*(1-'Assumptions'!$D$14)+Q927*'Assumptions'!$D$14</x:f>
        <x:v>1132.5</x:v>
      </x:c>
      <x:c r="S927" s="27" t="n">
        <x:f>O927*'Carrier Engine'!E95</x:f>
        <x:v>395.20193410023245</x:v>
      </x:c>
      <x:c r="T927" s="28" t="n">
        <x:f>R927+S927</x:f>
        <x:v>1527.7019341002324</x:v>
      </x:c>
      <x:c r="U927" s="27" t="n">
        <x:f>N927*'Fleet Engine'!J200</x:f>
        <x:v>0</x:v>
      </x:c>
      <x:c r="V927" s="28" t="n">
        <x:f>U927*T927</x:f>
        <x:v>0</x:v>
      </x:c>
      <x:c r="W927" s="28" t="n">
        <x:f>U927*O927</x:f>
        <x:v>0</x:v>
      </x:c>
    </x:row>
    <x:row r="928" ht="19" customHeight="1">
      <x:c r="A928" s="2"/>
      <x:c r="B928" s="2"/>
      <x:c r="C928" s="46" t="n">
        <x:v>4</x:v>
      </x:c>
      <x:c r="D928" s="46" t="n">
        <x:v>6</x:v>
      </x:c>
      <x:c r="E928" s="46" t="n">
        <x:v>1</x:v>
      </x:c>
      <x:c r="F928" s="46" t="n">
        <x:v>0</x:v>
      </x:c>
      <x:c r="G928" s="12" t="n">
        <x:v>0.4444444444444444</x:v>
      </x:c>
      <x:c r="H928" s="12" t="n">
        <x:v>0.5555555555555556</x:v>
      </x:c>
      <x:c r="I928" s="29" t="n">
        <x:f>'Assumptions'!$D$11+'Assumptions'!$D$12*(0.5-(G928+H928)/2)</x:f>
        <x:v>0.3</x:v>
      </x:c>
      <x:c r="J928" s="27" t="n">
        <x:f>'Assumptions'!$D$8*EXP(-'Assumptions'!$D$9*('Fleet Engine'!E200-10))*'Assumptions'!E56*'Assumptions'!H36</x:f>
        <x:v>30662.21902501803</x:v>
      </x:c>
      <x:c r="K928" s="27" t="n">
        <x:f>'Source Data'!F217+LN('Assumptions'!D56)+LN('Assumptions'!H35)</x:f>
        <x:v>8.031104662881733</x:v>
      </x:c>
      <x:c r="L928" s="27" t="n">
        <x:f>J928*(1-I928*(1-'Carrier Engine'!E95))</x:f>
        <x:v>21831.499945812837</x:v>
      </x:c>
      <x:c r="M928" s="29" t="n">
        <x:f>NORM.S.DIST((LN(L928)-K928)/'Assumptions'!$D$10,TRUE)</x:f>
        <x:v>0.8940296485335917</x:v>
      </x:c>
      <x:c r="N928" s="30" t="n">
        <x:f>MAX(0,H928-MAX(G928,M928))</x:f>
        <x:v>0</x:v>
      </x:c>
      <x:c r="O928" s="28" t="n">
        <x:f>J928*I928</x:f>
        <x:v>9198.665707505408</x:v>
      </x:c>
      <x:c r="P928" s="27" t="n">
        <x:f>(VLOOKUP(O928,'Fee Data'!$C$6:$G$50,2,TRUE)+O928*VLOOKUP(O928,'Fee Data'!$C$6:$G$50,3,TRUE)+VLOOKUP(O928,'Fee Data'!$I$6:$J$14,2,TRUE)+'Fee Data'!$J$20+'Fee Data'!$J$21)*'Assumptions'!H37</x:f>
        <x:v>1195</x:v>
      </x:c>
      <x:c r="Q928" s="27" t="n">
        <x:f>(VLOOKUP(O928,'Fee Data'!$C$6:$G$50,4,TRUE)+O928*VLOOKUP(O928,'Fee Data'!$C$6:$G$50,5,TRUE)+VLOOKUP(O928,'Fee Data'!$I$6:$J$14,2,TRUE)+'Fee Data'!$J$20+'Fee Data'!$J$21)*'Assumptions'!H37</x:f>
        <x:v>1070</x:v>
      </x:c>
      <x:c r="R928" s="27" t="n">
        <x:f>P928*(1-'Assumptions'!$D$14)+Q928*'Assumptions'!$D$14</x:f>
        <x:v>1132.5</x:v>
      </x:c>
      <x:c r="S928" s="27" t="n">
        <x:f>O928*'Carrier Engine'!E95</x:f>
        <x:v>367.9466283002164</x:v>
      </x:c>
      <x:c r="T928" s="28" t="n">
        <x:f>R928+S928</x:f>
        <x:v>1500.4466283002164</x:v>
      </x:c>
      <x:c r="U928" s="27" t="n">
        <x:f>N928*'Fleet Engine'!J200</x:f>
        <x:v>0</x:v>
      </x:c>
      <x:c r="V928" s="28" t="n">
        <x:f>U928*T928</x:f>
        <x:v>0</x:v>
      </x:c>
      <x:c r="W928" s="28" t="n">
        <x:f>U928*O928</x:f>
        <x:v>0</x:v>
      </x:c>
    </x:row>
    <x:row r="929" ht="19" customHeight="1">
      <x:c r="A929" s="2"/>
      <x:c r="B929" s="2"/>
      <x:c r="C929" s="46" t="n">
        <x:v>4</x:v>
      </x:c>
      <x:c r="D929" s="46" t="n">
        <x:v>6</x:v>
      </x:c>
      <x:c r="E929" s="46" t="n">
        <x:v>1</x:v>
      </x:c>
      <x:c r="F929" s="46" t="n">
        <x:v>0</x:v>
      </x:c>
      <x:c r="G929" s="12" t="n">
        <x:v>0.5555555555555556</x:v>
      </x:c>
      <x:c r="H929" s="12" t="n">
        <x:v>0.6666666666666666</x:v>
      </x:c>
      <x:c r="I929" s="29" t="n">
        <x:f>'Assumptions'!$D$11+'Assumptions'!$D$12*(0.5-(G929+H929)/2)</x:f>
        <x:v>0.27777777777777773</x:v>
      </x:c>
      <x:c r="J929" s="27" t="n">
        <x:f>'Assumptions'!$D$8*EXP(-'Assumptions'!$D$9*('Fleet Engine'!E200-10))*'Assumptions'!E56*'Assumptions'!H36</x:f>
        <x:v>30662.21902501803</x:v>
      </x:c>
      <x:c r="K929" s="27" t="n">
        <x:f>'Source Data'!F217+LN('Assumptions'!D56)+LN('Assumptions'!H35)</x:f>
        <x:v>8.031104662881733</x:v>
      </x:c>
      <x:c r="L929" s="27" t="n">
        <x:f>J929*(1-I929*(1-'Carrier Engine'!E95))</x:f>
        <x:v>22485.627285013223</x:v>
      </x:c>
      <x:c r="M929" s="29" t="n">
        <x:f>NORM.S.DIST((LN(L929)-K929)/'Assumptions'!$D$10,TRUE)</x:f>
        <x:v>0.8974310078578442</x:v>
      </x:c>
      <x:c r="N929" s="30" t="n">
        <x:f>MAX(0,H929-MAX(G929,M929))</x:f>
        <x:v>0</x:v>
      </x:c>
      <x:c r="O929" s="28" t="n">
        <x:f>J929*I929</x:f>
        <x:v>8517.283062505006</x:v>
      </x:c>
      <x:c r="P929" s="27" t="n">
        <x:f>(VLOOKUP(O929,'Fee Data'!$C$6:$G$50,2,TRUE)+O929*VLOOKUP(O929,'Fee Data'!$C$6:$G$50,3,TRUE)+VLOOKUP(O929,'Fee Data'!$I$6:$J$14,2,TRUE)+'Fee Data'!$J$20+'Fee Data'!$J$21)*'Assumptions'!H37</x:f>
        <x:v>1195</x:v>
      </x:c>
      <x:c r="Q929" s="27" t="n">
        <x:f>(VLOOKUP(O929,'Fee Data'!$C$6:$G$50,4,TRUE)+O929*VLOOKUP(O929,'Fee Data'!$C$6:$G$50,5,TRUE)+VLOOKUP(O929,'Fee Data'!$I$6:$J$14,2,TRUE)+'Fee Data'!$J$20+'Fee Data'!$J$21)*'Assumptions'!H37</x:f>
        <x:v>1070</x:v>
      </x:c>
      <x:c r="R929" s="27" t="n">
        <x:f>P929*(1-'Assumptions'!$D$14)+Q929*'Assumptions'!$D$14</x:f>
        <x:v>1132.5</x:v>
      </x:c>
      <x:c r="S929" s="27" t="n">
        <x:f>O929*'Carrier Engine'!E95</x:f>
        <x:v>340.69132250020033</x:v>
      </x:c>
      <x:c r="T929" s="28" t="n">
        <x:f>R929+S929</x:f>
        <x:v>1473.1913225002004</x:v>
      </x:c>
      <x:c r="U929" s="27" t="n">
        <x:f>N929*'Fleet Engine'!J200</x:f>
        <x:v>0</x:v>
      </x:c>
      <x:c r="V929" s="28" t="n">
        <x:f>U929*T929</x:f>
        <x:v>0</x:v>
      </x:c>
      <x:c r="W929" s="28" t="n">
        <x:f>U929*O929</x:f>
        <x:v>0</x:v>
      </x:c>
    </x:row>
    <x:row r="930" ht="19" customHeight="1">
      <x:c r="A930" s="2"/>
      <x:c r="B930" s="2"/>
      <x:c r="C930" s="46" t="n">
        <x:v>4</x:v>
      </x:c>
      <x:c r="D930" s="46" t="n">
        <x:v>6</x:v>
      </x:c>
      <x:c r="E930" s="46" t="n">
        <x:v>1</x:v>
      </x:c>
      <x:c r="F930" s="46" t="n">
        <x:v>0</x:v>
      </x:c>
      <x:c r="G930" s="12" t="n">
        <x:v>0.6666666666666666</x:v>
      </x:c>
      <x:c r="H930" s="12" t="n">
        <x:v>0.7777777777777778</x:v>
      </x:c>
      <x:c r="I930" s="29" t="n">
        <x:f>'Assumptions'!$D$11+'Assumptions'!$D$12*(0.5-(G930+H930)/2)</x:f>
        <x:v>0.25555555555555554</x:v>
      </x:c>
      <x:c r="J930" s="27" t="n">
        <x:f>'Assumptions'!$D$8*EXP(-'Assumptions'!$D$9*('Fleet Engine'!E200-10))*'Assumptions'!E56*'Assumptions'!H36</x:f>
        <x:v>30662.21902501803</x:v>
      </x:c>
      <x:c r="K930" s="27" t="n">
        <x:f>'Source Data'!F217+LN('Assumptions'!D56)+LN('Assumptions'!H35)</x:f>
        <x:v>8.031104662881733</x:v>
      </x:c>
      <x:c r="L930" s="27" t="n">
        <x:f>J930*(1-I930*(1-'Carrier Engine'!E95))</x:f>
        <x:v>23139.754624213605</x:v>
      </x:c>
      <x:c r="M930" s="29" t="n">
        <x:f>NORM.S.DIST((LN(L930)-K930)/'Assumptions'!$D$10,TRUE)</x:f>
        <x:v>0.9006581590391973</x:v>
      </x:c>
      <x:c r="N930" s="30" t="n">
        <x:f>MAX(0,H930-MAX(G930,M930))</x:f>
        <x:v>0</x:v>
      </x:c>
      <x:c r="O930" s="28" t="n">
        <x:f>J930*I930</x:f>
        <x:v>7835.900417504607</x:v>
      </x:c>
      <x:c r="P930" s="27" t="n">
        <x:f>(VLOOKUP(O930,'Fee Data'!$C$6:$G$50,2,TRUE)+O930*VLOOKUP(O930,'Fee Data'!$C$6:$G$50,3,TRUE)+VLOOKUP(O930,'Fee Data'!$I$6:$J$14,2,TRUE)+'Fee Data'!$J$20+'Fee Data'!$J$21)*'Assumptions'!H37</x:f>
        <x:v>1135</x:v>
      </x:c>
      <x:c r="Q930" s="27" t="n">
        <x:f>(VLOOKUP(O930,'Fee Data'!$C$6:$G$50,4,TRUE)+O930*VLOOKUP(O930,'Fee Data'!$C$6:$G$50,5,TRUE)+VLOOKUP(O930,'Fee Data'!$I$6:$J$14,2,TRUE)+'Fee Data'!$J$20+'Fee Data'!$J$21)*'Assumptions'!H37</x:f>
        <x:v>1010</x:v>
      </x:c>
      <x:c r="R930" s="27" t="n">
        <x:f>P930*(1-'Assumptions'!$D$14)+Q930*'Assumptions'!$D$14</x:f>
        <x:v>1072.5</x:v>
      </x:c>
      <x:c r="S930" s="27" t="n">
        <x:f>O930*'Carrier Engine'!E95</x:f>
        <x:v>313.4360167001843</x:v>
      </x:c>
      <x:c r="T930" s="28" t="n">
        <x:f>R930+S930</x:f>
        <x:v>1385.9360167001844</x:v>
      </x:c>
      <x:c r="U930" s="27" t="n">
        <x:f>N930*'Fleet Engine'!J200</x:f>
        <x:v>0</x:v>
      </x:c>
      <x:c r="V930" s="28" t="n">
        <x:f>U930*T930</x:f>
        <x:v>0</x:v>
      </x:c>
      <x:c r="W930" s="28" t="n">
        <x:f>U930*O930</x:f>
        <x:v>0</x:v>
      </x:c>
    </x:row>
    <x:row r="931" ht="19" customHeight="1">
      <x:c r="A931" s="2"/>
      <x:c r="B931" s="2"/>
      <x:c r="C931" s="46" t="n">
        <x:v>4</x:v>
      </x:c>
      <x:c r="D931" s="46" t="n">
        <x:v>6</x:v>
      </x:c>
      <x:c r="E931" s="46" t="n">
        <x:v>1</x:v>
      </x:c>
      <x:c r="F931" s="46" t="n">
        <x:v>0</x:v>
      </x:c>
      <x:c r="G931" s="12" t="n">
        <x:v>0.7777777777777778</x:v>
      </x:c>
      <x:c r="H931" s="12" t="n">
        <x:v>0.8888888888888888</x:v>
      </x:c>
      <x:c r="I931" s="29" t="n">
        <x:f>'Assumptions'!$D$11+'Assumptions'!$D$12*(0.5-(G931+H931)/2)</x:f>
        <x:v>0.23333333333333334</x:v>
      </x:c>
      <x:c r="J931" s="27" t="n">
        <x:f>'Assumptions'!$D$8*EXP(-'Assumptions'!$D$9*('Fleet Engine'!E200-10))*'Assumptions'!E56*'Assumptions'!H36</x:f>
        <x:v>30662.21902501803</x:v>
      </x:c>
      <x:c r="K931" s="27" t="n">
        <x:f>'Source Data'!F217+LN('Assumptions'!D56)+LN('Assumptions'!H35)</x:f>
        <x:v>8.031104662881733</x:v>
      </x:c>
      <x:c r="L931" s="27" t="n">
        <x:f>J931*(1-I931*(1-'Carrier Engine'!E95))</x:f>
        <x:v>23793.88196341399</x:v>
      </x:c>
      <x:c r="M931" s="29" t="n">
        <x:f>NORM.S.DIST((LN(L931)-K931)/'Assumptions'!$D$10,TRUE)</x:f>
        <x:v>0.9037235718702767</x:v>
      </x:c>
      <x:c r="N931" s="30" t="n">
        <x:f>MAX(0,H931-MAX(G931,M931))</x:f>
        <x:v>0</x:v>
      </x:c>
      <x:c r="O931" s="28" t="n">
        <x:f>J931*I931</x:f>
        <x:v>7154.517772504207</x:v>
      </x:c>
      <x:c r="P931" s="27" t="n">
        <x:f>(VLOOKUP(O931,'Fee Data'!$C$6:$G$50,2,TRUE)+O931*VLOOKUP(O931,'Fee Data'!$C$6:$G$50,3,TRUE)+VLOOKUP(O931,'Fee Data'!$I$6:$J$14,2,TRUE)+'Fee Data'!$J$20+'Fee Data'!$J$21)*'Assumptions'!H37</x:f>
        <x:v>1115</x:v>
      </x:c>
      <x:c r="Q931" s="27" t="n">
        <x:f>(VLOOKUP(O931,'Fee Data'!$C$6:$G$50,4,TRUE)+O931*VLOOKUP(O931,'Fee Data'!$C$6:$G$50,5,TRUE)+VLOOKUP(O931,'Fee Data'!$I$6:$J$14,2,TRUE)+'Fee Data'!$J$20+'Fee Data'!$J$21)*'Assumptions'!H37</x:f>
        <x:v>990</x:v>
      </x:c>
      <x:c r="R931" s="27" t="n">
        <x:f>P931*(1-'Assumptions'!$D$14)+Q931*'Assumptions'!$D$14</x:f>
        <x:v>1052.5</x:v>
      </x:c>
      <x:c r="S931" s="27" t="n">
        <x:f>O931*'Carrier Engine'!E95</x:f>
        <x:v>286.1807109001683</x:v>
      </x:c>
      <x:c r="T931" s="28" t="n">
        <x:f>R931+S931</x:f>
        <x:v>1338.6807109001684</x:v>
      </x:c>
      <x:c r="U931" s="27" t="n">
        <x:f>N931*'Fleet Engine'!J200</x:f>
        <x:v>0</x:v>
      </x:c>
      <x:c r="V931" s="28" t="n">
        <x:f>U931*T931</x:f>
        <x:v>0</x:v>
      </x:c>
      <x:c r="W931" s="28" t="n">
        <x:f>U931*O931</x:f>
        <x:v>0</x:v>
      </x:c>
    </x:row>
    <x:row r="932" ht="19" customHeight="1">
      <x:c r="A932" s="2"/>
      <x:c r="B932" s="2"/>
      <x:c r="C932" s="46" t="n">
        <x:v>4</x:v>
      </x:c>
      <x:c r="D932" s="46" t="n">
        <x:v>6</x:v>
      </x:c>
      <x:c r="E932" s="46" t="n">
        <x:v>1</x:v>
      </x:c>
      <x:c r="F932" s="46" t="n">
        <x:v>0</x:v>
      </x:c>
      <x:c r="G932" s="12" t="n">
        <x:v>0.8888888888888888</x:v>
      </x:c>
      <x:c r="H932" s="12" t="n">
        <x:v>1</x:v>
      </x:c>
      <x:c r="I932" s="29" t="n">
        <x:f>'Assumptions'!$D$11+'Assumptions'!$D$12*(0.5-(G932+H932)/2)</x:f>
        <x:v>0.21111111111111108</x:v>
      </x:c>
      <x:c r="J932" s="27" t="n">
        <x:f>'Assumptions'!$D$8*EXP(-'Assumptions'!$D$9*('Fleet Engine'!E200-10))*'Assumptions'!E56*'Assumptions'!H36</x:f>
        <x:v>30662.21902501803</x:v>
      </x:c>
      <x:c r="K932" s="27" t="n">
        <x:f>'Source Data'!F217+LN('Assumptions'!D56)+LN('Assumptions'!H35)</x:f>
        <x:v>8.031104662881733</x:v>
      </x:c>
      <x:c r="L932" s="27" t="n">
        <x:f>J932*(1-I932*(1-'Carrier Engine'!E95))</x:f>
        <x:v>24448.009302614373</x:v>
      </x:c>
      <x:c r="M932" s="29" t="n">
        <x:f>NORM.S.DIST((LN(L932)-K932)/'Assumptions'!$D$10,TRUE)</x:f>
        <x:v>0.9066385661246656</x:v>
      </x:c>
      <x:c r="N932" s="30" t="n">
        <x:f>MAX(0,H932-MAX(G932,M932))</x:f>
        <x:v>0.09336143387533435</x:v>
      </x:c>
      <x:c r="O932" s="28" t="n">
        <x:f>J932*I932</x:f>
        <x:v>6473.135127503805</x:v>
      </x:c>
      <x:c r="P932" s="27" t="n">
        <x:f>(VLOOKUP(O932,'Fee Data'!$C$6:$G$50,2,TRUE)+O932*VLOOKUP(O932,'Fee Data'!$C$6:$G$50,3,TRUE)+VLOOKUP(O932,'Fee Data'!$I$6:$J$14,2,TRUE)+'Fee Data'!$J$20+'Fee Data'!$J$21)*'Assumptions'!H37</x:f>
        <x:v>1060</x:v>
      </x:c>
      <x:c r="Q932" s="27" t="n">
        <x:f>(VLOOKUP(O932,'Fee Data'!$C$6:$G$50,4,TRUE)+O932*VLOOKUP(O932,'Fee Data'!$C$6:$G$50,5,TRUE)+VLOOKUP(O932,'Fee Data'!$I$6:$J$14,2,TRUE)+'Fee Data'!$J$20+'Fee Data'!$J$21)*'Assumptions'!H37</x:f>
        <x:v>935</x:v>
      </x:c>
      <x:c r="R932" s="27" t="n">
        <x:f>P932*(1-'Assumptions'!$D$14)+Q932*'Assumptions'!$D$14</x:f>
        <x:v>997.5</x:v>
      </x:c>
      <x:c r="S932" s="27" t="n">
        <x:f>O932*'Carrier Engine'!E95</x:f>
        <x:v>258.92540510015226</x:v>
      </x:c>
      <x:c r="T932" s="28" t="n">
        <x:f>R932+S932</x:f>
        <x:v>1256.4254051001521</x:v>
      </x:c>
      <x:c r="U932" s="27" t="n">
        <x:f>N932*'Fleet Engine'!J200</x:f>
        <x:v>442.3526289463109</x:v>
      </x:c>
      <x:c r="V932" s="28" t="n">
        <x:f>U932*T932</x:f>
        <x:v>555783.081020986</x:v>
      </x:c>
      <x:c r="W932" s="28" t="n">
        <x:f>U932*O932</x:f>
        <x:v>2863408.341176022</x:v>
      </x:c>
    </x:row>
    <x:row r="933" ht="19" customHeight="1">
      <x:c r="A933" s="2"/>
      <x:c r="B933" s="2"/>
      <x:c r="C933" s="46" t="n">
        <x:v>4</x:v>
      </x:c>
      <x:c r="D933" s="46" t="n">
        <x:v>7</x:v>
      </x:c>
      <x:c r="E933" s="46" t="n">
        <x:v>1</x:v>
      </x:c>
      <x:c r="F933" s="46" t="n">
        <x:v>1</x:v>
      </x:c>
      <x:c r="G933" s="12" t="n">
        <x:v>0</x:v>
      </x:c>
      <x:c r="H933" s="12" t="n">
        <x:v>0.1111111111111111</x:v>
      </x:c>
      <x:c r="I933" s="29" t="n">
        <x:f>'Assumptions'!$D$11+'Assumptions'!$D$12*(0.5-(G933+H933)/2)</x:f>
        <x:v>0.3888888888888889</x:v>
      </x:c>
      <x:c r="J933" s="27" t="n">
        <x:f>'Assumptions'!$D$8*EXP(-'Assumptions'!$D$9*('Fleet Engine'!E201-10))*'Assumptions'!E56*'Assumptions'!H36</x:f>
        <x:v>25104.101673395035</x:v>
      </x:c>
      <x:c r="K933" s="27" t="n">
        <x:f>'Source Data'!F218+LN('Assumptions'!D56)+LN('Assumptions'!H35)</x:f>
        <x:v>7.916663861337495</x:v>
      </x:c>
      <x:c r="L933" s="27" t="n">
        <x:f>J933*(1-I933*(1-'Carrier Engine'!E95))</x:f>
        <x:v>15731.903715327557</x:v>
      </x:c>
      <x:c r="M933" s="29" t="n">
        <x:f>NORM.S.DIST((LN(L933)-K933)/'Assumptions'!$D$10,TRUE)</x:f>
        <x:v>0.867028537246276</x:v>
      </x:c>
      <x:c r="N933" s="30" t="n">
        <x:f>MAX(0,H933-MAX(G933,M933))</x:f>
        <x:v>0</x:v>
      </x:c>
      <x:c r="O933" s="28" t="n">
        <x:f>J933*I933</x:f>
        <x:v>9762.706206320292</x:v>
      </x:c>
      <x:c r="P933" s="27" t="n">
        <x:f>(VLOOKUP(O933,'Fee Data'!$C$6:$G$50,2,TRUE)+O933*VLOOKUP(O933,'Fee Data'!$C$6:$G$50,3,TRUE)+VLOOKUP(O933,'Fee Data'!$I$6:$J$14,2,TRUE)+'Fee Data'!$J$20+'Fee Data'!$J$21)*'Assumptions'!H37</x:f>
        <x:v>1195</x:v>
      </x:c>
      <x:c r="Q933" s="27" t="n">
        <x:f>(VLOOKUP(O933,'Fee Data'!$C$6:$G$50,4,TRUE)+O933*VLOOKUP(O933,'Fee Data'!$C$6:$G$50,5,TRUE)+VLOOKUP(O933,'Fee Data'!$I$6:$J$14,2,TRUE)+'Fee Data'!$J$20+'Fee Data'!$J$21)*'Assumptions'!H37</x:f>
        <x:v>1070</x:v>
      </x:c>
      <x:c r="R933" s="27" t="n">
        <x:f>P933*(1-'Assumptions'!$D$14)+Q933*'Assumptions'!$D$14</x:f>
        <x:v>1132.5</x:v>
      </x:c>
      <x:c r="S933" s="27" t="n">
        <x:f>O933*'Carrier Engine'!E95</x:f>
        <x:v>390.50824825281177</x:v>
      </x:c>
      <x:c r="T933" s="28" t="n">
        <x:f>R933+S933</x:f>
        <x:v>1523.0082482528119</x:v>
      </x:c>
      <x:c r="U933" s="27" t="n">
        <x:f>N933*'Fleet Engine'!J201</x:f>
        <x:v>0</x:v>
      </x:c>
      <x:c r="V933" s="28" t="n">
        <x:f>U933*T933</x:f>
        <x:v>0</x:v>
      </x:c>
      <x:c r="W933" s="28" t="n">
        <x:f>U933*O933</x:f>
        <x:v>0</x:v>
      </x:c>
    </x:row>
    <x:row r="934" ht="19" customHeight="1">
      <x:c r="A934" s="2"/>
      <x:c r="B934" s="2"/>
      <x:c r="C934" s="46" t="n">
        <x:v>4</x:v>
      </x:c>
      <x:c r="D934" s="46" t="n">
        <x:v>7</x:v>
      </x:c>
      <x:c r="E934" s="46" t="n">
        <x:v>1</x:v>
      </x:c>
      <x:c r="F934" s="46" t="n">
        <x:v>1</x:v>
      </x:c>
      <x:c r="G934" s="12" t="n">
        <x:v>0.1111111111111111</x:v>
      </x:c>
      <x:c r="H934" s="12" t="n">
        <x:v>0.2222222222222222</x:v>
      </x:c>
      <x:c r="I934" s="29" t="n">
        <x:f>'Assumptions'!$D$11+'Assumptions'!$D$12*(0.5-(G934+H934)/2)</x:f>
        <x:v>0.3666666666666667</x:v>
      </x:c>
      <x:c r="J934" s="27" t="n">
        <x:f>'Assumptions'!$D$8*EXP(-'Assumptions'!$D$9*('Fleet Engine'!E201-10))*'Assumptions'!E56*'Assumptions'!H36</x:f>
        <x:v>25104.101673395035</x:v>
      </x:c>
      <x:c r="K934" s="27" t="n">
        <x:f>'Source Data'!F218+LN('Assumptions'!D56)+LN('Assumptions'!H35)</x:f>
        <x:v>7.916663861337495</x:v>
      </x:c>
      <x:c r="L934" s="27" t="n">
        <x:f>J934*(1-I934*(1-'Carrier Engine'!E95))</x:f>
        <x:v>16267.45788435998</x:v>
      </x:c>
      <x:c r="M934" s="29" t="n">
        <x:f>NORM.S.DIST((LN(L934)-K934)/'Assumptions'!$D$10,TRUE)</x:f>
        <x:v>0.8715552402854367</x:v>
      </x:c>
      <x:c r="N934" s="30" t="n">
        <x:f>MAX(0,H934-MAX(G934,M934))</x:f>
        <x:v>0</x:v>
      </x:c>
      <x:c r="O934" s="28" t="n">
        <x:f>J934*I934</x:f>
        <x:v>9204.837280244847</x:v>
      </x:c>
      <x:c r="P934" s="27" t="n">
        <x:f>(VLOOKUP(O934,'Fee Data'!$C$6:$G$50,2,TRUE)+O934*VLOOKUP(O934,'Fee Data'!$C$6:$G$50,3,TRUE)+VLOOKUP(O934,'Fee Data'!$I$6:$J$14,2,TRUE)+'Fee Data'!$J$20+'Fee Data'!$J$21)*'Assumptions'!H37</x:f>
        <x:v>1195</x:v>
      </x:c>
      <x:c r="Q934" s="27" t="n">
        <x:f>(VLOOKUP(O934,'Fee Data'!$C$6:$G$50,4,TRUE)+O934*VLOOKUP(O934,'Fee Data'!$C$6:$G$50,5,TRUE)+VLOOKUP(O934,'Fee Data'!$I$6:$J$14,2,TRUE)+'Fee Data'!$J$20+'Fee Data'!$J$21)*'Assumptions'!H37</x:f>
        <x:v>1070</x:v>
      </x:c>
      <x:c r="R934" s="27" t="n">
        <x:f>P934*(1-'Assumptions'!$D$14)+Q934*'Assumptions'!$D$14</x:f>
        <x:v>1132.5</x:v>
      </x:c>
      <x:c r="S934" s="27" t="n">
        <x:f>O934*'Carrier Engine'!E95</x:f>
        <x:v>368.19349120979393</x:v>
      </x:c>
      <x:c r="T934" s="28" t="n">
        <x:f>R934+S934</x:f>
        <x:v>1500.693491209794</x:v>
      </x:c>
      <x:c r="U934" s="27" t="n">
        <x:f>N934*'Fleet Engine'!J201</x:f>
        <x:v>0</x:v>
      </x:c>
      <x:c r="V934" s="28" t="n">
        <x:f>U934*T934</x:f>
        <x:v>0</x:v>
      </x:c>
      <x:c r="W934" s="28" t="n">
        <x:f>U934*O934</x:f>
        <x:v>0</x:v>
      </x:c>
    </x:row>
    <x:row r="935" ht="19" customHeight="1">
      <x:c r="A935" s="2"/>
      <x:c r="B935" s="2"/>
      <x:c r="C935" s="46" t="n">
        <x:v>4</x:v>
      </x:c>
      <x:c r="D935" s="46" t="n">
        <x:v>7</x:v>
      </x:c>
      <x:c r="E935" s="46" t="n">
        <x:v>1</x:v>
      </x:c>
      <x:c r="F935" s="46" t="n">
        <x:v>1</x:v>
      </x:c>
      <x:c r="G935" s="12" t="n">
        <x:v>0.2222222222222222</x:v>
      </x:c>
      <x:c r="H935" s="12" t="n">
        <x:v>0.3333333333333333</x:v>
      </x:c>
      <x:c r="I935" s="29" t="n">
        <x:f>'Assumptions'!$D$11+'Assumptions'!$D$12*(0.5-(G935+H935)/2)</x:f>
        <x:v>0.34444444444444444</x:v>
      </x:c>
      <x:c r="J935" s="27" t="n">
        <x:f>'Assumptions'!$D$8*EXP(-'Assumptions'!$D$9*('Fleet Engine'!E201-10))*'Assumptions'!E56*'Assumptions'!H36</x:f>
        <x:v>25104.101673395035</x:v>
      </x:c>
      <x:c r="K935" s="27" t="n">
        <x:f>'Source Data'!F218+LN('Assumptions'!D56)+LN('Assumptions'!H35)</x:f>
        <x:v>7.916663861337495</x:v>
      </x:c>
      <x:c r="L935" s="27" t="n">
        <x:f>J935*(1-I935*(1-'Carrier Engine'!E95))</x:f>
        <x:v>16803.01205339241</x:v>
      </x:c>
      <x:c r="M935" s="29" t="n">
        <x:f>NORM.S.DIST((LN(L935)-K935)/'Assumptions'!$D$10,TRUE)</x:f>
        <x:v>0.8758323922514895</x:v>
      </x:c>
      <x:c r="N935" s="30" t="n">
        <x:f>MAX(0,H935-MAX(G935,M935))</x:f>
        <x:v>0</x:v>
      </x:c>
      <x:c r="O935" s="28" t="n">
        <x:f>J935*I935</x:f>
        <x:v>8646.968354169401</x:v>
      </x:c>
      <x:c r="P935" s="27" t="n">
        <x:f>(VLOOKUP(O935,'Fee Data'!$C$6:$G$50,2,TRUE)+O935*VLOOKUP(O935,'Fee Data'!$C$6:$G$50,3,TRUE)+VLOOKUP(O935,'Fee Data'!$I$6:$J$14,2,TRUE)+'Fee Data'!$J$20+'Fee Data'!$J$21)*'Assumptions'!H37</x:f>
        <x:v>1195</x:v>
      </x:c>
      <x:c r="Q935" s="27" t="n">
        <x:f>(VLOOKUP(O935,'Fee Data'!$C$6:$G$50,4,TRUE)+O935*VLOOKUP(O935,'Fee Data'!$C$6:$G$50,5,TRUE)+VLOOKUP(O935,'Fee Data'!$I$6:$J$14,2,TRUE)+'Fee Data'!$J$20+'Fee Data'!$J$21)*'Assumptions'!H37</x:f>
        <x:v>1070</x:v>
      </x:c>
      <x:c r="R935" s="27" t="n">
        <x:f>P935*(1-'Assumptions'!$D$14)+Q935*'Assumptions'!$D$14</x:f>
        <x:v>1132.5</x:v>
      </x:c>
      <x:c r="S935" s="27" t="n">
        <x:f>O935*'Carrier Engine'!E95</x:f>
        <x:v>345.8787341667761</x:v>
      </x:c>
      <x:c r="T935" s="28" t="n">
        <x:f>R935+S935</x:f>
        <x:v>1478.3787341667762</x:v>
      </x:c>
      <x:c r="U935" s="27" t="n">
        <x:f>N935*'Fleet Engine'!J201</x:f>
        <x:v>0</x:v>
      </x:c>
      <x:c r="V935" s="28" t="n">
        <x:f>U935*T935</x:f>
        <x:v>0</x:v>
      </x:c>
      <x:c r="W935" s="28" t="n">
        <x:f>U935*O935</x:f>
        <x:v>0</x:v>
      </x:c>
    </x:row>
    <x:row r="936" ht="19" customHeight="1">
      <x:c r="A936" s="2"/>
      <x:c r="B936" s="2"/>
      <x:c r="C936" s="46" t="n">
        <x:v>4</x:v>
      </x:c>
      <x:c r="D936" s="46" t="n">
        <x:v>7</x:v>
      </x:c>
      <x:c r="E936" s="46" t="n">
        <x:v>1</x:v>
      </x:c>
      <x:c r="F936" s="46" t="n">
        <x:v>1</x:v>
      </x:c>
      <x:c r="G936" s="12" t="n">
        <x:v>0.3333333333333333</x:v>
      </x:c>
      <x:c r="H936" s="12" t="n">
        <x:v>0.4444444444444444</x:v>
      </x:c>
      <x:c r="I936" s="29" t="n">
        <x:f>'Assumptions'!$D$11+'Assumptions'!$D$12*(0.5-(G936+H936)/2)</x:f>
        <x:v>0.32222222222222224</x:v>
      </x:c>
      <x:c r="J936" s="27" t="n">
        <x:f>'Assumptions'!$D$8*EXP(-'Assumptions'!$D$9*('Fleet Engine'!E201-10))*'Assumptions'!E56*'Assumptions'!H36</x:f>
        <x:v>25104.101673395035</x:v>
      </x:c>
      <x:c r="K936" s="27" t="n">
        <x:f>'Source Data'!F218+LN('Assumptions'!D56)+LN('Assumptions'!H35)</x:f>
        <x:v>7.916663861337495</x:v>
      </x:c>
      <x:c r="L936" s="27" t="n">
        <x:f>J936*(1-I936*(1-'Carrier Engine'!E95))</x:f>
        <x:v>17338.566222424837</x:v>
      </x:c>
      <x:c r="M936" s="29" t="n">
        <x:f>NORM.S.DIST((LN(L936)-K936)/'Assumptions'!$D$10,TRUE)</x:f>
        <x:v>0.8798793690489362</x:v>
      </x:c>
      <x:c r="N936" s="30" t="n">
        <x:f>MAX(0,H936-MAX(G936,M936))</x:f>
        <x:v>0</x:v>
      </x:c>
      <x:c r="O936" s="28" t="n">
        <x:f>J936*I936</x:f>
        <x:v>8089.099428093956</x:v>
      </x:c>
      <x:c r="P936" s="27" t="n">
        <x:f>(VLOOKUP(O936,'Fee Data'!$C$6:$G$50,2,TRUE)+O936*VLOOKUP(O936,'Fee Data'!$C$6:$G$50,3,TRUE)+VLOOKUP(O936,'Fee Data'!$I$6:$J$14,2,TRUE)+'Fee Data'!$J$20+'Fee Data'!$J$21)*'Assumptions'!H37</x:f>
        <x:v>1175</x:v>
      </x:c>
      <x:c r="Q936" s="27" t="n">
        <x:f>(VLOOKUP(O936,'Fee Data'!$C$6:$G$50,4,TRUE)+O936*VLOOKUP(O936,'Fee Data'!$C$6:$G$50,5,TRUE)+VLOOKUP(O936,'Fee Data'!$I$6:$J$14,2,TRUE)+'Fee Data'!$J$20+'Fee Data'!$J$21)*'Assumptions'!H37</x:f>
        <x:v>1050</x:v>
      </x:c>
      <x:c r="R936" s="27" t="n">
        <x:f>P936*(1-'Assumptions'!$D$14)+Q936*'Assumptions'!$D$14</x:f>
        <x:v>1112.5</x:v>
      </x:c>
      <x:c r="S936" s="27" t="n">
        <x:f>O936*'Carrier Engine'!E95</x:f>
        <x:v>323.5639771237583</x:v>
      </x:c>
      <x:c r="T936" s="28" t="n">
        <x:f>R936+S936</x:f>
        <x:v>1436.0639771237584</x:v>
      </x:c>
      <x:c r="U936" s="27" t="n">
        <x:f>N936*'Fleet Engine'!J201</x:f>
        <x:v>0</x:v>
      </x:c>
      <x:c r="V936" s="28" t="n">
        <x:f>U936*T936</x:f>
        <x:v>0</x:v>
      </x:c>
      <x:c r="W936" s="28" t="n">
        <x:f>U936*O936</x:f>
        <x:v>0</x:v>
      </x:c>
    </x:row>
    <x:row r="937" ht="19" customHeight="1">
      <x:c r="A937" s="2"/>
      <x:c r="B937" s="2"/>
      <x:c r="C937" s="46" t="n">
        <x:v>4</x:v>
      </x:c>
      <x:c r="D937" s="46" t="n">
        <x:v>7</x:v>
      </x:c>
      <x:c r="E937" s="46" t="n">
        <x:v>1</x:v>
      </x:c>
      <x:c r="F937" s="46" t="n">
        <x:v>1</x:v>
      </x:c>
      <x:c r="G937" s="12" t="n">
        <x:v>0.4444444444444444</x:v>
      </x:c>
      <x:c r="H937" s="12" t="n">
        <x:v>0.5555555555555556</x:v>
      </x:c>
      <x:c r="I937" s="29" t="n">
        <x:f>'Assumptions'!$D$11+'Assumptions'!$D$12*(0.5-(G937+H937)/2)</x:f>
        <x:v>0.3</x:v>
      </x:c>
      <x:c r="J937" s="27" t="n">
        <x:f>'Assumptions'!$D$8*EXP(-'Assumptions'!$D$9*('Fleet Engine'!E201-10))*'Assumptions'!E56*'Assumptions'!H36</x:f>
        <x:v>25104.101673395035</x:v>
      </x:c>
      <x:c r="K937" s="27" t="n">
        <x:f>'Source Data'!F218+LN('Assumptions'!D56)+LN('Assumptions'!H35)</x:f>
        <x:v>7.916663861337495</x:v>
      </x:c>
      <x:c r="L937" s="27" t="n">
        <x:f>J937*(1-I937*(1-'Carrier Engine'!E95))</x:f>
        <x:v>17874.120391457265</x:v>
      </x:c>
      <x:c r="M937" s="29" t="n">
        <x:f>NORM.S.DIST((LN(L937)-K937)/'Assumptions'!$D$10,TRUE)</x:f>
        <x:v>0.883713600649329</x:v>
      </x:c>
      <x:c r="N937" s="30" t="n">
        <x:f>MAX(0,H937-MAX(G937,M937))</x:f>
        <x:v>0</x:v>
      </x:c>
      <x:c r="O937" s="28" t="n">
        <x:f>J937*I937</x:f>
        <x:v>7531.23050201851</x:v>
      </x:c>
      <x:c r="P937" s="27" t="n">
        <x:f>(VLOOKUP(O937,'Fee Data'!$C$6:$G$50,2,TRUE)+O937*VLOOKUP(O937,'Fee Data'!$C$6:$G$50,3,TRUE)+VLOOKUP(O937,'Fee Data'!$I$6:$J$14,2,TRUE)+'Fee Data'!$J$20+'Fee Data'!$J$21)*'Assumptions'!H37</x:f>
        <x:v>1135</x:v>
      </x:c>
      <x:c r="Q937" s="27" t="n">
        <x:f>(VLOOKUP(O937,'Fee Data'!$C$6:$G$50,4,TRUE)+O937*VLOOKUP(O937,'Fee Data'!$C$6:$G$50,5,TRUE)+VLOOKUP(O937,'Fee Data'!$I$6:$J$14,2,TRUE)+'Fee Data'!$J$20+'Fee Data'!$J$21)*'Assumptions'!H37</x:f>
        <x:v>1010</x:v>
      </x:c>
      <x:c r="R937" s="27" t="n">
        <x:f>P937*(1-'Assumptions'!$D$14)+Q937*'Assumptions'!$D$14</x:f>
        <x:v>1072.5</x:v>
      </x:c>
      <x:c r="S937" s="27" t="n">
        <x:f>O937*'Carrier Engine'!E95</x:f>
        <x:v>301.2492200807405</x:v>
      </x:c>
      <x:c r="T937" s="28" t="n">
        <x:f>R937+S937</x:f>
        <x:v>1373.7492200807405</x:v>
      </x:c>
      <x:c r="U937" s="27" t="n">
        <x:f>N937*'Fleet Engine'!J201</x:f>
        <x:v>0</x:v>
      </x:c>
      <x:c r="V937" s="28" t="n">
        <x:f>U937*T937</x:f>
        <x:v>0</x:v>
      </x:c>
      <x:c r="W937" s="28" t="n">
        <x:f>U937*O937</x:f>
        <x:v>0</x:v>
      </x:c>
    </x:row>
    <x:row r="938" ht="19" customHeight="1">
      <x:c r="A938" s="2"/>
      <x:c r="B938" s="2"/>
      <x:c r="C938" s="46" t="n">
        <x:v>4</x:v>
      </x:c>
      <x:c r="D938" s="46" t="n">
        <x:v>7</x:v>
      </x:c>
      <x:c r="E938" s="46" t="n">
        <x:v>1</x:v>
      </x:c>
      <x:c r="F938" s="46" t="n">
        <x:v>1</x:v>
      </x:c>
      <x:c r="G938" s="12" t="n">
        <x:v>0.5555555555555556</x:v>
      </x:c>
      <x:c r="H938" s="12" t="n">
        <x:v>0.6666666666666666</x:v>
      </x:c>
      <x:c r="I938" s="29" t="n">
        <x:f>'Assumptions'!$D$11+'Assumptions'!$D$12*(0.5-(G938+H938)/2)</x:f>
        <x:v>0.27777777777777773</x:v>
      </x:c>
      <x:c r="J938" s="27" t="n">
        <x:f>'Assumptions'!$D$8*EXP(-'Assumptions'!$D$9*('Fleet Engine'!E201-10))*'Assumptions'!E56*'Assumptions'!H36</x:f>
        <x:v>25104.101673395035</x:v>
      </x:c>
      <x:c r="K938" s="27" t="n">
        <x:f>'Source Data'!F218+LN('Assumptions'!D56)+LN('Assumptions'!H35)</x:f>
        <x:v>7.916663861337495</x:v>
      </x:c>
      <x:c r="L938" s="27" t="n">
        <x:f>J938*(1-I938*(1-'Carrier Engine'!E95))</x:f>
        <x:v>18409.674560489693</x:v>
      </x:c>
      <x:c r="M938" s="29" t="n">
        <x:f>NORM.S.DIST((LN(L938)-K938)/'Assumptions'!$D$10,TRUE)</x:f>
        <x:v>0.8873508102719798</x:v>
      </x:c>
      <x:c r="N938" s="30" t="n">
        <x:f>MAX(0,H938-MAX(G938,M938))</x:f>
        <x:v>0</x:v>
      </x:c>
      <x:c r="O938" s="28" t="n">
        <x:f>J938*I938</x:f>
        <x:v>6973.361575943064</x:v>
      </x:c>
      <x:c r="P938" s="27" t="n">
        <x:f>(VLOOKUP(O938,'Fee Data'!$C$6:$G$50,2,TRUE)+O938*VLOOKUP(O938,'Fee Data'!$C$6:$G$50,3,TRUE)+VLOOKUP(O938,'Fee Data'!$I$6:$J$14,2,TRUE)+'Fee Data'!$J$20+'Fee Data'!$J$21)*'Assumptions'!H37</x:f>
        <x:v>1080</x:v>
      </x:c>
      <x:c r="Q938" s="27" t="n">
        <x:f>(VLOOKUP(O938,'Fee Data'!$C$6:$G$50,4,TRUE)+O938*VLOOKUP(O938,'Fee Data'!$C$6:$G$50,5,TRUE)+VLOOKUP(O938,'Fee Data'!$I$6:$J$14,2,TRUE)+'Fee Data'!$J$20+'Fee Data'!$J$21)*'Assumptions'!H37</x:f>
        <x:v>955</x:v>
      </x:c>
      <x:c r="R938" s="27" t="n">
        <x:f>P938*(1-'Assumptions'!$D$14)+Q938*'Assumptions'!$D$14</x:f>
        <x:v>1017.5</x:v>
      </x:c>
      <x:c r="S938" s="27" t="n">
        <x:f>O938*'Carrier Engine'!E95</x:f>
        <x:v>278.9344630377226</x:v>
      </x:c>
      <x:c r="T938" s="28" t="n">
        <x:f>R938+S938</x:f>
        <x:v>1296.4344630377227</x:v>
      </x:c>
      <x:c r="U938" s="27" t="n">
        <x:f>N938*'Fleet Engine'!J201</x:f>
        <x:v>0</x:v>
      </x:c>
      <x:c r="V938" s="28" t="n">
        <x:f>U938*T938</x:f>
        <x:v>0</x:v>
      </x:c>
      <x:c r="W938" s="28" t="n">
        <x:f>U938*O938</x:f>
        <x:v>0</x:v>
      </x:c>
    </x:row>
    <x:row r="939" ht="19" customHeight="1">
      <x:c r="A939" s="2"/>
      <x:c r="B939" s="2"/>
      <x:c r="C939" s="46" t="n">
        <x:v>4</x:v>
      </x:c>
      <x:c r="D939" s="46" t="n">
        <x:v>7</x:v>
      </x:c>
      <x:c r="E939" s="46" t="n">
        <x:v>1</x:v>
      </x:c>
      <x:c r="F939" s="46" t="n">
        <x:v>1</x:v>
      </x:c>
      <x:c r="G939" s="12" t="n">
        <x:v>0.6666666666666666</x:v>
      </x:c>
      <x:c r="H939" s="12" t="n">
        <x:v>0.7777777777777778</x:v>
      </x:c>
      <x:c r="I939" s="29" t="n">
        <x:f>'Assumptions'!$D$11+'Assumptions'!$D$12*(0.5-(G939+H939)/2)</x:f>
        <x:v>0.25555555555555554</x:v>
      </x:c>
      <x:c r="J939" s="27" t="n">
        <x:f>'Assumptions'!$D$8*EXP(-'Assumptions'!$D$9*('Fleet Engine'!E201-10))*'Assumptions'!E56*'Assumptions'!H36</x:f>
        <x:v>25104.101673395035</x:v>
      </x:c>
      <x:c r="K939" s="27" t="n">
        <x:f>'Source Data'!F218+LN('Assumptions'!D56)+LN('Assumptions'!H35)</x:f>
        <x:v>7.916663861337495</x:v>
      </x:c>
      <x:c r="L939" s="27" t="n">
        <x:f>J939*(1-I939*(1-'Carrier Engine'!E95))</x:f>
        <x:v>18945.22872952212</x:v>
      </x:c>
      <x:c r="M939" s="29" t="n">
        <x:f>NORM.S.DIST((LN(L939)-K939)/'Assumptions'!$D$10,TRUE)</x:f>
        <x:v>0.8908052189301703</x:v>
      </x:c>
      <x:c r="N939" s="30" t="n">
        <x:f>MAX(0,H939-MAX(G939,M939))</x:f>
        <x:v>0</x:v>
      </x:c>
      <x:c r="O939" s="28" t="n">
        <x:f>J939*I939</x:f>
        <x:v>6415.49264986762</x:v>
      </x:c>
      <x:c r="P939" s="27" t="n">
        <x:f>(VLOOKUP(O939,'Fee Data'!$C$6:$G$50,2,TRUE)+O939*VLOOKUP(O939,'Fee Data'!$C$6:$G$50,3,TRUE)+VLOOKUP(O939,'Fee Data'!$I$6:$J$14,2,TRUE)+'Fee Data'!$J$20+'Fee Data'!$J$21)*'Assumptions'!H37</x:f>
        <x:v>1060</x:v>
      </x:c>
      <x:c r="Q939" s="27" t="n">
        <x:f>(VLOOKUP(O939,'Fee Data'!$C$6:$G$50,4,TRUE)+O939*VLOOKUP(O939,'Fee Data'!$C$6:$G$50,5,TRUE)+VLOOKUP(O939,'Fee Data'!$I$6:$J$14,2,TRUE)+'Fee Data'!$J$20+'Fee Data'!$J$21)*'Assumptions'!H37</x:f>
        <x:v>935</x:v>
      </x:c>
      <x:c r="R939" s="27" t="n">
        <x:f>P939*(1-'Assumptions'!$D$14)+Q939*'Assumptions'!$D$14</x:f>
        <x:v>997.5</x:v>
      </x:c>
      <x:c r="S939" s="27" t="n">
        <x:f>O939*'Carrier Engine'!E95</x:f>
        <x:v>256.6197059947048</x:v>
      </x:c>
      <x:c r="T939" s="28" t="n">
        <x:f>R939+S939</x:f>
        <x:v>1254.1197059947049</x:v>
      </x:c>
      <x:c r="U939" s="27" t="n">
        <x:f>N939*'Fleet Engine'!J201</x:f>
        <x:v>0</x:v>
      </x:c>
      <x:c r="V939" s="28" t="n">
        <x:f>U939*T939</x:f>
        <x:v>0</x:v>
      </x:c>
      <x:c r="W939" s="28" t="n">
        <x:f>U939*O939</x:f>
        <x:v>0</x:v>
      </x:c>
    </x:row>
    <x:row r="940" ht="19" customHeight="1">
      <x:c r="A940" s="2"/>
      <x:c r="B940" s="2"/>
      <x:c r="C940" s="46" t="n">
        <x:v>4</x:v>
      </x:c>
      <x:c r="D940" s="46" t="n">
        <x:v>7</x:v>
      </x:c>
      <x:c r="E940" s="46" t="n">
        <x:v>1</x:v>
      </x:c>
      <x:c r="F940" s="46" t="n">
        <x:v>1</x:v>
      </x:c>
      <x:c r="G940" s="12" t="n">
        <x:v>0.7777777777777778</x:v>
      </x:c>
      <x:c r="H940" s="12" t="n">
        <x:v>0.8888888888888888</x:v>
      </x:c>
      <x:c r="I940" s="29" t="n">
        <x:f>'Assumptions'!$D$11+'Assumptions'!$D$12*(0.5-(G940+H940)/2)</x:f>
        <x:v>0.23333333333333334</x:v>
      </x:c>
      <x:c r="J940" s="27" t="n">
        <x:f>'Assumptions'!$D$8*EXP(-'Assumptions'!$D$9*('Fleet Engine'!E201-10))*'Assumptions'!E56*'Assumptions'!H36</x:f>
        <x:v>25104.101673395035</x:v>
      </x:c>
      <x:c r="K940" s="27" t="n">
        <x:f>'Source Data'!F218+LN('Assumptions'!D56)+LN('Assumptions'!H35)</x:f>
        <x:v>7.916663861337495</x:v>
      </x:c>
      <x:c r="L940" s="27" t="n">
        <x:f>J940*(1-I940*(1-'Carrier Engine'!E95))</x:f>
        <x:v>19480.782898554546</x:v>
      </x:c>
      <x:c r="M940" s="29" t="n">
        <x:f>NORM.S.DIST((LN(L940)-K940)/'Assumptions'!$D$10,TRUE)</x:f>
        <x:v>0.8940897210910779</x:v>
      </x:c>
      <x:c r="N940" s="30" t="n">
        <x:f>MAX(0,H940-MAX(G940,M940))</x:f>
        <x:v>0</x:v>
      </x:c>
      <x:c r="O940" s="28" t="n">
        <x:f>J940*I940</x:f>
        <x:v>5857.623723792175</x:v>
      </x:c>
      <x:c r="P940" s="27" t="n">
        <x:f>(VLOOKUP(O940,'Fee Data'!$C$6:$G$50,2,TRUE)+O940*VLOOKUP(O940,'Fee Data'!$C$6:$G$50,3,TRUE)+VLOOKUP(O940,'Fee Data'!$I$6:$J$14,2,TRUE)+'Fee Data'!$J$20+'Fee Data'!$J$21)*'Assumptions'!H37</x:f>
        <x:v>1020</x:v>
      </x:c>
      <x:c r="Q940" s="27" t="n">
        <x:f>(VLOOKUP(O940,'Fee Data'!$C$6:$G$50,4,TRUE)+O940*VLOOKUP(O940,'Fee Data'!$C$6:$G$50,5,TRUE)+VLOOKUP(O940,'Fee Data'!$I$6:$J$14,2,TRUE)+'Fee Data'!$J$20+'Fee Data'!$J$21)*'Assumptions'!H37</x:f>
        <x:v>895</x:v>
      </x:c>
      <x:c r="R940" s="27" t="n">
        <x:f>P940*(1-'Assumptions'!$D$14)+Q940*'Assumptions'!$D$14</x:f>
        <x:v>957.5</x:v>
      </x:c>
      <x:c r="S940" s="27" t="n">
        <x:f>O940*'Carrier Engine'!E95</x:f>
        <x:v>234.30494895168704</x:v>
      </x:c>
      <x:c r="T940" s="28" t="n">
        <x:f>R940+S940</x:f>
        <x:v>1191.804948951687</x:v>
      </x:c>
      <x:c r="U940" s="27" t="n">
        <x:f>N940*'Fleet Engine'!J201</x:f>
        <x:v>0</x:v>
      </x:c>
      <x:c r="V940" s="28" t="n">
        <x:f>U940*T940</x:f>
        <x:v>0</x:v>
      </x:c>
      <x:c r="W940" s="28" t="n">
        <x:f>U940*O940</x:f>
        <x:v>0</x:v>
      </x:c>
    </x:row>
    <x:row r="941" ht="19" customHeight="1">
      <x:c r="A941" s="2"/>
      <x:c r="B941" s="2"/>
      <x:c r="C941" s="46" t="n">
        <x:v>4</x:v>
      </x:c>
      <x:c r="D941" s="46" t="n">
        <x:v>7</x:v>
      </x:c>
      <x:c r="E941" s="46" t="n">
        <x:v>1</x:v>
      </x:c>
      <x:c r="F941" s="46" t="n">
        <x:v>1</x:v>
      </x:c>
      <x:c r="G941" s="12" t="n">
        <x:v>0.8888888888888888</x:v>
      </x:c>
      <x:c r="H941" s="12" t="n">
        <x:v>1</x:v>
      </x:c>
      <x:c r="I941" s="29" t="n">
        <x:f>'Assumptions'!$D$11+'Assumptions'!$D$12*(0.5-(G941+H941)/2)</x:f>
        <x:v>0.21111111111111108</x:v>
      </x:c>
      <x:c r="J941" s="27" t="n">
        <x:f>'Assumptions'!$D$8*EXP(-'Assumptions'!$D$9*('Fleet Engine'!E201-10))*'Assumptions'!E56*'Assumptions'!H36</x:f>
        <x:v>25104.101673395035</x:v>
      </x:c>
      <x:c r="K941" s="27" t="n">
        <x:f>'Source Data'!F218+LN('Assumptions'!D56)+LN('Assumptions'!H35)</x:f>
        <x:v>7.916663861337495</x:v>
      </x:c>
      <x:c r="L941" s="27" t="n">
        <x:f>J941*(1-I941*(1-'Carrier Engine'!E95))</x:f>
        <x:v>20016.337067586974</x:v>
      </x:c>
      <x:c r="M941" s="29" t="n">
        <x:f>NORM.S.DIST((LN(L941)-K941)/'Assumptions'!$D$10,TRUE)</x:f>
        <x:v>0.897216036126494</x:v>
      </x:c>
      <x:c r="N941" s="30" t="n">
        <x:f>MAX(0,H941-MAX(G941,M941))</x:f>
        <x:v>0.10278396387350597</x:v>
      </x:c>
      <x:c r="O941" s="28" t="n">
        <x:f>J941*I941</x:f>
        <x:v>5299.754797716729</x:v>
      </x:c>
      <x:c r="P941" s="27" t="n">
        <x:f>(VLOOKUP(O941,'Fee Data'!$C$6:$G$50,2,TRUE)+O941*VLOOKUP(O941,'Fee Data'!$C$6:$G$50,3,TRUE)+VLOOKUP(O941,'Fee Data'!$I$6:$J$14,2,TRUE)+'Fee Data'!$J$20+'Fee Data'!$J$21)*'Assumptions'!H37</x:f>
        <x:v>995</x:v>
      </x:c>
      <x:c r="Q941" s="27" t="n">
        <x:f>(VLOOKUP(O941,'Fee Data'!$C$6:$G$50,4,TRUE)+O941*VLOOKUP(O941,'Fee Data'!$C$6:$G$50,5,TRUE)+VLOOKUP(O941,'Fee Data'!$I$6:$J$14,2,TRUE)+'Fee Data'!$J$20+'Fee Data'!$J$21)*'Assumptions'!H37</x:f>
        <x:v>870</x:v>
      </x:c>
      <x:c r="R941" s="27" t="n">
        <x:f>P941*(1-'Assumptions'!$D$14)+Q941*'Assumptions'!$D$14</x:f>
        <x:v>932.5</x:v>
      </x:c>
      <x:c r="S941" s="27" t="n">
        <x:f>O941*'Carrier Engine'!E95</x:f>
        <x:v>211.9901919086692</x:v>
      </x:c>
      <x:c r="T941" s="28" t="n">
        <x:f>R941+S941</x:f>
        <x:v>1144.4901919086692</x:v>
      </x:c>
      <x:c r="U941" s="27" t="n">
        <x:f>N941*'Fleet Engine'!J201</x:f>
        <x:v>2693.0541299184274</x:v>
      </x:c>
      <x:c r="V941" s="28" t="n">
        <x:f>U941*T941</x:f>
        <x:v>3082174.0379707753</x:v>
      </x:c>
      <x:c r="W941" s="28" t="n">
        <x:f>U941*O941</x:f>
        <x:v>14272526.545546036</x:v>
      </x:c>
    </x:row>
    <x:row r="942" ht="19" customHeight="1">
      <x:c r="A942" s="2"/>
      <x:c r="B942" s="2"/>
      <x:c r="C942" s="46" t="n">
        <x:v>4</x:v>
      </x:c>
      <x:c r="D942" s="46" t="n">
        <x:v>8</x:v>
      </x:c>
      <x:c r="E942" s="46" t="n">
        <x:v>1</x:v>
      </x:c>
      <x:c r="F942" s="46" t="n">
        <x:v>2</x:v>
      </x:c>
      <x:c r="G942" s="12" t="n">
        <x:v>0</x:v>
      </x:c>
      <x:c r="H942" s="12" t="n">
        <x:v>0.1111111111111111</x:v>
      </x:c>
      <x:c r="I942" s="29" t="n">
        <x:f>'Assumptions'!$D$11+'Assumptions'!$D$12*(0.5-(G942+H942)/2)</x:f>
        <x:v>0.3888888888888889</x:v>
      </x:c>
      <x:c r="J942" s="27" t="n">
        <x:f>'Assumptions'!$D$8*EXP(-'Assumptions'!$D$9*('Fleet Engine'!E202-10))*'Assumptions'!E56*'Assumptions'!H36</x:f>
        <x:v>18597.575933497446</x:v>
      </x:c>
      <x:c r="K942" s="27" t="n">
        <x:f>'Source Data'!F219+LN('Assumptions'!D56)+LN('Assumptions'!H35)</x:f>
        <x:v>7.962345702623303</x:v>
      </x:c>
      <x:c r="L942" s="27" t="n">
        <x:f>J942*(1-I942*(1-'Carrier Engine'!E95))</x:f>
        <x:v>11654.480918325067</x:v>
      </x:c>
      <x:c r="M942" s="29" t="n">
        <x:f>NORM.S.DIST((LN(L942)-K942)/'Assumptions'!$D$10,TRUE)</x:f>
        <x:v>0.8138848687134156</x:v>
      </x:c>
      <x:c r="N942" s="30" t="n">
        <x:f>MAX(0,H942-MAX(G942,M942))</x:f>
        <x:v>0</x:v>
      </x:c>
      <x:c r="O942" s="28" t="n">
        <x:f>J942*I942</x:f>
        <x:v>7232.390640804562</x:v>
      </x:c>
      <x:c r="P942" s="27" t="n">
        <x:f>(VLOOKUP(O942,'Fee Data'!$C$6:$G$50,2,TRUE)+O942*VLOOKUP(O942,'Fee Data'!$C$6:$G$50,3,TRUE)+VLOOKUP(O942,'Fee Data'!$I$6:$J$14,2,TRUE)+'Fee Data'!$J$20+'Fee Data'!$J$21)*'Assumptions'!H37</x:f>
        <x:v>1115</x:v>
      </x:c>
      <x:c r="Q942" s="27" t="n">
        <x:f>(VLOOKUP(O942,'Fee Data'!$C$6:$G$50,4,TRUE)+O942*VLOOKUP(O942,'Fee Data'!$C$6:$G$50,5,TRUE)+VLOOKUP(O942,'Fee Data'!$I$6:$J$14,2,TRUE)+'Fee Data'!$J$20+'Fee Data'!$J$21)*'Assumptions'!H37</x:f>
        <x:v>990</x:v>
      </x:c>
      <x:c r="R942" s="27" t="n">
        <x:f>P942*(1-'Assumptions'!$D$14)+Q942*'Assumptions'!$D$14</x:f>
        <x:v>1052.5</x:v>
      </x:c>
      <x:c r="S942" s="27" t="n">
        <x:f>O942*'Carrier Engine'!E95</x:f>
        <x:v>289.2956256321825</x:v>
      </x:c>
      <x:c r="T942" s="28" t="n">
        <x:f>R942+S942</x:f>
        <x:v>1341.7956256321825</x:v>
      </x:c>
      <x:c r="U942" s="27" t="n">
        <x:f>N942*'Fleet Engine'!J202</x:f>
        <x:v>0</x:v>
      </x:c>
      <x:c r="V942" s="28" t="n">
        <x:f>U942*T942</x:f>
        <x:v>0</x:v>
      </x:c>
      <x:c r="W942" s="28" t="n">
        <x:f>U942*O942</x:f>
        <x:v>0</x:v>
      </x:c>
    </x:row>
    <x:row r="943" ht="19" customHeight="1">
      <x:c r="A943" s="2"/>
      <x:c r="B943" s="2"/>
      <x:c r="C943" s="46" t="n">
        <x:v>4</x:v>
      </x:c>
      <x:c r="D943" s="46" t="n">
        <x:v>8</x:v>
      </x:c>
      <x:c r="E943" s="46" t="n">
        <x:v>1</x:v>
      </x:c>
      <x:c r="F943" s="46" t="n">
        <x:v>2</x:v>
      </x:c>
      <x:c r="G943" s="12" t="n">
        <x:v>0.1111111111111111</x:v>
      </x:c>
      <x:c r="H943" s="12" t="n">
        <x:v>0.2222222222222222</x:v>
      </x:c>
      <x:c r="I943" s="29" t="n">
        <x:f>'Assumptions'!$D$11+'Assumptions'!$D$12*(0.5-(G943+H943)/2)</x:f>
        <x:v>0.3666666666666667</x:v>
      </x:c>
      <x:c r="J943" s="27" t="n">
        <x:f>'Assumptions'!$D$8*EXP(-'Assumptions'!$D$9*('Fleet Engine'!E202-10))*'Assumptions'!E56*'Assumptions'!H36</x:f>
        <x:v>18597.575933497446</x:v>
      </x:c>
      <x:c r="K943" s="27" t="n">
        <x:f>'Source Data'!F219+LN('Assumptions'!D56)+LN('Assumptions'!H35)</x:f>
        <x:v>7.962345702623303</x:v>
      </x:c>
      <x:c r="L943" s="27" t="n">
        <x:f>J943*(1-I943*(1-'Carrier Engine'!E95))</x:f>
        <x:v>12051.229204906344</x:v>
      </x:c>
      <x:c r="M943" s="29" t="n">
        <x:f>NORM.S.DIST((LN(L943)-K943)/'Assumptions'!$D$10,TRUE)</x:f>
        <x:v>0.8195425068236845</x:v>
      </x:c>
      <x:c r="N943" s="30" t="n">
        <x:f>MAX(0,H943-MAX(G943,M943))</x:f>
        <x:v>0</x:v>
      </x:c>
      <x:c r="O943" s="28" t="n">
        <x:f>J943*I943</x:f>
        <x:v>6819.111175615731</x:v>
      </x:c>
      <x:c r="P943" s="27" t="n">
        <x:f>(VLOOKUP(O943,'Fee Data'!$C$6:$G$50,2,TRUE)+O943*VLOOKUP(O943,'Fee Data'!$C$6:$G$50,3,TRUE)+VLOOKUP(O943,'Fee Data'!$I$6:$J$14,2,TRUE)+'Fee Data'!$J$20+'Fee Data'!$J$21)*'Assumptions'!H37</x:f>
        <x:v>1080</x:v>
      </x:c>
      <x:c r="Q943" s="27" t="n">
        <x:f>(VLOOKUP(O943,'Fee Data'!$C$6:$G$50,4,TRUE)+O943*VLOOKUP(O943,'Fee Data'!$C$6:$G$50,5,TRUE)+VLOOKUP(O943,'Fee Data'!$I$6:$J$14,2,TRUE)+'Fee Data'!$J$20+'Fee Data'!$J$21)*'Assumptions'!H37</x:f>
        <x:v>955</x:v>
      </x:c>
      <x:c r="R943" s="27" t="n">
        <x:f>P943*(1-'Assumptions'!$D$14)+Q943*'Assumptions'!$D$14</x:f>
        <x:v>1017.5</x:v>
      </x:c>
      <x:c r="S943" s="27" t="n">
        <x:f>O943*'Carrier Engine'!E95</x:f>
        <x:v>272.7644470246293</x:v>
      </x:c>
      <x:c r="T943" s="28" t="n">
        <x:f>R943+S943</x:f>
        <x:v>1290.2644470246294</x:v>
      </x:c>
      <x:c r="U943" s="27" t="n">
        <x:f>N943*'Fleet Engine'!J202</x:f>
        <x:v>0</x:v>
      </x:c>
      <x:c r="V943" s="28" t="n">
        <x:f>U943*T943</x:f>
        <x:v>0</x:v>
      </x:c>
      <x:c r="W943" s="28" t="n">
        <x:f>U943*O943</x:f>
        <x:v>0</x:v>
      </x:c>
    </x:row>
    <x:row r="944" ht="19" customHeight="1">
      <x:c r="A944" s="2"/>
      <x:c r="B944" s="2"/>
      <x:c r="C944" s="46" t="n">
        <x:v>4</x:v>
      </x:c>
      <x:c r="D944" s="46" t="n">
        <x:v>8</x:v>
      </x:c>
      <x:c r="E944" s="46" t="n">
        <x:v>1</x:v>
      </x:c>
      <x:c r="F944" s="46" t="n">
        <x:v>2</x:v>
      </x:c>
      <x:c r="G944" s="12" t="n">
        <x:v>0.2222222222222222</x:v>
      </x:c>
      <x:c r="H944" s="12" t="n">
        <x:v>0.3333333333333333</x:v>
      </x:c>
      <x:c r="I944" s="29" t="n">
        <x:f>'Assumptions'!$D$11+'Assumptions'!$D$12*(0.5-(G944+H944)/2)</x:f>
        <x:v>0.34444444444444444</x:v>
      </x:c>
      <x:c r="J944" s="27" t="n">
        <x:f>'Assumptions'!$D$8*EXP(-'Assumptions'!$D$9*('Fleet Engine'!E202-10))*'Assumptions'!E56*'Assumptions'!H36</x:f>
        <x:v>18597.575933497446</x:v>
      </x:c>
      <x:c r="K944" s="27" t="n">
        <x:f>'Source Data'!F219+LN('Assumptions'!D56)+LN('Assumptions'!H35)</x:f>
        <x:v>7.962345702623303</x:v>
      </x:c>
      <x:c r="L944" s="27" t="n">
        <x:f>J944*(1-I944*(1-'Carrier Engine'!E95))</x:f>
        <x:v>12447.977491487623</x:v>
      </x:c>
      <x:c r="M944" s="29" t="n">
        <x:f>NORM.S.DIST((LN(L944)-K944)/'Assumptions'!$D$10,TRUE)</x:f>
        <x:v>0.8249129898049964</x:v>
      </x:c>
      <x:c r="N944" s="30" t="n">
        <x:f>MAX(0,H944-MAX(G944,M944))</x:f>
        <x:v>0</x:v>
      </x:c>
      <x:c r="O944" s="28" t="n">
        <x:f>J944*I944</x:f>
        <x:v>6405.831710426898</x:v>
      </x:c>
      <x:c r="P944" s="27" t="n">
        <x:f>(VLOOKUP(O944,'Fee Data'!$C$6:$G$50,2,TRUE)+O944*VLOOKUP(O944,'Fee Data'!$C$6:$G$50,3,TRUE)+VLOOKUP(O944,'Fee Data'!$I$6:$J$14,2,TRUE)+'Fee Data'!$J$20+'Fee Data'!$J$21)*'Assumptions'!H37</x:f>
        <x:v>1060</x:v>
      </x:c>
      <x:c r="Q944" s="27" t="n">
        <x:f>(VLOOKUP(O944,'Fee Data'!$C$6:$G$50,4,TRUE)+O944*VLOOKUP(O944,'Fee Data'!$C$6:$G$50,5,TRUE)+VLOOKUP(O944,'Fee Data'!$I$6:$J$14,2,TRUE)+'Fee Data'!$J$20+'Fee Data'!$J$21)*'Assumptions'!H37</x:f>
        <x:v>935</x:v>
      </x:c>
      <x:c r="R944" s="27" t="n">
        <x:f>P944*(1-'Assumptions'!$D$14)+Q944*'Assumptions'!$D$14</x:f>
        <x:v>997.5</x:v>
      </x:c>
      <x:c r="S944" s="27" t="n">
        <x:f>O944*'Carrier Engine'!E95</x:f>
        <x:v>256.233268417076</x:v>
      </x:c>
      <x:c r="T944" s="28" t="n">
        <x:f>R944+S944</x:f>
        <x:v>1253.733268417076</x:v>
      </x:c>
      <x:c r="U944" s="27" t="n">
        <x:f>N944*'Fleet Engine'!J202</x:f>
        <x:v>0</x:v>
      </x:c>
      <x:c r="V944" s="28" t="n">
        <x:f>U944*T944</x:f>
        <x:v>0</x:v>
      </x:c>
      <x:c r="W944" s="28" t="n">
        <x:f>U944*O944</x:f>
        <x:v>0</x:v>
      </x:c>
    </x:row>
    <x:row r="945" ht="19" customHeight="1">
      <x:c r="A945" s="2"/>
      <x:c r="B945" s="2"/>
      <x:c r="C945" s="46" t="n">
        <x:v>4</x:v>
      </x:c>
      <x:c r="D945" s="46" t="n">
        <x:v>8</x:v>
      </x:c>
      <x:c r="E945" s="46" t="n">
        <x:v>1</x:v>
      </x:c>
      <x:c r="F945" s="46" t="n">
        <x:v>2</x:v>
      </x:c>
      <x:c r="G945" s="12" t="n">
        <x:v>0.3333333333333333</x:v>
      </x:c>
      <x:c r="H945" s="12" t="n">
        <x:v>0.4444444444444444</x:v>
      </x:c>
      <x:c r="I945" s="29" t="n">
        <x:f>'Assumptions'!$D$11+'Assumptions'!$D$12*(0.5-(G945+H945)/2)</x:f>
        <x:v>0.32222222222222224</x:v>
      </x:c>
      <x:c r="J945" s="27" t="n">
        <x:f>'Assumptions'!$D$8*EXP(-'Assumptions'!$D$9*('Fleet Engine'!E202-10))*'Assumptions'!E56*'Assumptions'!H36</x:f>
        <x:v>18597.575933497446</x:v>
      </x:c>
      <x:c r="K945" s="27" t="n">
        <x:f>'Source Data'!F219+LN('Assumptions'!D56)+LN('Assumptions'!H35)</x:f>
        <x:v>7.962345702623303</x:v>
      </x:c>
      <x:c r="L945" s="27" t="n">
        <x:f>J945*(1-I945*(1-'Carrier Engine'!E95))</x:f>
        <x:v>12844.725778068903</x:v>
      </x:c>
      <x:c r="M945" s="29" t="n">
        <x:f>NORM.S.DIST((LN(L945)-K945)/'Assumptions'!$D$10,TRUE)</x:f>
        <x:v>0.8300172277569353</x:v>
      </x:c>
      <x:c r="N945" s="30" t="n">
        <x:f>MAX(0,H945-MAX(G945,M945))</x:f>
        <x:v>0</x:v>
      </x:c>
      <x:c r="O945" s="28" t="n">
        <x:f>J945*I945</x:f>
        <x:v>5992.5522452380665</x:v>
      </x:c>
      <x:c r="P945" s="27" t="n">
        <x:f>(VLOOKUP(O945,'Fee Data'!$C$6:$G$50,2,TRUE)+O945*VLOOKUP(O945,'Fee Data'!$C$6:$G$50,3,TRUE)+VLOOKUP(O945,'Fee Data'!$I$6:$J$14,2,TRUE)+'Fee Data'!$J$20+'Fee Data'!$J$21)*'Assumptions'!H37</x:f>
        <x:v>1020</x:v>
      </x:c>
      <x:c r="Q945" s="27" t="n">
        <x:f>(VLOOKUP(O945,'Fee Data'!$C$6:$G$50,4,TRUE)+O945*VLOOKUP(O945,'Fee Data'!$C$6:$G$50,5,TRUE)+VLOOKUP(O945,'Fee Data'!$I$6:$J$14,2,TRUE)+'Fee Data'!$J$20+'Fee Data'!$J$21)*'Assumptions'!H37</x:f>
        <x:v>895</x:v>
      </x:c>
      <x:c r="R945" s="27" t="n">
        <x:f>P945*(1-'Assumptions'!$D$14)+Q945*'Assumptions'!$D$14</x:f>
        <x:v>957.5</x:v>
      </x:c>
      <x:c r="S945" s="27" t="n">
        <x:f>O945*'Carrier Engine'!E95</x:f>
        <x:v>239.7020898095227</x:v>
      </x:c>
      <x:c r="T945" s="28" t="n">
        <x:f>R945+S945</x:f>
        <x:v>1197.2020898095227</x:v>
      </x:c>
      <x:c r="U945" s="27" t="n">
        <x:f>N945*'Fleet Engine'!J202</x:f>
        <x:v>0</x:v>
      </x:c>
      <x:c r="V945" s="28" t="n">
        <x:f>U945*T945</x:f>
        <x:v>0</x:v>
      </x:c>
      <x:c r="W945" s="28" t="n">
        <x:f>U945*O945</x:f>
        <x:v>0</x:v>
      </x:c>
    </x:row>
    <x:row r="946" ht="19" customHeight="1">
      <x:c r="A946" s="2"/>
      <x:c r="B946" s="2"/>
      <x:c r="C946" s="46" t="n">
        <x:v>4</x:v>
      </x:c>
      <x:c r="D946" s="46" t="n">
        <x:v>8</x:v>
      </x:c>
      <x:c r="E946" s="46" t="n">
        <x:v>1</x:v>
      </x:c>
      <x:c r="F946" s="46" t="n">
        <x:v>2</x:v>
      </x:c>
      <x:c r="G946" s="12" t="n">
        <x:v>0.4444444444444444</x:v>
      </x:c>
      <x:c r="H946" s="12" t="n">
        <x:v>0.5555555555555556</x:v>
      </x:c>
      <x:c r="I946" s="29" t="n">
        <x:f>'Assumptions'!$D$11+'Assumptions'!$D$12*(0.5-(G946+H946)/2)</x:f>
        <x:v>0.3</x:v>
      </x:c>
      <x:c r="J946" s="27" t="n">
        <x:f>'Assumptions'!$D$8*EXP(-'Assumptions'!$D$9*('Fleet Engine'!E202-10))*'Assumptions'!E56*'Assumptions'!H36</x:f>
        <x:v>18597.575933497446</x:v>
      </x:c>
      <x:c r="K946" s="27" t="n">
        <x:f>'Source Data'!F219+LN('Assumptions'!D56)+LN('Assumptions'!H35)</x:f>
        <x:v>7.962345702623303</x:v>
      </x:c>
      <x:c r="L946" s="27" t="n">
        <x:f>J946*(1-I946*(1-'Carrier Engine'!E95))</x:f>
        <x:v>13241.474064650181</x:v>
      </x:c>
      <x:c r="M946" s="29" t="n">
        <x:f>NORM.S.DIST((LN(L946)-K946)/'Assumptions'!$D$10,TRUE)</x:f>
        <x:v>0.8348741378031481</x:v>
      </x:c>
      <x:c r="N946" s="30" t="n">
        <x:f>MAX(0,H946-MAX(G946,M946))</x:f>
        <x:v>0</x:v>
      </x:c>
      <x:c r="O946" s="28" t="n">
        <x:f>J946*I946</x:f>
        <x:v>5579.272780049234</x:v>
      </x:c>
      <x:c r="P946" s="27" t="n">
        <x:f>(VLOOKUP(O946,'Fee Data'!$C$6:$G$50,2,TRUE)+O946*VLOOKUP(O946,'Fee Data'!$C$6:$G$50,3,TRUE)+VLOOKUP(O946,'Fee Data'!$I$6:$J$14,2,TRUE)+'Fee Data'!$J$20+'Fee Data'!$J$21)*'Assumptions'!H37</x:f>
        <x:v>1020</x:v>
      </x:c>
      <x:c r="Q946" s="27" t="n">
        <x:f>(VLOOKUP(O946,'Fee Data'!$C$6:$G$50,4,TRUE)+O946*VLOOKUP(O946,'Fee Data'!$C$6:$G$50,5,TRUE)+VLOOKUP(O946,'Fee Data'!$I$6:$J$14,2,TRUE)+'Fee Data'!$J$20+'Fee Data'!$J$21)*'Assumptions'!H37</x:f>
        <x:v>895</x:v>
      </x:c>
      <x:c r="R946" s="27" t="n">
        <x:f>P946*(1-'Assumptions'!$D$14)+Q946*'Assumptions'!$D$14</x:f>
        <x:v>957.5</x:v>
      </x:c>
      <x:c r="S946" s="27" t="n">
        <x:f>O946*'Carrier Engine'!E95</x:f>
        <x:v>223.1709112019694</x:v>
      </x:c>
      <x:c r="T946" s="28" t="n">
        <x:f>R946+S946</x:f>
        <x:v>1180.6709112019694</x:v>
      </x:c>
      <x:c r="U946" s="27" t="n">
        <x:f>N946*'Fleet Engine'!J202</x:f>
        <x:v>0</x:v>
      </x:c>
      <x:c r="V946" s="28" t="n">
        <x:f>U946*T946</x:f>
        <x:v>0</x:v>
      </x:c>
      <x:c r="W946" s="28" t="n">
        <x:f>U946*O946</x:f>
        <x:v>0</x:v>
      </x:c>
    </x:row>
    <x:row r="947" ht="19" customHeight="1">
      <x:c r="A947" s="2"/>
      <x:c r="B947" s="2"/>
      <x:c r="C947" s="46" t="n">
        <x:v>4</x:v>
      </x:c>
      <x:c r="D947" s="46" t="n">
        <x:v>8</x:v>
      </x:c>
      <x:c r="E947" s="46" t="n">
        <x:v>1</x:v>
      </x:c>
      <x:c r="F947" s="46" t="n">
        <x:v>2</x:v>
      </x:c>
      <x:c r="G947" s="12" t="n">
        <x:v>0.5555555555555556</x:v>
      </x:c>
      <x:c r="H947" s="12" t="n">
        <x:v>0.6666666666666666</x:v>
      </x:c>
      <x:c r="I947" s="29" t="n">
        <x:f>'Assumptions'!$D$11+'Assumptions'!$D$12*(0.5-(G947+H947)/2)</x:f>
        <x:v>0.27777777777777773</x:v>
      </x:c>
      <x:c r="J947" s="27" t="n">
        <x:f>'Assumptions'!$D$8*EXP(-'Assumptions'!$D$9*('Fleet Engine'!E202-10))*'Assumptions'!E56*'Assumptions'!H36</x:f>
        <x:v>18597.575933497446</x:v>
      </x:c>
      <x:c r="K947" s="27" t="n">
        <x:f>'Source Data'!F219+LN('Assumptions'!D56)+LN('Assumptions'!H35)</x:f>
        <x:v>7.962345702623303</x:v>
      </x:c>
      <x:c r="L947" s="27" t="n">
        <x:f>J947*(1-I947*(1-'Carrier Engine'!E95))</x:f>
        <x:v>13638.222351231461</x:v>
      </x:c>
      <x:c r="M947" s="29" t="n">
        <x:f>NORM.S.DIST((LN(L947)-K947)/'Assumptions'!$D$10,TRUE)</x:f>
        <x:v>0.839500878443892</x:v>
      </x:c>
      <x:c r="N947" s="30" t="n">
        <x:f>MAX(0,H947-MAX(G947,M947))</x:f>
        <x:v>0</x:v>
      </x:c>
      <x:c r="O947" s="28" t="n">
        <x:f>J947*I947</x:f>
        <x:v>5165.993314860401</x:v>
      </x:c>
      <x:c r="P947" s="27" t="n">
        <x:f>(VLOOKUP(O947,'Fee Data'!$C$6:$G$50,2,TRUE)+O947*VLOOKUP(O947,'Fee Data'!$C$6:$G$50,3,TRUE)+VLOOKUP(O947,'Fee Data'!$I$6:$J$14,2,TRUE)+'Fee Data'!$J$20+'Fee Data'!$J$21)*'Assumptions'!H37</x:f>
        <x:v>995</x:v>
      </x:c>
      <x:c r="Q947" s="27" t="n">
        <x:f>(VLOOKUP(O947,'Fee Data'!$C$6:$G$50,4,TRUE)+O947*VLOOKUP(O947,'Fee Data'!$C$6:$G$50,5,TRUE)+VLOOKUP(O947,'Fee Data'!$I$6:$J$14,2,TRUE)+'Fee Data'!$J$20+'Fee Data'!$J$21)*'Assumptions'!H37</x:f>
        <x:v>870</x:v>
      </x:c>
      <x:c r="R947" s="27" t="n">
        <x:f>P947*(1-'Assumptions'!$D$14)+Q947*'Assumptions'!$D$14</x:f>
        <x:v>932.5</x:v>
      </x:c>
      <x:c r="S947" s="27" t="n">
        <x:f>O947*'Carrier Engine'!E95</x:f>
        <x:v>206.6397325944161</x:v>
      </x:c>
      <x:c r="T947" s="28" t="n">
        <x:f>R947+S947</x:f>
        <x:v>1139.139732594416</x:v>
      </x:c>
      <x:c r="U947" s="27" t="n">
        <x:f>N947*'Fleet Engine'!J202</x:f>
        <x:v>0</x:v>
      </x:c>
      <x:c r="V947" s="28" t="n">
        <x:f>U947*T947</x:f>
        <x:v>0</x:v>
      </x:c>
      <x:c r="W947" s="28" t="n">
        <x:f>U947*O947</x:f>
        <x:v>0</x:v>
      </x:c>
    </x:row>
    <x:row r="948" ht="19" customHeight="1">
      <x:c r="A948" s="2"/>
      <x:c r="B948" s="2"/>
      <x:c r="C948" s="46" t="n">
        <x:v>4</x:v>
      </x:c>
      <x:c r="D948" s="46" t="n">
        <x:v>8</x:v>
      </x:c>
      <x:c r="E948" s="46" t="n">
        <x:v>1</x:v>
      </x:c>
      <x:c r="F948" s="46" t="n">
        <x:v>2</x:v>
      </x:c>
      <x:c r="G948" s="12" t="n">
        <x:v>0.6666666666666666</x:v>
      </x:c>
      <x:c r="H948" s="12" t="n">
        <x:v>0.7777777777777778</x:v>
      </x:c>
      <x:c r="I948" s="29" t="n">
        <x:f>'Assumptions'!$D$11+'Assumptions'!$D$12*(0.5-(G948+H948)/2)</x:f>
        <x:v>0.25555555555555554</x:v>
      </x:c>
      <x:c r="J948" s="27" t="n">
        <x:f>'Assumptions'!$D$8*EXP(-'Assumptions'!$D$9*('Fleet Engine'!E202-10))*'Assumptions'!E56*'Assumptions'!H36</x:f>
        <x:v>18597.575933497446</x:v>
      </x:c>
      <x:c r="K948" s="27" t="n">
        <x:f>'Source Data'!F219+LN('Assumptions'!D56)+LN('Assumptions'!H35)</x:f>
        <x:v>7.962345702623303</x:v>
      </x:c>
      <x:c r="L948" s="27" t="n">
        <x:f>J948*(1-I948*(1-'Carrier Engine'!E95))</x:f>
        <x:v>14034.970637812741</x:v>
      </x:c>
      <x:c r="M948" s="29" t="n">
        <x:f>NORM.S.DIST((LN(L948)-K948)/'Assumptions'!$D$10,TRUE)</x:f>
        <x:v>0.8439130512567272</x:v>
      </x:c>
      <x:c r="N948" s="30" t="n">
        <x:f>MAX(0,H948-MAX(G948,M948))</x:f>
        <x:v>0</x:v>
      </x:c>
      <x:c r="O948" s="28" t="n">
        <x:f>J948*I948</x:f>
        <x:v>4752.713849671569</x:v>
      </x:c>
      <x:c r="P948" s="27" t="n">
        <x:f>(VLOOKUP(O948,'Fee Data'!$C$6:$G$50,2,TRUE)+O948*VLOOKUP(O948,'Fee Data'!$C$6:$G$50,3,TRUE)+VLOOKUP(O948,'Fee Data'!$I$6:$J$14,2,TRUE)+'Fee Data'!$J$20+'Fee Data'!$J$21)*'Assumptions'!H37</x:f>
        <x:v>970</x:v>
      </x:c>
      <x:c r="Q948" s="27" t="n">
        <x:f>(VLOOKUP(O948,'Fee Data'!$C$6:$G$50,4,TRUE)+O948*VLOOKUP(O948,'Fee Data'!$C$6:$G$50,5,TRUE)+VLOOKUP(O948,'Fee Data'!$I$6:$J$14,2,TRUE)+'Fee Data'!$J$20+'Fee Data'!$J$21)*'Assumptions'!H37</x:f>
        <x:v>845</x:v>
      </x:c>
      <x:c r="R948" s="27" t="n">
        <x:f>P948*(1-'Assumptions'!$D$14)+Q948*'Assumptions'!$D$14</x:f>
        <x:v>907.5</x:v>
      </x:c>
      <x:c r="S948" s="27" t="n">
        <x:f>O948*'Carrier Engine'!E95</x:f>
        <x:v>190.1085539868628</x:v>
      </x:c>
      <x:c r="T948" s="28" t="n">
        <x:f>R948+S948</x:f>
        <x:v>1097.6085539868627</x:v>
      </x:c>
      <x:c r="U948" s="27" t="n">
        <x:f>N948*'Fleet Engine'!J202</x:f>
        <x:v>0</x:v>
      </x:c>
      <x:c r="V948" s="28" t="n">
        <x:f>U948*T948</x:f>
        <x:v>0</x:v>
      </x:c>
      <x:c r="W948" s="28" t="n">
        <x:f>U948*O948</x:f>
        <x:v>0</x:v>
      </x:c>
    </x:row>
    <x:row r="949" ht="19" customHeight="1">
      <x:c r="A949" s="2"/>
      <x:c r="B949" s="2"/>
      <x:c r="C949" s="46" t="n">
        <x:v>4</x:v>
      </x:c>
      <x:c r="D949" s="46" t="n">
        <x:v>8</x:v>
      </x:c>
      <x:c r="E949" s="46" t="n">
        <x:v>1</x:v>
      </x:c>
      <x:c r="F949" s="46" t="n">
        <x:v>2</x:v>
      </x:c>
      <x:c r="G949" s="12" t="n">
        <x:v>0.7777777777777778</x:v>
      </x:c>
      <x:c r="H949" s="12" t="n">
        <x:v>0.8888888888888888</x:v>
      </x:c>
      <x:c r="I949" s="29" t="n">
        <x:f>'Assumptions'!$D$11+'Assumptions'!$D$12*(0.5-(G949+H949)/2)</x:f>
        <x:v>0.23333333333333334</x:v>
      </x:c>
      <x:c r="J949" s="27" t="n">
        <x:f>'Assumptions'!$D$8*EXP(-'Assumptions'!$D$9*('Fleet Engine'!E202-10))*'Assumptions'!E56*'Assumptions'!H36</x:f>
        <x:v>18597.575933497446</x:v>
      </x:c>
      <x:c r="K949" s="27" t="n">
        <x:f>'Source Data'!F219+LN('Assumptions'!D56)+LN('Assumptions'!H35)</x:f>
        <x:v>7.962345702623303</x:v>
      </x:c>
      <x:c r="L949" s="27" t="n">
        <x:f>J949*(1-I949*(1-'Carrier Engine'!E95))</x:f>
        <x:v>14431.71892439402</x:v>
      </x:c>
      <x:c r="M949" s="29" t="n">
        <x:f>NORM.S.DIST((LN(L949)-K949)/'Assumptions'!$D$10,TRUE)</x:f>
        <x:v>0.8481248751817181</x:v>
      </x:c>
      <x:c r="N949" s="30" t="n">
        <x:f>MAX(0,H949-MAX(G949,M949))</x:f>
        <x:v>0.040764013707170754</x:v>
      </x:c>
      <x:c r="O949" s="28" t="n">
        <x:f>J949*I949</x:f>
        <x:v>4339.434384482737</x:v>
      </x:c>
      <x:c r="P949" s="27" t="n">
        <x:f>(VLOOKUP(O949,'Fee Data'!$C$6:$G$50,2,TRUE)+O949*VLOOKUP(O949,'Fee Data'!$C$6:$G$50,3,TRUE)+VLOOKUP(O949,'Fee Data'!$I$6:$J$14,2,TRUE)+'Fee Data'!$J$20+'Fee Data'!$J$21)*'Assumptions'!H37</x:f>
        <x:v>945</x:v>
      </x:c>
      <x:c r="Q949" s="27" t="n">
        <x:f>(VLOOKUP(O949,'Fee Data'!$C$6:$G$50,4,TRUE)+O949*VLOOKUP(O949,'Fee Data'!$C$6:$G$50,5,TRUE)+VLOOKUP(O949,'Fee Data'!$I$6:$J$14,2,TRUE)+'Fee Data'!$J$20+'Fee Data'!$J$21)*'Assumptions'!H37</x:f>
        <x:v>820</x:v>
      </x:c>
      <x:c r="R949" s="27" t="n">
        <x:f>P949*(1-'Assumptions'!$D$14)+Q949*'Assumptions'!$D$14</x:f>
        <x:v>882.5</x:v>
      </x:c>
      <x:c r="S949" s="27" t="n">
        <x:f>O949*'Carrier Engine'!E95</x:f>
        <x:v>173.57737537930953</x:v>
      </x:c>
      <x:c r="T949" s="28" t="n">
        <x:f>R949+S949</x:f>
        <x:v>1056.0773753793096</x:v>
      </x:c>
      <x:c r="U949" s="27" t="n">
        <x:f>N949*'Fleet Engine'!J202</x:f>
        <x:v>920.0679407432008</x:v>
      </x:c>
      <x:c r="V949" s="28" t="n">
        <x:f>U949*T949</x:f>
        <x:v>971662.9360307256</x:v>
      </x:c>
      <x:c r="W949" s="28" t="n">
        <x:f>U949*O949</x:f>
        <x:v>3992574.458121271</x:v>
      </x:c>
    </x:row>
    <x:row r="950" ht="19" customHeight="1">
      <x:c r="A950" s="2"/>
      <x:c r="B950" s="2"/>
      <x:c r="C950" s="46" t="n">
        <x:v>4</x:v>
      </x:c>
      <x:c r="D950" s="46" t="n">
        <x:v>8</x:v>
      </x:c>
      <x:c r="E950" s="46" t="n">
        <x:v>1</x:v>
      </x:c>
      <x:c r="F950" s="46" t="n">
        <x:v>2</x:v>
      </x:c>
      <x:c r="G950" s="12" t="n">
        <x:v>0.8888888888888888</x:v>
      </x:c>
      <x:c r="H950" s="12" t="n">
        <x:v>1</x:v>
      </x:c>
      <x:c r="I950" s="29" t="n">
        <x:f>'Assumptions'!$D$11+'Assumptions'!$D$12*(0.5-(G950+H950)/2)</x:f>
        <x:v>0.21111111111111108</x:v>
      </x:c>
      <x:c r="J950" s="27" t="n">
        <x:f>'Assumptions'!$D$8*EXP(-'Assumptions'!$D$9*('Fleet Engine'!E202-10))*'Assumptions'!E56*'Assumptions'!H36</x:f>
        <x:v>18597.575933497446</x:v>
      </x:c>
      <x:c r="K950" s="27" t="n">
        <x:f>'Source Data'!F219+LN('Assumptions'!D56)+LN('Assumptions'!H35)</x:f>
        <x:v>7.962345702623303</x:v>
      </x:c>
      <x:c r="L950" s="27" t="n">
        <x:f>J950*(1-I950*(1-'Carrier Engine'!E95))</x:f>
        <x:v>14828.467210975297</x:v>
      </x:c>
      <x:c r="M950" s="29" t="n">
        <x:f>NORM.S.DIST((LN(L950)-K950)/'Assumptions'!$D$10,TRUE)</x:f>
        <x:v>0.8521493376815981</x:v>
      </x:c>
      <x:c r="N950" s="30" t="n">
        <x:f>MAX(0,H950-MAX(G950,M950))</x:f>
        <x:v>0.11111111111111116</x:v>
      </x:c>
      <x:c r="O950" s="28" t="n">
        <x:f>J950*I950</x:f>
        <x:v>3926.1549192939046</x:v>
      </x:c>
      <x:c r="P950" s="27" t="n">
        <x:f>(VLOOKUP(O950,'Fee Data'!$C$6:$G$50,2,TRUE)+O950*VLOOKUP(O950,'Fee Data'!$C$6:$G$50,3,TRUE)+VLOOKUP(O950,'Fee Data'!$I$6:$J$14,2,TRUE)+'Fee Data'!$J$20+'Fee Data'!$J$21)*'Assumptions'!H37</x:f>
        <x:v>915</x:v>
      </x:c>
      <x:c r="Q950" s="27" t="n">
        <x:f>(VLOOKUP(O950,'Fee Data'!$C$6:$G$50,4,TRUE)+O950*VLOOKUP(O950,'Fee Data'!$C$6:$G$50,5,TRUE)+VLOOKUP(O950,'Fee Data'!$I$6:$J$14,2,TRUE)+'Fee Data'!$J$20+'Fee Data'!$J$21)*'Assumptions'!H37</x:f>
        <x:v>765</x:v>
      </x:c>
      <x:c r="R950" s="27" t="n">
        <x:f>P950*(1-'Assumptions'!$D$14)+Q950*'Assumptions'!$D$14</x:f>
        <x:v>840</x:v>
      </x:c>
      <x:c r="S950" s="27" t="n">
        <x:f>O950*'Carrier Engine'!E95</x:f>
        <x:v>157.04619677175623</x:v>
      </x:c>
      <x:c r="T950" s="28" t="n">
        <x:f>R950+S950</x:f>
        <x:v>997.0461967717563</x:v>
      </x:c>
      <x:c r="U950" s="27" t="n">
        <x:f>N950*'Fleet Engine'!J202</x:f>
        <x:v>2507.843607551969</x:v>
      </x:c>
      <x:c r="V950" s="28" t="n">
        <x:f>U950*T950</x:f>
        <x:v>2500435.9310080516</x:v>
      </x:c>
      <x:c r="W950" s="28" t="n">
        <x:f>U950*O950</x:f>
        <x:v>9846182.516609935</x:v>
      </x:c>
    </x:row>
    <x:row r="951" ht="19" customHeight="1">
      <x:c r="A951" s="2"/>
      <x:c r="B951" s="2"/>
      <x:c r="C951" s="46" t="n">
        <x:v>4</x:v>
      </x:c>
      <x:c r="D951" s="46" t="n">
        <x:v>9</x:v>
      </x:c>
      <x:c r="E951" s="46" t="n">
        <x:v>1</x:v>
      </x:c>
      <x:c r="F951" s="46" t="n">
        <x:v>3</x:v>
      </x:c>
      <x:c r="G951" s="12" t="n">
        <x:v>0</x:v>
      </x:c>
      <x:c r="H951" s="12" t="n">
        <x:v>0.1111111111111111</x:v>
      </x:c>
      <x:c r="I951" s="29" t="n">
        <x:f>'Assumptions'!$D$11+'Assumptions'!$D$12*(0.5-(G951+H951)/2)</x:f>
        <x:v>0.3888888888888889</x:v>
      </x:c>
      <x:c r="J951" s="27" t="n">
        <x:f>'Assumptions'!$D$8*EXP(-'Assumptions'!$D$9*('Fleet Engine'!E203-10))*'Assumptions'!E56*'Assumptions'!H36</x:f>
        <x:v>13777.423112046714</x:v>
      </x:c>
      <x:c r="K951" s="27" t="n">
        <x:f>'Source Data'!F220+LN('Assumptions'!D56)+LN('Assumptions'!H35)</x:f>
        <x:v>8.069478273890956</x:v>
      </x:c>
      <x:c r="L951" s="27" t="n">
        <x:f>J951*(1-I951*(1-'Carrier Engine'!E95))</x:f>
        <x:v>8633.851816882609</x:v>
      </x:c>
      <x:c r="M951" s="29" t="n">
        <x:f>NORM.S.DIST((LN(L951)-K951)/'Assumptions'!$D$10,TRUE)</x:f>
        <x:v>0.7366388707689671</x:v>
      </x:c>
      <x:c r="N951" s="30" t="n">
        <x:f>MAX(0,H951-MAX(G951,M951))</x:f>
        <x:v>0</x:v>
      </x:c>
      <x:c r="O951" s="28" t="n">
        <x:f>J951*I951</x:f>
        <x:v>5357.8867657959445</x:v>
      </x:c>
      <x:c r="P951" s="27" t="n">
        <x:f>(VLOOKUP(O951,'Fee Data'!$C$6:$G$50,2,TRUE)+O951*VLOOKUP(O951,'Fee Data'!$C$6:$G$50,3,TRUE)+VLOOKUP(O951,'Fee Data'!$I$6:$J$14,2,TRUE)+'Fee Data'!$J$20+'Fee Data'!$J$21)*'Assumptions'!H37</x:f>
        <x:v>995</x:v>
      </x:c>
      <x:c r="Q951" s="27" t="n">
        <x:f>(VLOOKUP(O951,'Fee Data'!$C$6:$G$50,4,TRUE)+O951*VLOOKUP(O951,'Fee Data'!$C$6:$G$50,5,TRUE)+VLOOKUP(O951,'Fee Data'!$I$6:$J$14,2,TRUE)+'Fee Data'!$J$20+'Fee Data'!$J$21)*'Assumptions'!H37</x:f>
        <x:v>870</x:v>
      </x:c>
      <x:c r="R951" s="27" t="n">
        <x:f>P951*(1-'Assumptions'!$D$14)+Q951*'Assumptions'!$D$14</x:f>
        <x:v>932.5</x:v>
      </x:c>
      <x:c r="S951" s="27" t="n">
        <x:f>O951*'Carrier Engine'!E95</x:f>
        <x:v>214.31547063183783</x:v>
      </x:c>
      <x:c r="T951" s="28" t="n">
        <x:f>R951+S951</x:f>
        <x:v>1146.8154706318378</x:v>
      </x:c>
      <x:c r="U951" s="27" t="n">
        <x:f>N951*'Fleet Engine'!J203</x:f>
        <x:v>0</x:v>
      </x:c>
      <x:c r="V951" s="28" t="n">
        <x:f>U951*T951</x:f>
        <x:v>0</x:v>
      </x:c>
      <x:c r="W951" s="28" t="n">
        <x:f>U951*O951</x:f>
        <x:v>0</x:v>
      </x:c>
    </x:row>
    <x:row r="952" ht="19" customHeight="1">
      <x:c r="A952" s="2"/>
      <x:c r="B952" s="2"/>
      <x:c r="C952" s="46" t="n">
        <x:v>4</x:v>
      </x:c>
      <x:c r="D952" s="46" t="n">
        <x:v>9</x:v>
      </x:c>
      <x:c r="E952" s="46" t="n">
        <x:v>1</x:v>
      </x:c>
      <x:c r="F952" s="46" t="n">
        <x:v>3</x:v>
      </x:c>
      <x:c r="G952" s="12" t="n">
        <x:v>0.1111111111111111</x:v>
      </x:c>
      <x:c r="H952" s="12" t="n">
        <x:v>0.2222222222222222</x:v>
      </x:c>
      <x:c r="I952" s="29" t="n">
        <x:f>'Assumptions'!$D$11+'Assumptions'!$D$12*(0.5-(G952+H952)/2)</x:f>
        <x:v>0.3666666666666667</x:v>
      </x:c>
      <x:c r="J952" s="27" t="n">
        <x:f>'Assumptions'!$D$8*EXP(-'Assumptions'!$D$9*('Fleet Engine'!E203-10))*'Assumptions'!E56*'Assumptions'!H36</x:f>
        <x:v>13777.423112046714</x:v>
      </x:c>
      <x:c r="K952" s="27" t="n">
        <x:f>'Source Data'!F220+LN('Assumptions'!D56)+LN('Assumptions'!H35)</x:f>
        <x:v>8.069478273890956</x:v>
      </x:c>
      <x:c r="L952" s="27" t="n">
        <x:f>J952*(1-I952*(1-'Carrier Engine'!E95))</x:f>
        <x:v>8927.77017660627</x:v>
      </x:c>
      <x:c r="M952" s="29" t="n">
        <x:f>NORM.S.DIST((LN(L952)-K952)/'Assumptions'!$D$10,TRUE)</x:f>
        <x:v>0.7435526063287266</x:v>
      </x:c>
      <x:c r="N952" s="30" t="n">
        <x:f>MAX(0,H952-MAX(G952,M952))</x:f>
        <x:v>0</x:v>
      </x:c>
      <x:c r="O952" s="28" t="n">
        <x:f>J952*I952</x:f>
        <x:v>5051.721807750462</x:v>
      </x:c>
      <x:c r="P952" s="27" t="n">
        <x:f>(VLOOKUP(O952,'Fee Data'!$C$6:$G$50,2,TRUE)+O952*VLOOKUP(O952,'Fee Data'!$C$6:$G$50,3,TRUE)+VLOOKUP(O952,'Fee Data'!$I$6:$J$14,2,TRUE)+'Fee Data'!$J$20+'Fee Data'!$J$21)*'Assumptions'!H37</x:f>
        <x:v>995</x:v>
      </x:c>
      <x:c r="Q952" s="27" t="n">
        <x:f>(VLOOKUP(O952,'Fee Data'!$C$6:$G$50,4,TRUE)+O952*VLOOKUP(O952,'Fee Data'!$C$6:$G$50,5,TRUE)+VLOOKUP(O952,'Fee Data'!$I$6:$J$14,2,TRUE)+'Fee Data'!$J$20+'Fee Data'!$J$21)*'Assumptions'!H37</x:f>
        <x:v>870</x:v>
      </x:c>
      <x:c r="R952" s="27" t="n">
        <x:f>P952*(1-'Assumptions'!$D$14)+Q952*'Assumptions'!$D$14</x:f>
        <x:v>932.5</x:v>
      </x:c>
      <x:c r="S952" s="27" t="n">
        <x:f>O952*'Carrier Engine'!E95</x:f>
        <x:v>202.06887231001852</x:v>
      </x:c>
      <x:c r="T952" s="28" t="n">
        <x:f>R952+S952</x:f>
        <x:v>1134.5688723100186</x:v>
      </x:c>
      <x:c r="U952" s="27" t="n">
        <x:f>N952*'Fleet Engine'!J203</x:f>
        <x:v>0</x:v>
      </x:c>
      <x:c r="V952" s="28" t="n">
        <x:f>U952*T952</x:f>
        <x:v>0</x:v>
      </x:c>
      <x:c r="W952" s="28" t="n">
        <x:f>U952*O952</x:f>
        <x:v>0</x:v>
      </x:c>
    </x:row>
    <x:row r="953" ht="19" customHeight="1">
      <x:c r="A953" s="2"/>
      <x:c r="B953" s="2"/>
      <x:c r="C953" s="46" t="n">
        <x:v>4</x:v>
      </x:c>
      <x:c r="D953" s="46" t="n">
        <x:v>9</x:v>
      </x:c>
      <x:c r="E953" s="46" t="n">
        <x:v>1</x:v>
      </x:c>
      <x:c r="F953" s="46" t="n">
        <x:v>3</x:v>
      </x:c>
      <x:c r="G953" s="12" t="n">
        <x:v>0.2222222222222222</x:v>
      </x:c>
      <x:c r="H953" s="12" t="n">
        <x:v>0.3333333333333333</x:v>
      </x:c>
      <x:c r="I953" s="29" t="n">
        <x:f>'Assumptions'!$D$11+'Assumptions'!$D$12*(0.5-(G953+H953)/2)</x:f>
        <x:v>0.34444444444444444</x:v>
      </x:c>
      <x:c r="J953" s="27" t="n">
        <x:f>'Assumptions'!$D$8*EXP(-'Assumptions'!$D$9*('Fleet Engine'!E203-10))*'Assumptions'!E56*'Assumptions'!H36</x:f>
        <x:v>13777.423112046714</x:v>
      </x:c>
      <x:c r="K953" s="27" t="n">
        <x:f>'Source Data'!F220+LN('Assumptions'!D56)+LN('Assumptions'!H35)</x:f>
        <x:v>8.069478273890956</x:v>
      </x:c>
      <x:c r="L953" s="27" t="n">
        <x:f>J953*(1-I953*(1-'Carrier Engine'!E95))</x:f>
        <x:v>9221.688536329933</x:v>
      </x:c>
      <x:c r="M953" s="29" t="n">
        <x:f>NORM.S.DIST((LN(L953)-K953)/'Assumptions'!$D$10,TRUE)</x:f>
        <x:v>0.7501512229331906</x:v>
      </x:c>
      <x:c r="N953" s="30" t="n">
        <x:f>MAX(0,H953-MAX(G953,M953))</x:f>
        <x:v>0</x:v>
      </x:c>
      <x:c r="O953" s="28" t="n">
        <x:f>J953*I953</x:f>
        <x:v>4745.556849704979</x:v>
      </x:c>
      <x:c r="P953" s="27" t="n">
        <x:f>(VLOOKUP(O953,'Fee Data'!$C$6:$G$50,2,TRUE)+O953*VLOOKUP(O953,'Fee Data'!$C$6:$G$50,3,TRUE)+VLOOKUP(O953,'Fee Data'!$I$6:$J$14,2,TRUE)+'Fee Data'!$J$20+'Fee Data'!$J$21)*'Assumptions'!H37</x:f>
        <x:v>970</x:v>
      </x:c>
      <x:c r="Q953" s="27" t="n">
        <x:f>(VLOOKUP(O953,'Fee Data'!$C$6:$G$50,4,TRUE)+O953*VLOOKUP(O953,'Fee Data'!$C$6:$G$50,5,TRUE)+VLOOKUP(O953,'Fee Data'!$I$6:$J$14,2,TRUE)+'Fee Data'!$J$20+'Fee Data'!$J$21)*'Assumptions'!H37</x:f>
        <x:v>845</x:v>
      </x:c>
      <x:c r="R953" s="27" t="n">
        <x:f>P953*(1-'Assumptions'!$D$14)+Q953*'Assumptions'!$D$14</x:f>
        <x:v>907.5</x:v>
      </x:c>
      <x:c r="S953" s="27" t="n">
        <x:f>O953*'Carrier Engine'!E95</x:f>
        <x:v>189.82227398819919</x:v>
      </x:c>
      <x:c r="T953" s="28" t="n">
        <x:f>R953+S953</x:f>
        <x:v>1097.3222739881992</x:v>
      </x:c>
      <x:c r="U953" s="27" t="n">
        <x:f>N953*'Fleet Engine'!J203</x:f>
        <x:v>0</x:v>
      </x:c>
      <x:c r="V953" s="28" t="n">
        <x:f>U953*T953</x:f>
        <x:v>0</x:v>
      </x:c>
      <x:c r="W953" s="28" t="n">
        <x:f>U953*O953</x:f>
        <x:v>0</x:v>
      </x:c>
    </x:row>
    <x:row r="954" ht="19" customHeight="1">
      <x:c r="A954" s="2"/>
      <x:c r="B954" s="2"/>
      <x:c r="C954" s="46" t="n">
        <x:v>4</x:v>
      </x:c>
      <x:c r="D954" s="46" t="n">
        <x:v>9</x:v>
      </x:c>
      <x:c r="E954" s="46" t="n">
        <x:v>1</x:v>
      </x:c>
      <x:c r="F954" s="46" t="n">
        <x:v>3</x:v>
      </x:c>
      <x:c r="G954" s="12" t="n">
        <x:v>0.3333333333333333</x:v>
      </x:c>
      <x:c r="H954" s="12" t="n">
        <x:v>0.4444444444444444</x:v>
      </x:c>
      <x:c r="I954" s="29" t="n">
        <x:f>'Assumptions'!$D$11+'Assumptions'!$D$12*(0.5-(G954+H954)/2)</x:f>
        <x:v>0.32222222222222224</x:v>
      </x:c>
      <x:c r="J954" s="27" t="n">
        <x:f>'Assumptions'!$D$8*EXP(-'Assumptions'!$D$9*('Fleet Engine'!E203-10))*'Assumptions'!E56*'Assumptions'!H36</x:f>
        <x:v>13777.423112046714</x:v>
      </x:c>
      <x:c r="K954" s="27" t="n">
        <x:f>'Source Data'!F220+LN('Assumptions'!D56)+LN('Assumptions'!H35)</x:f>
        <x:v>8.069478273890956</x:v>
      </x:c>
      <x:c r="L954" s="27" t="n">
        <x:f>J954*(1-I954*(1-'Carrier Engine'!E95))</x:f>
        <x:v>9515.606896053598</x:v>
      </x:c>
      <x:c r="M954" s="29" t="n">
        <x:f>NORM.S.DIST((LN(L954)-K954)/'Assumptions'!$D$10,TRUE)</x:f>
        <x:v>0.7564558162657599</x:v>
      </x:c>
      <x:c r="N954" s="30" t="n">
        <x:f>MAX(0,H954-MAX(G954,M954))</x:f>
        <x:v>0</x:v>
      </x:c>
      <x:c r="O954" s="28" t="n">
        <x:f>J954*I954</x:f>
        <x:v>4439.391891659497</x:v>
      </x:c>
      <x:c r="P954" s="27" t="n">
        <x:f>(VLOOKUP(O954,'Fee Data'!$C$6:$G$50,2,TRUE)+O954*VLOOKUP(O954,'Fee Data'!$C$6:$G$50,3,TRUE)+VLOOKUP(O954,'Fee Data'!$I$6:$J$14,2,TRUE)+'Fee Data'!$J$20+'Fee Data'!$J$21)*'Assumptions'!H37</x:f>
        <x:v>945</x:v>
      </x:c>
      <x:c r="Q954" s="27" t="n">
        <x:f>(VLOOKUP(O954,'Fee Data'!$C$6:$G$50,4,TRUE)+O954*VLOOKUP(O954,'Fee Data'!$C$6:$G$50,5,TRUE)+VLOOKUP(O954,'Fee Data'!$I$6:$J$14,2,TRUE)+'Fee Data'!$J$20+'Fee Data'!$J$21)*'Assumptions'!H37</x:f>
        <x:v>820</x:v>
      </x:c>
      <x:c r="R954" s="27" t="n">
        <x:f>P954*(1-'Assumptions'!$D$14)+Q954*'Assumptions'!$D$14</x:f>
        <x:v>882.5</x:v>
      </x:c>
      <x:c r="S954" s="27" t="n">
        <x:f>O954*'Carrier Engine'!E95</x:f>
        <x:v>177.5756756663799</x:v>
      </x:c>
      <x:c r="T954" s="28" t="n">
        <x:f>R954+S954</x:f>
        <x:v>1060.07567566638</x:v>
      </x:c>
      <x:c r="U954" s="27" t="n">
        <x:f>N954*'Fleet Engine'!J203</x:f>
        <x:v>0</x:v>
      </x:c>
      <x:c r="V954" s="28" t="n">
        <x:f>U954*T954</x:f>
        <x:v>0</x:v>
      </x:c>
      <x:c r="W954" s="28" t="n">
        <x:f>U954*O954</x:f>
        <x:v>0</x:v>
      </x:c>
    </x:row>
    <x:row r="955" ht="19" customHeight="1">
      <x:c r="A955" s="2"/>
      <x:c r="B955" s="2"/>
      <x:c r="C955" s="46" t="n">
        <x:v>4</x:v>
      </x:c>
      <x:c r="D955" s="46" t="n">
        <x:v>9</x:v>
      </x:c>
      <x:c r="E955" s="46" t="n">
        <x:v>1</x:v>
      </x:c>
      <x:c r="F955" s="46" t="n">
        <x:v>3</x:v>
      </x:c>
      <x:c r="G955" s="12" t="n">
        <x:v>0.4444444444444444</x:v>
      </x:c>
      <x:c r="H955" s="12" t="n">
        <x:v>0.5555555555555556</x:v>
      </x:c>
      <x:c r="I955" s="29" t="n">
        <x:f>'Assumptions'!$D$11+'Assumptions'!$D$12*(0.5-(G955+H955)/2)</x:f>
        <x:v>0.3</x:v>
      </x:c>
      <x:c r="J955" s="27" t="n">
        <x:f>'Assumptions'!$D$8*EXP(-'Assumptions'!$D$9*('Fleet Engine'!E203-10))*'Assumptions'!E56*'Assumptions'!H36</x:f>
        <x:v>13777.423112046714</x:v>
      </x:c>
      <x:c r="K955" s="27" t="n">
        <x:f>'Source Data'!F220+LN('Assumptions'!D56)+LN('Assumptions'!H35)</x:f>
        <x:v>8.069478273890956</x:v>
      </x:c>
      <x:c r="L955" s="27" t="n">
        <x:f>J955*(1-I955*(1-'Carrier Engine'!E95))</x:f>
        <x:v>9809.52525577726</x:v>
      </x:c>
      <x:c r="M955" s="29" t="n">
        <x:f>NORM.S.DIST((LN(L955)-K955)/'Assumptions'!$D$10,TRUE)</x:f>
        <x:v>0.7624856059429846</x:v>
      </x:c>
      <x:c r="N955" s="30" t="n">
        <x:f>MAX(0,H955-MAX(G955,M955))</x:f>
        <x:v>0</x:v>
      </x:c>
      <x:c r="O955" s="28" t="n">
        <x:f>J955*I955</x:f>
        <x:v>4133.226933614014</x:v>
      </x:c>
      <x:c r="P955" s="27" t="n">
        <x:f>(VLOOKUP(O955,'Fee Data'!$C$6:$G$50,2,TRUE)+O955*VLOOKUP(O955,'Fee Data'!$C$6:$G$50,3,TRUE)+VLOOKUP(O955,'Fee Data'!$I$6:$J$14,2,TRUE)+'Fee Data'!$J$20+'Fee Data'!$J$21)*'Assumptions'!H37</x:f>
        <x:v>945</x:v>
      </x:c>
      <x:c r="Q955" s="27" t="n">
        <x:f>(VLOOKUP(O955,'Fee Data'!$C$6:$G$50,4,TRUE)+O955*VLOOKUP(O955,'Fee Data'!$C$6:$G$50,5,TRUE)+VLOOKUP(O955,'Fee Data'!$I$6:$J$14,2,TRUE)+'Fee Data'!$J$20+'Fee Data'!$J$21)*'Assumptions'!H37</x:f>
        <x:v>820</x:v>
      </x:c>
      <x:c r="R955" s="27" t="n">
        <x:f>P955*(1-'Assumptions'!$D$14)+Q955*'Assumptions'!$D$14</x:f>
        <x:v>882.5</x:v>
      </x:c>
      <x:c r="S955" s="27" t="n">
        <x:f>O955*'Carrier Engine'!E95</x:f>
        <x:v>165.3290773445606</x:v>
      </x:c>
      <x:c r="T955" s="28" t="n">
        <x:f>R955+S955</x:f>
        <x:v>1047.8290773445606</x:v>
      </x:c>
      <x:c r="U955" s="27" t="n">
        <x:f>N955*'Fleet Engine'!J203</x:f>
        <x:v>0</x:v>
      </x:c>
      <x:c r="V955" s="28" t="n">
        <x:f>U955*T955</x:f>
        <x:v>0</x:v>
      </x:c>
      <x:c r="W955" s="28" t="n">
        <x:f>U955*O955</x:f>
        <x:v>0</x:v>
      </x:c>
    </x:row>
    <x:row r="956" ht="19" customHeight="1">
      <x:c r="A956" s="2"/>
      <x:c r="B956" s="2"/>
      <x:c r="C956" s="46" t="n">
        <x:v>4</x:v>
      </x:c>
      <x:c r="D956" s="46" t="n">
        <x:v>9</x:v>
      </x:c>
      <x:c r="E956" s="46" t="n">
        <x:v>1</x:v>
      </x:c>
      <x:c r="F956" s="46" t="n">
        <x:v>3</x:v>
      </x:c>
      <x:c r="G956" s="12" t="n">
        <x:v>0.5555555555555556</x:v>
      </x:c>
      <x:c r="H956" s="12" t="n">
        <x:v>0.6666666666666666</x:v>
      </x:c>
      <x:c r="I956" s="29" t="n">
        <x:f>'Assumptions'!$D$11+'Assumptions'!$D$12*(0.5-(G956+H956)/2)</x:f>
        <x:v>0.27777777777777773</x:v>
      </x:c>
      <x:c r="J956" s="27" t="n">
        <x:f>'Assumptions'!$D$8*EXP(-'Assumptions'!$D$9*('Fleet Engine'!E203-10))*'Assumptions'!E56*'Assumptions'!H36</x:f>
        <x:v>13777.423112046714</x:v>
      </x:c>
      <x:c r="K956" s="27" t="n">
        <x:f>'Source Data'!F220+LN('Assumptions'!D56)+LN('Assumptions'!H35)</x:f>
        <x:v>8.069478273890956</x:v>
      </x:c>
      <x:c r="L956" s="27" t="n">
        <x:f>J956*(1-I956*(1-'Carrier Engine'!E95))</x:f>
        <x:v>10103.443615500924</x:v>
      </x:c>
      <x:c r="M956" s="29" t="n">
        <x:f>NORM.S.DIST((LN(L956)-K956)/'Assumptions'!$D$10,TRUE)</x:f>
        <x:v>0.7682581433884235</x:v>
      </x:c>
      <x:c r="N956" s="30" t="n">
        <x:f>MAX(0,H956-MAX(G956,M956))</x:f>
        <x:v>0</x:v>
      </x:c>
      <x:c r="O956" s="28" t="n">
        <x:f>J956*I956</x:f>
        <x:v>3827.061975568531</x:v>
      </x:c>
      <x:c r="P956" s="27" t="n">
        <x:f>(VLOOKUP(O956,'Fee Data'!$C$6:$G$50,2,TRUE)+O956*VLOOKUP(O956,'Fee Data'!$C$6:$G$50,3,TRUE)+VLOOKUP(O956,'Fee Data'!$I$6:$J$14,2,TRUE)+'Fee Data'!$J$20+'Fee Data'!$J$21)*'Assumptions'!H37</x:f>
        <x:v>915</x:v>
      </x:c>
      <x:c r="Q956" s="27" t="n">
        <x:f>(VLOOKUP(O956,'Fee Data'!$C$6:$G$50,4,TRUE)+O956*VLOOKUP(O956,'Fee Data'!$C$6:$G$50,5,TRUE)+VLOOKUP(O956,'Fee Data'!$I$6:$J$14,2,TRUE)+'Fee Data'!$J$20+'Fee Data'!$J$21)*'Assumptions'!H37</x:f>
        <x:v>765</x:v>
      </x:c>
      <x:c r="R956" s="27" t="n">
        <x:f>P956*(1-'Assumptions'!$D$14)+Q956*'Assumptions'!$D$14</x:f>
        <x:v>840</x:v>
      </x:c>
      <x:c r="S956" s="27" t="n">
        <x:f>O956*'Carrier Engine'!E95</x:f>
        <x:v>153.08247902274127</x:v>
      </x:c>
      <x:c r="T956" s="28" t="n">
        <x:f>R956+S956</x:f>
        <x:v>993.0824790227413</x:v>
      </x:c>
      <x:c r="U956" s="27" t="n">
        <x:f>N956*'Fleet Engine'!J203</x:f>
        <x:v>0</x:v>
      </x:c>
      <x:c r="V956" s="28" t="n">
        <x:f>U956*T956</x:f>
        <x:v>0</x:v>
      </x:c>
      <x:c r="W956" s="28" t="n">
        <x:f>U956*O956</x:f>
        <x:v>0</x:v>
      </x:c>
    </x:row>
    <x:row r="957" ht="19" customHeight="1">
      <x:c r="A957" s="2"/>
      <x:c r="B957" s="2"/>
      <x:c r="C957" s="46" t="n">
        <x:v>4</x:v>
      </x:c>
      <x:c r="D957" s="46" t="n">
        <x:v>9</x:v>
      </x:c>
      <x:c r="E957" s="46" t="n">
        <x:v>1</x:v>
      </x:c>
      <x:c r="F957" s="46" t="n">
        <x:v>3</x:v>
      </x:c>
      <x:c r="G957" s="12" t="n">
        <x:v>0.6666666666666666</x:v>
      </x:c>
      <x:c r="H957" s="12" t="n">
        <x:v>0.7777777777777778</x:v>
      </x:c>
      <x:c r="I957" s="29" t="n">
        <x:f>'Assumptions'!$D$11+'Assumptions'!$D$12*(0.5-(G957+H957)/2)</x:f>
        <x:v>0.25555555555555554</x:v>
      </x:c>
      <x:c r="J957" s="27" t="n">
        <x:f>'Assumptions'!$D$8*EXP(-'Assumptions'!$D$9*('Fleet Engine'!E203-10))*'Assumptions'!E56*'Assumptions'!H36</x:f>
        <x:v>13777.423112046714</x:v>
      </x:c>
      <x:c r="K957" s="27" t="n">
        <x:f>'Source Data'!F220+LN('Assumptions'!D56)+LN('Assumptions'!H35)</x:f>
        <x:v>8.069478273890956</x:v>
      </x:c>
      <x:c r="L957" s="27" t="n">
        <x:f>J957*(1-I957*(1-'Carrier Engine'!E95))</x:f>
        <x:v>10397.361975224587</x:v>
      </x:c>
      <x:c r="M957" s="29" t="n">
        <x:f>NORM.S.DIST((LN(L957)-K957)/'Assumptions'!$D$10,TRUE)</x:f>
        <x:v>0.7737894922279166</x:v>
      </x:c>
      <x:c r="N957" s="30" t="n">
        <x:f>MAX(0,H957-MAX(G957,M957))</x:f>
        <x:v>0.0039882855498611924</x:v>
      </x:c>
      <x:c r="O957" s="28" t="n">
        <x:f>J957*I957</x:f>
        <x:v>3520.897017523049</x:v>
      </x:c>
      <x:c r="P957" s="27" t="n">
        <x:f>(VLOOKUP(O957,'Fee Data'!$C$6:$G$50,2,TRUE)+O957*VLOOKUP(O957,'Fee Data'!$C$6:$G$50,3,TRUE)+VLOOKUP(O957,'Fee Data'!$I$6:$J$14,2,TRUE)+'Fee Data'!$J$20+'Fee Data'!$J$21)*'Assumptions'!H37</x:f>
        <x:v>915</x:v>
      </x:c>
      <x:c r="Q957" s="27" t="n">
        <x:f>(VLOOKUP(O957,'Fee Data'!$C$6:$G$50,4,TRUE)+O957*VLOOKUP(O957,'Fee Data'!$C$6:$G$50,5,TRUE)+VLOOKUP(O957,'Fee Data'!$I$6:$J$14,2,TRUE)+'Fee Data'!$J$20+'Fee Data'!$J$21)*'Assumptions'!H37</x:f>
        <x:v>765</x:v>
      </x:c>
      <x:c r="R957" s="27" t="n">
        <x:f>P957*(1-'Assumptions'!$D$14)+Q957*'Assumptions'!$D$14</x:f>
        <x:v>840</x:v>
      </x:c>
      <x:c r="S957" s="27" t="n">
        <x:f>O957*'Carrier Engine'!E95</x:f>
        <x:v>140.835880700922</x:v>
      </x:c>
      <x:c r="T957" s="28" t="n">
        <x:f>R957+S957</x:f>
        <x:v>980.835880700922</x:v>
      </x:c>
      <x:c r="U957" s="27" t="n">
        <x:f>N957*'Fleet Engine'!J203</x:f>
        <x:v>72.38801144834825</x:v>
      </x:c>
      <x:c r="V957" s="28" t="n">
        <x:f>U957*T957</x:f>
        <x:v>71000.75896112908</x:v>
      </x:c>
      <x:c r="W957" s="28" t="n">
        <x:f>U957*O957</x:f>
        <x:v>254870.73361291367</x:v>
      </x:c>
    </x:row>
    <x:row r="958" ht="19" customHeight="1">
      <x:c r="A958" s="2"/>
      <x:c r="B958" s="2"/>
      <x:c r="C958" s="46" t="n">
        <x:v>4</x:v>
      </x:c>
      <x:c r="D958" s="46" t="n">
        <x:v>9</x:v>
      </x:c>
      <x:c r="E958" s="46" t="n">
        <x:v>1</x:v>
      </x:c>
      <x:c r="F958" s="46" t="n">
        <x:v>3</x:v>
      </x:c>
      <x:c r="G958" s="12" t="n">
        <x:v>0.7777777777777778</x:v>
      </x:c>
      <x:c r="H958" s="12" t="n">
        <x:v>0.8888888888888888</x:v>
      </x:c>
      <x:c r="I958" s="29" t="n">
        <x:f>'Assumptions'!$D$11+'Assumptions'!$D$12*(0.5-(G958+H958)/2)</x:f>
        <x:v>0.23333333333333334</x:v>
      </x:c>
      <x:c r="J958" s="27" t="n">
        <x:f>'Assumptions'!$D$8*EXP(-'Assumptions'!$D$9*('Fleet Engine'!E203-10))*'Assumptions'!E56*'Assumptions'!H36</x:f>
        <x:v>13777.423112046714</x:v>
      </x:c>
      <x:c r="K958" s="27" t="n">
        <x:f>'Source Data'!F220+LN('Assumptions'!D56)+LN('Assumptions'!H35)</x:f>
        <x:v>8.069478273890956</x:v>
      </x:c>
      <x:c r="L958" s="27" t="n">
        <x:f>J958*(1-I958*(1-'Carrier Engine'!E95))</x:f>
        <x:v>10691.280334948251</x:v>
      </x:c>
      <x:c r="M958" s="29" t="n">
        <x:f>NORM.S.DIST((LN(L958)-K958)/'Assumptions'!$D$10,TRUE)</x:f>
        <x:v>0.7790943854078269</x:v>
      </x:c>
      <x:c r="N958" s="30" t="n">
        <x:f>MAX(0,H958-MAX(G958,M958))</x:f>
        <x:v>0.1097945034810619</x:v>
      </x:c>
      <x:c r="O958" s="28" t="n">
        <x:f>J958*I958</x:f>
        <x:v>3214.7320594775665</x:v>
      </x:c>
      <x:c r="P958" s="27" t="n">
        <x:f>(VLOOKUP(O958,'Fee Data'!$C$6:$G$50,2,TRUE)+O958*VLOOKUP(O958,'Fee Data'!$C$6:$G$50,3,TRUE)+VLOOKUP(O958,'Fee Data'!$I$6:$J$14,2,TRUE)+'Fee Data'!$J$20+'Fee Data'!$J$21)*'Assumptions'!H37</x:f>
        <x:v>865</x:v>
      </x:c>
      <x:c r="Q958" s="27" t="n">
        <x:f>(VLOOKUP(O958,'Fee Data'!$C$6:$G$50,4,TRUE)+O958*VLOOKUP(O958,'Fee Data'!$C$6:$G$50,5,TRUE)+VLOOKUP(O958,'Fee Data'!$I$6:$J$14,2,TRUE)+'Fee Data'!$J$20+'Fee Data'!$J$21)*'Assumptions'!H37</x:f>
        <x:v>715</x:v>
      </x:c>
      <x:c r="R958" s="27" t="n">
        <x:f>P958*(1-'Assumptions'!$D$14)+Q958*'Assumptions'!$D$14</x:f>
        <x:v>790</x:v>
      </x:c>
      <x:c r="S958" s="27" t="n">
        <x:f>O958*'Carrier Engine'!E95</x:f>
        <x:v>128.58928237910268</x:v>
      </x:c>
      <x:c r="T958" s="28" t="n">
        <x:f>R958+S958</x:f>
        <x:v>918.5892823791027</x:v>
      </x:c>
      <x:c r="U958" s="27" t="n">
        <x:f>N958*'Fleet Engine'!J203</x:f>
        <x:v>1992.7875463253715</x:v>
      </x:c>
      <x:c r="V958" s="28" t="n">
        <x:f>U958*T958</x:f>
        <x:v>1830553.282113036</x:v>
      </x:c>
      <x:c r="W958" s="28" t="n">
        <x:f>U958*O958</x:f>
        <x:v>6406278.012899808</x:v>
      </x:c>
    </x:row>
    <x:row r="959" ht="19" customHeight="1">
      <x:c r="A959" s="2"/>
      <x:c r="B959" s="2"/>
      <x:c r="C959" s="46" t="n">
        <x:v>4</x:v>
      </x:c>
      <x:c r="D959" s="46" t="n">
        <x:v>9</x:v>
      </x:c>
      <x:c r="E959" s="46" t="n">
        <x:v>1</x:v>
      </x:c>
      <x:c r="F959" s="46" t="n">
        <x:v>3</x:v>
      </x:c>
      <x:c r="G959" s="12" t="n">
        <x:v>0.8888888888888888</x:v>
      </x:c>
      <x:c r="H959" s="12" t="n">
        <x:v>1</x:v>
      </x:c>
      <x:c r="I959" s="29" t="n">
        <x:f>'Assumptions'!$D$11+'Assumptions'!$D$12*(0.5-(G959+H959)/2)</x:f>
        <x:v>0.21111111111111108</x:v>
      </x:c>
      <x:c r="J959" s="27" t="n">
        <x:f>'Assumptions'!$D$8*EXP(-'Assumptions'!$D$9*('Fleet Engine'!E203-10))*'Assumptions'!E56*'Assumptions'!H36</x:f>
        <x:v>13777.423112046714</x:v>
      </x:c>
      <x:c r="K959" s="27" t="n">
        <x:f>'Source Data'!F220+LN('Assumptions'!D56)+LN('Assumptions'!H35)</x:f>
        <x:v>8.069478273890956</x:v>
      </x:c>
      <x:c r="L959" s="27" t="n">
        <x:f>J959*(1-I959*(1-'Carrier Engine'!E95))</x:f>
        <x:v>10985.198694671913</x:v>
      </x:c>
      <x:c r="M959" s="29" t="n">
        <x:f>NORM.S.DIST((LN(L959)-K959)/'Assumptions'!$D$10,TRUE)</x:f>
        <x:v>0.7841863625115301</x:v>
      </x:c>
      <x:c r="N959" s="30" t="n">
        <x:f>MAX(0,H959-MAX(G959,M959))</x:f>
        <x:v>0.11111111111111116</x:v>
      </x:c>
      <x:c r="O959" s="28" t="n">
        <x:f>J959*I959</x:f>
        <x:v>2908.5671014320837</x:v>
      </x:c>
      <x:c r="P959" s="27" t="n">
        <x:f>(VLOOKUP(O959,'Fee Data'!$C$6:$G$50,2,TRUE)+O959*VLOOKUP(O959,'Fee Data'!$C$6:$G$50,3,TRUE)+VLOOKUP(O959,'Fee Data'!$I$6:$J$14,2,TRUE)+'Fee Data'!$J$20+'Fee Data'!$J$21)*'Assumptions'!H37</x:f>
        <x:v>820</x:v>
      </x:c>
      <x:c r="Q959" s="27" t="n">
        <x:f>(VLOOKUP(O959,'Fee Data'!$C$6:$G$50,4,TRUE)+O959*VLOOKUP(O959,'Fee Data'!$C$6:$G$50,5,TRUE)+VLOOKUP(O959,'Fee Data'!$I$6:$J$14,2,TRUE)+'Fee Data'!$J$20+'Fee Data'!$J$21)*'Assumptions'!H37</x:f>
        <x:v>670</x:v>
      </x:c>
      <x:c r="R959" s="27" t="n">
        <x:f>P959*(1-'Assumptions'!$D$14)+Q959*'Assumptions'!$D$14</x:f>
        <x:v>745</x:v>
      </x:c>
      <x:c r="S959" s="27" t="n">
        <x:f>O959*'Carrier Engine'!E95</x:f>
        <x:v>116.34268405728338</x:v>
      </x:c>
      <x:c r="T959" s="28" t="n">
        <x:f>R959+S959</x:f>
        <x:v>861.3426840572833</x:v>
      </x:c>
      <x:c r="U959" s="27" t="n">
        <x:f>N959*'Fleet Engine'!J203</x:f>
        <x:v>2016.684182362454</x:v>
      </x:c>
      <x:c r="V959" s="28" t="n">
        <x:f>U959*T959</x:f>
        <x:v>1737056.1665319442</x:v>
      </x:c>
      <x:c r="W959" s="28" t="n">
        <x:f>U959*O959</x:f>
        <x:v>5865661.266797895</x:v>
      </x:c>
    </x:row>
    <x:row r="960" ht="19" customHeight="1">
      <x:c r="A960" s="2"/>
      <x:c r="B960" s="2"/>
      <x:c r="C960" s="46" t="n">
        <x:v>4</x:v>
      </x:c>
      <x:c r="D960" s="46" t="n">
        <x:v>10</x:v>
      </x:c>
      <x:c r="E960" s="46" t="n">
        <x:v>1</x:v>
      </x:c>
      <x:c r="F960" s="46" t="n">
        <x:v>4</x:v>
      </x:c>
      <x:c r="G960" s="12" t="n">
        <x:v>0</x:v>
      </x:c>
      <x:c r="H960" s="12" t="n">
        <x:v>0.1111111111111111</x:v>
      </x:c>
      <x:c r="I960" s="29" t="n">
        <x:f>'Assumptions'!$D$11+'Assumptions'!$D$12*(0.5-(G960+H960)/2)</x:f>
        <x:v>0.3888888888888889</x:v>
      </x:c>
      <x:c r="J960" s="27" t="n">
        <x:f>'Assumptions'!$D$8*EXP(-'Assumptions'!$D$9*('Fleet Engine'!E204-10))*'Assumptions'!E56*'Assumptions'!H36</x:f>
        <x:v>10206.566075445622</x:v>
      </x:c>
      <x:c r="K960" s="27" t="n">
        <x:f>'Source Data'!F221+LN('Assumptions'!D56)+LN('Assumptions'!H35)</x:f>
        <x:v>8.155326402806208</x:v>
      </x:c>
      <x:c r="L960" s="27" t="n">
        <x:f>J960*(1-I960*(1-'Carrier Engine'!E95))</x:f>
        <x:v>6396.11474061259</x:v>
      </x:c>
      <x:c r="M960" s="29" t="n">
        <x:f>NORM.S.DIST((LN(L960)-K960)/'Assumptions'!$D$10,TRUE)</x:f>
        <x:v>0.6507279511537387</x:v>
      </x:c>
      <x:c r="N960" s="30" t="n">
        <x:f>MAX(0,H960-MAX(G960,M960))</x:f>
        <x:v>0</x:v>
      </x:c>
      <x:c r="O960" s="28" t="n">
        <x:f>J960*I960</x:f>
        <x:v>3969.220140451075</x:v>
      </x:c>
      <x:c r="P960" s="27" t="n">
        <x:f>(VLOOKUP(O960,'Fee Data'!$C$6:$G$50,2,TRUE)+O960*VLOOKUP(O960,'Fee Data'!$C$6:$G$50,3,TRUE)+VLOOKUP(O960,'Fee Data'!$I$6:$J$14,2,TRUE)+'Fee Data'!$J$20+'Fee Data'!$J$21)*'Assumptions'!H37</x:f>
        <x:v>915</x:v>
      </x:c>
      <x:c r="Q960" s="27" t="n">
        <x:f>(VLOOKUP(O960,'Fee Data'!$C$6:$G$50,4,TRUE)+O960*VLOOKUP(O960,'Fee Data'!$C$6:$G$50,5,TRUE)+VLOOKUP(O960,'Fee Data'!$I$6:$J$14,2,TRUE)+'Fee Data'!$J$20+'Fee Data'!$J$21)*'Assumptions'!H37</x:f>
        <x:v>765</x:v>
      </x:c>
      <x:c r="R960" s="27" t="n">
        <x:f>P960*(1-'Assumptions'!$D$14)+Q960*'Assumptions'!$D$14</x:f>
        <x:v>840</x:v>
      </x:c>
      <x:c r="S960" s="27" t="n">
        <x:f>O960*'Carrier Engine'!E95</x:f>
        <x:v>158.76880561804305</x:v>
      </x:c>
      <x:c r="T960" s="28" t="n">
        <x:f>R960+S960</x:f>
        <x:v>998.7688056180431</x:v>
      </x:c>
      <x:c r="U960" s="27" t="n">
        <x:f>N960*'Fleet Engine'!J204</x:f>
        <x:v>0</x:v>
      </x:c>
      <x:c r="V960" s="28" t="n">
        <x:f>U960*T960</x:f>
        <x:v>0</x:v>
      </x:c>
      <x:c r="W960" s="28" t="n">
        <x:f>U960*O960</x:f>
        <x:v>0</x:v>
      </x:c>
    </x:row>
    <x:row r="961" ht="19" customHeight="1">
      <x:c r="A961" s="2"/>
      <x:c r="B961" s="2"/>
      <x:c r="C961" s="46" t="n">
        <x:v>4</x:v>
      </x:c>
      <x:c r="D961" s="46" t="n">
        <x:v>10</x:v>
      </x:c>
      <x:c r="E961" s="46" t="n">
        <x:v>1</x:v>
      </x:c>
      <x:c r="F961" s="46" t="n">
        <x:v>4</x:v>
      </x:c>
      <x:c r="G961" s="12" t="n">
        <x:v>0.1111111111111111</x:v>
      </x:c>
      <x:c r="H961" s="12" t="n">
        <x:v>0.2222222222222222</x:v>
      </x:c>
      <x:c r="I961" s="29" t="n">
        <x:f>'Assumptions'!$D$11+'Assumptions'!$D$12*(0.5-(G961+H961)/2)</x:f>
        <x:v>0.3666666666666667</x:v>
      </x:c>
      <x:c r="J961" s="27" t="n">
        <x:f>'Assumptions'!$D$8*EXP(-'Assumptions'!$D$9*('Fleet Engine'!E204-10))*'Assumptions'!E56*'Assumptions'!H36</x:f>
        <x:v>10206.566075445622</x:v>
      </x:c>
      <x:c r="K961" s="27" t="n">
        <x:f>'Source Data'!F221+LN('Assumptions'!D56)+LN('Assumptions'!H35)</x:f>
        <x:v>8.155326402806208</x:v>
      </x:c>
      <x:c r="L961" s="27" t="n">
        <x:f>J961*(1-I961*(1-'Carrier Engine'!E95))</x:f>
        <x:v>6613.854816888762</x:v>
      </x:c>
      <x:c r="M961" s="29" t="n">
        <x:f>NORM.S.DIST((LN(L961)-K961)/'Assumptions'!$D$10,TRUE)</x:f>
        <x:v>0.658585579143658</x:v>
      </x:c>
      <x:c r="N961" s="30" t="n">
        <x:f>MAX(0,H961-MAX(G961,M961))</x:f>
        <x:v>0</x:v>
      </x:c>
      <x:c r="O961" s="28" t="n">
        <x:f>J961*I961</x:f>
        <x:v>3742.4075609967285</x:v>
      </x:c>
      <x:c r="P961" s="27" t="n">
        <x:f>(VLOOKUP(O961,'Fee Data'!$C$6:$G$50,2,TRUE)+O961*VLOOKUP(O961,'Fee Data'!$C$6:$G$50,3,TRUE)+VLOOKUP(O961,'Fee Data'!$I$6:$J$14,2,TRUE)+'Fee Data'!$J$20+'Fee Data'!$J$21)*'Assumptions'!H37</x:f>
        <x:v>915</x:v>
      </x:c>
      <x:c r="Q961" s="27" t="n">
        <x:f>(VLOOKUP(O961,'Fee Data'!$C$6:$G$50,4,TRUE)+O961*VLOOKUP(O961,'Fee Data'!$C$6:$G$50,5,TRUE)+VLOOKUP(O961,'Fee Data'!$I$6:$J$14,2,TRUE)+'Fee Data'!$J$20+'Fee Data'!$J$21)*'Assumptions'!H37</x:f>
        <x:v>765</x:v>
      </x:c>
      <x:c r="R961" s="27" t="n">
        <x:f>P961*(1-'Assumptions'!$D$14)+Q961*'Assumptions'!$D$14</x:f>
        <x:v>840</x:v>
      </x:c>
      <x:c r="S961" s="27" t="n">
        <x:f>O961*'Carrier Engine'!E95</x:f>
        <x:v>149.69630243986916</x:v>
      </x:c>
      <x:c r="T961" s="28" t="n">
        <x:f>R961+S961</x:f>
        <x:v>989.6963024398692</x:v>
      </x:c>
      <x:c r="U961" s="27" t="n">
        <x:f>N961*'Fleet Engine'!J204</x:f>
        <x:v>0</x:v>
      </x:c>
      <x:c r="V961" s="28" t="n">
        <x:f>U961*T961</x:f>
        <x:v>0</x:v>
      </x:c>
      <x:c r="W961" s="28" t="n">
        <x:f>U961*O961</x:f>
        <x:v>0</x:v>
      </x:c>
    </x:row>
    <x:row r="962" ht="19" customHeight="1">
      <x:c r="A962" s="2"/>
      <x:c r="B962" s="2"/>
      <x:c r="C962" s="46" t="n">
        <x:v>4</x:v>
      </x:c>
      <x:c r="D962" s="46" t="n">
        <x:v>10</x:v>
      </x:c>
      <x:c r="E962" s="46" t="n">
        <x:v>1</x:v>
      </x:c>
      <x:c r="F962" s="46" t="n">
        <x:v>4</x:v>
      </x:c>
      <x:c r="G962" s="12" t="n">
        <x:v>0.2222222222222222</x:v>
      </x:c>
      <x:c r="H962" s="12" t="n">
        <x:v>0.3333333333333333</x:v>
      </x:c>
      <x:c r="I962" s="29" t="n">
        <x:f>'Assumptions'!$D$11+'Assumptions'!$D$12*(0.5-(G962+H962)/2)</x:f>
        <x:v>0.34444444444444444</x:v>
      </x:c>
      <x:c r="J962" s="27" t="n">
        <x:f>'Assumptions'!$D$8*EXP(-'Assumptions'!$D$9*('Fleet Engine'!E204-10))*'Assumptions'!E56*'Assumptions'!H36</x:f>
        <x:v>10206.566075445622</x:v>
      </x:c>
      <x:c r="K962" s="27" t="n">
        <x:f>'Source Data'!F221+LN('Assumptions'!D56)+LN('Assumptions'!H35)</x:f>
        <x:v>8.155326402806208</x:v>
      </x:c>
      <x:c r="L962" s="27" t="n">
        <x:f>J962*(1-I962*(1-'Carrier Engine'!E95))</x:f>
        <x:v>6831.594893164936</x:v>
      </x:c>
      <x:c r="M962" s="29" t="n">
        <x:f>NORM.S.DIST((LN(L962)-K962)/'Assumptions'!$D$10,TRUE)</x:f>
        <x:v>0.6661238198441306</x:v>
      </x:c>
      <x:c r="N962" s="30" t="n">
        <x:f>MAX(0,H962-MAX(G962,M962))</x:f>
        <x:v>0</x:v>
      </x:c>
      <x:c r="O962" s="28" t="n">
        <x:f>J962*I962</x:f>
        <x:v>3515.594981542381</x:v>
      </x:c>
      <x:c r="P962" s="27" t="n">
        <x:f>(VLOOKUP(O962,'Fee Data'!$C$6:$G$50,2,TRUE)+O962*VLOOKUP(O962,'Fee Data'!$C$6:$G$50,3,TRUE)+VLOOKUP(O962,'Fee Data'!$I$6:$J$14,2,TRUE)+'Fee Data'!$J$20+'Fee Data'!$J$21)*'Assumptions'!H37</x:f>
        <x:v>915</x:v>
      </x:c>
      <x:c r="Q962" s="27" t="n">
        <x:f>(VLOOKUP(O962,'Fee Data'!$C$6:$G$50,4,TRUE)+O962*VLOOKUP(O962,'Fee Data'!$C$6:$G$50,5,TRUE)+VLOOKUP(O962,'Fee Data'!$I$6:$J$14,2,TRUE)+'Fee Data'!$J$20+'Fee Data'!$J$21)*'Assumptions'!H37</x:f>
        <x:v>765</x:v>
      </x:c>
      <x:c r="R962" s="27" t="n">
        <x:f>P962*(1-'Assumptions'!$D$14)+Q962*'Assumptions'!$D$14</x:f>
        <x:v>840</x:v>
      </x:c>
      <x:c r="S962" s="27" t="n">
        <x:f>O962*'Carrier Engine'!E95</x:f>
        <x:v>140.62379926169527</x:v>
      </x:c>
      <x:c r="T962" s="28" t="n">
        <x:f>R962+S962</x:f>
        <x:v>980.6237992616952</x:v>
      </x:c>
      <x:c r="U962" s="27" t="n">
        <x:f>N962*'Fleet Engine'!J204</x:f>
        <x:v>0</x:v>
      </x:c>
      <x:c r="V962" s="28" t="n">
        <x:f>U962*T962</x:f>
        <x:v>0</x:v>
      </x:c>
      <x:c r="W962" s="28" t="n">
        <x:f>U962*O962</x:f>
        <x:v>0</x:v>
      </x:c>
    </x:row>
    <x:row r="963" ht="19" customHeight="1">
      <x:c r="A963" s="2"/>
      <x:c r="B963" s="2"/>
      <x:c r="C963" s="46" t="n">
        <x:v>4</x:v>
      </x:c>
      <x:c r="D963" s="46" t="n">
        <x:v>10</x:v>
      </x:c>
      <x:c r="E963" s="46" t="n">
        <x:v>1</x:v>
      </x:c>
      <x:c r="F963" s="46" t="n">
        <x:v>4</x:v>
      </x:c>
      <x:c r="G963" s="12" t="n">
        <x:v>0.3333333333333333</x:v>
      </x:c>
      <x:c r="H963" s="12" t="n">
        <x:v>0.4444444444444444</x:v>
      </x:c>
      <x:c r="I963" s="29" t="n">
        <x:f>'Assumptions'!$D$11+'Assumptions'!$D$12*(0.5-(G963+H963)/2)</x:f>
        <x:v>0.32222222222222224</x:v>
      </x:c>
      <x:c r="J963" s="27" t="n">
        <x:f>'Assumptions'!$D$8*EXP(-'Assumptions'!$D$9*('Fleet Engine'!E204-10))*'Assumptions'!E56*'Assumptions'!H36</x:f>
        <x:v>10206.566075445622</x:v>
      </x:c>
      <x:c r="K963" s="27" t="n">
        <x:f>'Source Data'!F221+LN('Assumptions'!D56)+LN('Assumptions'!H35)</x:f>
        <x:v>8.155326402806208</x:v>
      </x:c>
      <x:c r="L963" s="27" t="n">
        <x:f>J963*(1-I963*(1-'Carrier Engine'!E95))</x:f>
        <x:v>7049.33496944111</x:v>
      </x:c>
      <x:c r="M963" s="29" t="n">
        <x:f>NORM.S.DIST((LN(L963)-K963)/'Assumptions'!$D$10,TRUE)</x:f>
        <x:v>0.6733621968258094</x:v>
      </x:c>
      <x:c r="N963" s="30" t="n">
        <x:f>MAX(0,H963-MAX(G963,M963))</x:f>
        <x:v>0</x:v>
      </x:c>
      <x:c r="O963" s="28" t="n">
        <x:f>J963*I963</x:f>
        <x:v>3288.782402088034</x:v>
      </x:c>
      <x:c r="P963" s="27" t="n">
        <x:f>(VLOOKUP(O963,'Fee Data'!$C$6:$G$50,2,TRUE)+O963*VLOOKUP(O963,'Fee Data'!$C$6:$G$50,3,TRUE)+VLOOKUP(O963,'Fee Data'!$I$6:$J$14,2,TRUE)+'Fee Data'!$J$20+'Fee Data'!$J$21)*'Assumptions'!H37</x:f>
        <x:v>865</x:v>
      </x:c>
      <x:c r="Q963" s="27" t="n">
        <x:f>(VLOOKUP(O963,'Fee Data'!$C$6:$G$50,4,TRUE)+O963*VLOOKUP(O963,'Fee Data'!$C$6:$G$50,5,TRUE)+VLOOKUP(O963,'Fee Data'!$I$6:$J$14,2,TRUE)+'Fee Data'!$J$20+'Fee Data'!$J$21)*'Assumptions'!H37</x:f>
        <x:v>715</x:v>
      </x:c>
      <x:c r="R963" s="27" t="n">
        <x:f>P963*(1-'Assumptions'!$D$14)+Q963*'Assumptions'!$D$14</x:f>
        <x:v>790</x:v>
      </x:c>
      <x:c r="S963" s="27" t="n">
        <x:f>O963*'Carrier Engine'!E95</x:f>
        <x:v>131.55129608352138</x:v>
      </x:c>
      <x:c r="T963" s="28" t="n">
        <x:f>R963+S963</x:f>
        <x:v>921.5512960835214</x:v>
      </x:c>
      <x:c r="U963" s="27" t="n">
        <x:f>N963*'Fleet Engine'!J204</x:f>
        <x:v>0</x:v>
      </x:c>
      <x:c r="V963" s="28" t="n">
        <x:f>U963*T963</x:f>
        <x:v>0</x:v>
      </x:c>
      <x:c r="W963" s="28" t="n">
        <x:f>U963*O963</x:f>
        <x:v>0</x:v>
      </x:c>
    </x:row>
    <x:row r="964" ht="19" customHeight="1">
      <x:c r="A964" s="2"/>
      <x:c r="B964" s="2"/>
      <x:c r="C964" s="46" t="n">
        <x:v>4</x:v>
      </x:c>
      <x:c r="D964" s="46" t="n">
        <x:v>10</x:v>
      </x:c>
      <x:c r="E964" s="46" t="n">
        <x:v>1</x:v>
      </x:c>
      <x:c r="F964" s="46" t="n">
        <x:v>4</x:v>
      </x:c>
      <x:c r="G964" s="12" t="n">
        <x:v>0.4444444444444444</x:v>
      </x:c>
      <x:c r="H964" s="12" t="n">
        <x:v>0.5555555555555556</x:v>
      </x:c>
      <x:c r="I964" s="29" t="n">
        <x:f>'Assumptions'!$D$11+'Assumptions'!$D$12*(0.5-(G964+H964)/2)</x:f>
        <x:v>0.3</x:v>
      </x:c>
      <x:c r="J964" s="27" t="n">
        <x:f>'Assumptions'!$D$8*EXP(-'Assumptions'!$D$9*('Fleet Engine'!E204-10))*'Assumptions'!E56*'Assumptions'!H36</x:f>
        <x:v>10206.566075445622</x:v>
      </x:c>
      <x:c r="K964" s="27" t="n">
        <x:f>'Source Data'!F221+LN('Assumptions'!D56)+LN('Assumptions'!H35)</x:f>
        <x:v>8.155326402806208</x:v>
      </x:c>
      <x:c r="L964" s="27" t="n">
        <x:f>J964*(1-I964*(1-'Carrier Engine'!E95))</x:f>
        <x:v>7267.075045717283</x:v>
      </x:c>
      <x:c r="M964" s="29" t="n">
        <x:f>NORM.S.DIST((LN(L964)-K964)/'Assumptions'!$D$10,TRUE)</x:f>
        <x:v>0.680318625246847</x:v>
      </x:c>
      <x:c r="N964" s="30" t="n">
        <x:f>MAX(0,H964-MAX(G964,M964))</x:f>
        <x:v>0</x:v>
      </x:c>
      <x:c r="O964" s="28" t="n">
        <x:f>J964*I964</x:f>
        <x:v>3061.9698226336864</x:v>
      </x:c>
      <x:c r="P964" s="27" t="n">
        <x:f>(VLOOKUP(O964,'Fee Data'!$C$6:$G$50,2,TRUE)+O964*VLOOKUP(O964,'Fee Data'!$C$6:$G$50,3,TRUE)+VLOOKUP(O964,'Fee Data'!$I$6:$J$14,2,TRUE)+'Fee Data'!$J$20+'Fee Data'!$J$21)*'Assumptions'!H37</x:f>
        <x:v>865</x:v>
      </x:c>
      <x:c r="Q964" s="27" t="n">
        <x:f>(VLOOKUP(O964,'Fee Data'!$C$6:$G$50,4,TRUE)+O964*VLOOKUP(O964,'Fee Data'!$C$6:$G$50,5,TRUE)+VLOOKUP(O964,'Fee Data'!$I$6:$J$14,2,TRUE)+'Fee Data'!$J$20+'Fee Data'!$J$21)*'Assumptions'!H37</x:f>
        <x:v>715</x:v>
      </x:c>
      <x:c r="R964" s="27" t="n">
        <x:f>P964*(1-'Assumptions'!$D$14)+Q964*'Assumptions'!$D$14</x:f>
        <x:v>790</x:v>
      </x:c>
      <x:c r="S964" s="27" t="n">
        <x:f>O964*'Carrier Engine'!E95</x:f>
        <x:v>122.47879290534748</x:v>
      </x:c>
      <x:c r="T964" s="28" t="n">
        <x:f>R964+S964</x:f>
        <x:v>912.4787929053475</x:v>
      </x:c>
      <x:c r="U964" s="27" t="n">
        <x:f>N964*'Fleet Engine'!J204</x:f>
        <x:v>0</x:v>
      </x:c>
      <x:c r="V964" s="28" t="n">
        <x:f>U964*T964</x:f>
        <x:v>0</x:v>
      </x:c>
      <x:c r="W964" s="28" t="n">
        <x:f>U964*O964</x:f>
        <x:v>0</x:v>
      </x:c>
    </x:row>
    <x:row r="965" ht="19" customHeight="1">
      <x:c r="A965" s="2"/>
      <x:c r="B965" s="2"/>
      <x:c r="C965" s="46" t="n">
        <x:v>4</x:v>
      </x:c>
      <x:c r="D965" s="46" t="n">
        <x:v>10</x:v>
      </x:c>
      <x:c r="E965" s="46" t="n">
        <x:v>1</x:v>
      </x:c>
      <x:c r="F965" s="46" t="n">
        <x:v>4</x:v>
      </x:c>
      <x:c r="G965" s="12" t="n">
        <x:v>0.5555555555555556</x:v>
      </x:c>
      <x:c r="H965" s="12" t="n">
        <x:v>0.6666666666666666</x:v>
      </x:c>
      <x:c r="I965" s="29" t="n">
        <x:f>'Assumptions'!$D$11+'Assumptions'!$D$12*(0.5-(G965+H965)/2)</x:f>
        <x:v>0.27777777777777773</x:v>
      </x:c>
      <x:c r="J965" s="27" t="n">
        <x:f>'Assumptions'!$D$8*EXP(-'Assumptions'!$D$9*('Fleet Engine'!E204-10))*'Assumptions'!E56*'Assumptions'!H36</x:f>
        <x:v>10206.566075445622</x:v>
      </x:c>
      <x:c r="K965" s="27" t="n">
        <x:f>'Source Data'!F221+LN('Assumptions'!D56)+LN('Assumptions'!H35)</x:f>
        <x:v>8.155326402806208</x:v>
      </x:c>
      <x:c r="L965" s="27" t="n">
        <x:f>J965*(1-I965*(1-'Carrier Engine'!E95))</x:f>
        <x:v>7484.815121993457</x:v>
      </x:c>
      <x:c r="M965" s="29" t="n">
        <x:f>NORM.S.DIST((LN(L965)-K965)/'Assumptions'!$D$10,TRUE)</x:f>
        <x:v>0.687009578457402</x:v>
      </x:c>
      <x:c r="N965" s="30" t="n">
        <x:f>MAX(0,H965-MAX(G965,M965))</x:f>
        <x:v>0</x:v>
      </x:c>
      <x:c r="O965" s="28" t="n">
        <x:f>J965*I965</x:f>
        <x:v>2835.157243179339</x:v>
      </x:c>
      <x:c r="P965" s="27" t="n">
        <x:f>(VLOOKUP(O965,'Fee Data'!$C$6:$G$50,2,TRUE)+O965*VLOOKUP(O965,'Fee Data'!$C$6:$G$50,3,TRUE)+VLOOKUP(O965,'Fee Data'!$I$6:$J$14,2,TRUE)+'Fee Data'!$J$20+'Fee Data'!$J$21)*'Assumptions'!H37</x:f>
        <x:v>820</x:v>
      </x:c>
      <x:c r="Q965" s="27" t="n">
        <x:f>(VLOOKUP(O965,'Fee Data'!$C$6:$G$50,4,TRUE)+O965*VLOOKUP(O965,'Fee Data'!$C$6:$G$50,5,TRUE)+VLOOKUP(O965,'Fee Data'!$I$6:$J$14,2,TRUE)+'Fee Data'!$J$20+'Fee Data'!$J$21)*'Assumptions'!H37</x:f>
        <x:v>670</x:v>
      </x:c>
      <x:c r="R965" s="27" t="n">
        <x:f>P965*(1-'Assumptions'!$D$14)+Q965*'Assumptions'!$D$14</x:f>
        <x:v>745</x:v>
      </x:c>
      <x:c r="S965" s="27" t="n">
        <x:f>O965*'Carrier Engine'!E95</x:f>
        <x:v>113.40628972717357</x:v>
      </x:c>
      <x:c r="T965" s="28" t="n">
        <x:f>R965+S965</x:f>
        <x:v>858.4062897271735</x:v>
      </x:c>
      <x:c r="U965" s="27" t="n">
        <x:f>N965*'Fleet Engine'!J204</x:f>
        <x:v>0</x:v>
      </x:c>
      <x:c r="V965" s="28" t="n">
        <x:f>U965*T965</x:f>
        <x:v>0</x:v>
      </x:c>
      <x:c r="W965" s="28" t="n">
        <x:f>U965*O965</x:f>
        <x:v>0</x:v>
      </x:c>
    </x:row>
    <x:row r="966" ht="19" customHeight="1">
      <x:c r="A966" s="2"/>
      <x:c r="B966" s="2"/>
      <x:c r="C966" s="46" t="n">
        <x:v>4</x:v>
      </x:c>
      <x:c r="D966" s="46" t="n">
        <x:v>10</x:v>
      </x:c>
      <x:c r="E966" s="46" t="n">
        <x:v>1</x:v>
      </x:c>
      <x:c r="F966" s="46" t="n">
        <x:v>4</x:v>
      </x:c>
      <x:c r="G966" s="12" t="n">
        <x:v>0.6666666666666666</x:v>
      </x:c>
      <x:c r="H966" s="12" t="n">
        <x:v>0.7777777777777778</x:v>
      </x:c>
      <x:c r="I966" s="29" t="n">
        <x:f>'Assumptions'!$D$11+'Assumptions'!$D$12*(0.5-(G966+H966)/2)</x:f>
        <x:v>0.25555555555555554</x:v>
      </x:c>
      <x:c r="J966" s="27" t="n">
        <x:f>'Assumptions'!$D$8*EXP(-'Assumptions'!$D$9*('Fleet Engine'!E204-10))*'Assumptions'!E56*'Assumptions'!H36</x:f>
        <x:v>10206.566075445622</x:v>
      </x:c>
      <x:c r="K966" s="27" t="n">
        <x:f>'Source Data'!F221+LN('Assumptions'!D56)+LN('Assumptions'!H35)</x:f>
        <x:v>8.155326402806208</x:v>
      </x:c>
      <x:c r="L966" s="27" t="n">
        <x:f>J966*(1-I966*(1-'Carrier Engine'!E95))</x:f>
        <x:v>7702.55519826963</x:v>
      </x:c>
      <x:c r="M966" s="29" t="n">
        <x:f>NORM.S.DIST((LN(L966)-K966)/'Assumptions'!$D$10,TRUE)</x:f>
        <x:v>0.6934502338952844</x:v>
      </x:c>
      <x:c r="N966" s="30" t="n">
        <x:f>MAX(0,H966-MAX(G966,M966))</x:f>
        <x:v>0.08432754388249342</x:v>
      </x:c>
      <x:c r="O966" s="28" t="n">
        <x:f>J966*I966</x:f>
        <x:v>2608.344663724992</x:v>
      </x:c>
      <x:c r="P966" s="27" t="n">
        <x:f>(VLOOKUP(O966,'Fee Data'!$C$6:$G$50,2,TRUE)+O966*VLOOKUP(O966,'Fee Data'!$C$6:$G$50,3,TRUE)+VLOOKUP(O966,'Fee Data'!$I$6:$J$14,2,TRUE)+'Fee Data'!$J$20+'Fee Data'!$J$21)*'Assumptions'!H37</x:f>
        <x:v>820</x:v>
      </x:c>
      <x:c r="Q966" s="27" t="n">
        <x:f>(VLOOKUP(O966,'Fee Data'!$C$6:$G$50,4,TRUE)+O966*VLOOKUP(O966,'Fee Data'!$C$6:$G$50,5,TRUE)+VLOOKUP(O966,'Fee Data'!$I$6:$J$14,2,TRUE)+'Fee Data'!$J$20+'Fee Data'!$J$21)*'Assumptions'!H37</x:f>
        <x:v>670</x:v>
      </x:c>
      <x:c r="R966" s="27" t="n">
        <x:f>P966*(1-'Assumptions'!$D$14)+Q966*'Assumptions'!$D$14</x:f>
        <x:v>745</x:v>
      </x:c>
      <x:c r="S966" s="27" t="n">
        <x:f>O966*'Carrier Engine'!E95</x:f>
        <x:v>104.33378654899971</x:v>
      </x:c>
      <x:c r="T966" s="28" t="n">
        <x:f>R966+S966</x:f>
        <x:v>849.3337865489997</x:v>
      </x:c>
      <x:c r="U966" s="27" t="n">
        <x:f>N966*'Fleet Engine'!J204</x:f>
        <x:v>851.7532563005509</x:v>
      </x:c>
      <x:c r="V966" s="28" t="n">
        <x:f>U966*T966</x:f>
        <x:v>723422.8183791875</x:v>
      </x:c>
      <x:c r="W966" s="28" t="n">
        <x:f>U966*O966</x:f>
        <x:v>2221666.0608819276</x:v>
      </x:c>
    </x:row>
    <x:row r="967" ht="19" customHeight="1">
      <x:c r="A967" s="2"/>
      <x:c r="B967" s="2"/>
      <x:c r="C967" s="46" t="n">
        <x:v>4</x:v>
      </x:c>
      <x:c r="D967" s="46" t="n">
        <x:v>10</x:v>
      </x:c>
      <x:c r="E967" s="46" t="n">
        <x:v>1</x:v>
      </x:c>
      <x:c r="F967" s="46" t="n">
        <x:v>4</x:v>
      </x:c>
      <x:c r="G967" s="12" t="n">
        <x:v>0.7777777777777778</x:v>
      </x:c>
      <x:c r="H967" s="12" t="n">
        <x:v>0.8888888888888888</x:v>
      </x:c>
      <x:c r="I967" s="29" t="n">
        <x:f>'Assumptions'!$D$11+'Assumptions'!$D$12*(0.5-(G967+H967)/2)</x:f>
        <x:v>0.23333333333333334</x:v>
      </x:c>
      <x:c r="J967" s="27" t="n">
        <x:f>'Assumptions'!$D$8*EXP(-'Assumptions'!$D$9*('Fleet Engine'!E204-10))*'Assumptions'!E56*'Assumptions'!H36</x:f>
        <x:v>10206.566075445622</x:v>
      </x:c>
      <x:c r="K967" s="27" t="n">
        <x:f>'Source Data'!F221+LN('Assumptions'!D56)+LN('Assumptions'!H35)</x:f>
        <x:v>8.155326402806208</x:v>
      </x:c>
      <x:c r="L967" s="27" t="n">
        <x:f>J967*(1-I967*(1-'Carrier Engine'!E95))</x:f>
        <x:v>7920.295274545803</x:v>
      </x:c>
      <x:c r="M967" s="29" t="n">
        <x:f>NORM.S.DIST((LN(L967)-K967)/'Assumptions'!$D$10,TRUE)</x:f>
        <x:v>0.699654601261197</x:v>
      </x:c>
      <x:c r="N967" s="30" t="n">
        <x:f>MAX(0,H967-MAX(G967,M967))</x:f>
        <x:v>0.11111111111111105</x:v>
      </x:c>
      <x:c r="O967" s="28" t="n">
        <x:f>J967*I967</x:f>
        <x:v>2381.532084270645</x:v>
      </x:c>
      <x:c r="P967" s="27" t="n">
        <x:f>(VLOOKUP(O967,'Fee Data'!$C$6:$G$50,2,TRUE)+O967*VLOOKUP(O967,'Fee Data'!$C$6:$G$50,3,TRUE)+VLOOKUP(O967,'Fee Data'!$I$6:$J$14,2,TRUE)+'Fee Data'!$J$20+'Fee Data'!$J$21)*'Assumptions'!H37</x:f>
        <x:v>745</x:v>
      </x:c>
      <x:c r="Q967" s="27" t="n">
        <x:f>(VLOOKUP(O967,'Fee Data'!$C$6:$G$50,4,TRUE)+O967*VLOOKUP(O967,'Fee Data'!$C$6:$G$50,5,TRUE)+VLOOKUP(O967,'Fee Data'!$I$6:$J$14,2,TRUE)+'Fee Data'!$J$20+'Fee Data'!$J$21)*'Assumptions'!H37</x:f>
        <x:v>600</x:v>
      </x:c>
      <x:c r="R967" s="27" t="n">
        <x:f>P967*(1-'Assumptions'!$D$14)+Q967*'Assumptions'!$D$14</x:f>
        <x:v>672.5</x:v>
      </x:c>
      <x:c r="S967" s="27" t="n">
        <x:f>O967*'Carrier Engine'!E95</x:f>
        <x:v>95.26128337082582</x:v>
      </x:c>
      <x:c r="T967" s="28" t="n">
        <x:f>R967+S967</x:f>
        <x:v>767.7612833708258</x:v>
      </x:c>
      <x:c r="U967" s="27" t="n">
        <x:f>N967*'Fleet Engine'!J204</x:f>
        <x:v>1122.2815979549532</x:v>
      </x:c>
      <x:c r="V967" s="28" t="n">
        <x:f>U967*T967</x:f>
        <x:v>861644.3599493561</x:v>
      </x:c>
      <x:c r="W967" s="28" t="n">
        <x:f>U967*O967</x:f>
        <x:v>2672749.63311625</x:v>
      </x:c>
    </x:row>
    <x:row r="968" ht="19" customHeight="1">
      <x:c r="A968" s="2"/>
      <x:c r="B968" s="2"/>
      <x:c r="C968" s="46" t="n">
        <x:v>4</x:v>
      </x:c>
      <x:c r="D968" s="46" t="n">
        <x:v>10</x:v>
      </x:c>
      <x:c r="E968" s="46" t="n">
        <x:v>1</x:v>
      </x:c>
      <x:c r="F968" s="46" t="n">
        <x:v>4</x:v>
      </x:c>
      <x:c r="G968" s="12" t="n">
        <x:v>0.8888888888888888</x:v>
      </x:c>
      <x:c r="H968" s="12" t="n">
        <x:v>1</x:v>
      </x:c>
      <x:c r="I968" s="29" t="n">
        <x:f>'Assumptions'!$D$11+'Assumptions'!$D$12*(0.5-(G968+H968)/2)</x:f>
        <x:v>0.21111111111111108</x:v>
      </x:c>
      <x:c r="J968" s="27" t="n">
        <x:f>'Assumptions'!$D$8*EXP(-'Assumptions'!$D$9*('Fleet Engine'!E204-10))*'Assumptions'!E56*'Assumptions'!H36</x:f>
        <x:v>10206.566075445622</x:v>
      </x:c>
      <x:c r="K968" s="27" t="n">
        <x:f>'Source Data'!F221+LN('Assumptions'!D56)+LN('Assumptions'!H35)</x:f>
        <x:v>8.155326402806208</x:v>
      </x:c>
      <x:c r="L968" s="27" t="n">
        <x:f>J968*(1-I968*(1-'Carrier Engine'!E95))</x:f>
        <x:v>8138.035350821976</x:v>
      </x:c>
      <x:c r="M968" s="29" t="n">
        <x:f>NORM.S.DIST((LN(L968)-K968)/'Assumptions'!$D$10,TRUE)</x:f>
        <x:v>0.7056356354734394</x:v>
      </x:c>
      <x:c r="N968" s="30" t="n">
        <x:f>MAX(0,H968-MAX(G968,M968))</x:f>
        <x:v>0.11111111111111116</x:v>
      </x:c>
      <x:c r="O968" s="28" t="n">
        <x:f>J968*I968</x:f>
        <x:v>2154.7195048162976</x:v>
      </x:c>
      <x:c r="P968" s="27" t="n">
        <x:f>(VLOOKUP(O968,'Fee Data'!$C$6:$G$50,2,TRUE)+O968*VLOOKUP(O968,'Fee Data'!$C$6:$G$50,3,TRUE)+VLOOKUP(O968,'Fee Data'!$I$6:$J$14,2,TRUE)+'Fee Data'!$J$20+'Fee Data'!$J$21)*'Assumptions'!H37</x:f>
        <x:v>745</x:v>
      </x:c>
      <x:c r="Q968" s="27" t="n">
        <x:f>(VLOOKUP(O968,'Fee Data'!$C$6:$G$50,4,TRUE)+O968*VLOOKUP(O968,'Fee Data'!$C$6:$G$50,5,TRUE)+VLOOKUP(O968,'Fee Data'!$I$6:$J$14,2,TRUE)+'Fee Data'!$J$20+'Fee Data'!$J$21)*'Assumptions'!H37</x:f>
        <x:v>600</x:v>
      </x:c>
      <x:c r="R968" s="27" t="n">
        <x:f>P968*(1-'Assumptions'!$D$14)+Q968*'Assumptions'!$D$14</x:f>
        <x:v>672.5</x:v>
      </x:c>
      <x:c r="S968" s="27" t="n">
        <x:f>O968*'Carrier Engine'!E95</x:f>
        <x:v>86.18878019265192</x:v>
      </x:c>
      <x:c r="T968" s="28" t="n">
        <x:f>R968+S968</x:f>
        <x:v>758.688780192652</x:v>
      </x:c>
      <x:c r="U968" s="27" t="n">
        <x:f>N968*'Fleet Engine'!J204</x:f>
        <x:v>1122.2815979549543</x:v>
      </x:c>
      <x:c r="V968" s="28" t="n">
        <x:f>U968*T968</x:f>
        <x:v>851462.4565851046</x:v>
      </x:c>
      <x:c r="W968" s="28" t="n">
        <x:f>U968*O968</x:f>
        <x:v>2418202.0490099424</x:v>
      </x:c>
    </x:row>
    <x:row r="969" ht="19" customHeight="1">
      <x:c r="A969" s="2"/>
      <x:c r="B969" s="2"/>
      <x:c r="C969" s="46" t="n">
        <x:v>4</x:v>
      </x:c>
      <x:c r="D969" s="46" t="n">
        <x:v>11</x:v>
      </x:c>
      <x:c r="E969" s="46" t="n">
        <x:v>1</x:v>
      </x:c>
      <x:c r="F969" s="46" t="n">
        <x:v>5</x:v>
      </x:c>
      <x:c r="G969" s="12" t="n">
        <x:v>0</x:v>
      </x:c>
      <x:c r="H969" s="12" t="n">
        <x:v>0.1111111111111111</x:v>
      </x:c>
      <x:c r="I969" s="29" t="n">
        <x:f>'Assumptions'!$D$11+'Assumptions'!$D$12*(0.5-(G969+H969)/2)</x:f>
        <x:v>0.3888888888888889</x:v>
      </x:c>
      <x:c r="J969" s="27" t="n">
        <x:f>'Assumptions'!$D$8*EXP(-'Assumptions'!$D$9*('Fleet Engine'!E205-10))*'Assumptions'!E56*'Assumptions'!H36</x:f>
        <x:v>5601.482226767098</x:v>
      </x:c>
      <x:c r="K969" s="27" t="n">
        <x:f>'Source Data'!F222+LN('Assumptions'!D56)+LN('Assumptions'!H35)</x:f>
        <x:v>8.056397553082528</x:v>
      </x:c>
      <x:c r="L969" s="27" t="n">
        <x:f>J969*(1-I969*(1-'Carrier Engine'!E95))</x:f>
        <x:v>3510.262195440715</x:v>
      </x:c>
      <x:c r="M969" s="29" t="n">
        <x:f>NORM.S.DIST((LN(L969)-K969)/'Assumptions'!$D$10,TRUE)</x:f>
        <x:v>0.5271767523756574</x:v>
      </x:c>
      <x:c r="N969" s="30" t="n">
        <x:f>MAX(0,H969-MAX(G969,M969))</x:f>
        <x:v>0</x:v>
      </x:c>
      <x:c r="O969" s="28" t="n">
        <x:f>J969*I969</x:f>
        <x:v>2178.354199298316</x:v>
      </x:c>
      <x:c r="P969" s="27" t="n">
        <x:f>(VLOOKUP(O969,'Fee Data'!$C$6:$G$50,2,TRUE)+O969*VLOOKUP(O969,'Fee Data'!$C$6:$G$50,3,TRUE)+VLOOKUP(O969,'Fee Data'!$I$6:$J$14,2,TRUE)+'Fee Data'!$J$20+'Fee Data'!$J$21)*'Assumptions'!H37</x:f>
        <x:v>745</x:v>
      </x:c>
      <x:c r="Q969" s="27" t="n">
        <x:f>(VLOOKUP(O969,'Fee Data'!$C$6:$G$50,4,TRUE)+O969*VLOOKUP(O969,'Fee Data'!$C$6:$G$50,5,TRUE)+VLOOKUP(O969,'Fee Data'!$I$6:$J$14,2,TRUE)+'Fee Data'!$J$20+'Fee Data'!$J$21)*'Assumptions'!H37</x:f>
        <x:v>600</x:v>
      </x:c>
      <x:c r="R969" s="27" t="n">
        <x:f>P969*(1-'Assumptions'!$D$14)+Q969*'Assumptions'!$D$14</x:f>
        <x:v>672.5</x:v>
      </x:c>
      <x:c r="S969" s="27" t="n">
        <x:f>O969*'Carrier Engine'!E95</x:f>
        <x:v>87.13416797193265</x:v>
      </x:c>
      <x:c r="T969" s="28" t="n">
        <x:f>R969+S969</x:f>
        <x:v>759.6341679719327</x:v>
      </x:c>
      <x:c r="U969" s="27" t="n">
        <x:f>N969*'Fleet Engine'!J205</x:f>
        <x:v>0</x:v>
      </x:c>
      <x:c r="V969" s="28" t="n">
        <x:f>U969*T969</x:f>
        <x:v>0</x:v>
      </x:c>
      <x:c r="W969" s="28" t="n">
        <x:f>U969*O969</x:f>
        <x:v>0</x:v>
      </x:c>
    </x:row>
    <x:row r="970" ht="19" customHeight="1">
      <x:c r="A970" s="2"/>
      <x:c r="B970" s="2"/>
      <x:c r="C970" s="46" t="n">
        <x:v>4</x:v>
      </x:c>
      <x:c r="D970" s="46" t="n">
        <x:v>11</x:v>
      </x:c>
      <x:c r="E970" s="46" t="n">
        <x:v>1</x:v>
      </x:c>
      <x:c r="F970" s="46" t="n">
        <x:v>5</x:v>
      </x:c>
      <x:c r="G970" s="12" t="n">
        <x:v>0.1111111111111111</x:v>
      </x:c>
      <x:c r="H970" s="12" t="n">
        <x:v>0.2222222222222222</x:v>
      </x:c>
      <x:c r="I970" s="29" t="n">
        <x:f>'Assumptions'!$D$11+'Assumptions'!$D$12*(0.5-(G970+H970)/2)</x:f>
        <x:v>0.3666666666666667</x:v>
      </x:c>
      <x:c r="J970" s="27" t="n">
        <x:f>'Assumptions'!$D$8*EXP(-'Assumptions'!$D$9*('Fleet Engine'!E205-10))*'Assumptions'!E56*'Assumptions'!H36</x:f>
        <x:v>5601.482226767098</x:v>
      </x:c>
      <x:c r="K970" s="27" t="n">
        <x:f>'Source Data'!F222+LN('Assumptions'!D56)+LN('Assumptions'!H35)</x:f>
        <x:v>8.056397553082528</x:v>
      </x:c>
      <x:c r="L970" s="27" t="n">
        <x:f>J970*(1-I970*(1-'Carrier Engine'!E95))</x:f>
        <x:v>3629.760482945079</x:v>
      </x:c>
      <x:c r="M970" s="29" t="n">
        <x:f>NORM.S.DIST((LN(L970)-K970)/'Assumptions'!$D$10,TRUE)</x:f>
        <x:v>0.5356554348338565</x:v>
      </x:c>
      <x:c r="N970" s="30" t="n">
        <x:f>MAX(0,H970-MAX(G970,M970))</x:f>
        <x:v>0</x:v>
      </x:c>
      <x:c r="O970" s="28" t="n">
        <x:f>J970*I970</x:f>
        <x:v>2053.8768164812695</x:v>
      </x:c>
      <x:c r="P970" s="27" t="n">
        <x:f>(VLOOKUP(O970,'Fee Data'!$C$6:$G$50,2,TRUE)+O970*VLOOKUP(O970,'Fee Data'!$C$6:$G$50,3,TRUE)+VLOOKUP(O970,'Fee Data'!$I$6:$J$14,2,TRUE)+'Fee Data'!$J$20+'Fee Data'!$J$21)*'Assumptions'!H37</x:f>
        <x:v>745</x:v>
      </x:c>
      <x:c r="Q970" s="27" t="n">
        <x:f>(VLOOKUP(O970,'Fee Data'!$C$6:$G$50,4,TRUE)+O970*VLOOKUP(O970,'Fee Data'!$C$6:$G$50,5,TRUE)+VLOOKUP(O970,'Fee Data'!$I$6:$J$14,2,TRUE)+'Fee Data'!$J$20+'Fee Data'!$J$21)*'Assumptions'!H37</x:f>
        <x:v>600</x:v>
      </x:c>
      <x:c r="R970" s="27" t="n">
        <x:f>P970*(1-'Assumptions'!$D$14)+Q970*'Assumptions'!$D$14</x:f>
        <x:v>672.5</x:v>
      </x:c>
      <x:c r="S970" s="27" t="n">
        <x:f>O970*'Carrier Engine'!E95</x:f>
        <x:v>82.15507265925079</x:v>
      </x:c>
      <x:c r="T970" s="28" t="n">
        <x:f>R970+S970</x:f>
        <x:v>754.6550726592508</x:v>
      </x:c>
      <x:c r="U970" s="27" t="n">
        <x:f>N970*'Fleet Engine'!J205</x:f>
        <x:v>0</x:v>
      </x:c>
      <x:c r="V970" s="28" t="n">
        <x:f>U970*T970</x:f>
        <x:v>0</x:v>
      </x:c>
      <x:c r="W970" s="28" t="n">
        <x:f>U970*O970</x:f>
        <x:v>0</x:v>
      </x:c>
    </x:row>
    <x:row r="971" ht="19" customHeight="1">
      <x:c r="A971" s="2"/>
      <x:c r="B971" s="2"/>
      <x:c r="C971" s="46" t="n">
        <x:v>4</x:v>
      </x:c>
      <x:c r="D971" s="46" t="n">
        <x:v>11</x:v>
      </x:c>
      <x:c r="E971" s="46" t="n">
        <x:v>1</x:v>
      </x:c>
      <x:c r="F971" s="46" t="n">
        <x:v>5</x:v>
      </x:c>
      <x:c r="G971" s="12" t="n">
        <x:v>0.2222222222222222</x:v>
      </x:c>
      <x:c r="H971" s="12" t="n">
        <x:v>0.3333333333333333</x:v>
      </x:c>
      <x:c r="I971" s="29" t="n">
        <x:f>'Assumptions'!$D$11+'Assumptions'!$D$12*(0.5-(G971+H971)/2)</x:f>
        <x:v>0.34444444444444444</x:v>
      </x:c>
      <x:c r="J971" s="27" t="n">
        <x:f>'Assumptions'!$D$8*EXP(-'Assumptions'!$D$9*('Fleet Engine'!E205-10))*'Assumptions'!E56*'Assumptions'!H36</x:f>
        <x:v>5601.482226767098</x:v>
      </x:c>
      <x:c r="K971" s="27" t="n">
        <x:f>'Source Data'!F222+LN('Assumptions'!D56)+LN('Assumptions'!H35)</x:f>
        <x:v>8.056397553082528</x:v>
      </x:c>
      <x:c r="L971" s="27" t="n">
        <x:f>J971*(1-I971*(1-'Carrier Engine'!E95))</x:f>
        <x:v>3749.258770449444</x:v>
      </x:c>
      <x:c r="M971" s="29" t="n">
        <x:f>NORM.S.DIST((LN(L971)-K971)/'Assumptions'!$D$10,TRUE)</x:f>
        <x:v>0.5438441102581311</x:v>
      </x:c>
      <x:c r="N971" s="30" t="n">
        <x:f>MAX(0,H971-MAX(G971,M971))</x:f>
        <x:v>0</x:v>
      </x:c>
      <x:c r="O971" s="28" t="n">
        <x:f>J971*I971</x:f>
        <x:v>1929.3994336642227</x:v>
      </x:c>
      <x:c r="P971" s="27" t="n">
        <x:f>(VLOOKUP(O971,'Fee Data'!$C$6:$G$50,2,TRUE)+O971*VLOOKUP(O971,'Fee Data'!$C$6:$G$50,3,TRUE)+VLOOKUP(O971,'Fee Data'!$I$6:$J$14,2,TRUE)+'Fee Data'!$J$20+'Fee Data'!$J$21)*'Assumptions'!H37</x:f>
        <x:v>705</x:v>
      </x:c>
      <x:c r="Q971" s="27" t="n">
        <x:f>(VLOOKUP(O971,'Fee Data'!$C$6:$G$50,4,TRUE)+O971*VLOOKUP(O971,'Fee Data'!$C$6:$G$50,5,TRUE)+VLOOKUP(O971,'Fee Data'!$I$6:$J$14,2,TRUE)+'Fee Data'!$J$20+'Fee Data'!$J$21)*'Assumptions'!H37</x:f>
        <x:v>565</x:v>
      </x:c>
      <x:c r="R971" s="27" t="n">
        <x:f>P971*(1-'Assumptions'!$D$14)+Q971*'Assumptions'!$D$14</x:f>
        <x:v>635</x:v>
      </x:c>
      <x:c r="S971" s="27" t="n">
        <x:f>O971*'Carrier Engine'!E95</x:f>
        <x:v>77.17597734656893</x:v>
      </x:c>
      <x:c r="T971" s="28" t="n">
        <x:f>R971+S971</x:f>
        <x:v>712.175977346569</x:v>
      </x:c>
      <x:c r="U971" s="27" t="n">
        <x:f>N971*'Fleet Engine'!J205</x:f>
        <x:v>0</x:v>
      </x:c>
      <x:c r="V971" s="28" t="n">
        <x:f>U971*T971</x:f>
        <x:v>0</x:v>
      </x:c>
      <x:c r="W971" s="28" t="n">
        <x:f>U971*O971</x:f>
        <x:v>0</x:v>
      </x:c>
    </x:row>
    <x:row r="972" ht="19" customHeight="1">
      <x:c r="A972" s="2"/>
      <x:c r="B972" s="2"/>
      <x:c r="C972" s="46" t="n">
        <x:v>4</x:v>
      </x:c>
      <x:c r="D972" s="46" t="n">
        <x:v>11</x:v>
      </x:c>
      <x:c r="E972" s="46" t="n">
        <x:v>1</x:v>
      </x:c>
      <x:c r="F972" s="46" t="n">
        <x:v>5</x:v>
      </x:c>
      <x:c r="G972" s="12" t="n">
        <x:v>0.3333333333333333</x:v>
      </x:c>
      <x:c r="H972" s="12" t="n">
        <x:v>0.4444444444444444</x:v>
      </x:c>
      <x:c r="I972" s="29" t="n">
        <x:f>'Assumptions'!$D$11+'Assumptions'!$D$12*(0.5-(G972+H972)/2)</x:f>
        <x:v>0.32222222222222224</x:v>
      </x:c>
      <x:c r="J972" s="27" t="n">
        <x:f>'Assumptions'!$D$8*EXP(-'Assumptions'!$D$9*('Fleet Engine'!E205-10))*'Assumptions'!E56*'Assumptions'!H36</x:f>
        <x:v>5601.482226767098</x:v>
      </x:c>
      <x:c r="K972" s="27" t="n">
        <x:f>'Source Data'!F222+LN('Assumptions'!D56)+LN('Assumptions'!H35)</x:f>
        <x:v>8.056397553082528</x:v>
      </x:c>
      <x:c r="L972" s="27" t="n">
        <x:f>J972*(1-I972*(1-'Carrier Engine'!E95))</x:f>
        <x:v>3868.7570579538087</x:v>
      </x:c>
      <x:c r="M972" s="29" t="n">
        <x:f>NORM.S.DIST((LN(L972)-K972)/'Assumptions'!$D$10,TRUE)</x:f>
        <x:v>0.5517581623199981</x:v>
      </x:c>
      <x:c r="N972" s="30" t="n">
        <x:f>MAX(0,H972-MAX(G972,M972))</x:f>
        <x:v>0</x:v>
      </x:c>
      <x:c r="O972" s="28" t="n">
        <x:f>J972*I972</x:f>
        <x:v>1804.922050847176</x:v>
      </x:c>
      <x:c r="P972" s="27" t="n">
        <x:f>(VLOOKUP(O972,'Fee Data'!$C$6:$G$50,2,TRUE)+O972*VLOOKUP(O972,'Fee Data'!$C$6:$G$50,3,TRUE)+VLOOKUP(O972,'Fee Data'!$I$6:$J$14,2,TRUE)+'Fee Data'!$J$20+'Fee Data'!$J$21)*'Assumptions'!H37</x:f>
        <x:v>705</x:v>
      </x:c>
      <x:c r="Q972" s="27" t="n">
        <x:f>(VLOOKUP(O972,'Fee Data'!$C$6:$G$50,4,TRUE)+O972*VLOOKUP(O972,'Fee Data'!$C$6:$G$50,5,TRUE)+VLOOKUP(O972,'Fee Data'!$I$6:$J$14,2,TRUE)+'Fee Data'!$J$20+'Fee Data'!$J$21)*'Assumptions'!H37</x:f>
        <x:v>565</x:v>
      </x:c>
      <x:c r="R972" s="27" t="n">
        <x:f>P972*(1-'Assumptions'!$D$14)+Q972*'Assumptions'!$D$14</x:f>
        <x:v>635</x:v>
      </x:c>
      <x:c r="S972" s="27" t="n">
        <x:f>O972*'Carrier Engine'!E95</x:f>
        <x:v>72.19688203388705</x:v>
      </x:c>
      <x:c r="T972" s="28" t="n">
        <x:f>R972+S972</x:f>
        <x:v>707.196882033887</x:v>
      </x:c>
      <x:c r="U972" s="27" t="n">
        <x:f>N972*'Fleet Engine'!J205</x:f>
        <x:v>0</x:v>
      </x:c>
      <x:c r="V972" s="28" t="n">
        <x:f>U972*T972</x:f>
        <x:v>0</x:v>
      </x:c>
      <x:c r="W972" s="28" t="n">
        <x:f>U972*O972</x:f>
        <x:v>0</x:v>
      </x:c>
    </x:row>
    <x:row r="973" ht="19" customHeight="1">
      <x:c r="A973" s="2"/>
      <x:c r="B973" s="2"/>
      <x:c r="C973" s="46" t="n">
        <x:v>4</x:v>
      </x:c>
      <x:c r="D973" s="46" t="n">
        <x:v>11</x:v>
      </x:c>
      <x:c r="E973" s="46" t="n">
        <x:v>1</x:v>
      </x:c>
      <x:c r="F973" s="46" t="n">
        <x:v>5</x:v>
      </x:c>
      <x:c r="G973" s="12" t="n">
        <x:v>0.4444444444444444</x:v>
      </x:c>
      <x:c r="H973" s="12" t="n">
        <x:v>0.5555555555555556</x:v>
      </x:c>
      <x:c r="I973" s="29" t="n">
        <x:f>'Assumptions'!$D$11+'Assumptions'!$D$12*(0.5-(G973+H973)/2)</x:f>
        <x:v>0.3</x:v>
      </x:c>
      <x:c r="J973" s="27" t="n">
        <x:f>'Assumptions'!$D$8*EXP(-'Assumptions'!$D$9*('Fleet Engine'!E205-10))*'Assumptions'!E56*'Assumptions'!H36</x:f>
        <x:v>5601.482226767098</x:v>
      </x:c>
      <x:c r="K973" s="27" t="n">
        <x:f>'Source Data'!F222+LN('Assumptions'!D56)+LN('Assumptions'!H35)</x:f>
        <x:v>8.056397553082528</x:v>
      </x:c>
      <x:c r="L973" s="27" t="n">
        <x:f>J973*(1-I973*(1-'Carrier Engine'!E95))</x:f>
        <x:v>3988.2553454581735</x:v>
      </x:c>
      <x:c r="M973" s="29" t="n">
        <x:f>NORM.S.DIST((LN(L973)-K973)/'Assumptions'!$D$10,TRUE)</x:f>
        <x:v>0.559411856481953</x:v>
      </x:c>
      <x:c r="N973" s="30" t="n">
        <x:f>MAX(0,H973-MAX(G973,M973))</x:f>
        <x:v>0</x:v>
      </x:c>
      <x:c r="O973" s="28" t="n">
        <x:f>J973*I973</x:f>
        <x:v>1680.4446680301294</x:v>
      </x:c>
      <x:c r="P973" s="27" t="n">
        <x:f>(VLOOKUP(O973,'Fee Data'!$C$6:$G$50,2,TRUE)+O973*VLOOKUP(O973,'Fee Data'!$C$6:$G$50,3,TRUE)+VLOOKUP(O973,'Fee Data'!$I$6:$J$14,2,TRUE)+'Fee Data'!$J$20+'Fee Data'!$J$21)*'Assumptions'!H37</x:f>
        <x:v>660</x:v>
      </x:c>
      <x:c r="Q973" s="27" t="n">
        <x:f>(VLOOKUP(O973,'Fee Data'!$C$6:$G$50,4,TRUE)+O973*VLOOKUP(O973,'Fee Data'!$C$6:$G$50,5,TRUE)+VLOOKUP(O973,'Fee Data'!$I$6:$J$14,2,TRUE)+'Fee Data'!$J$20+'Fee Data'!$J$21)*'Assumptions'!H37</x:f>
        <x:v>525</x:v>
      </x:c>
      <x:c r="R973" s="27" t="n">
        <x:f>P973*(1-'Assumptions'!$D$14)+Q973*'Assumptions'!$D$14</x:f>
        <x:v>592.5</x:v>
      </x:c>
      <x:c r="S973" s="27" t="n">
        <x:f>O973*'Carrier Engine'!E95</x:f>
        <x:v>67.21778672120519</x:v>
      </x:c>
      <x:c r="T973" s="28" t="n">
        <x:f>R973+S973</x:f>
        <x:v>659.7177867212051</x:v>
      </x:c>
      <x:c r="U973" s="27" t="n">
        <x:f>N973*'Fleet Engine'!J205</x:f>
        <x:v>0</x:v>
      </x:c>
      <x:c r="V973" s="28" t="n">
        <x:f>U973*T973</x:f>
        <x:v>0</x:v>
      </x:c>
      <x:c r="W973" s="28" t="n">
        <x:f>U973*O973</x:f>
        <x:v>0</x:v>
      </x:c>
    </x:row>
    <x:row r="974" ht="19" customHeight="1">
      <x:c r="A974" s="2"/>
      <x:c r="B974" s="2"/>
      <x:c r="C974" s="46" t="n">
        <x:v>4</x:v>
      </x:c>
      <x:c r="D974" s="46" t="n">
        <x:v>11</x:v>
      </x:c>
      <x:c r="E974" s="46" t="n">
        <x:v>1</x:v>
      </x:c>
      <x:c r="F974" s="46" t="n">
        <x:v>5</x:v>
      </x:c>
      <x:c r="G974" s="12" t="n">
        <x:v>0.5555555555555556</x:v>
      </x:c>
      <x:c r="H974" s="12" t="n">
        <x:v>0.6666666666666666</x:v>
      </x:c>
      <x:c r="I974" s="29" t="n">
        <x:f>'Assumptions'!$D$11+'Assumptions'!$D$12*(0.5-(G974+H974)/2)</x:f>
        <x:v>0.27777777777777773</x:v>
      </x:c>
      <x:c r="J974" s="27" t="n">
        <x:f>'Assumptions'!$D$8*EXP(-'Assumptions'!$D$9*('Fleet Engine'!E205-10))*'Assumptions'!E56*'Assumptions'!H36</x:f>
        <x:v>5601.482226767098</x:v>
      </x:c>
      <x:c r="K974" s="27" t="n">
        <x:f>'Source Data'!F222+LN('Assumptions'!D56)+LN('Assumptions'!H35)</x:f>
        <x:v>8.056397553082528</x:v>
      </x:c>
      <x:c r="L974" s="27" t="n">
        <x:f>J974*(1-I974*(1-'Carrier Engine'!E95))</x:f>
        <x:v>4107.753632962539</x:v>
      </x:c>
      <x:c r="M974" s="29" t="n">
        <x:f>NORM.S.DIST((LN(L974)-K974)/'Assumptions'!$D$10,TRUE)</x:f>
        <x:v>0.5668184429915024</x:v>
      </x:c>
      <x:c r="N974" s="30" t="n">
        <x:f>MAX(0,H974-MAX(G974,M974))</x:f>
        <x:v>0.09984822367516422</x:v>
      </x:c>
      <x:c r="O974" s="28" t="n">
        <x:f>J974*I974</x:f>
        <x:v>1555.9672852130825</x:v>
      </x:c>
      <x:c r="P974" s="27" t="n">
        <x:f>(VLOOKUP(O974,'Fee Data'!$C$6:$G$50,2,TRUE)+O974*VLOOKUP(O974,'Fee Data'!$C$6:$G$50,3,TRUE)+VLOOKUP(O974,'Fee Data'!$I$6:$J$14,2,TRUE)+'Fee Data'!$J$20+'Fee Data'!$J$21)*'Assumptions'!H37</x:f>
        <x:v>640</x:v>
      </x:c>
      <x:c r="Q974" s="27" t="n">
        <x:f>(VLOOKUP(O974,'Fee Data'!$C$6:$G$50,4,TRUE)+O974*VLOOKUP(O974,'Fee Data'!$C$6:$G$50,5,TRUE)+VLOOKUP(O974,'Fee Data'!$I$6:$J$14,2,TRUE)+'Fee Data'!$J$20+'Fee Data'!$J$21)*'Assumptions'!H37</x:f>
        <x:v>510</x:v>
      </x:c>
      <x:c r="R974" s="27" t="n">
        <x:f>P974*(1-'Assumptions'!$D$14)+Q974*'Assumptions'!$D$14</x:f>
        <x:v>575</x:v>
      </x:c>
      <x:c r="S974" s="27" t="n">
        <x:f>O974*'Carrier Engine'!E95</x:f>
        <x:v>62.238691408523316</x:v>
      </x:c>
      <x:c r="T974" s="28" t="n">
        <x:f>R974+S974</x:f>
        <x:v>637.2386914085233</x:v>
      </x:c>
      <x:c r="U974" s="27" t="n">
        <x:f>N974*'Fleet Engine'!J205</x:f>
        <x:v>1173.3330137231883</x:v>
      </x:c>
      <x:c r="V974" s="28" t="n">
        <x:f>U974*T974</x:f>
        <x:v>747693.1942513834</x:v>
      </x:c>
      <x:c r="W974" s="28" t="n">
        <x:f>U974*O974</x:f>
        <x:v>1825667.7840137538</x:v>
      </x:c>
    </x:row>
    <x:row r="975" ht="19" customHeight="1">
      <x:c r="A975" s="2"/>
      <x:c r="B975" s="2"/>
      <x:c r="C975" s="46" t="n">
        <x:v>4</x:v>
      </x:c>
      <x:c r="D975" s="46" t="n">
        <x:v>11</x:v>
      </x:c>
      <x:c r="E975" s="46" t="n">
        <x:v>1</x:v>
      </x:c>
      <x:c r="F975" s="46" t="n">
        <x:v>5</x:v>
      </x:c>
      <x:c r="G975" s="12" t="n">
        <x:v>0.6666666666666666</x:v>
      </x:c>
      <x:c r="H975" s="12" t="n">
        <x:v>0.7777777777777778</x:v>
      </x:c>
      <x:c r="I975" s="29" t="n">
        <x:f>'Assumptions'!$D$11+'Assumptions'!$D$12*(0.5-(G975+H975)/2)</x:f>
        <x:v>0.25555555555555554</x:v>
      </x:c>
      <x:c r="J975" s="27" t="n">
        <x:f>'Assumptions'!$D$8*EXP(-'Assumptions'!$D$9*('Fleet Engine'!E205-10))*'Assumptions'!E56*'Assumptions'!H36</x:f>
        <x:v>5601.482226767098</x:v>
      </x:c>
      <x:c r="K975" s="27" t="n">
        <x:f>'Source Data'!F222+LN('Assumptions'!D56)+LN('Assumptions'!H35)</x:f>
        <x:v>8.056397553082528</x:v>
      </x:c>
      <x:c r="L975" s="27" t="n">
        <x:f>J975*(1-I975*(1-'Carrier Engine'!E95))</x:f>
        <x:v>4227.251920466903</x:v>
      </x:c>
      <x:c r="M975" s="29" t="n">
        <x:f>NORM.S.DIST((LN(L975)-K975)/'Assumptions'!$D$10,TRUE)</x:f>
        <x:v>0.5739902484750252</x:v>
      </x:c>
      <x:c r="N975" s="30" t="n">
        <x:f>MAX(0,H975-MAX(G975,M975))</x:f>
        <x:v>0.11111111111111116</x:v>
      </x:c>
      <x:c r="O975" s="28" t="n">
        <x:f>J975*I975</x:f>
        <x:v>1431.489902396036</x:v>
      </x:c>
      <x:c r="P975" s="27" t="n">
        <x:f>(VLOOKUP(O975,'Fee Data'!$C$6:$G$50,2,TRUE)+O975*VLOOKUP(O975,'Fee Data'!$C$6:$G$50,3,TRUE)+VLOOKUP(O975,'Fee Data'!$I$6:$J$14,2,TRUE)+'Fee Data'!$J$20+'Fee Data'!$J$21)*'Assumptions'!H37</x:f>
        <x:v>615</x:v>
      </x:c>
      <x:c r="Q975" s="27" t="n">
        <x:f>(VLOOKUP(O975,'Fee Data'!$C$6:$G$50,4,TRUE)+O975*VLOOKUP(O975,'Fee Data'!$C$6:$G$50,5,TRUE)+VLOOKUP(O975,'Fee Data'!$I$6:$J$14,2,TRUE)+'Fee Data'!$J$20+'Fee Data'!$J$21)*'Assumptions'!H37</x:f>
        <x:v>485</x:v>
      </x:c>
      <x:c r="R975" s="27" t="n">
        <x:f>P975*(1-'Assumptions'!$D$14)+Q975*'Assumptions'!$D$14</x:f>
        <x:v>550</x:v>
      </x:c>
      <x:c r="S975" s="27" t="n">
        <x:f>O975*'Carrier Engine'!E95</x:f>
        <x:v>57.25959609584145</x:v>
      </x:c>
      <x:c r="T975" s="28" t="n">
        <x:f>R975+S975</x:f>
        <x:v>607.2595960958414</x:v>
      </x:c>
      <x:c r="U975" s="27" t="n">
        <x:f>N975*'Fleet Engine'!J205</x:f>
        <x:v>1305.6850693935762</x:v>
      </x:c>
      <x:c r="V975" s="28" t="n">
        <x:f>U975*T975</x:f>
        <x:v>792889.7878683137</x:v>
      </x:c>
      <x:c r="W975" s="28" t="n">
        <x:f>U975*O975</x:f>
        <x:v>1869074.992546172</x:v>
      </x:c>
    </x:row>
    <x:row r="976" ht="19" customHeight="1">
      <x:c r="A976" s="2"/>
      <x:c r="B976" s="2"/>
      <x:c r="C976" s="46" t="n">
        <x:v>4</x:v>
      </x:c>
      <x:c r="D976" s="46" t="n">
        <x:v>11</x:v>
      </x:c>
      <x:c r="E976" s="46" t="n">
        <x:v>1</x:v>
      </x:c>
      <x:c r="F976" s="46" t="n">
        <x:v>5</x:v>
      </x:c>
      <x:c r="G976" s="12" t="n">
        <x:v>0.7777777777777778</x:v>
      </x:c>
      <x:c r="H976" s="12" t="n">
        <x:v>0.8888888888888888</x:v>
      </x:c>
      <x:c r="I976" s="29" t="n">
        <x:f>'Assumptions'!$D$11+'Assumptions'!$D$12*(0.5-(G976+H976)/2)</x:f>
        <x:v>0.23333333333333334</x:v>
      </x:c>
      <x:c r="J976" s="27" t="n">
        <x:f>'Assumptions'!$D$8*EXP(-'Assumptions'!$D$9*('Fleet Engine'!E205-10))*'Assumptions'!E56*'Assumptions'!H36</x:f>
        <x:v>5601.482226767098</x:v>
      </x:c>
      <x:c r="K976" s="27" t="n">
        <x:f>'Source Data'!F222+LN('Assumptions'!D56)+LN('Assumptions'!H35)</x:f>
        <x:v>8.056397553082528</x:v>
      </x:c>
      <x:c r="L976" s="27" t="n">
        <x:f>J976*(1-I976*(1-'Carrier Engine'!E95))</x:f>
        <x:v>4346.7502079712685</x:v>
      </x:c>
      <x:c r="M976" s="29" t="n">
        <x:f>NORM.S.DIST((LN(L976)-K976)/'Assumptions'!$D$10,TRUE)</x:f>
        <x:v>0.5809387575906335</x:v>
      </x:c>
      <x:c r="N976" s="30" t="n">
        <x:f>MAX(0,H976-MAX(G976,M976))</x:f>
        <x:v>0.11111111111111105</x:v>
      </x:c>
      <x:c r="O976" s="28" t="n">
        <x:f>J976*I976</x:f>
        <x:v>1307.0125195789894</x:v>
      </x:c>
      <x:c r="P976" s="27" t="n">
        <x:f>(VLOOKUP(O976,'Fee Data'!$C$6:$G$50,2,TRUE)+O976*VLOOKUP(O976,'Fee Data'!$C$6:$G$50,3,TRUE)+VLOOKUP(O976,'Fee Data'!$I$6:$J$14,2,TRUE)+'Fee Data'!$J$20+'Fee Data'!$J$21)*'Assumptions'!H37</x:f>
        <x:v>595</x:v>
      </x:c>
      <x:c r="Q976" s="27" t="n">
        <x:f>(VLOOKUP(O976,'Fee Data'!$C$6:$G$50,4,TRUE)+O976*VLOOKUP(O976,'Fee Data'!$C$6:$G$50,5,TRUE)+VLOOKUP(O976,'Fee Data'!$I$6:$J$14,2,TRUE)+'Fee Data'!$J$20+'Fee Data'!$J$21)*'Assumptions'!H37</x:f>
        <x:v>470</x:v>
      </x:c>
      <x:c r="R976" s="27" t="n">
        <x:f>P976*(1-'Assumptions'!$D$14)+Q976*'Assumptions'!$D$14</x:f>
        <x:v>532.5</x:v>
      </x:c>
      <x:c r="S976" s="27" t="n">
        <x:f>O976*'Carrier Engine'!E95</x:f>
        <x:v>52.28050078315959</x:v>
      </x:c>
      <x:c r="T976" s="28" t="n">
        <x:f>R976+S976</x:f>
        <x:v>584.7805007831596</x:v>
      </x:c>
      <x:c r="U976" s="27" t="n">
        <x:f>N976*'Fleet Engine'!J205</x:f>
        <x:v>1305.6850693935748</x:v>
      </x:c>
      <x:c r="V976" s="28" t="n">
        <x:f>U976*T976</x:f>
        <x:v>763539.1687450692</x:v>
      </x:c>
      <x:c r="W976" s="28" t="n">
        <x:f>U976*O976</x:f>
        <x:v>1706546.732324764</x:v>
      </x:c>
    </x:row>
    <x:row r="977" ht="19" customHeight="1">
      <x:c r="A977" s="2"/>
      <x:c r="B977" s="2"/>
      <x:c r="C977" s="46" t="n">
        <x:v>4</x:v>
      </x:c>
      <x:c r="D977" s="46" t="n">
        <x:v>11</x:v>
      </x:c>
      <x:c r="E977" s="46" t="n">
        <x:v>1</x:v>
      </x:c>
      <x:c r="F977" s="46" t="n">
        <x:v>5</x:v>
      </x:c>
      <x:c r="G977" s="12" t="n">
        <x:v>0.8888888888888888</x:v>
      </x:c>
      <x:c r="H977" s="12" t="n">
        <x:v>1</x:v>
      </x:c>
      <x:c r="I977" s="29" t="n">
        <x:f>'Assumptions'!$D$11+'Assumptions'!$D$12*(0.5-(G977+H977)/2)</x:f>
        <x:v>0.21111111111111108</x:v>
      </x:c>
      <x:c r="J977" s="27" t="n">
        <x:f>'Assumptions'!$D$8*EXP(-'Assumptions'!$D$9*('Fleet Engine'!E205-10))*'Assumptions'!E56*'Assumptions'!H36</x:f>
        <x:v>5601.482226767098</x:v>
      </x:c>
      <x:c r="K977" s="27" t="n">
        <x:f>'Source Data'!F222+LN('Assumptions'!D56)+LN('Assumptions'!H35)</x:f>
        <x:v>8.056397553082528</x:v>
      </x:c>
      <x:c r="L977" s="27" t="n">
        <x:f>J977*(1-I977*(1-'Carrier Engine'!E95))</x:f>
        <x:v>4466.248495475633</x:v>
      </x:c>
      <x:c r="M977" s="29" t="n">
        <x:f>NORM.S.DIST((LN(L977)-K977)/'Assumptions'!$D$10,TRUE)</x:f>
        <x:v>0.5876746859896276</x:v>
      </x:c>
      <x:c r="N977" s="30" t="n">
        <x:f>MAX(0,H977-MAX(G977,M977))</x:f>
        <x:v>0.11111111111111116</x:v>
      </x:c>
      <x:c r="O977" s="28" t="n">
        <x:f>J977*I977</x:f>
        <x:v>1182.5351367619428</x:v>
      </x:c>
      <x:c r="P977" s="27" t="n">
        <x:f>(VLOOKUP(O977,'Fee Data'!$C$6:$G$50,2,TRUE)+O977*VLOOKUP(O977,'Fee Data'!$C$6:$G$50,3,TRUE)+VLOOKUP(O977,'Fee Data'!$I$6:$J$14,2,TRUE)+'Fee Data'!$J$20+'Fee Data'!$J$21)*'Assumptions'!H37</x:f>
        <x:v>560</x:v>
      </x:c>
      <x:c r="Q977" s="27" t="n">
        <x:f>(VLOOKUP(O977,'Fee Data'!$C$6:$G$50,4,TRUE)+O977*VLOOKUP(O977,'Fee Data'!$C$6:$G$50,5,TRUE)+VLOOKUP(O977,'Fee Data'!$I$6:$J$14,2,TRUE)+'Fee Data'!$J$20+'Fee Data'!$J$21)*'Assumptions'!H37</x:f>
        <x:v>435</x:v>
      </x:c>
      <x:c r="R977" s="27" t="n">
        <x:f>P977*(1-'Assumptions'!$D$14)+Q977*'Assumptions'!$D$14</x:f>
        <x:v>497.5</x:v>
      </x:c>
      <x:c r="S977" s="27" t="n">
        <x:f>O977*'Carrier Engine'!E95</x:f>
        <x:v>47.30140547047772</x:v>
      </x:c>
      <x:c r="T977" s="28" t="n">
        <x:f>R977+S977</x:f>
        <x:v>544.8014054704777</x:v>
      </x:c>
      <x:c r="U977" s="27" t="n">
        <x:f>N977*'Fleet Engine'!J205</x:f>
        <x:v>1305.6850693935762</x:v>
      </x:c>
      <x:c r="V977" s="28" t="n">
        <x:f>U977*T977</x:f>
        <x:v>711339.0609074385</x:v>
      </x:c>
      <x:c r="W977" s="28" t="n">
        <x:f>U977*O977</x:f>
        <x:v>1544018.4721033594</x:v>
      </x:c>
    </x:row>
    <x:row r="978" ht="19" customHeight="1">
      <x:c r="A978" s="2"/>
      <x:c r="B978" s="2"/>
      <x:c r="C978" s="46" t="n">
        <x:v>4</x:v>
      </x:c>
      <x:c r="D978" s="46" t="n">
        <x:v>12</x:v>
      </x:c>
      <x:c r="E978" s="46" t="n">
        <x:v>2</x:v>
      </x:c>
      <x:c r="F978" s="46" t="n">
        <x:v>0</x:v>
      </x:c>
      <x:c r="G978" s="12" t="n">
        <x:v>0</x:v>
      </x:c>
      <x:c r="H978" s="12" t="n">
        <x:v>0.1111111111111111</x:v>
      </x:c>
      <x:c r="I978" s="29" t="n">
        <x:f>'Assumptions'!$D$11+'Assumptions'!$D$12*(0.5-(G978+H978)/2)</x:f>
        <x:v>0.3888888888888889</x:v>
      </x:c>
      <x:c r="J978" s="27" t="n">
        <x:f>'Assumptions'!$D$8*EXP(-'Assumptions'!$D$9*('Fleet Engine'!E206-10))*'Assumptions'!E57*'Assumptions'!H36</x:f>
        <x:v>40583.94769889355</x:v>
      </x:c>
      <x:c r="K978" s="27" t="n">
        <x:f>'Source Data'!F217+LN('Assumptions'!D57)+LN('Assumptions'!H35)</x:f>
        <x:v>8.2942644758604</x:v>
      </x:c>
      <x:c r="L978" s="27" t="n">
        <x:f>J978*(1-I978*(1-'Carrier Engine'!E95))</x:f>
        <x:v>25432.60722463996</x:v>
      </x:c>
      <x:c r="M978" s="29" t="n">
        <x:f>NORM.S.DIST((LN(L978)-K978)/'Assumptions'!$D$10,TRUE)</x:f>
        <x:v>0.8805788825170106</x:v>
      </x:c>
      <x:c r="N978" s="30" t="n">
        <x:f>MAX(0,H978-MAX(G978,M978))</x:f>
        <x:v>0</x:v>
      </x:c>
      <x:c r="O978" s="28" t="n">
        <x:f>J978*I978</x:f>
        <x:v>15782.646327347491</x:v>
      </x:c>
      <x:c r="P978" s="27" t="n">
        <x:f>(VLOOKUP(O978,'Fee Data'!$C$6:$G$50,2,TRUE)+O978*VLOOKUP(O978,'Fee Data'!$C$6:$G$50,3,TRUE)+VLOOKUP(O978,'Fee Data'!$I$6:$J$14,2,TRUE)+'Fee Data'!$J$20+'Fee Data'!$J$21)*'Assumptions'!H37</x:f>
        <x:v>1433.6984745510617</x:v>
      </x:c>
      <x:c r="Q978" s="27" t="n">
        <x:f>(VLOOKUP(O978,'Fee Data'!$C$6:$G$50,4,TRUE)+O978*VLOOKUP(O978,'Fee Data'!$C$6:$G$50,5,TRUE)+VLOOKUP(O978,'Fee Data'!$I$6:$J$14,2,TRUE)+'Fee Data'!$J$20+'Fee Data'!$J$21)*'Assumptions'!H37</x:f>
        <x:v>1196.9587796408496</x:v>
      </x:c>
      <x:c r="R978" s="27" t="n">
        <x:f>P978*(1-'Assumptions'!$D$14)+Q978*'Assumptions'!$D$14</x:f>
        <x:v>1315.3286270959557</x:v>
      </x:c>
      <x:c r="S978" s="27" t="n">
        <x:f>O978*'Carrier Engine'!E95</x:f>
        <x:v>631.3058530938997</x:v>
      </x:c>
      <x:c r="T978" s="28" t="n">
        <x:f>R978+S978</x:f>
        <x:v>1946.6344801898554</x:v>
      </x:c>
      <x:c r="U978" s="27" t="n">
        <x:f>N978*'Fleet Engine'!J206</x:f>
        <x:v>0</x:v>
      </x:c>
      <x:c r="V978" s="28" t="n">
        <x:f>U978*T978</x:f>
        <x:v>0</x:v>
      </x:c>
      <x:c r="W978" s="28" t="n">
        <x:f>U978*O978</x:f>
        <x:v>0</x:v>
      </x:c>
    </x:row>
    <x:row r="979" ht="19" customHeight="1">
      <x:c r="A979" s="2"/>
      <x:c r="B979" s="2"/>
      <x:c r="C979" s="46" t="n">
        <x:v>4</x:v>
      </x:c>
      <x:c r="D979" s="46" t="n">
        <x:v>12</x:v>
      </x:c>
      <x:c r="E979" s="46" t="n">
        <x:v>2</x:v>
      </x:c>
      <x:c r="F979" s="46" t="n">
        <x:v>0</x:v>
      </x:c>
      <x:c r="G979" s="12" t="n">
        <x:v>0.1111111111111111</x:v>
      </x:c>
      <x:c r="H979" s="12" t="n">
        <x:v>0.2222222222222222</x:v>
      </x:c>
      <x:c r="I979" s="29" t="n">
        <x:f>'Assumptions'!$D$11+'Assumptions'!$D$12*(0.5-(G979+H979)/2)</x:f>
        <x:v>0.3666666666666667</x:v>
      </x:c>
      <x:c r="J979" s="27" t="n">
        <x:f>'Assumptions'!$D$8*EXP(-'Assumptions'!$D$9*('Fleet Engine'!E206-10))*'Assumptions'!E57*'Assumptions'!H36</x:f>
        <x:v>40583.94769889355</x:v>
      </x:c>
      <x:c r="K979" s="27" t="n">
        <x:f>'Source Data'!F217+LN('Assumptions'!D57)+LN('Assumptions'!H35)</x:f>
        <x:v>8.2942644758604</x:v>
      </x:c>
      <x:c r="L979" s="27" t="n">
        <x:f>J979*(1-I979*(1-'Carrier Engine'!E95))</x:f>
        <x:v>26298.398108883015</x:v>
      </x:c>
      <x:c r="M979" s="29" t="n">
        <x:f>NORM.S.DIST((LN(L979)-K979)/'Assumptions'!$D$10,TRUE)</x:f>
        <x:v>0.8847758792317063</x:v>
      </x:c>
      <x:c r="N979" s="30" t="n">
        <x:f>MAX(0,H979-MAX(G979,M979))</x:f>
        <x:v>0</x:v>
      </x:c>
      <x:c r="O979" s="28" t="n">
        <x:f>J979*I979</x:f>
        <x:v>14880.780822927636</x:v>
      </x:c>
      <x:c r="P979" s="27" t="n">
        <x:f>(VLOOKUP(O979,'Fee Data'!$C$6:$G$50,2,TRUE)+O979*VLOOKUP(O979,'Fee Data'!$C$6:$G$50,3,TRUE)+VLOOKUP(O979,'Fee Data'!$I$6:$J$14,2,TRUE)+'Fee Data'!$J$20+'Fee Data'!$J$21)*'Assumptions'!H37</x:f>
        <x:v>1250</x:v>
      </x:c>
      <x:c r="Q979" s="27" t="n">
        <x:f>(VLOOKUP(O979,'Fee Data'!$C$6:$G$50,4,TRUE)+O979*VLOOKUP(O979,'Fee Data'!$C$6:$G$50,5,TRUE)+VLOOKUP(O979,'Fee Data'!$I$6:$J$14,2,TRUE)+'Fee Data'!$J$20+'Fee Data'!$J$21)*'Assumptions'!H37</x:f>
        <x:v>1140</x:v>
      </x:c>
      <x:c r="R979" s="27" t="n">
        <x:f>P979*(1-'Assumptions'!$D$14)+Q979*'Assumptions'!$D$14</x:f>
        <x:v>1195</x:v>
      </x:c>
      <x:c r="S979" s="27" t="n">
        <x:f>O979*'Carrier Engine'!E95</x:f>
        <x:v>595.2312329171056</x:v>
      </x:c>
      <x:c r="T979" s="28" t="n">
        <x:f>R979+S979</x:f>
        <x:v>1790.2312329171054</x:v>
      </x:c>
      <x:c r="U979" s="27" t="n">
        <x:f>N979*'Fleet Engine'!J206</x:f>
        <x:v>0</x:v>
      </x:c>
      <x:c r="V979" s="28" t="n">
        <x:f>U979*T979</x:f>
        <x:v>0</x:v>
      </x:c>
      <x:c r="W979" s="28" t="n">
        <x:f>U979*O979</x:f>
        <x:v>0</x:v>
      </x:c>
    </x:row>
    <x:row r="980" ht="19" customHeight="1">
      <x:c r="A980" s="2"/>
      <x:c r="B980" s="2"/>
      <x:c r="C980" s="46" t="n">
        <x:v>4</x:v>
      </x:c>
      <x:c r="D980" s="46" t="n">
        <x:v>12</x:v>
      </x:c>
      <x:c r="E980" s="46" t="n">
        <x:v>2</x:v>
      </x:c>
      <x:c r="F980" s="46" t="n">
        <x:v>0</x:v>
      </x:c>
      <x:c r="G980" s="12" t="n">
        <x:v>0.2222222222222222</x:v>
      </x:c>
      <x:c r="H980" s="12" t="n">
        <x:v>0.3333333333333333</x:v>
      </x:c>
      <x:c r="I980" s="29" t="n">
        <x:f>'Assumptions'!$D$11+'Assumptions'!$D$12*(0.5-(G980+H980)/2)</x:f>
        <x:v>0.34444444444444444</x:v>
      </x:c>
      <x:c r="J980" s="27" t="n">
        <x:f>'Assumptions'!$D$8*EXP(-'Assumptions'!$D$9*('Fleet Engine'!E206-10))*'Assumptions'!E57*'Assumptions'!H36</x:f>
        <x:v>40583.94769889355</x:v>
      </x:c>
      <x:c r="K980" s="27" t="n">
        <x:f>'Source Data'!F217+LN('Assumptions'!D57)+LN('Assumptions'!H35)</x:f>
        <x:v>8.2942644758604</x:v>
      </x:c>
      <x:c r="L980" s="27" t="n">
        <x:f>J980*(1-I980*(1-'Carrier Engine'!E95))</x:f>
        <x:v>27164.18899312608</x:v>
      </x:c>
      <x:c r="M980" s="29" t="n">
        <x:f>NORM.S.DIST((LN(L980)-K980)/'Assumptions'!$D$10,TRUE)</x:f>
        <x:v>0.888736062055902</x:v>
      </x:c>
      <x:c r="N980" s="30" t="n">
        <x:f>MAX(0,H980-MAX(G980,M980))</x:f>
        <x:v>0</x:v>
      </x:c>
      <x:c r="O980" s="28" t="n">
        <x:f>J980*I980</x:f>
        <x:v>13978.915318507778</x:v>
      </x:c>
      <x:c r="P980" s="27" t="n">
        <x:f>(VLOOKUP(O980,'Fee Data'!$C$6:$G$50,2,TRUE)+O980*VLOOKUP(O980,'Fee Data'!$C$6:$G$50,3,TRUE)+VLOOKUP(O980,'Fee Data'!$I$6:$J$14,2,TRUE)+'Fee Data'!$J$20+'Fee Data'!$J$21)*'Assumptions'!H37</x:f>
        <x:v>1250</x:v>
      </x:c>
      <x:c r="Q980" s="27" t="n">
        <x:f>(VLOOKUP(O980,'Fee Data'!$C$6:$G$50,4,TRUE)+O980*VLOOKUP(O980,'Fee Data'!$C$6:$G$50,5,TRUE)+VLOOKUP(O980,'Fee Data'!$I$6:$J$14,2,TRUE)+'Fee Data'!$J$20+'Fee Data'!$J$21)*'Assumptions'!H37</x:f>
        <x:v>1140</x:v>
      </x:c>
      <x:c r="R980" s="27" t="n">
        <x:f>P980*(1-'Assumptions'!$D$14)+Q980*'Assumptions'!$D$14</x:f>
        <x:v>1195</x:v>
      </x:c>
      <x:c r="S980" s="27" t="n">
        <x:f>O980*'Carrier Engine'!E95</x:f>
        <x:v>559.1566127403112</x:v>
      </x:c>
      <x:c r="T980" s="28" t="n">
        <x:f>R980+S980</x:f>
        <x:v>1754.1566127403112</x:v>
      </x:c>
      <x:c r="U980" s="27" t="n">
        <x:f>N980*'Fleet Engine'!J206</x:f>
        <x:v>0</x:v>
      </x:c>
      <x:c r="V980" s="28" t="n">
        <x:f>U980*T980</x:f>
        <x:v>0</x:v>
      </x:c>
      <x:c r="W980" s="28" t="n">
        <x:f>U980*O980</x:f>
        <x:v>0</x:v>
      </x:c>
    </x:row>
    <x:row r="981" ht="19" customHeight="1">
      <x:c r="A981" s="2"/>
      <x:c r="B981" s="2"/>
      <x:c r="C981" s="46" t="n">
        <x:v>4</x:v>
      </x:c>
      <x:c r="D981" s="46" t="n">
        <x:v>12</x:v>
      </x:c>
      <x:c r="E981" s="46" t="n">
        <x:v>2</x:v>
      </x:c>
      <x:c r="F981" s="46" t="n">
        <x:v>0</x:v>
      </x:c>
      <x:c r="G981" s="12" t="n">
        <x:v>0.3333333333333333</x:v>
      </x:c>
      <x:c r="H981" s="12" t="n">
        <x:v>0.4444444444444444</x:v>
      </x:c>
      <x:c r="I981" s="29" t="n">
        <x:f>'Assumptions'!$D$11+'Assumptions'!$D$12*(0.5-(G981+H981)/2)</x:f>
        <x:v>0.32222222222222224</x:v>
      </x:c>
      <x:c r="J981" s="27" t="n">
        <x:f>'Assumptions'!$D$8*EXP(-'Assumptions'!$D$9*('Fleet Engine'!E206-10))*'Assumptions'!E57*'Assumptions'!H36</x:f>
        <x:v>40583.94769889355</x:v>
      </x:c>
      <x:c r="K981" s="27" t="n">
        <x:f>'Source Data'!F217+LN('Assumptions'!D57)+LN('Assumptions'!H35)</x:f>
        <x:v>8.2942644758604</x:v>
      </x:c>
      <x:c r="L981" s="27" t="n">
        <x:f>J981*(1-I981*(1-'Carrier Engine'!E95))</x:f>
        <x:v>28029.979877369144</x:v>
      </x:c>
      <x:c r="M981" s="29" t="n">
        <x:f>NORM.S.DIST((LN(L981)-K981)/'Assumptions'!$D$10,TRUE)</x:f>
        <x:v>0.8924781519277265</x:v>
      </x:c>
      <x:c r="N981" s="30" t="n">
        <x:f>MAX(0,H981-MAX(G981,M981))</x:f>
        <x:v>0</x:v>
      </x:c>
      <x:c r="O981" s="28" t="n">
        <x:f>J981*I981</x:f>
        <x:v>13077.049814087923</x:v>
      </x:c>
      <x:c r="P981" s="27" t="n">
        <x:f>(VLOOKUP(O981,'Fee Data'!$C$6:$G$50,2,TRUE)+O981*VLOOKUP(O981,'Fee Data'!$C$6:$G$50,3,TRUE)+VLOOKUP(O981,'Fee Data'!$I$6:$J$14,2,TRUE)+'Fee Data'!$J$20+'Fee Data'!$J$21)*'Assumptions'!H37</x:f>
        <x:v>1250</x:v>
      </x:c>
      <x:c r="Q981" s="27" t="n">
        <x:f>(VLOOKUP(O981,'Fee Data'!$C$6:$G$50,4,TRUE)+O981*VLOOKUP(O981,'Fee Data'!$C$6:$G$50,5,TRUE)+VLOOKUP(O981,'Fee Data'!$I$6:$J$14,2,TRUE)+'Fee Data'!$J$20+'Fee Data'!$J$21)*'Assumptions'!H37</x:f>
        <x:v>1140</x:v>
      </x:c>
      <x:c r="R981" s="27" t="n">
        <x:f>P981*(1-'Assumptions'!$D$14)+Q981*'Assumptions'!$D$14</x:f>
        <x:v>1195</x:v>
      </x:c>
      <x:c r="S981" s="27" t="n">
        <x:f>O981*'Carrier Engine'!E95</x:f>
        <x:v>523.081992563517</x:v>
      </x:c>
      <x:c r="T981" s="28" t="n">
        <x:f>R981+S981</x:f>
        <x:v>1718.081992563517</x:v>
      </x:c>
      <x:c r="U981" s="27" t="n">
        <x:f>N981*'Fleet Engine'!J206</x:f>
        <x:v>0</x:v>
      </x:c>
      <x:c r="V981" s="28" t="n">
        <x:f>U981*T981</x:f>
        <x:v>0</x:v>
      </x:c>
      <x:c r="W981" s="28" t="n">
        <x:f>U981*O981</x:f>
        <x:v>0</x:v>
      </x:c>
    </x:row>
    <x:row r="982" ht="19" customHeight="1">
      <x:c r="A982" s="2"/>
      <x:c r="B982" s="2"/>
      <x:c r="C982" s="46" t="n">
        <x:v>4</x:v>
      </x:c>
      <x:c r="D982" s="46" t="n">
        <x:v>12</x:v>
      </x:c>
      <x:c r="E982" s="46" t="n">
        <x:v>2</x:v>
      </x:c>
      <x:c r="F982" s="46" t="n">
        <x:v>0</x:v>
      </x:c>
      <x:c r="G982" s="12" t="n">
        <x:v>0.4444444444444444</x:v>
      </x:c>
      <x:c r="H982" s="12" t="n">
        <x:v>0.5555555555555556</x:v>
      </x:c>
      <x:c r="I982" s="29" t="n">
        <x:f>'Assumptions'!$D$11+'Assumptions'!$D$12*(0.5-(G982+H982)/2)</x:f>
        <x:v>0.3</x:v>
      </x:c>
      <x:c r="J982" s="27" t="n">
        <x:f>'Assumptions'!$D$8*EXP(-'Assumptions'!$D$9*('Fleet Engine'!E206-10))*'Assumptions'!E57*'Assumptions'!H36</x:f>
        <x:v>40583.94769889355</x:v>
      </x:c>
      <x:c r="K982" s="27" t="n">
        <x:f>'Source Data'!F217+LN('Assumptions'!D57)+LN('Assumptions'!H35)</x:f>
        <x:v>8.2942644758604</x:v>
      </x:c>
      <x:c r="L982" s="27" t="n">
        <x:f>J982*(1-I982*(1-'Carrier Engine'!E95))</x:f>
        <x:v>28895.770761612206</x:v>
      </x:c>
      <x:c r="M982" s="29" t="n">
        <x:f>NORM.S.DIST((LN(L982)-K982)/'Assumptions'!$D$10,TRUE)</x:f>
        <x:v>0.8960189619269877</x:v>
      </x:c>
      <x:c r="N982" s="30" t="n">
        <x:f>MAX(0,H982-MAX(G982,M982))</x:f>
        <x:v>0</x:v>
      </x:c>
      <x:c r="O982" s="28" t="n">
        <x:f>J982*I982</x:f>
        <x:v>12175.184309668064</x:v>
      </x:c>
      <x:c r="P982" s="27" t="n">
        <x:f>(VLOOKUP(O982,'Fee Data'!$C$6:$G$50,2,TRUE)+O982*VLOOKUP(O982,'Fee Data'!$C$6:$G$50,3,TRUE)+VLOOKUP(O982,'Fee Data'!$I$6:$J$14,2,TRUE)+'Fee Data'!$J$20+'Fee Data'!$J$21)*'Assumptions'!H37</x:f>
        <x:v>1250</x:v>
      </x:c>
      <x:c r="Q982" s="27" t="n">
        <x:f>(VLOOKUP(O982,'Fee Data'!$C$6:$G$50,4,TRUE)+O982*VLOOKUP(O982,'Fee Data'!$C$6:$G$50,5,TRUE)+VLOOKUP(O982,'Fee Data'!$I$6:$J$14,2,TRUE)+'Fee Data'!$J$20+'Fee Data'!$J$21)*'Assumptions'!H37</x:f>
        <x:v>1125</x:v>
      </x:c>
      <x:c r="R982" s="27" t="n">
        <x:f>P982*(1-'Assumptions'!$D$14)+Q982*'Assumptions'!$D$14</x:f>
        <x:v>1187.5</x:v>
      </x:c>
      <x:c r="S982" s="27" t="n">
        <x:f>O982*'Carrier Engine'!E95</x:f>
        <x:v>487.00737238672264</x:v>
      </x:c>
      <x:c r="T982" s="28" t="n">
        <x:f>R982+S982</x:f>
        <x:v>1674.5073723867226</x:v>
      </x:c>
      <x:c r="U982" s="27" t="n">
        <x:f>N982*'Fleet Engine'!J206</x:f>
        <x:v>0</x:v>
      </x:c>
      <x:c r="V982" s="28" t="n">
        <x:f>U982*T982</x:f>
        <x:v>0</x:v>
      </x:c>
      <x:c r="W982" s="28" t="n">
        <x:f>U982*O982</x:f>
        <x:v>0</x:v>
      </x:c>
    </x:row>
    <x:row r="983" ht="19" customHeight="1">
      <x:c r="A983" s="2"/>
      <x:c r="B983" s="2"/>
      <x:c r="C983" s="46" t="n">
        <x:v>4</x:v>
      </x:c>
      <x:c r="D983" s="46" t="n">
        <x:v>12</x:v>
      </x:c>
      <x:c r="E983" s="46" t="n">
        <x:v>2</x:v>
      </x:c>
      <x:c r="F983" s="46" t="n">
        <x:v>0</x:v>
      </x:c>
      <x:c r="G983" s="12" t="n">
        <x:v>0.5555555555555556</x:v>
      </x:c>
      <x:c r="H983" s="12" t="n">
        <x:v>0.6666666666666666</x:v>
      </x:c>
      <x:c r="I983" s="29" t="n">
        <x:f>'Assumptions'!$D$11+'Assumptions'!$D$12*(0.5-(G983+H983)/2)</x:f>
        <x:v>0.27777777777777773</x:v>
      </x:c>
      <x:c r="J983" s="27" t="n">
        <x:f>'Assumptions'!$D$8*EXP(-'Assumptions'!$D$9*('Fleet Engine'!E206-10))*'Assumptions'!E57*'Assumptions'!H36</x:f>
        <x:v>40583.94769889355</x:v>
      </x:c>
      <x:c r="K983" s="27" t="n">
        <x:f>'Source Data'!F217+LN('Assumptions'!D57)+LN('Assumptions'!H35)</x:f>
        <x:v>8.2942644758604</x:v>
      </x:c>
      <x:c r="L983" s="27" t="n">
        <x:f>J983*(1-I983*(1-'Carrier Engine'!E95))</x:f>
        <x:v>29761.561645855272</x:v>
      </x:c>
      <x:c r="M983" s="29" t="n">
        <x:f>NORM.S.DIST((LN(L983)-K983)/'Assumptions'!$D$10,TRUE)</x:f>
        <x:v>0.899373634683205</x:v>
      </x:c>
      <x:c r="N983" s="30" t="n">
        <x:f>MAX(0,H983-MAX(G983,M983))</x:f>
        <x:v>0</x:v>
      </x:c>
      <x:c r="O983" s="28" t="n">
        <x:f>J983*I983</x:f>
        <x:v>11273.318805248206</x:v>
      </x:c>
      <x:c r="P983" s="27" t="n">
        <x:f>(VLOOKUP(O983,'Fee Data'!$C$6:$G$50,2,TRUE)+O983*VLOOKUP(O983,'Fee Data'!$C$6:$G$50,3,TRUE)+VLOOKUP(O983,'Fee Data'!$I$6:$J$14,2,TRUE)+'Fee Data'!$J$20+'Fee Data'!$J$21)*'Assumptions'!H37</x:f>
        <x:v>1250</x:v>
      </x:c>
      <x:c r="Q983" s="27" t="n">
        <x:f>(VLOOKUP(O983,'Fee Data'!$C$6:$G$50,4,TRUE)+O983*VLOOKUP(O983,'Fee Data'!$C$6:$G$50,5,TRUE)+VLOOKUP(O983,'Fee Data'!$I$6:$J$14,2,TRUE)+'Fee Data'!$J$20+'Fee Data'!$J$21)*'Assumptions'!H37</x:f>
        <x:v>1100</x:v>
      </x:c>
      <x:c r="R983" s="27" t="n">
        <x:f>P983*(1-'Assumptions'!$D$14)+Q983*'Assumptions'!$D$14</x:f>
        <x:v>1175</x:v>
      </x:c>
      <x:c r="S983" s="27" t="n">
        <x:f>O983*'Carrier Engine'!E95</x:f>
        <x:v>450.9327522099283</x:v>
      </x:c>
      <x:c r="T983" s="28" t="n">
        <x:f>R983+S983</x:f>
        <x:v>1625.9327522099284</x:v>
      </x:c>
      <x:c r="U983" s="27" t="n">
        <x:f>N983*'Fleet Engine'!J206</x:f>
        <x:v>0</x:v>
      </x:c>
      <x:c r="V983" s="28" t="n">
        <x:f>U983*T983</x:f>
        <x:v>0</x:v>
      </x:c>
      <x:c r="W983" s="28" t="n">
        <x:f>U983*O983</x:f>
        <x:v>0</x:v>
      </x:c>
    </x:row>
    <x:row r="984" ht="19" customHeight="1">
      <x:c r="A984" s="2"/>
      <x:c r="B984" s="2"/>
      <x:c r="C984" s="46" t="n">
        <x:v>4</x:v>
      </x:c>
      <x:c r="D984" s="46" t="n">
        <x:v>12</x:v>
      </x:c>
      <x:c r="E984" s="46" t="n">
        <x:v>2</x:v>
      </x:c>
      <x:c r="F984" s="46" t="n">
        <x:v>0</x:v>
      </x:c>
      <x:c r="G984" s="12" t="n">
        <x:v>0.6666666666666666</x:v>
      </x:c>
      <x:c r="H984" s="12" t="n">
        <x:v>0.7777777777777778</x:v>
      </x:c>
      <x:c r="I984" s="29" t="n">
        <x:f>'Assumptions'!$D$11+'Assumptions'!$D$12*(0.5-(G984+H984)/2)</x:f>
        <x:v>0.25555555555555554</x:v>
      </x:c>
      <x:c r="J984" s="27" t="n">
        <x:f>'Assumptions'!$D$8*EXP(-'Assumptions'!$D$9*('Fleet Engine'!E206-10))*'Assumptions'!E57*'Assumptions'!H36</x:f>
        <x:v>40583.94769889355</x:v>
      </x:c>
      <x:c r="K984" s="27" t="n">
        <x:f>'Source Data'!F217+LN('Assumptions'!D57)+LN('Assumptions'!H35)</x:f>
        <x:v>8.2942644758604</x:v>
      </x:c>
      <x:c r="L984" s="27" t="n">
        <x:f>J984*(1-I984*(1-'Carrier Engine'!E95))</x:f>
        <x:v>30627.352530098335</x:v>
      </x:c>
      <x:c r="M984" s="29" t="n">
        <x:f>NORM.S.DIST((LN(L984)-K984)/'Assumptions'!$D$10,TRUE)</x:f>
        <x:v>0.9025558450372322</x:v>
      </x:c>
      <x:c r="N984" s="30" t="n">
        <x:f>MAX(0,H984-MAX(G984,M984))</x:f>
        <x:v>0</x:v>
      </x:c>
      <x:c r="O984" s="28" t="n">
        <x:f>J984*I984</x:f>
        <x:v>10371.45330082835</x:v>
      </x:c>
      <x:c r="P984" s="27" t="n">
        <x:f>(VLOOKUP(O984,'Fee Data'!$C$6:$G$50,2,TRUE)+O984*VLOOKUP(O984,'Fee Data'!$C$6:$G$50,3,TRUE)+VLOOKUP(O984,'Fee Data'!$I$6:$J$14,2,TRUE)+'Fee Data'!$J$20+'Fee Data'!$J$21)*'Assumptions'!H37</x:f>
        <x:v>1250</x:v>
      </x:c>
      <x:c r="Q984" s="27" t="n">
        <x:f>(VLOOKUP(O984,'Fee Data'!$C$6:$G$50,4,TRUE)+O984*VLOOKUP(O984,'Fee Data'!$C$6:$G$50,5,TRUE)+VLOOKUP(O984,'Fee Data'!$I$6:$J$14,2,TRUE)+'Fee Data'!$J$20+'Fee Data'!$J$21)*'Assumptions'!H37</x:f>
        <x:v>1100</x:v>
      </x:c>
      <x:c r="R984" s="27" t="n">
        <x:f>P984*(1-'Assumptions'!$D$14)+Q984*'Assumptions'!$D$14</x:f>
        <x:v>1175</x:v>
      </x:c>
      <x:c r="S984" s="27" t="n">
        <x:f>O984*'Carrier Engine'!E95</x:f>
        <x:v>414.8581320331341</x:v>
      </x:c>
      <x:c r="T984" s="28" t="n">
        <x:f>R984+S984</x:f>
        <x:v>1589.858132033134</x:v>
      </x:c>
      <x:c r="U984" s="27" t="n">
        <x:f>N984*'Fleet Engine'!J206</x:f>
        <x:v>0</x:v>
      </x:c>
      <x:c r="V984" s="28" t="n">
        <x:f>U984*T984</x:f>
        <x:v>0</x:v>
      </x:c>
      <x:c r="W984" s="28" t="n">
        <x:f>U984*O984</x:f>
        <x:v>0</x:v>
      </x:c>
    </x:row>
    <x:row r="985" ht="19" customHeight="1">
      <x:c r="A985" s="2"/>
      <x:c r="B985" s="2"/>
      <x:c r="C985" s="46" t="n">
        <x:v>4</x:v>
      </x:c>
      <x:c r="D985" s="46" t="n">
        <x:v>12</x:v>
      </x:c>
      <x:c r="E985" s="46" t="n">
        <x:v>2</x:v>
      </x:c>
      <x:c r="F985" s="46" t="n">
        <x:v>0</x:v>
      </x:c>
      <x:c r="G985" s="12" t="n">
        <x:v>0.7777777777777778</x:v>
      </x:c>
      <x:c r="H985" s="12" t="n">
        <x:v>0.8888888888888888</x:v>
      </x:c>
      <x:c r="I985" s="29" t="n">
        <x:f>'Assumptions'!$D$11+'Assumptions'!$D$12*(0.5-(G985+H985)/2)</x:f>
        <x:v>0.23333333333333334</x:v>
      </x:c>
      <x:c r="J985" s="27" t="n">
        <x:f>'Assumptions'!$D$8*EXP(-'Assumptions'!$D$9*('Fleet Engine'!E206-10))*'Assumptions'!E57*'Assumptions'!H36</x:f>
        <x:v>40583.94769889355</x:v>
      </x:c>
      <x:c r="K985" s="27" t="n">
        <x:f>'Source Data'!F217+LN('Assumptions'!D57)+LN('Assumptions'!H35)</x:f>
        <x:v>8.2942644758604</x:v>
      </x:c>
      <x:c r="L985" s="27" t="n">
        <x:f>J985*(1-I985*(1-'Carrier Engine'!E95))</x:f>
        <x:v>31493.143414341394</x:v>
      </x:c>
      <x:c r="M985" s="29" t="n">
        <x:f>NORM.S.DIST((LN(L985)-K985)/'Assumptions'!$D$10,TRUE)</x:f>
        <x:v>0.9055779737778874</x:v>
      </x:c>
      <x:c r="N985" s="30" t="n">
        <x:f>MAX(0,H985-MAX(G985,M985))</x:f>
        <x:v>0</x:v>
      </x:c>
      <x:c r="O985" s="28" t="n">
        <x:f>J985*I985</x:f>
        <x:v>9469.587796408496</x:v>
      </x:c>
      <x:c r="P985" s="27" t="n">
        <x:f>(VLOOKUP(O985,'Fee Data'!$C$6:$G$50,2,TRUE)+O985*VLOOKUP(O985,'Fee Data'!$C$6:$G$50,3,TRUE)+VLOOKUP(O985,'Fee Data'!$I$6:$J$14,2,TRUE)+'Fee Data'!$J$20+'Fee Data'!$J$21)*'Assumptions'!H37</x:f>
        <x:v>1195</x:v>
      </x:c>
      <x:c r="Q985" s="27" t="n">
        <x:f>(VLOOKUP(O985,'Fee Data'!$C$6:$G$50,4,TRUE)+O985*VLOOKUP(O985,'Fee Data'!$C$6:$G$50,5,TRUE)+VLOOKUP(O985,'Fee Data'!$I$6:$J$14,2,TRUE)+'Fee Data'!$J$20+'Fee Data'!$J$21)*'Assumptions'!H37</x:f>
        <x:v>1070</x:v>
      </x:c>
      <x:c r="R985" s="27" t="n">
        <x:f>P985*(1-'Assumptions'!$D$14)+Q985*'Assumptions'!$D$14</x:f>
        <x:v>1132.5</x:v>
      </x:c>
      <x:c r="S985" s="27" t="n">
        <x:f>O985*'Carrier Engine'!E95</x:f>
        <x:v>378.7835118563399</x:v>
      </x:c>
      <x:c r="T985" s="28" t="n">
        <x:f>R985+S985</x:f>
        <x:v>1511.2835118563398</x:v>
      </x:c>
      <x:c r="U985" s="27" t="n">
        <x:f>N985*'Fleet Engine'!J206</x:f>
        <x:v>0</x:v>
      </x:c>
      <x:c r="V985" s="28" t="n">
        <x:f>U985*T985</x:f>
        <x:v>0</x:v>
      </x:c>
      <x:c r="W985" s="28" t="n">
        <x:f>U985*O985</x:f>
        <x:v>0</x:v>
      </x:c>
    </x:row>
    <x:row r="986" ht="19" customHeight="1">
      <x:c r="A986" s="2"/>
      <x:c r="B986" s="2"/>
      <x:c r="C986" s="46" t="n">
        <x:v>4</x:v>
      </x:c>
      <x:c r="D986" s="46" t="n">
        <x:v>12</x:v>
      </x:c>
      <x:c r="E986" s="46" t="n">
        <x:v>2</x:v>
      </x:c>
      <x:c r="F986" s="46" t="n">
        <x:v>0</x:v>
      </x:c>
      <x:c r="G986" s="12" t="n">
        <x:v>0.8888888888888888</x:v>
      </x:c>
      <x:c r="H986" s="12" t="n">
        <x:v>1</x:v>
      </x:c>
      <x:c r="I986" s="29" t="n">
        <x:f>'Assumptions'!$D$11+'Assumptions'!$D$12*(0.5-(G986+H986)/2)</x:f>
        <x:v>0.21111111111111108</x:v>
      </x:c>
      <x:c r="J986" s="27" t="n">
        <x:f>'Assumptions'!$D$8*EXP(-'Assumptions'!$D$9*('Fleet Engine'!E206-10))*'Assumptions'!E57*'Assumptions'!H36</x:f>
        <x:v>40583.94769889355</x:v>
      </x:c>
      <x:c r="K986" s="27" t="n">
        <x:f>'Source Data'!F217+LN('Assumptions'!D57)+LN('Assumptions'!H35)</x:f>
        <x:v>8.2942644758604</x:v>
      </x:c>
      <x:c r="L986" s="27" t="n">
        <x:f>J986*(1-I986*(1-'Carrier Engine'!E95))</x:f>
        <x:v>32358.934298584456</x:v>
      </x:c>
      <x:c r="M986" s="29" t="n">
        <x:f>NORM.S.DIST((LN(L986)-K986)/'Assumptions'!$D$10,TRUE)</x:f>
        <x:v>0.9084512571809873</x:v>
      </x:c>
      <x:c r="N986" s="30" t="n">
        <x:f>MAX(0,H986-MAX(G986,M986))</x:f>
        <x:v>0.09154874281901271</x:v>
      </x:c>
      <x:c r="O986" s="28" t="n">
        <x:f>J986*I986</x:f>
        <x:v>8567.722291988637</x:v>
      </x:c>
      <x:c r="P986" s="27" t="n">
        <x:f>(VLOOKUP(O986,'Fee Data'!$C$6:$G$50,2,TRUE)+O986*VLOOKUP(O986,'Fee Data'!$C$6:$G$50,3,TRUE)+VLOOKUP(O986,'Fee Data'!$I$6:$J$14,2,TRUE)+'Fee Data'!$J$20+'Fee Data'!$J$21)*'Assumptions'!H37</x:f>
        <x:v>1195</x:v>
      </x:c>
      <x:c r="Q986" s="27" t="n">
        <x:f>(VLOOKUP(O986,'Fee Data'!$C$6:$G$50,4,TRUE)+O986*VLOOKUP(O986,'Fee Data'!$C$6:$G$50,5,TRUE)+VLOOKUP(O986,'Fee Data'!$I$6:$J$14,2,TRUE)+'Fee Data'!$J$20+'Fee Data'!$J$21)*'Assumptions'!H37</x:f>
        <x:v>1070</x:v>
      </x:c>
      <x:c r="R986" s="27" t="n">
        <x:f>P986*(1-'Assumptions'!$D$14)+Q986*'Assumptions'!$D$14</x:f>
        <x:v>1132.5</x:v>
      </x:c>
      <x:c r="S986" s="27" t="n">
        <x:f>O986*'Carrier Engine'!E95</x:f>
        <x:v>342.70889167954556</x:v>
      </x:c>
      <x:c r="T986" s="28" t="n">
        <x:f>R986+S986</x:f>
        <x:v>1475.2088916795456</x:v>
      </x:c>
      <x:c r="U986" s="27" t="n">
        <x:f>N986*'Fleet Engine'!J206</x:f>
        <x:v>115.59969128148599</x:v>
      </x:c>
      <x:c r="V986" s="28" t="n">
        <x:f>U986*T986</x:f>
        <x:v>170533.69245385856</x:v>
      </x:c>
      <x:c r="W986" s="28" t="n">
        <x:f>U986*O986</x:f>
        <x:v>990426.051939392</x:v>
      </x:c>
    </x:row>
    <x:row r="987" ht="19" customHeight="1">
      <x:c r="A987" s="2"/>
      <x:c r="B987" s="2"/>
      <x:c r="C987" s="46" t="n">
        <x:v>4</x:v>
      </x:c>
      <x:c r="D987" s="46" t="n">
        <x:v>13</x:v>
      </x:c>
      <x:c r="E987" s="46" t="n">
        <x:v>2</x:v>
      </x:c>
      <x:c r="F987" s="46" t="n">
        <x:v>1</x:v>
      </x:c>
      <x:c r="G987" s="12" t="n">
        <x:v>0</x:v>
      </x:c>
      <x:c r="H987" s="12" t="n">
        <x:v>0.1111111111111111</x:v>
      </x:c>
      <x:c r="I987" s="29" t="n">
        <x:f>'Assumptions'!$D$11+'Assumptions'!$D$12*(0.5-(G987+H987)/2)</x:f>
        <x:v>0.3888888888888889</x:v>
      </x:c>
      <x:c r="J987" s="27" t="n">
        <x:f>'Assumptions'!$D$8*EXP(-'Assumptions'!$D$9*('Fleet Engine'!E207-10))*'Assumptions'!E57*'Assumptions'!H36</x:f>
        <x:v>33227.326062392545</x:v>
      </x:c>
      <x:c r="K987" s="27" t="n">
        <x:f>'Source Data'!F218+LN('Assumptions'!D57)+LN('Assumptions'!H35)</x:f>
        <x:v>8.179823674316163</x:v>
      </x:c>
      <x:c r="L987" s="27" t="n">
        <x:f>J987*(1-I987*(1-'Carrier Engine'!E95))</x:f>
        <x:v>20822.457665765996</x:v>
      </x:c>
      <x:c r="M987" s="29" t="n">
        <x:f>NORM.S.DIST((LN(L987)-K987)/'Assumptions'!$D$10,TRUE)</x:f>
        <x:v>0.8693654103038547</x:v>
      </x:c>
      <x:c r="N987" s="30" t="n">
        <x:f>MAX(0,H987-MAX(G987,M987))</x:f>
        <x:v>0</x:v>
      </x:c>
      <x:c r="O987" s="28" t="n">
        <x:f>J987*I987</x:f>
        <x:v>12921.737913152656</x:v>
      </x:c>
      <x:c r="P987" s="27" t="n">
        <x:f>(VLOOKUP(O987,'Fee Data'!$C$6:$G$50,2,TRUE)+O987*VLOOKUP(O987,'Fee Data'!$C$6:$G$50,3,TRUE)+VLOOKUP(O987,'Fee Data'!$I$6:$J$14,2,TRUE)+'Fee Data'!$J$20+'Fee Data'!$J$21)*'Assumptions'!H37</x:f>
        <x:v>1250</x:v>
      </x:c>
      <x:c r="Q987" s="27" t="n">
        <x:f>(VLOOKUP(O987,'Fee Data'!$C$6:$G$50,4,TRUE)+O987*VLOOKUP(O987,'Fee Data'!$C$6:$G$50,5,TRUE)+VLOOKUP(O987,'Fee Data'!$I$6:$J$14,2,TRUE)+'Fee Data'!$J$20+'Fee Data'!$J$21)*'Assumptions'!H37</x:f>
        <x:v>1140</x:v>
      </x:c>
      <x:c r="R987" s="27" t="n">
        <x:f>P987*(1-'Assumptions'!$D$14)+Q987*'Assumptions'!$D$14</x:f>
        <x:v>1195</x:v>
      </x:c>
      <x:c r="S987" s="27" t="n">
        <x:f>O987*'Carrier Engine'!E95</x:f>
        <x:v>516.8695165261063</x:v>
      </x:c>
      <x:c r="T987" s="28" t="n">
        <x:f>R987+S987</x:f>
        <x:v>1711.8695165261063</x:v>
      </x:c>
      <x:c r="U987" s="27" t="n">
        <x:f>N987*'Fleet Engine'!J207</x:f>
        <x:v>0</x:v>
      </x:c>
      <x:c r="V987" s="28" t="n">
        <x:f>U987*T987</x:f>
        <x:v>0</x:v>
      </x:c>
      <x:c r="W987" s="28" t="n">
        <x:f>U987*O987</x:f>
        <x:v>0</x:v>
      </x:c>
    </x:row>
    <x:row r="988" ht="19" customHeight="1">
      <x:c r="A988" s="2"/>
      <x:c r="B988" s="2"/>
      <x:c r="C988" s="46" t="n">
        <x:v>4</x:v>
      </x:c>
      <x:c r="D988" s="46" t="n">
        <x:v>13</x:v>
      </x:c>
      <x:c r="E988" s="46" t="n">
        <x:v>2</x:v>
      </x:c>
      <x:c r="F988" s="46" t="n">
        <x:v>1</x:v>
      </x:c>
      <x:c r="G988" s="12" t="n">
        <x:v>0.1111111111111111</x:v>
      </x:c>
      <x:c r="H988" s="12" t="n">
        <x:v>0.2222222222222222</x:v>
      </x:c>
      <x:c r="I988" s="29" t="n">
        <x:f>'Assumptions'!$D$11+'Assumptions'!$D$12*(0.5-(G988+H988)/2)</x:f>
        <x:v>0.3666666666666667</x:v>
      </x:c>
      <x:c r="J988" s="27" t="n">
        <x:f>'Assumptions'!$D$8*EXP(-'Assumptions'!$D$9*('Fleet Engine'!E207-10))*'Assumptions'!E57*'Assumptions'!H36</x:f>
        <x:v>33227.326062392545</x:v>
      </x:c>
      <x:c r="K988" s="27" t="n">
        <x:f>'Source Data'!F218+LN('Assumptions'!D57)+LN('Assumptions'!H35)</x:f>
        <x:v>8.179823674316163</x:v>
      </x:c>
      <x:c r="L988" s="27" t="n">
        <x:f>J988*(1-I988*(1-'Carrier Engine'!E95))</x:f>
        <x:v>21531.307288430366</x:v>
      </x:c>
      <x:c r="M988" s="29" t="n">
        <x:f>NORM.S.DIST((LN(L988)-K988)/'Assumptions'!$D$10,TRUE)</x:f>
        <x:v>0.8738365578665881</x:v>
      </x:c>
      <x:c r="N988" s="30" t="n">
        <x:f>MAX(0,H988-MAX(G988,M988))</x:f>
        <x:v>0</x:v>
      </x:c>
      <x:c r="O988" s="28" t="n">
        <x:f>J988*I988</x:f>
        <x:v>12183.352889543934</x:v>
      </x:c>
      <x:c r="P988" s="27" t="n">
        <x:f>(VLOOKUP(O988,'Fee Data'!$C$6:$G$50,2,TRUE)+O988*VLOOKUP(O988,'Fee Data'!$C$6:$G$50,3,TRUE)+VLOOKUP(O988,'Fee Data'!$I$6:$J$14,2,TRUE)+'Fee Data'!$J$20+'Fee Data'!$J$21)*'Assumptions'!H37</x:f>
        <x:v>1250</x:v>
      </x:c>
      <x:c r="Q988" s="27" t="n">
        <x:f>(VLOOKUP(O988,'Fee Data'!$C$6:$G$50,4,TRUE)+O988*VLOOKUP(O988,'Fee Data'!$C$6:$G$50,5,TRUE)+VLOOKUP(O988,'Fee Data'!$I$6:$J$14,2,TRUE)+'Fee Data'!$J$20+'Fee Data'!$J$21)*'Assumptions'!H37</x:f>
        <x:v>1125</x:v>
      </x:c>
      <x:c r="R988" s="27" t="n">
        <x:f>P988*(1-'Assumptions'!$D$14)+Q988*'Assumptions'!$D$14</x:f>
        <x:v>1187.5</x:v>
      </x:c>
      <x:c r="S988" s="27" t="n">
        <x:f>O988*'Carrier Engine'!E95</x:f>
        <x:v>487.33411558175743</x:v>
      </x:c>
      <x:c r="T988" s="28" t="n">
        <x:f>R988+S988</x:f>
        <x:v>1674.8341155817575</x:v>
      </x:c>
      <x:c r="U988" s="27" t="n">
        <x:f>N988*'Fleet Engine'!J207</x:f>
        <x:v>0</x:v>
      </x:c>
      <x:c r="V988" s="28" t="n">
        <x:f>U988*T988</x:f>
        <x:v>0</x:v>
      </x:c>
      <x:c r="W988" s="28" t="n">
        <x:f>U988*O988</x:f>
        <x:v>0</x:v>
      </x:c>
    </x:row>
    <x:row r="989" ht="19" customHeight="1">
      <x:c r="A989" s="2"/>
      <x:c r="B989" s="2"/>
      <x:c r="C989" s="46" t="n">
        <x:v>4</x:v>
      </x:c>
      <x:c r="D989" s="46" t="n">
        <x:v>13</x:v>
      </x:c>
      <x:c r="E989" s="46" t="n">
        <x:v>2</x:v>
      </x:c>
      <x:c r="F989" s="46" t="n">
        <x:v>1</x:v>
      </x:c>
      <x:c r="G989" s="12" t="n">
        <x:v>0.2222222222222222</x:v>
      </x:c>
      <x:c r="H989" s="12" t="n">
        <x:v>0.3333333333333333</x:v>
      </x:c>
      <x:c r="I989" s="29" t="n">
        <x:f>'Assumptions'!$D$11+'Assumptions'!$D$12*(0.5-(G989+H989)/2)</x:f>
        <x:v>0.34444444444444444</x:v>
      </x:c>
      <x:c r="J989" s="27" t="n">
        <x:f>'Assumptions'!$D$8*EXP(-'Assumptions'!$D$9*('Fleet Engine'!E207-10))*'Assumptions'!E57*'Assumptions'!H36</x:f>
        <x:v>33227.326062392545</x:v>
      </x:c>
      <x:c r="K989" s="27" t="n">
        <x:f>'Source Data'!F218+LN('Assumptions'!D57)+LN('Assumptions'!H35)</x:f>
        <x:v>8.179823674316163</x:v>
      </x:c>
      <x:c r="L989" s="27" t="n">
        <x:f>J989*(1-I989*(1-'Carrier Engine'!E95))</x:f>
        <x:v>22240.156911094742</x:v>
      </x:c>
      <x:c r="M989" s="29" t="n">
        <x:f>NORM.S.DIST((LN(L989)-K989)/'Assumptions'!$D$10,TRUE)</x:f>
        <x:v>0.8780602474996113</x:v>
      </x:c>
      <x:c r="N989" s="30" t="n">
        <x:f>MAX(0,H989-MAX(G989,M989))</x:f>
        <x:v>0</x:v>
      </x:c>
      <x:c r="O989" s="28" t="n">
        <x:f>J989*I989</x:f>
        <x:v>11444.96786593521</x:v>
      </x:c>
      <x:c r="P989" s="27" t="n">
        <x:f>(VLOOKUP(O989,'Fee Data'!$C$6:$G$50,2,TRUE)+O989*VLOOKUP(O989,'Fee Data'!$C$6:$G$50,3,TRUE)+VLOOKUP(O989,'Fee Data'!$I$6:$J$14,2,TRUE)+'Fee Data'!$J$20+'Fee Data'!$J$21)*'Assumptions'!H37</x:f>
        <x:v>1250</x:v>
      </x:c>
      <x:c r="Q989" s="27" t="n">
        <x:f>(VLOOKUP(O989,'Fee Data'!$C$6:$G$50,4,TRUE)+O989*VLOOKUP(O989,'Fee Data'!$C$6:$G$50,5,TRUE)+VLOOKUP(O989,'Fee Data'!$I$6:$J$14,2,TRUE)+'Fee Data'!$J$20+'Fee Data'!$J$21)*'Assumptions'!H37</x:f>
        <x:v>1100</x:v>
      </x:c>
      <x:c r="R989" s="27" t="n">
        <x:f>P989*(1-'Assumptions'!$D$14)+Q989*'Assumptions'!$D$14</x:f>
        <x:v>1175</x:v>
      </x:c>
      <x:c r="S989" s="27" t="n">
        <x:f>O989*'Carrier Engine'!E95</x:f>
        <x:v>457.7987146374085</x:v>
      </x:c>
      <x:c r="T989" s="28" t="n">
        <x:f>R989+S989</x:f>
        <x:v>1632.7987146374085</x:v>
      </x:c>
      <x:c r="U989" s="27" t="n">
        <x:f>N989*'Fleet Engine'!J207</x:f>
        <x:v>0</x:v>
      </x:c>
      <x:c r="V989" s="28" t="n">
        <x:f>U989*T989</x:f>
        <x:v>0</x:v>
      </x:c>
      <x:c r="W989" s="28" t="n">
        <x:f>U989*O989</x:f>
        <x:v>0</x:v>
      </x:c>
    </x:row>
    <x:row r="990" ht="19" customHeight="1">
      <x:c r="A990" s="2"/>
      <x:c r="B990" s="2"/>
      <x:c r="C990" s="46" t="n">
        <x:v>4</x:v>
      </x:c>
      <x:c r="D990" s="46" t="n">
        <x:v>13</x:v>
      </x:c>
      <x:c r="E990" s="46" t="n">
        <x:v>2</x:v>
      </x:c>
      <x:c r="F990" s="46" t="n">
        <x:v>1</x:v>
      </x:c>
      <x:c r="G990" s="12" t="n">
        <x:v>0.3333333333333333</x:v>
      </x:c>
      <x:c r="H990" s="12" t="n">
        <x:v>0.4444444444444444</x:v>
      </x:c>
      <x:c r="I990" s="29" t="n">
        <x:f>'Assumptions'!$D$11+'Assumptions'!$D$12*(0.5-(G990+H990)/2)</x:f>
        <x:v>0.32222222222222224</x:v>
      </x:c>
      <x:c r="J990" s="27" t="n">
        <x:f>'Assumptions'!$D$8*EXP(-'Assumptions'!$D$9*('Fleet Engine'!E207-10))*'Assumptions'!E57*'Assumptions'!H36</x:f>
        <x:v>33227.326062392545</x:v>
      </x:c>
      <x:c r="K990" s="27" t="n">
        <x:f>'Source Data'!F218+LN('Assumptions'!D57)+LN('Assumptions'!H35)</x:f>
        <x:v>8.179823674316163</x:v>
      </x:c>
      <x:c r="L990" s="27" t="n">
        <x:f>J990*(1-I990*(1-'Carrier Engine'!E95))</x:f>
        <x:v>22949.00653375912</x:v>
      </x:c>
      <x:c r="M990" s="29" t="n">
        <x:f>NORM.S.DIST((LN(L990)-K990)/'Assumptions'!$D$10,TRUE)</x:f>
        <x:v>0.8820557511267051</x:v>
      </x:c>
      <x:c r="N990" s="30" t="n">
        <x:f>MAX(0,H990-MAX(G990,M990))</x:f>
        <x:v>0</x:v>
      </x:c>
      <x:c r="O990" s="28" t="n">
        <x:f>J990*I990</x:f>
        <x:v>10706.582842326488</x:v>
      </x:c>
      <x:c r="P990" s="27" t="n">
        <x:f>(VLOOKUP(O990,'Fee Data'!$C$6:$G$50,2,TRUE)+O990*VLOOKUP(O990,'Fee Data'!$C$6:$G$50,3,TRUE)+VLOOKUP(O990,'Fee Data'!$I$6:$J$14,2,TRUE)+'Fee Data'!$J$20+'Fee Data'!$J$21)*'Assumptions'!H37</x:f>
        <x:v>1250</x:v>
      </x:c>
      <x:c r="Q990" s="27" t="n">
        <x:f>(VLOOKUP(O990,'Fee Data'!$C$6:$G$50,4,TRUE)+O990*VLOOKUP(O990,'Fee Data'!$C$6:$G$50,5,TRUE)+VLOOKUP(O990,'Fee Data'!$I$6:$J$14,2,TRUE)+'Fee Data'!$J$20+'Fee Data'!$J$21)*'Assumptions'!H37</x:f>
        <x:v>1100</x:v>
      </x:c>
      <x:c r="R990" s="27" t="n">
        <x:f>P990*(1-'Assumptions'!$D$14)+Q990*'Assumptions'!$D$14</x:f>
        <x:v>1175</x:v>
      </x:c>
      <x:c r="S990" s="27" t="n">
        <x:f>O990*'Carrier Engine'!E95</x:f>
        <x:v>428.2633136930596</x:v>
      </x:c>
      <x:c r="T990" s="28" t="n">
        <x:f>R990+S990</x:f>
        <x:v>1603.2633136930597</x:v>
      </x:c>
      <x:c r="U990" s="27" t="n">
        <x:f>N990*'Fleet Engine'!J207</x:f>
        <x:v>0</x:v>
      </x:c>
      <x:c r="V990" s="28" t="n">
        <x:f>U990*T990</x:f>
        <x:v>0</x:v>
      </x:c>
      <x:c r="W990" s="28" t="n">
        <x:f>U990*O990</x:f>
        <x:v>0</x:v>
      </x:c>
    </x:row>
    <x:row r="991" ht="19" customHeight="1">
      <x:c r="A991" s="2"/>
      <x:c r="B991" s="2"/>
      <x:c r="C991" s="46" t="n">
        <x:v>4</x:v>
      </x:c>
      <x:c r="D991" s="46" t="n">
        <x:v>13</x:v>
      </x:c>
      <x:c r="E991" s="46" t="n">
        <x:v>2</x:v>
      </x:c>
      <x:c r="F991" s="46" t="n">
        <x:v>1</x:v>
      </x:c>
      <x:c r="G991" s="12" t="n">
        <x:v>0.4444444444444444</x:v>
      </x:c>
      <x:c r="H991" s="12" t="n">
        <x:v>0.5555555555555556</x:v>
      </x:c>
      <x:c r="I991" s="29" t="n">
        <x:f>'Assumptions'!$D$11+'Assumptions'!$D$12*(0.5-(G991+H991)/2)</x:f>
        <x:v>0.3</x:v>
      </x:c>
      <x:c r="J991" s="27" t="n">
        <x:f>'Assumptions'!$D$8*EXP(-'Assumptions'!$D$9*('Fleet Engine'!E207-10))*'Assumptions'!E57*'Assumptions'!H36</x:f>
        <x:v>33227.326062392545</x:v>
      </x:c>
      <x:c r="K991" s="27" t="n">
        <x:f>'Source Data'!F218+LN('Assumptions'!D57)+LN('Assumptions'!H35)</x:f>
        <x:v>8.179823674316163</x:v>
      </x:c>
      <x:c r="L991" s="27" t="n">
        <x:f>J991*(1-I991*(1-'Carrier Engine'!E95))</x:f>
        <x:v>23657.85615642349</x:v>
      </x:c>
      <x:c r="M991" s="29" t="n">
        <x:f>NORM.S.DIST((LN(L991)-K991)/'Assumptions'!$D$10,TRUE)</x:f>
        <x:v>0.8858404003889359</x:v>
      </x:c>
      <x:c r="N991" s="30" t="n">
        <x:f>MAX(0,H991-MAX(G991,M991))</x:f>
        <x:v>0</x:v>
      </x:c>
      <x:c r="O991" s="28" t="n">
        <x:f>J991*I991</x:f>
        <x:v>9968.197818717763</x:v>
      </x:c>
      <x:c r="P991" s="27" t="n">
        <x:f>(VLOOKUP(O991,'Fee Data'!$C$6:$G$50,2,TRUE)+O991*VLOOKUP(O991,'Fee Data'!$C$6:$G$50,3,TRUE)+VLOOKUP(O991,'Fee Data'!$I$6:$J$14,2,TRUE)+'Fee Data'!$J$20+'Fee Data'!$J$21)*'Assumptions'!H37</x:f>
        <x:v>1195</x:v>
      </x:c>
      <x:c r="Q991" s="27" t="n">
        <x:f>(VLOOKUP(O991,'Fee Data'!$C$6:$G$50,4,TRUE)+O991*VLOOKUP(O991,'Fee Data'!$C$6:$G$50,5,TRUE)+VLOOKUP(O991,'Fee Data'!$I$6:$J$14,2,TRUE)+'Fee Data'!$J$20+'Fee Data'!$J$21)*'Assumptions'!H37</x:f>
        <x:v>1070</x:v>
      </x:c>
      <x:c r="R991" s="27" t="n">
        <x:f>P991*(1-'Assumptions'!$D$14)+Q991*'Assumptions'!$D$14</x:f>
        <x:v>1132.5</x:v>
      </x:c>
      <x:c r="S991" s="27" t="n">
        <x:f>O991*'Carrier Engine'!E95</x:f>
        <x:v>398.7279127487106</x:v>
      </x:c>
      <x:c r="T991" s="28" t="n">
        <x:f>R991+S991</x:f>
        <x:v>1531.2279127487107</x:v>
      </x:c>
      <x:c r="U991" s="27" t="n">
        <x:f>N991*'Fleet Engine'!J207</x:f>
        <x:v>0</x:v>
      </x:c>
      <x:c r="V991" s="28" t="n">
        <x:f>U991*T991</x:f>
        <x:v>0</x:v>
      </x:c>
      <x:c r="W991" s="28" t="n">
        <x:f>U991*O991</x:f>
        <x:v>0</x:v>
      </x:c>
    </x:row>
    <x:row r="992" ht="19" customHeight="1">
      <x:c r="A992" s="2"/>
      <x:c r="B992" s="2"/>
      <x:c r="C992" s="46" t="n">
        <x:v>4</x:v>
      </x:c>
      <x:c r="D992" s="46" t="n">
        <x:v>13</x:v>
      </x:c>
      <x:c r="E992" s="46" t="n">
        <x:v>2</x:v>
      </x:c>
      <x:c r="F992" s="46" t="n">
        <x:v>1</x:v>
      </x:c>
      <x:c r="G992" s="12" t="n">
        <x:v>0.5555555555555556</x:v>
      </x:c>
      <x:c r="H992" s="12" t="n">
        <x:v>0.6666666666666666</x:v>
      </x:c>
      <x:c r="I992" s="29" t="n">
        <x:f>'Assumptions'!$D$11+'Assumptions'!$D$12*(0.5-(G992+H992)/2)</x:f>
        <x:v>0.27777777777777773</x:v>
      </x:c>
      <x:c r="J992" s="27" t="n">
        <x:f>'Assumptions'!$D$8*EXP(-'Assumptions'!$D$9*('Fleet Engine'!E207-10))*'Assumptions'!E57*'Assumptions'!H36</x:f>
        <x:v>33227.326062392545</x:v>
      </x:c>
      <x:c r="K992" s="27" t="n">
        <x:f>'Source Data'!F218+LN('Assumptions'!D57)+LN('Assumptions'!H35)</x:f>
        <x:v>8.179823674316163</x:v>
      </x:c>
      <x:c r="L992" s="27" t="n">
        <x:f>J992*(1-I992*(1-'Carrier Engine'!E95))</x:f>
        <x:v>24366.705779087868</x:v>
      </x:c>
      <x:c r="M992" s="29" t="n">
        <x:f>NORM.S.DIST((LN(L992)-K992)/'Assumptions'!$D$10,TRUE)</x:f>
        <x:v>0.8894298256285628</x:v>
      </x:c>
      <x:c r="N992" s="30" t="n">
        <x:f>MAX(0,H992-MAX(G992,M992))</x:f>
        <x:v>0</x:v>
      </x:c>
      <x:c r="O992" s="28" t="n">
        <x:f>J992*I992</x:f>
        <x:v>9229.81279510904</x:v>
      </x:c>
      <x:c r="P992" s="27" t="n">
        <x:f>(VLOOKUP(O992,'Fee Data'!$C$6:$G$50,2,TRUE)+O992*VLOOKUP(O992,'Fee Data'!$C$6:$G$50,3,TRUE)+VLOOKUP(O992,'Fee Data'!$I$6:$J$14,2,TRUE)+'Fee Data'!$J$20+'Fee Data'!$J$21)*'Assumptions'!H37</x:f>
        <x:v>1195</x:v>
      </x:c>
      <x:c r="Q992" s="27" t="n">
        <x:f>(VLOOKUP(O992,'Fee Data'!$C$6:$G$50,4,TRUE)+O992*VLOOKUP(O992,'Fee Data'!$C$6:$G$50,5,TRUE)+VLOOKUP(O992,'Fee Data'!$I$6:$J$14,2,TRUE)+'Fee Data'!$J$20+'Fee Data'!$J$21)*'Assumptions'!H37</x:f>
        <x:v>1070</x:v>
      </x:c>
      <x:c r="R992" s="27" t="n">
        <x:f>P992*(1-'Assumptions'!$D$14)+Q992*'Assumptions'!$D$14</x:f>
        <x:v>1132.5</x:v>
      </x:c>
      <x:c r="S992" s="27" t="n">
        <x:f>O992*'Carrier Engine'!E95</x:f>
        <x:v>369.19251180436163</x:v>
      </x:c>
      <x:c r="T992" s="28" t="n">
        <x:f>R992+S992</x:f>
        <x:v>1501.6925118043616</x:v>
      </x:c>
      <x:c r="U992" s="27" t="n">
        <x:f>N992*'Fleet Engine'!J207</x:f>
        <x:v>0</x:v>
      </x:c>
      <x:c r="V992" s="28" t="n">
        <x:f>U992*T992</x:f>
        <x:v>0</x:v>
      </x:c>
      <x:c r="W992" s="28" t="n">
        <x:f>U992*O992</x:f>
        <x:v>0</x:v>
      </x:c>
    </x:row>
    <x:row r="993" ht="19" customHeight="1">
      <x:c r="A993" s="2"/>
      <x:c r="B993" s="2"/>
      <x:c r="C993" s="46" t="n">
        <x:v>4</x:v>
      </x:c>
      <x:c r="D993" s="46" t="n">
        <x:v>13</x:v>
      </x:c>
      <x:c r="E993" s="46" t="n">
        <x:v>2</x:v>
      </x:c>
      <x:c r="F993" s="46" t="n">
        <x:v>1</x:v>
      </x:c>
      <x:c r="G993" s="12" t="n">
        <x:v>0.6666666666666666</x:v>
      </x:c>
      <x:c r="H993" s="12" t="n">
        <x:v>0.7777777777777778</x:v>
      </x:c>
      <x:c r="I993" s="29" t="n">
        <x:f>'Assumptions'!$D$11+'Assumptions'!$D$12*(0.5-(G993+H993)/2)</x:f>
        <x:v>0.25555555555555554</x:v>
      </x:c>
      <x:c r="J993" s="27" t="n">
        <x:f>'Assumptions'!$D$8*EXP(-'Assumptions'!$D$9*('Fleet Engine'!E207-10))*'Assumptions'!E57*'Assumptions'!H36</x:f>
        <x:v>33227.326062392545</x:v>
      </x:c>
      <x:c r="K993" s="27" t="n">
        <x:f>'Source Data'!F218+LN('Assumptions'!D57)+LN('Assumptions'!H35)</x:f>
        <x:v>8.179823674316163</x:v>
      </x:c>
      <x:c r="L993" s="27" t="n">
        <x:f>J993*(1-I993*(1-'Carrier Engine'!E95))</x:f>
        <x:v>25075.55540175224</x:v>
      </x:c>
      <x:c r="M993" s="29" t="n">
        <x:f>NORM.S.DIST((LN(L993)-K993)/'Assumptions'!$D$10,TRUE)</x:f>
        <x:v>0.8928381602043821</x:v>
      </x:c>
      <x:c r="N993" s="30" t="n">
        <x:f>MAX(0,H993-MAX(G993,M993))</x:f>
        <x:v>0</x:v>
      </x:c>
      <x:c r="O993" s="28" t="n">
        <x:f>J993*I993</x:f>
        <x:v>8491.427771500317</x:v>
      </x:c>
      <x:c r="P993" s="27" t="n">
        <x:f>(VLOOKUP(O993,'Fee Data'!$C$6:$G$50,2,TRUE)+O993*VLOOKUP(O993,'Fee Data'!$C$6:$G$50,3,TRUE)+VLOOKUP(O993,'Fee Data'!$I$6:$J$14,2,TRUE)+'Fee Data'!$J$20+'Fee Data'!$J$21)*'Assumptions'!H37</x:f>
        <x:v>1175</x:v>
      </x:c>
      <x:c r="Q993" s="27" t="n">
        <x:f>(VLOOKUP(O993,'Fee Data'!$C$6:$G$50,4,TRUE)+O993*VLOOKUP(O993,'Fee Data'!$C$6:$G$50,5,TRUE)+VLOOKUP(O993,'Fee Data'!$I$6:$J$14,2,TRUE)+'Fee Data'!$J$20+'Fee Data'!$J$21)*'Assumptions'!H37</x:f>
        <x:v>1050</x:v>
      </x:c>
      <x:c r="R993" s="27" t="n">
        <x:f>P993*(1-'Assumptions'!$D$14)+Q993*'Assumptions'!$D$14</x:f>
        <x:v>1112.5</x:v>
      </x:c>
      <x:c r="S993" s="27" t="n">
        <x:f>O993*'Carrier Engine'!E95</x:f>
        <x:v>339.6571108600128</x:v>
      </x:c>
      <x:c r="T993" s="28" t="n">
        <x:f>R993+S993</x:f>
        <x:v>1452.1571108600128</x:v>
      </x:c>
      <x:c r="U993" s="27" t="n">
        <x:f>N993*'Fleet Engine'!J207</x:f>
        <x:v>0</x:v>
      </x:c>
      <x:c r="V993" s="28" t="n">
        <x:f>U993*T993</x:f>
        <x:v>0</x:v>
      </x:c>
      <x:c r="W993" s="28" t="n">
        <x:f>U993*O993</x:f>
        <x:v>0</x:v>
      </x:c>
    </x:row>
    <x:row r="994" ht="19" customHeight="1">
      <x:c r="A994" s="2"/>
      <x:c r="B994" s="2"/>
      <x:c r="C994" s="46" t="n">
        <x:v>4</x:v>
      </x:c>
      <x:c r="D994" s="46" t="n">
        <x:v>13</x:v>
      </x:c>
      <x:c r="E994" s="46" t="n">
        <x:v>2</x:v>
      </x:c>
      <x:c r="F994" s="46" t="n">
        <x:v>1</x:v>
      </x:c>
      <x:c r="G994" s="12" t="n">
        <x:v>0.7777777777777778</x:v>
      </x:c>
      <x:c r="H994" s="12" t="n">
        <x:v>0.8888888888888888</x:v>
      </x:c>
      <x:c r="I994" s="29" t="n">
        <x:f>'Assumptions'!$D$11+'Assumptions'!$D$12*(0.5-(G994+H994)/2)</x:f>
        <x:v>0.23333333333333334</x:v>
      </x:c>
      <x:c r="J994" s="27" t="n">
        <x:f>'Assumptions'!$D$8*EXP(-'Assumptions'!$D$9*('Fleet Engine'!E207-10))*'Assumptions'!E57*'Assumptions'!H36</x:f>
        <x:v>33227.326062392545</x:v>
      </x:c>
      <x:c r="K994" s="27" t="n">
        <x:f>'Source Data'!F218+LN('Assumptions'!D57)+LN('Assumptions'!H35)</x:f>
        <x:v>8.179823674316163</x:v>
      </x:c>
      <x:c r="L994" s="27" t="n">
        <x:f>J994*(1-I994*(1-'Carrier Engine'!E95))</x:f>
        <x:v>25784.405024416617</x:v>
      </x:c>
      <x:c r="M994" s="29" t="n">
        <x:f>NORM.S.DIST((LN(L994)-K994)/'Assumptions'!$D$10,TRUE)</x:f>
        <x:v>0.8960782159015883</x:v>
      </x:c>
      <x:c r="N994" s="30" t="n">
        <x:f>MAX(0,H994-MAX(G994,M994))</x:f>
        <x:v>0</x:v>
      </x:c>
      <x:c r="O994" s="28" t="n">
        <x:f>J994*I994</x:f>
        <x:v>7753.042747891594</x:v>
      </x:c>
      <x:c r="P994" s="27" t="n">
        <x:f>(VLOOKUP(O994,'Fee Data'!$C$6:$G$50,2,TRUE)+O994*VLOOKUP(O994,'Fee Data'!$C$6:$G$50,3,TRUE)+VLOOKUP(O994,'Fee Data'!$I$6:$J$14,2,TRUE)+'Fee Data'!$J$20+'Fee Data'!$J$21)*'Assumptions'!H37</x:f>
        <x:v>1135</x:v>
      </x:c>
      <x:c r="Q994" s="27" t="n">
        <x:f>(VLOOKUP(O994,'Fee Data'!$C$6:$G$50,4,TRUE)+O994*VLOOKUP(O994,'Fee Data'!$C$6:$G$50,5,TRUE)+VLOOKUP(O994,'Fee Data'!$I$6:$J$14,2,TRUE)+'Fee Data'!$J$20+'Fee Data'!$J$21)*'Assumptions'!H37</x:f>
        <x:v>1010</x:v>
      </x:c>
      <x:c r="R994" s="27" t="n">
        <x:f>P994*(1-'Assumptions'!$D$14)+Q994*'Assumptions'!$D$14</x:f>
        <x:v>1072.5</x:v>
      </x:c>
      <x:c r="S994" s="27" t="n">
        <x:f>O994*'Carrier Engine'!E95</x:f>
        <x:v>310.1217099156638</x:v>
      </x:c>
      <x:c r="T994" s="28" t="n">
        <x:f>R994+S994</x:f>
        <x:v>1382.6217099156638</x:v>
      </x:c>
      <x:c r="U994" s="27" t="n">
        <x:f>N994*'Fleet Engine'!J207</x:f>
        <x:v>0</x:v>
      </x:c>
      <x:c r="V994" s="28" t="n">
        <x:f>U994*T994</x:f>
        <x:v>0</x:v>
      </x:c>
      <x:c r="W994" s="28" t="n">
        <x:f>U994*O994</x:f>
        <x:v>0</x:v>
      </x:c>
    </x:row>
    <x:row r="995" ht="19" customHeight="1">
      <x:c r="A995" s="2"/>
      <x:c r="B995" s="2"/>
      <x:c r="C995" s="46" t="n">
        <x:v>4</x:v>
      </x:c>
      <x:c r="D995" s="46" t="n">
        <x:v>13</x:v>
      </x:c>
      <x:c r="E995" s="46" t="n">
        <x:v>2</x:v>
      </x:c>
      <x:c r="F995" s="46" t="n">
        <x:v>1</x:v>
      </x:c>
      <x:c r="G995" s="12" t="n">
        <x:v>0.8888888888888888</x:v>
      </x:c>
      <x:c r="H995" s="12" t="n">
        <x:v>1</x:v>
      </x:c>
      <x:c r="I995" s="29" t="n">
        <x:f>'Assumptions'!$D$11+'Assumptions'!$D$12*(0.5-(G995+H995)/2)</x:f>
        <x:v>0.21111111111111108</x:v>
      </x:c>
      <x:c r="J995" s="27" t="n">
        <x:f>'Assumptions'!$D$8*EXP(-'Assumptions'!$D$9*('Fleet Engine'!E207-10))*'Assumptions'!E57*'Assumptions'!H36</x:f>
        <x:v>33227.326062392545</x:v>
      </x:c>
      <x:c r="K995" s="27" t="n">
        <x:f>'Source Data'!F218+LN('Assumptions'!D57)+LN('Assumptions'!H35)</x:f>
        <x:v>8.179823674316163</x:v>
      </x:c>
      <x:c r="L995" s="27" t="n">
        <x:f>J995*(1-I995*(1-'Carrier Engine'!E95))</x:f>
        <x:v>26493.25464708099</x:v>
      </x:c>
      <x:c r="M995" s="29" t="n">
        <x:f>NORM.S.DIST((LN(L995)-K995)/'Assumptions'!$D$10,TRUE)</x:f>
        <x:v>0.8991616341237623</x:v>
      </x:c>
      <x:c r="N995" s="30" t="n">
        <x:f>MAX(0,H995-MAX(G995,M995))</x:f>
        <x:v>0.10083836587623773</x:v>
      </x:c>
      <x:c r="O995" s="28" t="n">
        <x:f>J995*I995</x:f>
        <x:v>7014.65772428287</x:v>
      </x:c>
      <x:c r="P995" s="27" t="n">
        <x:f>(VLOOKUP(O995,'Fee Data'!$C$6:$G$50,2,TRUE)+O995*VLOOKUP(O995,'Fee Data'!$C$6:$G$50,3,TRUE)+VLOOKUP(O995,'Fee Data'!$I$6:$J$14,2,TRUE)+'Fee Data'!$J$20+'Fee Data'!$J$21)*'Assumptions'!H37</x:f>
        <x:v>1115</x:v>
      </x:c>
      <x:c r="Q995" s="27" t="n">
        <x:f>(VLOOKUP(O995,'Fee Data'!$C$6:$G$50,4,TRUE)+O995*VLOOKUP(O995,'Fee Data'!$C$6:$G$50,5,TRUE)+VLOOKUP(O995,'Fee Data'!$I$6:$J$14,2,TRUE)+'Fee Data'!$J$20+'Fee Data'!$J$21)*'Assumptions'!H37</x:f>
        <x:v>990</x:v>
      </x:c>
      <x:c r="R995" s="27" t="n">
        <x:f>P995*(1-'Assumptions'!$D$14)+Q995*'Assumptions'!$D$14</x:f>
        <x:v>1052.5</x:v>
      </x:c>
      <x:c r="S995" s="27" t="n">
        <x:f>O995*'Carrier Engine'!E95</x:f>
        <x:v>280.58630897131485</x:v>
      </x:c>
      <x:c r="T995" s="28" t="n">
        <x:f>R995+S995</x:f>
        <x:v>1333.0863089713148</x:v>
      </x:c>
      <x:c r="U995" s="27" t="n">
        <x:f>N995*'Fleet Engine'!J207</x:f>
        <x:v>704.1232900204438</x:v>
      </x:c>
      <x:c r="V995" s="28" t="n">
        <x:f>U995*T995</x:f>
        <x:v>938657.1177540921</x:v>
      </x:c>
      <x:c r="W995" s="28" t="n">
        <x:f>U995*O995</x:f>
        <x:v>4939183.875189374</x:v>
      </x:c>
    </x:row>
    <x:row r="996" ht="19" customHeight="1">
      <x:c r="A996" s="2"/>
      <x:c r="B996" s="2"/>
      <x:c r="C996" s="46" t="n">
        <x:v>4</x:v>
      </x:c>
      <x:c r="D996" s="46" t="n">
        <x:v>14</x:v>
      </x:c>
      <x:c r="E996" s="46" t="n">
        <x:v>2</x:v>
      </x:c>
      <x:c r="F996" s="46" t="n">
        <x:v>2</x:v>
      </x:c>
      <x:c r="G996" s="12" t="n">
        <x:v>0</x:v>
      </x:c>
      <x:c r="H996" s="12" t="n">
        <x:v>0.1111111111111111</x:v>
      </x:c>
      <x:c r="I996" s="29" t="n">
        <x:f>'Assumptions'!$D$11+'Assumptions'!$D$12*(0.5-(G996+H996)/2)</x:f>
        <x:v>0.3888888888888889</x:v>
      </x:c>
      <x:c r="J996" s="27" t="n">
        <x:f>'Assumptions'!$D$8*EXP(-'Assumptions'!$D$9*('Fleet Engine'!E208-10))*'Assumptions'!E57*'Assumptions'!H36</x:f>
        <x:v>24615.408571552918</x:v>
      </x:c>
      <x:c r="K996" s="27" t="n">
        <x:f>'Source Data'!F219+LN('Assumptions'!D57)+LN('Assumptions'!H35)</x:f>
        <x:v>8.22550551560197</x:v>
      </x:c>
      <x:c r="L996" s="27" t="n">
        <x:f>J996*(1-I996*(1-'Carrier Engine'!E95))</x:f>
        <x:v>15425.656038173163</x:v>
      </x:c>
      <x:c r="M996" s="29" t="n">
        <x:f>NORM.S.DIST((LN(L996)-K996)/'Assumptions'!$D$10,TRUE)</x:f>
        <x:v>0.8168022614945112</x:v>
      </x:c>
      <x:c r="N996" s="30" t="n">
        <x:f>MAX(0,H996-MAX(G996,M996))</x:f>
        <x:v>0</x:v>
      </x:c>
      <x:c r="O996" s="28" t="n">
        <x:f>J996*I996</x:f>
        <x:v>9572.658888937247</x:v>
      </x:c>
      <x:c r="P996" s="27" t="n">
        <x:f>(VLOOKUP(O996,'Fee Data'!$C$6:$G$50,2,TRUE)+O996*VLOOKUP(O996,'Fee Data'!$C$6:$G$50,3,TRUE)+VLOOKUP(O996,'Fee Data'!$I$6:$J$14,2,TRUE)+'Fee Data'!$J$20+'Fee Data'!$J$21)*'Assumptions'!H37</x:f>
        <x:v>1195</x:v>
      </x:c>
      <x:c r="Q996" s="27" t="n">
        <x:f>(VLOOKUP(O996,'Fee Data'!$C$6:$G$50,4,TRUE)+O996*VLOOKUP(O996,'Fee Data'!$C$6:$G$50,5,TRUE)+VLOOKUP(O996,'Fee Data'!$I$6:$J$14,2,TRUE)+'Fee Data'!$J$20+'Fee Data'!$J$21)*'Assumptions'!H37</x:f>
        <x:v>1070</x:v>
      </x:c>
      <x:c r="R996" s="27" t="n">
        <x:f>P996*(1-'Assumptions'!$D$14)+Q996*'Assumptions'!$D$14</x:f>
        <x:v>1132.5</x:v>
      </x:c>
      <x:c r="S996" s="27" t="n">
        <x:f>O996*'Carrier Engine'!E95</x:f>
        <x:v>382.90635555749</x:v>
      </x:c>
      <x:c r="T996" s="28" t="n">
        <x:f>R996+S996</x:f>
        <x:v>1515.4063555574899</x:v>
      </x:c>
      <x:c r="U996" s="27" t="n">
        <x:f>N996*'Fleet Engine'!J208</x:f>
        <x:v>0</x:v>
      </x:c>
      <x:c r="V996" s="28" t="n">
        <x:f>U996*T996</x:f>
        <x:v>0</x:v>
      </x:c>
      <x:c r="W996" s="28" t="n">
        <x:f>U996*O996</x:f>
        <x:v>0</x:v>
      </x:c>
    </x:row>
    <x:row r="997" ht="19" customHeight="1">
      <x:c r="A997" s="2"/>
      <x:c r="B997" s="2"/>
      <x:c r="C997" s="46" t="n">
        <x:v>4</x:v>
      </x:c>
      <x:c r="D997" s="46" t="n">
        <x:v>14</x:v>
      </x:c>
      <x:c r="E997" s="46" t="n">
        <x:v>2</x:v>
      </x:c>
      <x:c r="F997" s="46" t="n">
        <x:v>2</x:v>
      </x:c>
      <x:c r="G997" s="12" t="n">
        <x:v>0.1111111111111111</x:v>
      </x:c>
      <x:c r="H997" s="12" t="n">
        <x:v>0.2222222222222222</x:v>
      </x:c>
      <x:c r="I997" s="29" t="n">
        <x:f>'Assumptions'!$D$11+'Assumptions'!$D$12*(0.5-(G997+H997)/2)</x:f>
        <x:v>0.3666666666666667</x:v>
      </x:c>
      <x:c r="J997" s="27" t="n">
        <x:f>'Assumptions'!$D$8*EXP(-'Assumptions'!$D$9*('Fleet Engine'!E208-10))*'Assumptions'!E57*'Assumptions'!H36</x:f>
        <x:v>24615.408571552918</x:v>
      </x:c>
      <x:c r="K997" s="27" t="n">
        <x:f>'Source Data'!F219+LN('Assumptions'!D57)+LN('Assumptions'!H35)</x:f>
        <x:v>8.22550551560197</x:v>
      </x:c>
      <x:c r="L997" s="27" t="n">
        <x:f>J997*(1-I997*(1-'Carrier Engine'!E95))</x:f>
        <x:v>15950.784754366288</x:v>
      </x:c>
      <x:c r="M997" s="29" t="n">
        <x:f>NORM.S.DIST((LN(L997)-K997)/'Assumptions'!$D$10,TRUE)</x:f>
        <x:v>0.8224039417033224</x:v>
      </x:c>
      <x:c r="N997" s="30" t="n">
        <x:f>MAX(0,H997-MAX(G997,M997))</x:f>
        <x:v>0</x:v>
      </x:c>
      <x:c r="O997" s="28" t="n">
        <x:f>J997*I997</x:f>
        <x:v>9025.649809569404</x:v>
      </x:c>
      <x:c r="P997" s="27" t="n">
        <x:f>(VLOOKUP(O997,'Fee Data'!$C$6:$G$50,2,TRUE)+O997*VLOOKUP(O997,'Fee Data'!$C$6:$G$50,3,TRUE)+VLOOKUP(O997,'Fee Data'!$I$6:$J$14,2,TRUE)+'Fee Data'!$J$20+'Fee Data'!$J$21)*'Assumptions'!H37</x:f>
        <x:v>1195</x:v>
      </x:c>
      <x:c r="Q997" s="27" t="n">
        <x:f>(VLOOKUP(O997,'Fee Data'!$C$6:$G$50,4,TRUE)+O997*VLOOKUP(O997,'Fee Data'!$C$6:$G$50,5,TRUE)+VLOOKUP(O997,'Fee Data'!$I$6:$J$14,2,TRUE)+'Fee Data'!$J$20+'Fee Data'!$J$21)*'Assumptions'!H37</x:f>
        <x:v>1070</x:v>
      </x:c>
      <x:c r="R997" s="27" t="n">
        <x:f>P997*(1-'Assumptions'!$D$14)+Q997*'Assumptions'!$D$14</x:f>
        <x:v>1132.5</x:v>
      </x:c>
      <x:c r="S997" s="27" t="n">
        <x:f>O997*'Carrier Engine'!E95</x:f>
        <x:v>361.0259923827762</x:v>
      </x:c>
      <x:c r="T997" s="28" t="n">
        <x:f>R997+S997</x:f>
        <x:v>1493.5259923827762</x:v>
      </x:c>
      <x:c r="U997" s="27" t="n">
        <x:f>N997*'Fleet Engine'!J208</x:f>
        <x:v>0</x:v>
      </x:c>
      <x:c r="V997" s="28" t="n">
        <x:f>U997*T997</x:f>
        <x:v>0</x:v>
      </x:c>
      <x:c r="W997" s="28" t="n">
        <x:f>U997*O997</x:f>
        <x:v>0</x:v>
      </x:c>
    </x:row>
    <x:row r="998" ht="19" customHeight="1">
      <x:c r="A998" s="2"/>
      <x:c r="B998" s="2"/>
      <x:c r="C998" s="46" t="n">
        <x:v>4</x:v>
      </x:c>
      <x:c r="D998" s="46" t="n">
        <x:v>14</x:v>
      </x:c>
      <x:c r="E998" s="46" t="n">
        <x:v>2</x:v>
      </x:c>
      <x:c r="F998" s="46" t="n">
        <x:v>2</x:v>
      </x:c>
      <x:c r="G998" s="12" t="n">
        <x:v>0.2222222222222222</x:v>
      </x:c>
      <x:c r="H998" s="12" t="n">
        <x:v>0.3333333333333333</x:v>
      </x:c>
      <x:c r="I998" s="29" t="n">
        <x:f>'Assumptions'!$D$11+'Assumptions'!$D$12*(0.5-(G998+H998)/2)</x:f>
        <x:v>0.34444444444444444</x:v>
      </x:c>
      <x:c r="J998" s="27" t="n">
        <x:f>'Assumptions'!$D$8*EXP(-'Assumptions'!$D$9*('Fleet Engine'!E208-10))*'Assumptions'!E57*'Assumptions'!H36</x:f>
        <x:v>24615.408571552918</x:v>
      </x:c>
      <x:c r="K998" s="27" t="n">
        <x:f>'Source Data'!F219+LN('Assumptions'!D57)+LN('Assumptions'!H35)</x:f>
        <x:v>8.22550551560197</x:v>
      </x:c>
      <x:c r="L998" s="27" t="n">
        <x:f>J998*(1-I998*(1-'Carrier Engine'!E95))</x:f>
        <x:v>16475.91347055942</x:v>
      </x:c>
      <x:c r="M998" s="29" t="n">
        <x:f>NORM.S.DIST((LN(L998)-K998)/'Assumptions'!$D$10,TRUE)</x:f>
        <x:v>0.8277200866436032</x:v>
      </x:c>
      <x:c r="N998" s="30" t="n">
        <x:f>MAX(0,H998-MAX(G998,M998))</x:f>
        <x:v>0</x:v>
      </x:c>
      <x:c r="O998" s="28" t="n">
        <x:f>J998*I998</x:f>
        <x:v>8478.640730201561</x:v>
      </x:c>
      <x:c r="P998" s="27" t="n">
        <x:f>(VLOOKUP(O998,'Fee Data'!$C$6:$G$50,2,TRUE)+O998*VLOOKUP(O998,'Fee Data'!$C$6:$G$50,3,TRUE)+VLOOKUP(O998,'Fee Data'!$I$6:$J$14,2,TRUE)+'Fee Data'!$J$20+'Fee Data'!$J$21)*'Assumptions'!H37</x:f>
        <x:v>1175</x:v>
      </x:c>
      <x:c r="Q998" s="27" t="n">
        <x:f>(VLOOKUP(O998,'Fee Data'!$C$6:$G$50,4,TRUE)+O998*VLOOKUP(O998,'Fee Data'!$C$6:$G$50,5,TRUE)+VLOOKUP(O998,'Fee Data'!$I$6:$J$14,2,TRUE)+'Fee Data'!$J$20+'Fee Data'!$J$21)*'Assumptions'!H37</x:f>
        <x:v>1050</x:v>
      </x:c>
      <x:c r="R998" s="27" t="n">
        <x:f>P998*(1-'Assumptions'!$D$14)+Q998*'Assumptions'!$D$14</x:f>
        <x:v>1112.5</x:v>
      </x:c>
      <x:c r="S998" s="27" t="n">
        <x:f>O998*'Carrier Engine'!E95</x:f>
        <x:v>339.14562920806253</x:v>
      </x:c>
      <x:c r="T998" s="28" t="n">
        <x:f>R998+S998</x:f>
        <x:v>1451.6456292080625</x:v>
      </x:c>
      <x:c r="U998" s="27" t="n">
        <x:f>N998*'Fleet Engine'!J208</x:f>
        <x:v>0</x:v>
      </x:c>
      <x:c r="V998" s="28" t="n">
        <x:f>U998*T998</x:f>
        <x:v>0</x:v>
      </x:c>
      <x:c r="W998" s="28" t="n">
        <x:f>U998*O998</x:f>
        <x:v>0</x:v>
      </x:c>
    </x:row>
    <x:row r="999" ht="19" customHeight="1">
      <x:c r="A999" s="2"/>
      <x:c r="B999" s="2"/>
      <x:c r="C999" s="46" t="n">
        <x:v>4</x:v>
      </x:c>
      <x:c r="D999" s="46" t="n">
        <x:v>14</x:v>
      </x:c>
      <x:c r="E999" s="46" t="n">
        <x:v>2</x:v>
      </x:c>
      <x:c r="F999" s="46" t="n">
        <x:v>2</x:v>
      </x:c>
      <x:c r="G999" s="12" t="n">
        <x:v>0.3333333333333333</x:v>
      </x:c>
      <x:c r="H999" s="12" t="n">
        <x:v>0.4444444444444444</x:v>
      </x:c>
      <x:c r="I999" s="29" t="n">
        <x:f>'Assumptions'!$D$11+'Assumptions'!$D$12*(0.5-(G999+H999)/2)</x:f>
        <x:v>0.32222222222222224</x:v>
      </x:c>
      <x:c r="J999" s="27" t="n">
        <x:f>'Assumptions'!$D$8*EXP(-'Assumptions'!$D$9*('Fleet Engine'!E208-10))*'Assumptions'!E57*'Assumptions'!H36</x:f>
        <x:v>24615.408571552918</x:v>
      </x:c>
      <x:c r="K999" s="27" t="n">
        <x:f>'Source Data'!F219+LN('Assumptions'!D57)+LN('Assumptions'!H35)</x:f>
        <x:v>8.22550551560197</x:v>
      </x:c>
      <x:c r="L999" s="27" t="n">
        <x:f>J999*(1-I999*(1-'Carrier Engine'!E95))</x:f>
        <x:v>17001.042186752547</x:v>
      </x:c>
      <x:c r="M999" s="29" t="n">
        <x:f>NORM.S.DIST((LN(L999)-K999)/'Assumptions'!$D$10,TRUE)</x:f>
        <x:v>0.8327715578412461</x:v>
      </x:c>
      <x:c r="N999" s="30" t="n">
        <x:f>MAX(0,H999-MAX(G999,M999))</x:f>
        <x:v>0</x:v>
      </x:c>
      <x:c r="O999" s="28" t="n">
        <x:f>J999*I999</x:f>
        <x:v>7931.631650833719</x:v>
      </x:c>
      <x:c r="P999" s="27" t="n">
        <x:f>(VLOOKUP(O999,'Fee Data'!$C$6:$G$50,2,TRUE)+O999*VLOOKUP(O999,'Fee Data'!$C$6:$G$50,3,TRUE)+VLOOKUP(O999,'Fee Data'!$I$6:$J$14,2,TRUE)+'Fee Data'!$J$20+'Fee Data'!$J$21)*'Assumptions'!H37</x:f>
        <x:v>1135</x:v>
      </x:c>
      <x:c r="Q999" s="27" t="n">
        <x:f>(VLOOKUP(O999,'Fee Data'!$C$6:$G$50,4,TRUE)+O999*VLOOKUP(O999,'Fee Data'!$C$6:$G$50,5,TRUE)+VLOOKUP(O999,'Fee Data'!$I$6:$J$14,2,TRUE)+'Fee Data'!$J$20+'Fee Data'!$J$21)*'Assumptions'!H37</x:f>
        <x:v>1010</x:v>
      </x:c>
      <x:c r="R999" s="27" t="n">
        <x:f>P999*(1-'Assumptions'!$D$14)+Q999*'Assumptions'!$D$14</x:f>
        <x:v>1072.5</x:v>
      </x:c>
      <x:c r="S999" s="27" t="n">
        <x:f>O999*'Carrier Engine'!E95</x:f>
        <x:v>317.2652660333488</x:v>
      </x:c>
      <x:c r="T999" s="28" t="n">
        <x:f>R999+S999</x:f>
        <x:v>1389.7652660333488</x:v>
      </x:c>
      <x:c r="U999" s="27" t="n">
        <x:f>N999*'Fleet Engine'!J208</x:f>
        <x:v>0</x:v>
      </x:c>
      <x:c r="V999" s="28" t="n">
        <x:f>U999*T999</x:f>
        <x:v>0</x:v>
      </x:c>
      <x:c r="W999" s="28" t="n">
        <x:f>U999*O999</x:f>
        <x:v>0</x:v>
      </x:c>
    </x:row>
    <x:row r="1000" ht="19" customHeight="1">
      <x:c r="A1000" s="2"/>
      <x:c r="B1000" s="2"/>
      <x:c r="C1000" s="46" t="n">
        <x:v>4</x:v>
      </x:c>
      <x:c r="D1000" s="46" t="n">
        <x:v>14</x:v>
      </x:c>
      <x:c r="E1000" s="46" t="n">
        <x:v>2</x:v>
      </x:c>
      <x:c r="F1000" s="46" t="n">
        <x:v>2</x:v>
      </x:c>
      <x:c r="G1000" s="12" t="n">
        <x:v>0.4444444444444444</x:v>
      </x:c>
      <x:c r="H1000" s="12" t="n">
        <x:v>0.5555555555555556</x:v>
      </x:c>
      <x:c r="I1000" s="29" t="n">
        <x:f>'Assumptions'!$D$11+'Assumptions'!$D$12*(0.5-(G1000+H1000)/2)</x:f>
        <x:v>0.3</x:v>
      </x:c>
      <x:c r="J1000" s="27" t="n">
        <x:f>'Assumptions'!$D$8*EXP(-'Assumptions'!$D$9*('Fleet Engine'!E208-10))*'Assumptions'!E57*'Assumptions'!H36</x:f>
        <x:v>24615.408571552918</x:v>
      </x:c>
      <x:c r="K1000" s="27" t="n">
        <x:f>'Source Data'!F219+LN('Assumptions'!D57)+LN('Assumptions'!H35)</x:f>
        <x:v>8.22550551560197</x:v>
      </x:c>
      <x:c r="L1000" s="27" t="n">
        <x:f>J1000*(1-I1000*(1-'Carrier Engine'!E95))</x:f>
        <x:v>17526.170902945676</x:v>
      </x:c>
      <x:c r="M1000" s="29" t="n">
        <x:f>NORM.S.DIST((LN(L1000)-K1000)/'Assumptions'!$D$10,TRUE)</x:f>
        <x:v>0.8375772230492653</x:v>
      </x:c>
      <x:c r="N1000" s="30" t="n">
        <x:f>MAX(0,H1000-MAX(G1000,M1000))</x:f>
        <x:v>0</x:v>
      </x:c>
      <x:c r="O1000" s="28" t="n">
        <x:f>J1000*I1000</x:f>
        <x:v>7384.622571465875</x:v>
      </x:c>
      <x:c r="P1000" s="27" t="n">
        <x:f>(VLOOKUP(O1000,'Fee Data'!$C$6:$G$50,2,TRUE)+O1000*VLOOKUP(O1000,'Fee Data'!$C$6:$G$50,3,TRUE)+VLOOKUP(O1000,'Fee Data'!$I$6:$J$14,2,TRUE)+'Fee Data'!$J$20+'Fee Data'!$J$21)*'Assumptions'!H37</x:f>
        <x:v>1115</x:v>
      </x:c>
      <x:c r="Q1000" s="27" t="n">
        <x:f>(VLOOKUP(O1000,'Fee Data'!$C$6:$G$50,4,TRUE)+O1000*VLOOKUP(O1000,'Fee Data'!$C$6:$G$50,5,TRUE)+VLOOKUP(O1000,'Fee Data'!$I$6:$J$14,2,TRUE)+'Fee Data'!$J$20+'Fee Data'!$J$21)*'Assumptions'!H37</x:f>
        <x:v>990</x:v>
      </x:c>
      <x:c r="R1000" s="27" t="n">
        <x:f>P1000*(1-'Assumptions'!$D$14)+Q1000*'Assumptions'!$D$14</x:f>
        <x:v>1052.5</x:v>
      </x:c>
      <x:c r="S1000" s="27" t="n">
        <x:f>O1000*'Carrier Engine'!E95</x:f>
        <x:v>295.38490285863503</x:v>
      </x:c>
      <x:c r="T1000" s="28" t="n">
        <x:f>R1000+S1000</x:f>
        <x:v>1347.884902858635</x:v>
      </x:c>
      <x:c r="U1000" s="27" t="n">
        <x:f>N1000*'Fleet Engine'!J208</x:f>
        <x:v>0</x:v>
      </x:c>
      <x:c r="V1000" s="28" t="n">
        <x:f>U1000*T1000</x:f>
        <x:v>0</x:v>
      </x:c>
      <x:c r="W1000" s="28" t="n">
        <x:f>U1000*O1000</x:f>
        <x:v>0</x:v>
      </x:c>
    </x:row>
    <x:row r="1001" ht="19" customHeight="1">
      <x:c r="A1001" s="2"/>
      <x:c r="B1001" s="2"/>
      <x:c r="C1001" s="46" t="n">
        <x:v>4</x:v>
      </x:c>
      <x:c r="D1001" s="46" t="n">
        <x:v>14</x:v>
      </x:c>
      <x:c r="E1001" s="46" t="n">
        <x:v>2</x:v>
      </x:c>
      <x:c r="F1001" s="46" t="n">
        <x:v>2</x:v>
      </x:c>
      <x:c r="G1001" s="12" t="n">
        <x:v>0.5555555555555556</x:v>
      </x:c>
      <x:c r="H1001" s="12" t="n">
        <x:v>0.6666666666666666</x:v>
      </x:c>
      <x:c r="I1001" s="29" t="n">
        <x:f>'Assumptions'!$D$11+'Assumptions'!$D$12*(0.5-(G1001+H1001)/2)</x:f>
        <x:v>0.27777777777777773</x:v>
      </x:c>
      <x:c r="J1001" s="27" t="n">
        <x:f>'Assumptions'!$D$8*EXP(-'Assumptions'!$D$9*('Fleet Engine'!E208-10))*'Assumptions'!E57*'Assumptions'!H36</x:f>
        <x:v>24615.408571552918</x:v>
      </x:c>
      <x:c r="K1001" s="27" t="n">
        <x:f>'Source Data'!F219+LN('Assumptions'!D57)+LN('Assumptions'!H35)</x:f>
        <x:v>8.22550551560197</x:v>
      </x:c>
      <x:c r="L1001" s="27" t="n">
        <x:f>J1001*(1-I1001*(1-'Carrier Engine'!E95))</x:f>
        <x:v>18051.29961913881</x:v>
      </x:c>
      <x:c r="M1001" s="29" t="n">
        <x:f>NORM.S.DIST((LN(L1001)-K1001)/'Assumptions'!$D$10,TRUE)</x:f>
        <x:v>0.8421541912379197</x:v>
      </x:c>
      <x:c r="N1001" s="30" t="n">
        <x:f>MAX(0,H1001-MAX(G1001,M1001))</x:f>
        <x:v>0</x:v>
      </x:c>
      <x:c r="O1001" s="28" t="n">
        <x:f>J1001*I1001</x:f>
        <x:v>6837.613492098032</x:v>
      </x:c>
      <x:c r="P1001" s="27" t="n">
        <x:f>(VLOOKUP(O1001,'Fee Data'!$C$6:$G$50,2,TRUE)+O1001*VLOOKUP(O1001,'Fee Data'!$C$6:$G$50,3,TRUE)+VLOOKUP(O1001,'Fee Data'!$I$6:$J$14,2,TRUE)+'Fee Data'!$J$20+'Fee Data'!$J$21)*'Assumptions'!H37</x:f>
        <x:v>1080</x:v>
      </x:c>
      <x:c r="Q1001" s="27" t="n">
        <x:f>(VLOOKUP(O1001,'Fee Data'!$C$6:$G$50,4,TRUE)+O1001*VLOOKUP(O1001,'Fee Data'!$C$6:$G$50,5,TRUE)+VLOOKUP(O1001,'Fee Data'!$I$6:$J$14,2,TRUE)+'Fee Data'!$J$20+'Fee Data'!$J$21)*'Assumptions'!H37</x:f>
        <x:v>955</x:v>
      </x:c>
      <x:c r="R1001" s="27" t="n">
        <x:f>P1001*(1-'Assumptions'!$D$14)+Q1001*'Assumptions'!$D$14</x:f>
        <x:v>1017.5</x:v>
      </x:c>
      <x:c r="S1001" s="27" t="n">
        <x:f>O1001*'Carrier Engine'!E95</x:f>
        <x:v>273.50453968392134</x:v>
      </x:c>
      <x:c r="T1001" s="28" t="n">
        <x:f>R1001+S1001</x:f>
        <x:v>1291.0045396839214</x:v>
      </x:c>
      <x:c r="U1001" s="27" t="n">
        <x:f>N1001*'Fleet Engine'!J208</x:f>
        <x:v>0</x:v>
      </x:c>
      <x:c r="V1001" s="28" t="n">
        <x:f>U1001*T1001</x:f>
        <x:v>0</x:v>
      </x:c>
      <x:c r="W1001" s="28" t="n">
        <x:f>U1001*O1001</x:f>
        <x:v>0</x:v>
      </x:c>
    </x:row>
    <x:row r="1002" ht="19" customHeight="1">
      <x:c r="A1002" s="2"/>
      <x:c r="B1002" s="2"/>
      <x:c r="C1002" s="46" t="n">
        <x:v>4</x:v>
      </x:c>
      <x:c r="D1002" s="46" t="n">
        <x:v>14</x:v>
      </x:c>
      <x:c r="E1002" s="46" t="n">
        <x:v>2</x:v>
      </x:c>
      <x:c r="F1002" s="46" t="n">
        <x:v>2</x:v>
      </x:c>
      <x:c r="G1002" s="12" t="n">
        <x:v>0.6666666666666666</x:v>
      </x:c>
      <x:c r="H1002" s="12" t="n">
        <x:v>0.7777777777777778</x:v>
      </x:c>
      <x:c r="I1002" s="29" t="n">
        <x:f>'Assumptions'!$D$11+'Assumptions'!$D$12*(0.5-(G1002+H1002)/2)</x:f>
        <x:v>0.25555555555555554</x:v>
      </x:c>
      <x:c r="J1002" s="27" t="n">
        <x:f>'Assumptions'!$D$8*EXP(-'Assumptions'!$D$9*('Fleet Engine'!E208-10))*'Assumptions'!E57*'Assumptions'!H36</x:f>
        <x:v>24615.408571552918</x:v>
      </x:c>
      <x:c r="K1002" s="27" t="n">
        <x:f>'Source Data'!F219+LN('Assumptions'!D57)+LN('Assumptions'!H35)</x:f>
        <x:v>8.22550551560197</x:v>
      </x:c>
      <x:c r="L1002" s="27" t="n">
        <x:f>J1002*(1-I1002*(1-'Carrier Engine'!E95))</x:f>
        <x:v>18576.428335331937</x:v>
      </x:c>
      <x:c r="M1002" s="29" t="n">
        <x:f>NORM.S.DIST((LN(L1002)-K1002)/'Assumptions'!$D$10,TRUE)</x:f>
        <x:v>0.8465180147776781</x:v>
      </x:c>
      <x:c r="N1002" s="30" t="n">
        <x:f>MAX(0,H1002-MAX(G1002,M1002))</x:f>
        <x:v>0</x:v>
      </x:c>
      <x:c r="O1002" s="28" t="n">
        <x:f>J1002*I1002</x:f>
        <x:v>6290.604412730189</x:v>
      </x:c>
      <x:c r="P1002" s="27" t="n">
        <x:f>(VLOOKUP(O1002,'Fee Data'!$C$6:$G$50,2,TRUE)+O1002*VLOOKUP(O1002,'Fee Data'!$C$6:$G$50,3,TRUE)+VLOOKUP(O1002,'Fee Data'!$I$6:$J$14,2,TRUE)+'Fee Data'!$J$20+'Fee Data'!$J$21)*'Assumptions'!H37</x:f>
        <x:v>1060</x:v>
      </x:c>
      <x:c r="Q1002" s="27" t="n">
        <x:f>(VLOOKUP(O1002,'Fee Data'!$C$6:$G$50,4,TRUE)+O1002*VLOOKUP(O1002,'Fee Data'!$C$6:$G$50,5,TRUE)+VLOOKUP(O1002,'Fee Data'!$I$6:$J$14,2,TRUE)+'Fee Data'!$J$20+'Fee Data'!$J$21)*'Assumptions'!H37</x:f>
        <x:v>935</x:v>
      </x:c>
      <x:c r="R1002" s="27" t="n">
        <x:f>P1002*(1-'Assumptions'!$D$14)+Q1002*'Assumptions'!$D$14</x:f>
        <x:v>997.5</x:v>
      </x:c>
      <x:c r="S1002" s="27" t="n">
        <x:f>O1002*'Carrier Engine'!E95</x:f>
        <x:v>251.62417650920762</x:v>
      </x:c>
      <x:c r="T1002" s="28" t="n">
        <x:f>R1002+S1002</x:f>
        <x:v>1249.1241765092077</x:v>
      </x:c>
      <x:c r="U1002" s="27" t="n">
        <x:f>N1002*'Fleet Engine'!J208</x:f>
        <x:v>0</x:v>
      </x:c>
      <x:c r="V1002" s="28" t="n">
        <x:f>U1002*T1002</x:f>
        <x:v>0</x:v>
      </x:c>
      <x:c r="W1002" s="28" t="n">
        <x:f>U1002*O1002</x:f>
        <x:v>0</x:v>
      </x:c>
    </x:row>
    <x:row r="1003" ht="19" customHeight="1">
      <x:c r="A1003" s="2"/>
      <x:c r="B1003" s="2"/>
      <x:c r="C1003" s="46" t="n">
        <x:v>4</x:v>
      </x:c>
      <x:c r="D1003" s="46" t="n">
        <x:v>14</x:v>
      </x:c>
      <x:c r="E1003" s="46" t="n">
        <x:v>2</x:v>
      </x:c>
      <x:c r="F1003" s="46" t="n">
        <x:v>2</x:v>
      </x:c>
      <x:c r="G1003" s="12" t="n">
        <x:v>0.7777777777777778</x:v>
      </x:c>
      <x:c r="H1003" s="12" t="n">
        <x:v>0.8888888888888888</x:v>
      </x:c>
      <x:c r="I1003" s="29" t="n">
        <x:f>'Assumptions'!$D$11+'Assumptions'!$D$12*(0.5-(G1003+H1003)/2)</x:f>
        <x:v>0.23333333333333334</x:v>
      </x:c>
      <x:c r="J1003" s="27" t="n">
        <x:f>'Assumptions'!$D$8*EXP(-'Assumptions'!$D$9*('Fleet Engine'!E208-10))*'Assumptions'!E57*'Assumptions'!H36</x:f>
        <x:v>24615.408571552918</x:v>
      </x:c>
      <x:c r="K1003" s="27" t="n">
        <x:f>'Source Data'!F219+LN('Assumptions'!D57)+LN('Assumptions'!H35)</x:f>
        <x:v>8.22550551560197</x:v>
      </x:c>
      <x:c r="L1003" s="27" t="n">
        <x:f>J1003*(1-I1003*(1-'Carrier Engine'!E95))</x:f>
        <x:v>19101.557051525066</x:v>
      </x:c>
      <x:c r="M1003" s="29" t="n">
        <x:f>NORM.S.DIST((LN(L1003)-K1003)/'Assumptions'!$D$10,TRUE)</x:f>
        <x:v>0.850682864085855</x:v>
      </x:c>
      <x:c r="N1003" s="30" t="n">
        <x:f>MAX(0,H1003-MAX(G1003,M1003))</x:f>
        <x:v>0.03820602480303381</x:v>
      </x:c>
      <x:c r="O1003" s="28" t="n">
        <x:f>J1003*I1003</x:f>
        <x:v>5743.595333362347</x:v>
      </x:c>
      <x:c r="P1003" s="27" t="n">
        <x:f>(VLOOKUP(O1003,'Fee Data'!$C$6:$G$50,2,TRUE)+O1003*VLOOKUP(O1003,'Fee Data'!$C$6:$G$50,3,TRUE)+VLOOKUP(O1003,'Fee Data'!$I$6:$J$14,2,TRUE)+'Fee Data'!$J$20+'Fee Data'!$J$21)*'Assumptions'!H37</x:f>
        <x:v>1020</x:v>
      </x:c>
      <x:c r="Q1003" s="27" t="n">
        <x:f>(VLOOKUP(O1003,'Fee Data'!$C$6:$G$50,4,TRUE)+O1003*VLOOKUP(O1003,'Fee Data'!$C$6:$G$50,5,TRUE)+VLOOKUP(O1003,'Fee Data'!$I$6:$J$14,2,TRUE)+'Fee Data'!$J$20+'Fee Data'!$J$21)*'Assumptions'!H37</x:f>
        <x:v>895</x:v>
      </x:c>
      <x:c r="R1003" s="27" t="n">
        <x:f>P1003*(1-'Assumptions'!$D$14)+Q1003*'Assumptions'!$D$14</x:f>
        <x:v>957.5</x:v>
      </x:c>
      <x:c r="S1003" s="27" t="n">
        <x:f>O1003*'Carrier Engine'!E95</x:f>
        <x:v>229.74381333449395</x:v>
      </x:c>
      <x:c r="T1003" s="28" t="n">
        <x:f>R1003+S1003</x:f>
        <x:v>1187.243813334494</x:v>
      </x:c>
      <x:c r="U1003" s="27" t="n">
        <x:f>N1003*'Fleet Engine'!J208</x:f>
        <x:v>229.81480465987124</x:v>
      </x:c>
      <x:c r="V1003" s="28" t="n">
        <x:f>U1003*T1003</x:f>
        <x:v>272846.2050451074</x:v>
      </x:c>
      <x:c r="W1003" s="28" t="n">
        <x:f>U1003*O1003</x:f>
        <x:v>1319963.239582016</x:v>
      </x:c>
    </x:row>
    <x:row r="1004" ht="19" customHeight="1">
      <x:c r="A1004" s="2"/>
      <x:c r="B1004" s="2"/>
      <x:c r="C1004" s="46" t="n">
        <x:v>4</x:v>
      </x:c>
      <x:c r="D1004" s="46" t="n">
        <x:v>14</x:v>
      </x:c>
      <x:c r="E1004" s="46" t="n">
        <x:v>2</x:v>
      </x:c>
      <x:c r="F1004" s="46" t="n">
        <x:v>2</x:v>
      </x:c>
      <x:c r="G1004" s="12" t="n">
        <x:v>0.8888888888888888</x:v>
      </x:c>
      <x:c r="H1004" s="12" t="n">
        <x:v>1</x:v>
      </x:c>
      <x:c r="I1004" s="29" t="n">
        <x:f>'Assumptions'!$D$11+'Assumptions'!$D$12*(0.5-(G1004+H1004)/2)</x:f>
        <x:v>0.21111111111111108</x:v>
      </x:c>
      <x:c r="J1004" s="27" t="n">
        <x:f>'Assumptions'!$D$8*EXP(-'Assumptions'!$D$9*('Fleet Engine'!E208-10))*'Assumptions'!E57*'Assumptions'!H36</x:f>
        <x:v>24615.408571552918</x:v>
      </x:c>
      <x:c r="K1004" s="27" t="n">
        <x:f>'Source Data'!F219+LN('Assumptions'!D57)+LN('Assumptions'!H35)</x:f>
        <x:v>8.22550551560197</x:v>
      </x:c>
      <x:c r="L1004" s="27" t="n">
        <x:f>J1004*(1-I1004*(1-'Carrier Engine'!E95))</x:f>
        <x:v>19626.685767718194</x:v>
      </x:c>
      <x:c r="M1004" s="29" t="n">
        <x:f>NORM.S.DIST((LN(L1004)-K1004)/'Assumptions'!$D$10,TRUE)</x:f>
        <x:v>0.8546616790540353</x:v>
      </x:c>
      <x:c r="N1004" s="30" t="n">
        <x:f>MAX(0,H1004-MAX(G1004,M1004))</x:f>
        <x:v>0.11111111111111116</x:v>
      </x:c>
      <x:c r="O1004" s="28" t="n">
        <x:f>J1004*I1004</x:f>
        <x:v>5196.586253994505</x:v>
      </x:c>
      <x:c r="P1004" s="27" t="n">
        <x:f>(VLOOKUP(O1004,'Fee Data'!$C$6:$G$50,2,TRUE)+O1004*VLOOKUP(O1004,'Fee Data'!$C$6:$G$50,3,TRUE)+VLOOKUP(O1004,'Fee Data'!$I$6:$J$14,2,TRUE)+'Fee Data'!$J$20+'Fee Data'!$J$21)*'Assumptions'!H37</x:f>
        <x:v>995</x:v>
      </x:c>
      <x:c r="Q1004" s="27" t="n">
        <x:f>(VLOOKUP(O1004,'Fee Data'!$C$6:$G$50,4,TRUE)+O1004*VLOOKUP(O1004,'Fee Data'!$C$6:$G$50,5,TRUE)+VLOOKUP(O1004,'Fee Data'!$I$6:$J$14,2,TRUE)+'Fee Data'!$J$20+'Fee Data'!$J$21)*'Assumptions'!H37</x:f>
        <x:v>870</x:v>
      </x:c>
      <x:c r="R1004" s="27" t="n">
        <x:f>P1004*(1-'Assumptions'!$D$14)+Q1004*'Assumptions'!$D$14</x:f>
        <x:v>932.5</x:v>
      </x:c>
      <x:c r="S1004" s="27" t="n">
        <x:f>O1004*'Carrier Engine'!E95</x:f>
        <x:v>207.86345015978023</x:v>
      </x:c>
      <x:c r="T1004" s="28" t="n">
        <x:f>R1004+S1004</x:f>
        <x:v>1140.3634501597803</x:v>
      </x:c>
      <x:c r="U1004" s="27" t="n">
        <x:f>N1004*'Fleet Engine'!J208</x:f>
        <x:v>668.3495188830432</x:v>
      </x:c>
      <x:c r="V1004" s="28" t="n">
        <x:f>U1004*T1004</x:f>
        <x:v>762161.3632660963</x:v>
      </x:c>
      <x:c r="W1004" s="28" t="n">
        <x:f>U1004*O1004</x:f>
        <x:v>3473135.9226914626</x:v>
      </x:c>
    </x:row>
    <x:row r="1005" ht="19" customHeight="1">
      <x:c r="A1005" s="2"/>
      <x:c r="B1005" s="2"/>
      <x:c r="C1005" s="46" t="n">
        <x:v>4</x:v>
      </x:c>
      <x:c r="D1005" s="46" t="n">
        <x:v>15</x:v>
      </x:c>
      <x:c r="E1005" s="46" t="n">
        <x:v>2</x:v>
      </x:c>
      <x:c r="F1005" s="46" t="n">
        <x:v>3</x:v>
      </x:c>
      <x:c r="G1005" s="12" t="n">
        <x:v>0</x:v>
      </x:c>
      <x:c r="H1005" s="12" t="n">
        <x:v>0.1111111111111111</x:v>
      </x:c>
      <x:c r="I1005" s="29" t="n">
        <x:f>'Assumptions'!$D$11+'Assumptions'!$D$12*(0.5-(G1005+H1005)/2)</x:f>
        <x:v>0.3888888888888889</x:v>
      </x:c>
      <x:c r="J1005" s="27" t="n">
        <x:f>'Assumptions'!$D$8*EXP(-'Assumptions'!$D$9*('Fleet Engine'!E209-10))*'Assumptions'!E57*'Assumptions'!H36</x:f>
        <x:v>18235.543179331336</x:v>
      </x:c>
      <x:c r="K1005" s="27" t="n">
        <x:f>'Source Data'!F220+LN('Assumptions'!D57)+LN('Assumptions'!H35)</x:f>
        <x:v>8.332638086869624</x:v>
      </x:c>
      <x:c r="L1005" s="27" t="n">
        <x:f>J1005*(1-I1005*(1-'Carrier Engine'!E95))</x:f>
        <x:v>11427.607059047637</x:v>
      </x:c>
      <x:c r="M1005" s="29" t="n">
        <x:f>NORM.S.DIST((LN(L1005)-K1005)/'Assumptions'!$D$10,TRUE)</x:f>
        <x:v>0.7401992041625559</x:v>
      </x:c>
      <x:c r="N1005" s="30" t="n">
        <x:f>MAX(0,H1005-MAX(G1005,M1005))</x:f>
        <x:v>0</x:v>
      </x:c>
      <x:c r="O1005" s="28" t="n">
        <x:f>J1005*I1005</x:f>
        <x:v>7091.60012529552</x:v>
      </x:c>
      <x:c r="P1005" s="27" t="n">
        <x:f>(VLOOKUP(O1005,'Fee Data'!$C$6:$G$50,2,TRUE)+O1005*VLOOKUP(O1005,'Fee Data'!$C$6:$G$50,3,TRUE)+VLOOKUP(O1005,'Fee Data'!$I$6:$J$14,2,TRUE)+'Fee Data'!$J$20+'Fee Data'!$J$21)*'Assumptions'!H37</x:f>
        <x:v>1115</x:v>
      </x:c>
      <x:c r="Q1005" s="27" t="n">
        <x:f>(VLOOKUP(O1005,'Fee Data'!$C$6:$G$50,4,TRUE)+O1005*VLOOKUP(O1005,'Fee Data'!$C$6:$G$50,5,TRUE)+VLOOKUP(O1005,'Fee Data'!$I$6:$J$14,2,TRUE)+'Fee Data'!$J$20+'Fee Data'!$J$21)*'Assumptions'!H37</x:f>
        <x:v>990</x:v>
      </x:c>
      <x:c r="R1005" s="27" t="n">
        <x:f>P1005*(1-'Assumptions'!$D$14)+Q1005*'Assumptions'!$D$14</x:f>
        <x:v>1052.5</x:v>
      </x:c>
      <x:c r="S1005" s="27" t="n">
        <x:f>O1005*'Carrier Engine'!E95</x:f>
        <x:v>283.66400501182085</x:v>
      </x:c>
      <x:c r="T1005" s="28" t="n">
        <x:f>R1005+S1005</x:f>
        <x:v>1336.1640050118208</x:v>
      </x:c>
      <x:c r="U1005" s="27" t="n">
        <x:f>N1005*'Fleet Engine'!J209</x:f>
        <x:v>0</x:v>
      </x:c>
      <x:c r="V1005" s="28" t="n">
        <x:f>U1005*T1005</x:f>
        <x:v>0</x:v>
      </x:c>
      <x:c r="W1005" s="28" t="n">
        <x:f>U1005*O1005</x:f>
        <x:v>0</x:v>
      </x:c>
    </x:row>
    <x:row r="1006" ht="19" customHeight="1">
      <x:c r="A1006" s="2"/>
      <x:c r="B1006" s="2"/>
      <x:c r="C1006" s="46" t="n">
        <x:v>4</x:v>
      </x:c>
      <x:c r="D1006" s="46" t="n">
        <x:v>15</x:v>
      </x:c>
      <x:c r="E1006" s="46" t="n">
        <x:v>2</x:v>
      </x:c>
      <x:c r="F1006" s="46" t="n">
        <x:v>3</x:v>
      </x:c>
      <x:c r="G1006" s="12" t="n">
        <x:v>0.1111111111111111</x:v>
      </x:c>
      <x:c r="H1006" s="12" t="n">
        <x:v>0.2222222222222222</x:v>
      </x:c>
      <x:c r="I1006" s="29" t="n">
        <x:f>'Assumptions'!$D$11+'Assumptions'!$D$12*(0.5-(G1006+H1006)/2)</x:f>
        <x:v>0.3666666666666667</x:v>
      </x:c>
      <x:c r="J1006" s="27" t="n">
        <x:f>'Assumptions'!$D$8*EXP(-'Assumptions'!$D$9*('Fleet Engine'!E209-10))*'Assumptions'!E57*'Assumptions'!H36</x:f>
        <x:v>18235.543179331336</x:v>
      </x:c>
      <x:c r="K1006" s="27" t="n">
        <x:f>'Source Data'!F220+LN('Assumptions'!D57)+LN('Assumptions'!H35)</x:f>
        <x:v>8.332638086869624</x:v>
      </x:c>
      <x:c r="L1006" s="27" t="n">
        <x:f>J1006*(1-I1006*(1-'Carrier Engine'!E95))</x:f>
        <x:v>11816.631980206705</x:v>
      </x:c>
      <x:c r="M1006" s="29" t="n">
        <x:f>NORM.S.DIST((LN(L1006)-K1006)/'Assumptions'!$D$10,TRUE)</x:f>
        <x:v>0.7470640064168992</x:v>
      </x:c>
      <x:c r="N1006" s="30" t="n">
        <x:f>MAX(0,H1006-MAX(G1006,M1006))</x:f>
        <x:v>0</x:v>
      </x:c>
      <x:c r="O1006" s="28" t="n">
        <x:f>J1006*I1006</x:f>
        <x:v>6686.36583242149</x:v>
      </x:c>
      <x:c r="P1006" s="27" t="n">
        <x:f>(VLOOKUP(O1006,'Fee Data'!$C$6:$G$50,2,TRUE)+O1006*VLOOKUP(O1006,'Fee Data'!$C$6:$G$50,3,TRUE)+VLOOKUP(O1006,'Fee Data'!$I$6:$J$14,2,TRUE)+'Fee Data'!$J$20+'Fee Data'!$J$21)*'Assumptions'!H37</x:f>
        <x:v>1080</x:v>
      </x:c>
      <x:c r="Q1006" s="27" t="n">
        <x:f>(VLOOKUP(O1006,'Fee Data'!$C$6:$G$50,4,TRUE)+O1006*VLOOKUP(O1006,'Fee Data'!$C$6:$G$50,5,TRUE)+VLOOKUP(O1006,'Fee Data'!$I$6:$J$14,2,TRUE)+'Fee Data'!$J$20+'Fee Data'!$J$21)*'Assumptions'!H37</x:f>
        <x:v>955</x:v>
      </x:c>
      <x:c r="R1006" s="27" t="n">
        <x:f>P1006*(1-'Assumptions'!$D$14)+Q1006*'Assumptions'!$D$14</x:f>
        <x:v>1017.5</x:v>
      </x:c>
      <x:c r="S1006" s="27" t="n">
        <x:f>O1006*'Carrier Engine'!E95</x:f>
        <x:v>267.45463329685964</x:v>
      </x:c>
      <x:c r="T1006" s="28" t="n">
        <x:f>R1006+S1006</x:f>
        <x:v>1284.9546332968596</x:v>
      </x:c>
      <x:c r="U1006" s="27" t="n">
        <x:f>N1006*'Fleet Engine'!J209</x:f>
        <x:v>0</x:v>
      </x:c>
      <x:c r="V1006" s="28" t="n">
        <x:f>U1006*T1006</x:f>
        <x:v>0</x:v>
      </x:c>
      <x:c r="W1006" s="28" t="n">
        <x:f>U1006*O1006</x:f>
        <x:v>0</x:v>
      </x:c>
    </x:row>
    <x:row r="1007" ht="19" customHeight="1">
      <x:c r="A1007" s="2"/>
      <x:c r="B1007" s="2"/>
      <x:c r="C1007" s="46" t="n">
        <x:v>4</x:v>
      </x:c>
      <x:c r="D1007" s="46" t="n">
        <x:v>15</x:v>
      </x:c>
      <x:c r="E1007" s="46" t="n">
        <x:v>2</x:v>
      </x:c>
      <x:c r="F1007" s="46" t="n">
        <x:v>3</x:v>
      </x:c>
      <x:c r="G1007" s="12" t="n">
        <x:v>0.2222222222222222</x:v>
      </x:c>
      <x:c r="H1007" s="12" t="n">
        <x:v>0.3333333333333333</x:v>
      </x:c>
      <x:c r="I1007" s="29" t="n">
        <x:f>'Assumptions'!$D$11+'Assumptions'!$D$12*(0.5-(G1007+H1007)/2)</x:f>
        <x:v>0.34444444444444444</x:v>
      </x:c>
      <x:c r="J1007" s="27" t="n">
        <x:f>'Assumptions'!$D$8*EXP(-'Assumptions'!$D$9*('Fleet Engine'!E209-10))*'Assumptions'!E57*'Assumptions'!H36</x:f>
        <x:v>18235.543179331336</x:v>
      </x:c>
      <x:c r="K1007" s="27" t="n">
        <x:f>'Source Data'!F220+LN('Assumptions'!D57)+LN('Assumptions'!H35)</x:f>
        <x:v>8.332638086869624</x:v>
      </x:c>
      <x:c r="L1007" s="27" t="n">
        <x:f>J1007*(1-I1007*(1-'Carrier Engine'!E95))</x:f>
        <x:v>12205.656901365775</x:v>
      </x:c>
      <x:c r="M1007" s="29" t="n">
        <x:f>NORM.S.DIST((LN(L1007)-K1007)/'Assumptions'!$D$10,TRUE)</x:f>
        <x:v>0.7536144164560518</x:v>
      </x:c>
      <x:c r="N1007" s="30" t="n">
        <x:f>MAX(0,H1007-MAX(G1007,M1007))</x:f>
        <x:v>0</x:v>
      </x:c>
      <x:c r="O1007" s="28" t="n">
        <x:f>J1007*I1007</x:f>
        <x:v>6281.13153954746</x:v>
      </x:c>
      <x:c r="P1007" s="27" t="n">
        <x:f>(VLOOKUP(O1007,'Fee Data'!$C$6:$G$50,2,TRUE)+O1007*VLOOKUP(O1007,'Fee Data'!$C$6:$G$50,3,TRUE)+VLOOKUP(O1007,'Fee Data'!$I$6:$J$14,2,TRUE)+'Fee Data'!$J$20+'Fee Data'!$J$21)*'Assumptions'!H37</x:f>
        <x:v>1060</x:v>
      </x:c>
      <x:c r="Q1007" s="27" t="n">
        <x:f>(VLOOKUP(O1007,'Fee Data'!$C$6:$G$50,4,TRUE)+O1007*VLOOKUP(O1007,'Fee Data'!$C$6:$G$50,5,TRUE)+VLOOKUP(O1007,'Fee Data'!$I$6:$J$14,2,TRUE)+'Fee Data'!$J$20+'Fee Data'!$J$21)*'Assumptions'!H37</x:f>
        <x:v>935</x:v>
      </x:c>
      <x:c r="R1007" s="27" t="n">
        <x:f>P1007*(1-'Assumptions'!$D$14)+Q1007*'Assumptions'!$D$14</x:f>
        <x:v>997.5</x:v>
      </x:c>
      <x:c r="S1007" s="27" t="n">
        <x:f>O1007*'Carrier Engine'!E95</x:f>
        <x:v>251.24526158189846</x:v>
      </x:c>
      <x:c r="T1007" s="28" t="n">
        <x:f>R1007+S1007</x:f>
        <x:v>1248.7452615818984</x:v>
      </x:c>
      <x:c r="U1007" s="27" t="n">
        <x:f>N1007*'Fleet Engine'!J209</x:f>
        <x:v>0</x:v>
      </x:c>
      <x:c r="V1007" s="28" t="n">
        <x:f>U1007*T1007</x:f>
        <x:v>0</x:v>
      </x:c>
      <x:c r="W1007" s="28" t="n">
        <x:f>U1007*O1007</x:f>
        <x:v>0</x:v>
      </x:c>
    </x:row>
    <x:row r="1008" ht="19" customHeight="1">
      <x:c r="A1008" s="2"/>
      <x:c r="B1008" s="2"/>
      <x:c r="C1008" s="46" t="n">
        <x:v>4</x:v>
      </x:c>
      <x:c r="D1008" s="46" t="n">
        <x:v>15</x:v>
      </x:c>
      <x:c r="E1008" s="46" t="n">
        <x:v>2</x:v>
      </x:c>
      <x:c r="F1008" s="46" t="n">
        <x:v>3</x:v>
      </x:c>
      <x:c r="G1008" s="12" t="n">
        <x:v>0.3333333333333333</x:v>
      </x:c>
      <x:c r="H1008" s="12" t="n">
        <x:v>0.4444444444444444</x:v>
      </x:c>
      <x:c r="I1008" s="29" t="n">
        <x:f>'Assumptions'!$D$11+'Assumptions'!$D$12*(0.5-(G1008+H1008)/2)</x:f>
        <x:v>0.32222222222222224</x:v>
      </x:c>
      <x:c r="J1008" s="27" t="n">
        <x:f>'Assumptions'!$D$8*EXP(-'Assumptions'!$D$9*('Fleet Engine'!E209-10))*'Assumptions'!E57*'Assumptions'!H36</x:f>
        <x:v>18235.543179331336</x:v>
      </x:c>
      <x:c r="K1008" s="27" t="n">
        <x:f>'Source Data'!F220+LN('Assumptions'!D57)+LN('Assumptions'!H35)</x:f>
        <x:v>8.332638086869624</x:v>
      </x:c>
      <x:c r="L1008" s="27" t="n">
        <x:f>J1008*(1-I1008*(1-'Carrier Engine'!E95))</x:f>
        <x:v>12594.681822524843</x:v>
      </x:c>
      <x:c r="M1008" s="29" t="n">
        <x:f>NORM.S.DIST((LN(L1008)-K1008)/'Assumptions'!$D$10,TRUE)</x:f>
        <x:v>0.7598715607815303</x:v>
      </x:c>
      <x:c r="N1008" s="30" t="n">
        <x:f>MAX(0,H1008-MAX(G1008,M1008))</x:f>
        <x:v>0</x:v>
      </x:c>
      <x:c r="O1008" s="28" t="n">
        <x:f>J1008*I1008</x:f>
        <x:v>5875.897246673431</x:v>
      </x:c>
      <x:c r="P1008" s="27" t="n">
        <x:f>(VLOOKUP(O1008,'Fee Data'!$C$6:$G$50,2,TRUE)+O1008*VLOOKUP(O1008,'Fee Data'!$C$6:$G$50,3,TRUE)+VLOOKUP(O1008,'Fee Data'!$I$6:$J$14,2,TRUE)+'Fee Data'!$J$20+'Fee Data'!$J$21)*'Assumptions'!H37</x:f>
        <x:v>1020</x:v>
      </x:c>
      <x:c r="Q1008" s="27" t="n">
        <x:f>(VLOOKUP(O1008,'Fee Data'!$C$6:$G$50,4,TRUE)+O1008*VLOOKUP(O1008,'Fee Data'!$C$6:$G$50,5,TRUE)+VLOOKUP(O1008,'Fee Data'!$I$6:$J$14,2,TRUE)+'Fee Data'!$J$20+'Fee Data'!$J$21)*'Assumptions'!H37</x:f>
        <x:v>895</x:v>
      </x:c>
      <x:c r="R1008" s="27" t="n">
        <x:f>P1008*(1-'Assumptions'!$D$14)+Q1008*'Assumptions'!$D$14</x:f>
        <x:v>957.5</x:v>
      </x:c>
      <x:c r="S1008" s="27" t="n">
        <x:f>O1008*'Carrier Engine'!E95</x:f>
        <x:v>235.03588986693728</x:v>
      </x:c>
      <x:c r="T1008" s="28" t="n">
        <x:f>R1008+S1008</x:f>
        <x:v>1192.5358898669374</x:v>
      </x:c>
      <x:c r="U1008" s="27" t="n">
        <x:f>N1008*'Fleet Engine'!J209</x:f>
        <x:v>0</x:v>
      </x:c>
      <x:c r="V1008" s="28" t="n">
        <x:f>U1008*T1008</x:f>
        <x:v>0</x:v>
      </x:c>
      <x:c r="W1008" s="28" t="n">
        <x:f>U1008*O1008</x:f>
        <x:v>0</x:v>
      </x:c>
    </x:row>
    <x:row r="1009" ht="19" customHeight="1">
      <x:c r="A1009" s="2"/>
      <x:c r="B1009" s="2"/>
      <x:c r="C1009" s="46" t="n">
        <x:v>4</x:v>
      </x:c>
      <x:c r="D1009" s="46" t="n">
        <x:v>15</x:v>
      </x:c>
      <x:c r="E1009" s="46" t="n">
        <x:v>2</x:v>
      </x:c>
      <x:c r="F1009" s="46" t="n">
        <x:v>3</x:v>
      </x:c>
      <x:c r="G1009" s="12" t="n">
        <x:v>0.4444444444444444</x:v>
      </x:c>
      <x:c r="H1009" s="12" t="n">
        <x:v>0.5555555555555556</x:v>
      </x:c>
      <x:c r="I1009" s="29" t="n">
        <x:f>'Assumptions'!$D$11+'Assumptions'!$D$12*(0.5-(G1009+H1009)/2)</x:f>
        <x:v>0.3</x:v>
      </x:c>
      <x:c r="J1009" s="27" t="n">
        <x:f>'Assumptions'!$D$8*EXP(-'Assumptions'!$D$9*('Fleet Engine'!E209-10))*'Assumptions'!E57*'Assumptions'!H36</x:f>
        <x:v>18235.543179331336</x:v>
      </x:c>
      <x:c r="K1009" s="27" t="n">
        <x:f>'Source Data'!F220+LN('Assumptions'!D57)+LN('Assumptions'!H35)</x:f>
        <x:v>8.332638086869624</x:v>
      </x:c>
      <x:c r="L1009" s="27" t="n">
        <x:f>J1009*(1-I1009*(1-'Carrier Engine'!E95))</x:f>
        <x:v>12983.706743683912</x:v>
      </x:c>
      <x:c r="M1009" s="29" t="n">
        <x:f>NORM.S.DIST((LN(L1009)-K1009)/'Assumptions'!$D$10,TRUE)</x:f>
        <x:v>0.7658546811979431</x:v>
      </x:c>
      <x:c r="N1009" s="30" t="n">
        <x:f>MAX(0,H1009-MAX(G1009,M1009))</x:f>
        <x:v>0</x:v>
      </x:c>
      <x:c r="O1009" s="28" t="n">
        <x:f>J1009*I1009</x:f>
        <x:v>5470.6629537994</x:v>
      </x:c>
      <x:c r="P1009" s="27" t="n">
        <x:f>(VLOOKUP(O1009,'Fee Data'!$C$6:$G$50,2,TRUE)+O1009*VLOOKUP(O1009,'Fee Data'!$C$6:$G$50,3,TRUE)+VLOOKUP(O1009,'Fee Data'!$I$6:$J$14,2,TRUE)+'Fee Data'!$J$20+'Fee Data'!$J$21)*'Assumptions'!H37</x:f>
        <x:v>995</x:v>
      </x:c>
      <x:c r="Q1009" s="27" t="n">
        <x:f>(VLOOKUP(O1009,'Fee Data'!$C$6:$G$50,4,TRUE)+O1009*VLOOKUP(O1009,'Fee Data'!$C$6:$G$50,5,TRUE)+VLOOKUP(O1009,'Fee Data'!$I$6:$J$14,2,TRUE)+'Fee Data'!$J$20+'Fee Data'!$J$21)*'Assumptions'!H37</x:f>
        <x:v>870</x:v>
      </x:c>
      <x:c r="R1009" s="27" t="n">
        <x:f>P1009*(1-'Assumptions'!$D$14)+Q1009*'Assumptions'!$D$14</x:f>
        <x:v>932.5</x:v>
      </x:c>
      <x:c r="S1009" s="27" t="n">
        <x:f>O1009*'Carrier Engine'!E95</x:f>
        <x:v>218.82651815197605</x:v>
      </x:c>
      <x:c r="T1009" s="28" t="n">
        <x:f>R1009+S1009</x:f>
        <x:v>1151.326518151976</x:v>
      </x:c>
      <x:c r="U1009" s="27" t="n">
        <x:f>N1009*'Fleet Engine'!J209</x:f>
        <x:v>0</x:v>
      </x:c>
      <x:c r="V1009" s="28" t="n">
        <x:f>U1009*T1009</x:f>
        <x:v>0</x:v>
      </x:c>
      <x:c r="W1009" s="28" t="n">
        <x:f>U1009*O1009</x:f>
        <x:v>0</x:v>
      </x:c>
    </x:row>
    <x:row r="1010" ht="19" customHeight="1">
      <x:c r="A1010" s="2"/>
      <x:c r="B1010" s="2"/>
      <x:c r="C1010" s="46" t="n">
        <x:v>4</x:v>
      </x:c>
      <x:c r="D1010" s="46" t="n">
        <x:v>15</x:v>
      </x:c>
      <x:c r="E1010" s="46" t="n">
        <x:v>2</x:v>
      </x:c>
      <x:c r="F1010" s="46" t="n">
        <x:v>3</x:v>
      </x:c>
      <x:c r="G1010" s="12" t="n">
        <x:v>0.5555555555555556</x:v>
      </x:c>
      <x:c r="H1010" s="12" t="n">
        <x:v>0.6666666666666666</x:v>
      </x:c>
      <x:c r="I1010" s="29" t="n">
        <x:f>'Assumptions'!$D$11+'Assumptions'!$D$12*(0.5-(G1010+H1010)/2)</x:f>
        <x:v>0.27777777777777773</x:v>
      </x:c>
      <x:c r="J1010" s="27" t="n">
        <x:f>'Assumptions'!$D$8*EXP(-'Assumptions'!$D$9*('Fleet Engine'!E209-10))*'Assumptions'!E57*'Assumptions'!H36</x:f>
        <x:v>18235.543179331336</x:v>
      </x:c>
      <x:c r="K1010" s="27" t="n">
        <x:f>'Source Data'!F220+LN('Assumptions'!D57)+LN('Assumptions'!H35)</x:f>
        <x:v>8.332638086869624</x:v>
      </x:c>
      <x:c r="L1010" s="27" t="n">
        <x:f>J1010*(1-I1010*(1-'Carrier Engine'!E95))</x:f>
        <x:v>13372.73166484298</x:v>
      </x:c>
      <x:c r="M1010" s="29" t="n">
        <x:f>NORM.S.DIST((LN(L1010)-K1010)/'Assumptions'!$D$10,TRUE)</x:f>
        <x:v>0.7715813442101519</x:v>
      </x:c>
      <x:c r="N1010" s="30" t="n">
        <x:f>MAX(0,H1010-MAX(G1010,M1010))</x:f>
        <x:v>0</x:v>
      </x:c>
      <x:c r="O1010" s="28" t="n">
        <x:f>J1010*I1010</x:f>
        <x:v>5065.42866092537</x:v>
      </x:c>
      <x:c r="P1010" s="27" t="n">
        <x:f>(VLOOKUP(O1010,'Fee Data'!$C$6:$G$50,2,TRUE)+O1010*VLOOKUP(O1010,'Fee Data'!$C$6:$G$50,3,TRUE)+VLOOKUP(O1010,'Fee Data'!$I$6:$J$14,2,TRUE)+'Fee Data'!$J$20+'Fee Data'!$J$21)*'Assumptions'!H37</x:f>
        <x:v>995</x:v>
      </x:c>
      <x:c r="Q1010" s="27" t="n">
        <x:f>(VLOOKUP(O1010,'Fee Data'!$C$6:$G$50,4,TRUE)+O1010*VLOOKUP(O1010,'Fee Data'!$C$6:$G$50,5,TRUE)+VLOOKUP(O1010,'Fee Data'!$I$6:$J$14,2,TRUE)+'Fee Data'!$J$20+'Fee Data'!$J$21)*'Assumptions'!H37</x:f>
        <x:v>870</x:v>
      </x:c>
      <x:c r="R1010" s="27" t="n">
        <x:f>P1010*(1-'Assumptions'!$D$14)+Q1010*'Assumptions'!$D$14</x:f>
        <x:v>932.5</x:v>
      </x:c>
      <x:c r="S1010" s="27" t="n">
        <x:f>O1010*'Carrier Engine'!E95</x:f>
        <x:v>202.61714643701487</x:v>
      </x:c>
      <x:c r="T1010" s="28" t="n">
        <x:f>R1010+S1010</x:f>
        <x:v>1135.117146437015</x:v>
      </x:c>
      <x:c r="U1010" s="27" t="n">
        <x:f>N1010*'Fleet Engine'!J209</x:f>
        <x:v>0</x:v>
      </x:c>
      <x:c r="V1010" s="28" t="n">
        <x:f>U1010*T1010</x:f>
        <x:v>0</x:v>
      </x:c>
      <x:c r="W1010" s="28" t="n">
        <x:f>U1010*O1010</x:f>
        <x:v>0</x:v>
      </x:c>
    </x:row>
    <x:row r="1011" ht="19" customHeight="1">
      <x:c r="A1011" s="2"/>
      <x:c r="B1011" s="2"/>
      <x:c r="C1011" s="46" t="n">
        <x:v>4</x:v>
      </x:c>
      <x:c r="D1011" s="46" t="n">
        <x:v>15</x:v>
      </x:c>
      <x:c r="E1011" s="46" t="n">
        <x:v>2</x:v>
      </x:c>
      <x:c r="F1011" s="46" t="n">
        <x:v>3</x:v>
      </x:c>
      <x:c r="G1011" s="12" t="n">
        <x:v>0.6666666666666666</x:v>
      </x:c>
      <x:c r="H1011" s="12" t="n">
        <x:v>0.7777777777777778</x:v>
      </x:c>
      <x:c r="I1011" s="29" t="n">
        <x:f>'Assumptions'!$D$11+'Assumptions'!$D$12*(0.5-(G1011+H1011)/2)</x:f>
        <x:v>0.25555555555555554</x:v>
      </x:c>
      <x:c r="J1011" s="27" t="n">
        <x:f>'Assumptions'!$D$8*EXP(-'Assumptions'!$D$9*('Fleet Engine'!E209-10))*'Assumptions'!E57*'Assumptions'!H36</x:f>
        <x:v>18235.543179331336</x:v>
      </x:c>
      <x:c r="K1011" s="27" t="n">
        <x:f>'Source Data'!F220+LN('Assumptions'!D57)+LN('Assumptions'!H35)</x:f>
        <x:v>8.332638086869624</x:v>
      </x:c>
      <x:c r="L1011" s="27" t="n">
        <x:f>J1011*(1-I1011*(1-'Carrier Engine'!E95))</x:f>
        <x:v>13761.75658600205</x:v>
      </x:c>
      <x:c r="M1011" s="29" t="n">
        <x:f>NORM.S.DIST((LN(L1011)-K1011)/'Assumptions'!$D$10,TRUE)</x:f>
        <x:v>0.7770676226732032</x:v>
      </x:c>
      <x:c r="N1011" s="30" t="n">
        <x:f>MAX(0,H1011-MAX(G1011,M1011))</x:f>
        <x:v>0.0007101551045746168</x:v>
      </x:c>
      <x:c r="O1011" s="28" t="n">
        <x:f>J1011*I1011</x:f>
        <x:v>4660.194368051341</x:v>
      </x:c>
      <x:c r="P1011" s="27" t="n">
        <x:f>(VLOOKUP(O1011,'Fee Data'!$C$6:$G$50,2,TRUE)+O1011*VLOOKUP(O1011,'Fee Data'!$C$6:$G$50,3,TRUE)+VLOOKUP(O1011,'Fee Data'!$I$6:$J$14,2,TRUE)+'Fee Data'!$J$20+'Fee Data'!$J$21)*'Assumptions'!H37</x:f>
        <x:v>970</x:v>
      </x:c>
      <x:c r="Q1011" s="27" t="n">
        <x:f>(VLOOKUP(O1011,'Fee Data'!$C$6:$G$50,4,TRUE)+O1011*VLOOKUP(O1011,'Fee Data'!$C$6:$G$50,5,TRUE)+VLOOKUP(O1011,'Fee Data'!$I$6:$J$14,2,TRUE)+'Fee Data'!$J$20+'Fee Data'!$J$21)*'Assumptions'!H37</x:f>
        <x:v>845</x:v>
      </x:c>
      <x:c r="R1011" s="27" t="n">
        <x:f>P1011*(1-'Assumptions'!$D$14)+Q1011*'Assumptions'!$D$14</x:f>
        <x:v>907.5</x:v>
      </x:c>
      <x:c r="S1011" s="27" t="n">
        <x:f>O1011*'Carrier Engine'!E95</x:f>
        <x:v>186.4077747220537</x:v>
      </x:c>
      <x:c r="T1011" s="28" t="n">
        <x:f>R1011+S1011</x:f>
        <x:v>1093.9077747220538</x:v>
      </x:c>
      <x:c r="U1011" s="27" t="n">
        <x:f>N1011*'Fleet Engine'!J209</x:f>
        <x:v>3.435079593294893</x:v>
      </x:c>
      <x:c r="V1011" s="28" t="n">
        <x:f>U1011*T1011</x:f>
        <x:v>3757.6602738943543</x:v>
      </x:c>
      <x:c r="W1011" s="28" t="n">
        <x:f>U1011*O1011</x:f>
        <x:v>16008.138574480954</x:v>
      </x:c>
    </x:row>
    <x:row r="1012" ht="19" customHeight="1">
      <x:c r="A1012" s="2"/>
      <x:c r="B1012" s="2"/>
      <x:c r="C1012" s="46" t="n">
        <x:v>4</x:v>
      </x:c>
      <x:c r="D1012" s="46" t="n">
        <x:v>15</x:v>
      </x:c>
      <x:c r="E1012" s="46" t="n">
        <x:v>2</x:v>
      </x:c>
      <x:c r="F1012" s="46" t="n">
        <x:v>3</x:v>
      </x:c>
      <x:c r="G1012" s="12" t="n">
        <x:v>0.7777777777777778</x:v>
      </x:c>
      <x:c r="H1012" s="12" t="n">
        <x:v>0.8888888888888888</x:v>
      </x:c>
      <x:c r="I1012" s="29" t="n">
        <x:f>'Assumptions'!$D$11+'Assumptions'!$D$12*(0.5-(G1012+H1012)/2)</x:f>
        <x:v>0.23333333333333334</x:v>
      </x:c>
      <x:c r="J1012" s="27" t="n">
        <x:f>'Assumptions'!$D$8*EXP(-'Assumptions'!$D$9*('Fleet Engine'!E209-10))*'Assumptions'!E57*'Assumptions'!H36</x:f>
        <x:v>18235.543179331336</x:v>
      </x:c>
      <x:c r="K1012" s="27" t="n">
        <x:f>'Source Data'!F220+LN('Assumptions'!D57)+LN('Assumptions'!H35)</x:f>
        <x:v>8.332638086869624</x:v>
      </x:c>
      <x:c r="L1012" s="27" t="n">
        <x:f>J1012*(1-I1012*(1-'Carrier Engine'!E95))</x:f>
        <x:v>14150.781507161117</x:v>
      </x:c>
      <x:c r="M1012" s="29" t="n">
        <x:f>NORM.S.DIST((LN(L1012)-K1012)/'Assumptions'!$D$10,TRUE)</x:f>
        <x:v>0.7823282539471316</x:v>
      </x:c>
      <x:c r="N1012" s="30" t="n">
        <x:f>MAX(0,H1012-MAX(G1012,M1012))</x:f>
        <x:v>0.10656063494175727</x:v>
      </x:c>
      <x:c r="O1012" s="28" t="n">
        <x:f>J1012*I1012</x:f>
        <x:v>4254.960075177312</x:v>
      </x:c>
      <x:c r="P1012" s="27" t="n">
        <x:f>(VLOOKUP(O1012,'Fee Data'!$C$6:$G$50,2,TRUE)+O1012*VLOOKUP(O1012,'Fee Data'!$C$6:$G$50,3,TRUE)+VLOOKUP(O1012,'Fee Data'!$I$6:$J$14,2,TRUE)+'Fee Data'!$J$20+'Fee Data'!$J$21)*'Assumptions'!H37</x:f>
        <x:v>945</x:v>
      </x:c>
      <x:c r="Q1012" s="27" t="n">
        <x:f>(VLOOKUP(O1012,'Fee Data'!$C$6:$G$50,4,TRUE)+O1012*VLOOKUP(O1012,'Fee Data'!$C$6:$G$50,5,TRUE)+VLOOKUP(O1012,'Fee Data'!$I$6:$J$14,2,TRUE)+'Fee Data'!$J$20+'Fee Data'!$J$21)*'Assumptions'!H37</x:f>
        <x:v>820</x:v>
      </x:c>
      <x:c r="R1012" s="27" t="n">
        <x:f>P1012*(1-'Assumptions'!$D$14)+Q1012*'Assumptions'!$D$14</x:f>
        <x:v>882.5</x:v>
      </x:c>
      <x:c r="S1012" s="27" t="n">
        <x:f>O1012*'Carrier Engine'!E95</x:f>
        <x:v>170.19840300709254</x:v>
      </x:c>
      <x:c r="T1012" s="28" t="n">
        <x:f>R1012+S1012</x:f>
        <x:v>1052.6984030070926</x:v>
      </x:c>
      <x:c r="U1012" s="27" t="n">
        <x:f>N1012*'Fleet Engine'!J209</x:f>
        <x:v>515.4426972066022</x:v>
      </x:c>
      <x:c r="V1012" s="28" t="n">
        <x:f>U1012*T1012</x:f>
        <x:v>542605.7041910585</x:v>
      </x:c>
      <x:c r="W1012" s="28" t="n">
        <x:f>U1012*O1012</x:f>
        <x:v>2193188.097655801</x:v>
      </x:c>
    </x:row>
    <x:row r="1013" ht="19" customHeight="1">
      <x:c r="A1013" s="2"/>
      <x:c r="B1013" s="2"/>
      <x:c r="C1013" s="46" t="n">
        <x:v>4</x:v>
      </x:c>
      <x:c r="D1013" s="46" t="n">
        <x:v>15</x:v>
      </x:c>
      <x:c r="E1013" s="46" t="n">
        <x:v>2</x:v>
      </x:c>
      <x:c r="F1013" s="46" t="n">
        <x:v>3</x:v>
      </x:c>
      <x:c r="G1013" s="12" t="n">
        <x:v>0.8888888888888888</x:v>
      </x:c>
      <x:c r="H1013" s="12" t="n">
        <x:v>1</x:v>
      </x:c>
      <x:c r="I1013" s="29" t="n">
        <x:f>'Assumptions'!$D$11+'Assumptions'!$D$12*(0.5-(G1013+H1013)/2)</x:f>
        <x:v>0.21111111111111108</x:v>
      </x:c>
      <x:c r="J1013" s="27" t="n">
        <x:f>'Assumptions'!$D$8*EXP(-'Assumptions'!$D$9*('Fleet Engine'!E209-10))*'Assumptions'!E57*'Assumptions'!H36</x:f>
        <x:v>18235.543179331336</x:v>
      </x:c>
      <x:c r="K1013" s="27" t="n">
        <x:f>'Source Data'!F220+LN('Assumptions'!D57)+LN('Assumptions'!H35)</x:f>
        <x:v>8.332638086869624</x:v>
      </x:c>
      <x:c r="L1013" s="27" t="n">
        <x:f>J1013*(1-I1013*(1-'Carrier Engine'!E95))</x:f>
        <x:v>14539.806428320186</x:v>
      </x:c>
      <x:c r="M1013" s="29" t="n">
        <x:f>NORM.S.DIST((LN(L1013)-K1013)/'Assumptions'!$D$10,TRUE)</x:f>
        <x:v>0.7873767780721864</x:v>
      </x:c>
      <x:c r="N1013" s="30" t="n">
        <x:f>MAX(0,H1013-MAX(G1013,M1013))</x:f>
        <x:v>0.11111111111111116</x:v>
      </x:c>
      <x:c r="O1013" s="28" t="n">
        <x:f>J1013*I1013</x:f>
        <x:v>3849.7257823032814</x:v>
      </x:c>
      <x:c r="P1013" s="27" t="n">
        <x:f>(VLOOKUP(O1013,'Fee Data'!$C$6:$G$50,2,TRUE)+O1013*VLOOKUP(O1013,'Fee Data'!$C$6:$G$50,3,TRUE)+VLOOKUP(O1013,'Fee Data'!$I$6:$J$14,2,TRUE)+'Fee Data'!$J$20+'Fee Data'!$J$21)*'Assumptions'!H37</x:f>
        <x:v>915</x:v>
      </x:c>
      <x:c r="Q1013" s="27" t="n">
        <x:f>(VLOOKUP(O1013,'Fee Data'!$C$6:$G$50,4,TRUE)+O1013*VLOOKUP(O1013,'Fee Data'!$C$6:$G$50,5,TRUE)+VLOOKUP(O1013,'Fee Data'!$I$6:$J$14,2,TRUE)+'Fee Data'!$J$20+'Fee Data'!$J$21)*'Assumptions'!H37</x:f>
        <x:v>765</x:v>
      </x:c>
      <x:c r="R1013" s="27" t="n">
        <x:f>P1013*(1-'Assumptions'!$D$14)+Q1013*'Assumptions'!$D$14</x:f>
        <x:v>840</x:v>
      </x:c>
      <x:c r="S1013" s="27" t="n">
        <x:f>O1013*'Carrier Engine'!E95</x:f>
        <x:v>153.9890312921313</x:v>
      </x:c>
      <x:c r="T1013" s="28" t="n">
        <x:f>R1013+S1013</x:f>
        <x:v>993.9890312921314</x:v>
      </x:c>
      <x:c r="U1013" s="27" t="n">
        <x:f>N1013*'Fleet Engine'!J209</x:f>
        <x:v>537.453730751852</x:v>
      </x:c>
      <x:c r="V1013" s="28" t="n">
        <x:f>U1013*T1013</x:f>
        <x:v>534223.1131943754</x:v>
      </x:c>
      <x:c r="W1013" s="28" t="n">
        <x:f>U1013*O1013</x:f>
        <x:v>2069049.4840704908</x:v>
      </x:c>
    </x:row>
    <x:row r="1014" ht="19" customHeight="1">
      <x:c r="A1014" s="2"/>
      <x:c r="B1014" s="2"/>
      <x:c r="C1014" s="46" t="n">
        <x:v>4</x:v>
      </x:c>
      <x:c r="D1014" s="46" t="n">
        <x:v>16</x:v>
      </x:c>
      <x:c r="E1014" s="46" t="n">
        <x:v>2</x:v>
      </x:c>
      <x:c r="F1014" s="46" t="n">
        <x:v>4</x:v>
      </x:c>
      <x:c r="G1014" s="12" t="n">
        <x:v>0</x:v>
      </x:c>
      <x:c r="H1014" s="12" t="n">
        <x:v>0.1111111111111111</x:v>
      </x:c>
      <x:c r="I1014" s="29" t="n">
        <x:f>'Assumptions'!$D$11+'Assumptions'!$D$12*(0.5-(G1014+H1014)/2)</x:f>
        <x:v>0.3888888888888889</x:v>
      </x:c>
      <x:c r="J1014" s="27" t="n">
        <x:f>'Assumptions'!$D$8*EXP(-'Assumptions'!$D$9*('Fleet Engine'!E210-10))*'Assumptions'!E57*'Assumptions'!H36</x:f>
        <x:v>13509.222651276876</x:v>
      </x:c>
      <x:c r="K1014" s="27" t="n">
        <x:f>'Source Data'!F221+LN('Assumptions'!D57)+LN('Assumptions'!H35)</x:f>
        <x:v>8.418486215784876</x:v>
      </x:c>
      <x:c r="L1014" s="27" t="n">
        <x:f>J1014*(1-I1014*(1-'Carrier Engine'!E95))</x:f>
        <x:v>8465.77952813351</x:v>
      </x:c>
      <x:c r="M1014" s="29" t="n">
        <x:f>NORM.S.DIST((LN(L1014)-K1014)/'Assumptions'!$D$10,TRUE)</x:f>
        <x:v>0.6547692149183624</x:v>
      </x:c>
      <x:c r="N1014" s="30" t="n">
        <x:f>MAX(0,H1014-MAX(G1014,M1014))</x:f>
        <x:v>0</x:v>
      </x:c>
      <x:c r="O1014" s="28" t="n">
        <x:f>J1014*I1014</x:f>
        <x:v>5253.586586607674</x:v>
      </x:c>
      <x:c r="P1014" s="27" t="n">
        <x:f>(VLOOKUP(O1014,'Fee Data'!$C$6:$G$50,2,TRUE)+O1014*VLOOKUP(O1014,'Fee Data'!$C$6:$G$50,3,TRUE)+VLOOKUP(O1014,'Fee Data'!$I$6:$J$14,2,TRUE)+'Fee Data'!$J$20+'Fee Data'!$J$21)*'Assumptions'!H37</x:f>
        <x:v>995</x:v>
      </x:c>
      <x:c r="Q1014" s="27" t="n">
        <x:f>(VLOOKUP(O1014,'Fee Data'!$C$6:$G$50,4,TRUE)+O1014*VLOOKUP(O1014,'Fee Data'!$C$6:$G$50,5,TRUE)+VLOOKUP(O1014,'Fee Data'!$I$6:$J$14,2,TRUE)+'Fee Data'!$J$20+'Fee Data'!$J$21)*'Assumptions'!H37</x:f>
        <x:v>870</x:v>
      </x:c>
      <x:c r="R1014" s="27" t="n">
        <x:f>P1014*(1-'Assumptions'!$D$14)+Q1014*'Assumptions'!$D$14</x:f>
        <x:v>932.5</x:v>
      </x:c>
      <x:c r="S1014" s="27" t="n">
        <x:f>O1014*'Carrier Engine'!E95</x:f>
        <x:v>210.143463464307</x:v>
      </x:c>
      <x:c r="T1014" s="28" t="n">
        <x:f>R1014+S1014</x:f>
        <x:v>1142.643463464307</x:v>
      </x:c>
      <x:c r="U1014" s="27" t="n">
        <x:f>N1014*'Fleet Engine'!J210</x:f>
        <x:v>0</x:v>
      </x:c>
      <x:c r="V1014" s="28" t="n">
        <x:f>U1014*T1014</x:f>
        <x:v>0</x:v>
      </x:c>
      <x:c r="W1014" s="28" t="n">
        <x:f>U1014*O1014</x:f>
        <x:v>0</x:v>
      </x:c>
    </x:row>
    <x:row r="1015" ht="19" customHeight="1">
      <x:c r="A1015" s="2"/>
      <x:c r="B1015" s="2"/>
      <x:c r="C1015" s="46" t="n">
        <x:v>4</x:v>
      </x:c>
      <x:c r="D1015" s="46" t="n">
        <x:v>16</x:v>
      </x:c>
      <x:c r="E1015" s="46" t="n">
        <x:v>2</x:v>
      </x:c>
      <x:c r="F1015" s="46" t="n">
        <x:v>4</x:v>
      </x:c>
      <x:c r="G1015" s="12" t="n">
        <x:v>0.1111111111111111</x:v>
      </x:c>
      <x:c r="H1015" s="12" t="n">
        <x:v>0.2222222222222222</x:v>
      </x:c>
      <x:c r="I1015" s="29" t="n">
        <x:f>'Assumptions'!$D$11+'Assumptions'!$D$12*(0.5-(G1015+H1015)/2)</x:f>
        <x:v>0.3666666666666667</x:v>
      </x:c>
      <x:c r="J1015" s="27" t="n">
        <x:f>'Assumptions'!$D$8*EXP(-'Assumptions'!$D$9*('Fleet Engine'!E210-10))*'Assumptions'!E57*'Assumptions'!H36</x:f>
        <x:v>13509.222651276876</x:v>
      </x:c>
      <x:c r="K1015" s="27" t="n">
        <x:f>'Source Data'!F221+LN('Assumptions'!D57)+LN('Assumptions'!H35)</x:f>
        <x:v>8.418486215784876</x:v>
      </x:c>
      <x:c r="L1015" s="27" t="n">
        <x:f>J1015*(1-I1015*(1-'Carrier Engine'!E95))</x:f>
        <x:v>8753.976278027414</x:v>
      </x:c>
      <x:c r="M1015" s="29" t="n">
        <x:f>NORM.S.DIST((LN(L1015)-K1015)/'Assumptions'!$D$10,TRUE)</x:f>
        <x:v>0.6625922348502294</x:v>
      </x:c>
      <x:c r="N1015" s="30" t="n">
        <x:f>MAX(0,H1015-MAX(G1015,M1015))</x:f>
        <x:v>0</x:v>
      </x:c>
      <x:c r="O1015" s="28" t="n">
        <x:f>J1015*I1015</x:f>
        <x:v>4953.381638801521</x:v>
      </x:c>
      <x:c r="P1015" s="27" t="n">
        <x:f>(VLOOKUP(O1015,'Fee Data'!$C$6:$G$50,2,TRUE)+O1015*VLOOKUP(O1015,'Fee Data'!$C$6:$G$50,3,TRUE)+VLOOKUP(O1015,'Fee Data'!$I$6:$J$14,2,TRUE)+'Fee Data'!$J$20+'Fee Data'!$J$21)*'Assumptions'!H37</x:f>
        <x:v>970</x:v>
      </x:c>
      <x:c r="Q1015" s="27" t="n">
        <x:f>(VLOOKUP(O1015,'Fee Data'!$C$6:$G$50,4,TRUE)+O1015*VLOOKUP(O1015,'Fee Data'!$C$6:$G$50,5,TRUE)+VLOOKUP(O1015,'Fee Data'!$I$6:$J$14,2,TRUE)+'Fee Data'!$J$20+'Fee Data'!$J$21)*'Assumptions'!H37</x:f>
        <x:v>845</x:v>
      </x:c>
      <x:c r="R1015" s="27" t="n">
        <x:f>P1015*(1-'Assumptions'!$D$14)+Q1015*'Assumptions'!$D$14</x:f>
        <x:v>907.5</x:v>
      </x:c>
      <x:c r="S1015" s="27" t="n">
        <x:f>O1015*'Carrier Engine'!E95</x:f>
        <x:v>198.13526555206087</x:v>
      </x:c>
      <x:c r="T1015" s="28" t="n">
        <x:f>R1015+S1015</x:f>
        <x:v>1105.635265552061</x:v>
      </x:c>
      <x:c r="U1015" s="27" t="n">
        <x:f>N1015*'Fleet Engine'!J210</x:f>
        <x:v>0</x:v>
      </x:c>
      <x:c r="V1015" s="28" t="n">
        <x:f>U1015*T1015</x:f>
        <x:v>0</x:v>
      </x:c>
      <x:c r="W1015" s="28" t="n">
        <x:f>U1015*O1015</x:f>
        <x:v>0</x:v>
      </x:c>
    </x:row>
    <x:row r="1016" ht="19" customHeight="1">
      <x:c r="A1016" s="2"/>
      <x:c r="B1016" s="2"/>
      <x:c r="C1016" s="46" t="n">
        <x:v>4</x:v>
      </x:c>
      <x:c r="D1016" s="46" t="n">
        <x:v>16</x:v>
      </x:c>
      <x:c r="E1016" s="46" t="n">
        <x:v>2</x:v>
      </x:c>
      <x:c r="F1016" s="46" t="n">
        <x:v>4</x:v>
      </x:c>
      <x:c r="G1016" s="12" t="n">
        <x:v>0.2222222222222222</x:v>
      </x:c>
      <x:c r="H1016" s="12" t="n">
        <x:v>0.3333333333333333</x:v>
      </x:c>
      <x:c r="I1016" s="29" t="n">
        <x:f>'Assumptions'!$D$11+'Assumptions'!$D$12*(0.5-(G1016+H1016)/2)</x:f>
        <x:v>0.34444444444444444</x:v>
      </x:c>
      <x:c r="J1016" s="27" t="n">
        <x:f>'Assumptions'!$D$8*EXP(-'Assumptions'!$D$9*('Fleet Engine'!E210-10))*'Assumptions'!E57*'Assumptions'!H36</x:f>
        <x:v>13509.222651276876</x:v>
      </x:c>
      <x:c r="K1016" s="27" t="n">
        <x:f>'Source Data'!F221+LN('Assumptions'!D57)+LN('Assumptions'!H35)</x:f>
        <x:v>8.418486215784876</x:v>
      </x:c>
      <x:c r="L1016" s="27" t="n">
        <x:f>J1016*(1-I1016*(1-'Carrier Engine'!E95))</x:f>
        <x:v>9042.173027921323</x:v>
      </x:c>
      <x:c r="M1016" s="29" t="n">
        <x:f>NORM.S.DIST((LN(L1016)-K1016)/'Assumptions'!$D$10,TRUE)</x:f>
        <x:v>0.6700955519426168</x:v>
      </x:c>
      <x:c r="N1016" s="30" t="n">
        <x:f>MAX(0,H1016-MAX(G1016,M1016))</x:f>
        <x:v>0</x:v>
      </x:c>
      <x:c r="O1016" s="28" t="n">
        <x:f>J1016*I1016</x:f>
        <x:v>4653.1766909953685</x:v>
      </x:c>
      <x:c r="P1016" s="27" t="n">
        <x:f>(VLOOKUP(O1016,'Fee Data'!$C$6:$G$50,2,TRUE)+O1016*VLOOKUP(O1016,'Fee Data'!$C$6:$G$50,3,TRUE)+VLOOKUP(O1016,'Fee Data'!$I$6:$J$14,2,TRUE)+'Fee Data'!$J$20+'Fee Data'!$J$21)*'Assumptions'!H37</x:f>
        <x:v>970</x:v>
      </x:c>
      <x:c r="Q1016" s="27" t="n">
        <x:f>(VLOOKUP(O1016,'Fee Data'!$C$6:$G$50,4,TRUE)+O1016*VLOOKUP(O1016,'Fee Data'!$C$6:$G$50,5,TRUE)+VLOOKUP(O1016,'Fee Data'!$I$6:$J$14,2,TRUE)+'Fee Data'!$J$20+'Fee Data'!$J$21)*'Assumptions'!H37</x:f>
        <x:v>845</x:v>
      </x:c>
      <x:c r="R1016" s="27" t="n">
        <x:f>P1016*(1-'Assumptions'!$D$14)+Q1016*'Assumptions'!$D$14</x:f>
        <x:v>907.5</x:v>
      </x:c>
      <x:c r="S1016" s="27" t="n">
        <x:f>O1016*'Carrier Engine'!E95</x:f>
        <x:v>186.12706763981478</x:v>
      </x:c>
      <x:c r="T1016" s="28" t="n">
        <x:f>R1016+S1016</x:f>
        <x:v>1093.6270676398149</x:v>
      </x:c>
      <x:c r="U1016" s="27" t="n">
        <x:f>N1016*'Fleet Engine'!J210</x:f>
        <x:v>0</x:v>
      </x:c>
      <x:c r="V1016" s="28" t="n">
        <x:f>U1016*T1016</x:f>
        <x:v>0</x:v>
      </x:c>
      <x:c r="W1016" s="28" t="n">
        <x:f>U1016*O1016</x:f>
        <x:v>0</x:v>
      </x:c>
    </x:row>
    <x:row r="1017" ht="19" customHeight="1">
      <x:c r="A1017" s="2"/>
      <x:c r="B1017" s="2"/>
      <x:c r="C1017" s="46" t="n">
        <x:v>4</x:v>
      </x:c>
      <x:c r="D1017" s="46" t="n">
        <x:v>16</x:v>
      </x:c>
      <x:c r="E1017" s="46" t="n">
        <x:v>2</x:v>
      </x:c>
      <x:c r="F1017" s="46" t="n">
        <x:v>4</x:v>
      </x:c>
      <x:c r="G1017" s="12" t="n">
        <x:v>0.3333333333333333</x:v>
      </x:c>
      <x:c r="H1017" s="12" t="n">
        <x:v>0.4444444444444444</x:v>
      </x:c>
      <x:c r="I1017" s="29" t="n">
        <x:f>'Assumptions'!$D$11+'Assumptions'!$D$12*(0.5-(G1017+H1017)/2)</x:f>
        <x:v>0.32222222222222224</x:v>
      </x:c>
      <x:c r="J1017" s="27" t="n">
        <x:f>'Assumptions'!$D$8*EXP(-'Assumptions'!$D$9*('Fleet Engine'!E210-10))*'Assumptions'!E57*'Assumptions'!H36</x:f>
        <x:v>13509.222651276876</x:v>
      </x:c>
      <x:c r="K1017" s="27" t="n">
        <x:f>'Source Data'!F221+LN('Assumptions'!D57)+LN('Assumptions'!H35)</x:f>
        <x:v>8.418486215784876</x:v>
      </x:c>
      <x:c r="L1017" s="27" t="n">
        <x:f>J1017*(1-I1017*(1-'Carrier Engine'!E95))</x:f>
        <x:v>9330.36977781523</x:v>
      </x:c>
      <x:c r="M1017" s="29" t="n">
        <x:f>NORM.S.DIST((LN(L1017)-K1017)/'Assumptions'!$D$10,TRUE)</x:f>
        <x:v>0.6772987939004849</x:v>
      </x:c>
      <x:c r="N1017" s="30" t="n">
        <x:f>MAX(0,H1017-MAX(G1017,M1017))</x:f>
        <x:v>0</x:v>
      </x:c>
      <x:c r="O1017" s="28" t="n">
        <x:f>J1017*I1017</x:f>
        <x:v>4352.971743189216</x:v>
      </x:c>
      <x:c r="P1017" s="27" t="n">
        <x:f>(VLOOKUP(O1017,'Fee Data'!$C$6:$G$50,2,TRUE)+O1017*VLOOKUP(O1017,'Fee Data'!$C$6:$G$50,3,TRUE)+VLOOKUP(O1017,'Fee Data'!$I$6:$J$14,2,TRUE)+'Fee Data'!$J$20+'Fee Data'!$J$21)*'Assumptions'!H37</x:f>
        <x:v>945</x:v>
      </x:c>
      <x:c r="Q1017" s="27" t="n">
        <x:f>(VLOOKUP(O1017,'Fee Data'!$C$6:$G$50,4,TRUE)+O1017*VLOOKUP(O1017,'Fee Data'!$C$6:$G$50,5,TRUE)+VLOOKUP(O1017,'Fee Data'!$I$6:$J$14,2,TRUE)+'Fee Data'!$J$20+'Fee Data'!$J$21)*'Assumptions'!H37</x:f>
        <x:v>820</x:v>
      </x:c>
      <x:c r="R1017" s="27" t="n">
        <x:f>P1017*(1-'Assumptions'!$D$14)+Q1017*'Assumptions'!$D$14</x:f>
        <x:v>882.5</x:v>
      </x:c>
      <x:c r="S1017" s="27" t="n">
        <x:f>O1017*'Carrier Engine'!E95</x:f>
        <x:v>174.11886972756866</x:v>
      </x:c>
      <x:c r="T1017" s="28" t="n">
        <x:f>R1017+S1017</x:f>
        <x:v>1056.6188697275686</x:v>
      </x:c>
      <x:c r="U1017" s="27" t="n">
        <x:f>N1017*'Fleet Engine'!J210</x:f>
        <x:v>0</x:v>
      </x:c>
      <x:c r="V1017" s="28" t="n">
        <x:f>U1017*T1017</x:f>
        <x:v>0</x:v>
      </x:c>
      <x:c r="W1017" s="28" t="n">
        <x:f>U1017*O1017</x:f>
        <x:v>0</x:v>
      </x:c>
    </x:row>
    <x:row r="1018" ht="19" customHeight="1">
      <x:c r="A1018" s="2"/>
      <x:c r="B1018" s="2"/>
      <x:c r="C1018" s="46" t="n">
        <x:v>4</x:v>
      </x:c>
      <x:c r="D1018" s="46" t="n">
        <x:v>16</x:v>
      </x:c>
      <x:c r="E1018" s="46" t="n">
        <x:v>2</x:v>
      </x:c>
      <x:c r="F1018" s="46" t="n">
        <x:v>4</x:v>
      </x:c>
      <x:c r="G1018" s="12" t="n">
        <x:v>0.4444444444444444</x:v>
      </x:c>
      <x:c r="H1018" s="12" t="n">
        <x:v>0.5555555555555556</x:v>
      </x:c>
      <x:c r="I1018" s="29" t="n">
        <x:f>'Assumptions'!$D$11+'Assumptions'!$D$12*(0.5-(G1018+H1018)/2)</x:f>
        <x:v>0.3</x:v>
      </x:c>
      <x:c r="J1018" s="27" t="n">
        <x:f>'Assumptions'!$D$8*EXP(-'Assumptions'!$D$9*('Fleet Engine'!E210-10))*'Assumptions'!E57*'Assumptions'!H36</x:f>
        <x:v>13509.222651276876</x:v>
      </x:c>
      <x:c r="K1018" s="27" t="n">
        <x:f>'Source Data'!F221+LN('Assumptions'!D57)+LN('Assumptions'!H35)</x:f>
        <x:v>8.418486215784876</x:v>
      </x:c>
      <x:c r="L1018" s="27" t="n">
        <x:f>J1018*(1-I1018*(1-'Carrier Engine'!E95))</x:f>
        <x:v>9618.566527709136</x:v>
      </x:c>
      <x:c r="M1018" s="29" t="n">
        <x:f>NORM.S.DIST((LN(L1018)-K1018)/'Assumptions'!$D$10,TRUE)</x:f>
        <x:v>0.6842199654494845</x:v>
      </x:c>
      <x:c r="N1018" s="30" t="n">
        <x:f>MAX(0,H1018-MAX(G1018,M1018))</x:f>
        <x:v>0</x:v>
      </x:c>
      <x:c r="O1018" s="28" t="n">
        <x:f>J1018*I1018</x:f>
        <x:v>4052.7667953830623</x:v>
      </x:c>
      <x:c r="P1018" s="27" t="n">
        <x:f>(VLOOKUP(O1018,'Fee Data'!$C$6:$G$50,2,TRUE)+O1018*VLOOKUP(O1018,'Fee Data'!$C$6:$G$50,3,TRUE)+VLOOKUP(O1018,'Fee Data'!$I$6:$J$14,2,TRUE)+'Fee Data'!$J$20+'Fee Data'!$J$21)*'Assumptions'!H37</x:f>
        <x:v>945</x:v>
      </x:c>
      <x:c r="Q1018" s="27" t="n">
        <x:f>(VLOOKUP(O1018,'Fee Data'!$C$6:$G$50,4,TRUE)+O1018*VLOOKUP(O1018,'Fee Data'!$C$6:$G$50,5,TRUE)+VLOOKUP(O1018,'Fee Data'!$I$6:$J$14,2,TRUE)+'Fee Data'!$J$20+'Fee Data'!$J$21)*'Assumptions'!H37</x:f>
        <x:v>820</x:v>
      </x:c>
      <x:c r="R1018" s="27" t="n">
        <x:f>P1018*(1-'Assumptions'!$D$14)+Q1018*'Assumptions'!$D$14</x:f>
        <x:v>882.5</x:v>
      </x:c>
      <x:c r="S1018" s="27" t="n">
        <x:f>O1018*'Carrier Engine'!E95</x:f>
        <x:v>162.11067181532252</x:v>
      </x:c>
      <x:c r="T1018" s="28" t="n">
        <x:f>R1018+S1018</x:f>
        <x:v>1044.6106718153226</x:v>
      </x:c>
      <x:c r="U1018" s="27" t="n">
        <x:f>N1018*'Fleet Engine'!J210</x:f>
        <x:v>0</x:v>
      </x:c>
      <x:c r="V1018" s="28" t="n">
        <x:f>U1018*T1018</x:f>
        <x:v>0</x:v>
      </x:c>
      <x:c r="W1018" s="28" t="n">
        <x:f>U1018*O1018</x:f>
        <x:v>0</x:v>
      </x:c>
    </x:row>
    <x:row r="1019" ht="19" customHeight="1">
      <x:c r="A1019" s="2"/>
      <x:c r="B1019" s="2"/>
      <x:c r="C1019" s="46" t="n">
        <x:v>4</x:v>
      </x:c>
      <x:c r="D1019" s="46" t="n">
        <x:v>16</x:v>
      </x:c>
      <x:c r="E1019" s="46" t="n">
        <x:v>2</x:v>
      </x:c>
      <x:c r="F1019" s="46" t="n">
        <x:v>4</x:v>
      </x:c>
      <x:c r="G1019" s="12" t="n">
        <x:v>0.5555555555555556</x:v>
      </x:c>
      <x:c r="H1019" s="12" t="n">
        <x:v>0.6666666666666666</x:v>
      </x:c>
      <x:c r="I1019" s="29" t="n">
        <x:f>'Assumptions'!$D$11+'Assumptions'!$D$12*(0.5-(G1019+H1019)/2)</x:f>
        <x:v>0.27777777777777773</x:v>
      </x:c>
      <x:c r="J1019" s="27" t="n">
        <x:f>'Assumptions'!$D$8*EXP(-'Assumptions'!$D$9*('Fleet Engine'!E210-10))*'Assumptions'!E57*'Assumptions'!H36</x:f>
        <x:v>13509.222651276876</x:v>
      </x:c>
      <x:c r="K1019" s="27" t="n">
        <x:f>'Source Data'!F221+LN('Assumptions'!D57)+LN('Assumptions'!H35)</x:f>
        <x:v>8.418486215784876</x:v>
      </x:c>
      <x:c r="L1019" s="27" t="n">
        <x:f>J1019*(1-I1019*(1-'Carrier Engine'!E95))</x:f>
        <x:v>9906.763277603042</x:v>
      </x:c>
      <x:c r="M1019" s="29" t="n">
        <x:f>NORM.S.DIST((LN(L1019)-K1019)/'Assumptions'!$D$10,TRUE)</x:f>
        <x:v>0.6908756170073835</x:v>
      </x:c>
      <x:c r="N1019" s="30" t="n">
        <x:f>MAX(0,H1019-MAX(G1019,M1019))</x:f>
        <x:v>0</x:v>
      </x:c>
      <x:c r="O1019" s="28" t="n">
        <x:f>J1019*I1019</x:f>
        <x:v>3752.5618475769093</x:v>
      </x:c>
      <x:c r="P1019" s="27" t="n">
        <x:f>(VLOOKUP(O1019,'Fee Data'!$C$6:$G$50,2,TRUE)+O1019*VLOOKUP(O1019,'Fee Data'!$C$6:$G$50,3,TRUE)+VLOOKUP(O1019,'Fee Data'!$I$6:$J$14,2,TRUE)+'Fee Data'!$J$20+'Fee Data'!$J$21)*'Assumptions'!H37</x:f>
        <x:v>915</x:v>
      </x:c>
      <x:c r="Q1019" s="27" t="n">
        <x:f>(VLOOKUP(O1019,'Fee Data'!$C$6:$G$50,4,TRUE)+O1019*VLOOKUP(O1019,'Fee Data'!$C$6:$G$50,5,TRUE)+VLOOKUP(O1019,'Fee Data'!$I$6:$J$14,2,TRUE)+'Fee Data'!$J$20+'Fee Data'!$J$21)*'Assumptions'!H37</x:f>
        <x:v>765</x:v>
      </x:c>
      <x:c r="R1019" s="27" t="n">
        <x:f>P1019*(1-'Assumptions'!$D$14)+Q1019*'Assumptions'!$D$14</x:f>
        <x:v>840</x:v>
      </x:c>
      <x:c r="S1019" s="27" t="n">
        <x:f>O1019*'Carrier Engine'!E95</x:f>
        <x:v>150.1024739030764</x:v>
      </x:c>
      <x:c r="T1019" s="28" t="n">
        <x:f>R1019+S1019</x:f>
        <x:v>990.1024739030764</x:v>
      </x:c>
      <x:c r="U1019" s="27" t="n">
        <x:f>N1019*'Fleet Engine'!J210</x:f>
        <x:v>0</x:v>
      </x:c>
      <x:c r="V1019" s="28" t="n">
        <x:f>U1019*T1019</x:f>
        <x:v>0</x:v>
      </x:c>
      <x:c r="W1019" s="28" t="n">
        <x:f>U1019*O1019</x:f>
        <x:v>0</x:v>
      </x:c>
    </x:row>
    <x:row r="1020" ht="19" customHeight="1">
      <x:c r="A1020" s="2"/>
      <x:c r="B1020" s="2"/>
      <x:c r="C1020" s="46" t="n">
        <x:v>4</x:v>
      </x:c>
      <x:c r="D1020" s="46" t="n">
        <x:v>16</x:v>
      </x:c>
      <x:c r="E1020" s="46" t="n">
        <x:v>2</x:v>
      </x:c>
      <x:c r="F1020" s="46" t="n">
        <x:v>4</x:v>
      </x:c>
      <x:c r="G1020" s="12" t="n">
        <x:v>0.6666666666666666</x:v>
      </x:c>
      <x:c r="H1020" s="12" t="n">
        <x:v>0.7777777777777778</x:v>
      </x:c>
      <x:c r="I1020" s="29" t="n">
        <x:f>'Assumptions'!$D$11+'Assumptions'!$D$12*(0.5-(G1020+H1020)/2)</x:f>
        <x:v>0.25555555555555554</x:v>
      </x:c>
      <x:c r="J1020" s="27" t="n">
        <x:f>'Assumptions'!$D$8*EXP(-'Assumptions'!$D$9*('Fleet Engine'!E210-10))*'Assumptions'!E57*'Assumptions'!H36</x:f>
        <x:v>13509.222651276876</x:v>
      </x:c>
      <x:c r="K1020" s="27" t="n">
        <x:f>'Source Data'!F221+LN('Assumptions'!D57)+LN('Assumptions'!H35)</x:f>
        <x:v>8.418486215784876</x:v>
      </x:c>
      <x:c r="L1020" s="27" t="n">
        <x:f>J1020*(1-I1020*(1-'Carrier Engine'!E95))</x:f>
        <x:v>10194.960027496949</x:v>
      </x:c>
      <x:c r="M1020" s="29" t="n">
        <x:f>NORM.S.DIST((LN(L1020)-K1020)/'Assumptions'!$D$10,TRUE)</x:f>
        <x:v>0.697280992324818</x:v>
      </x:c>
      <x:c r="N1020" s="30" t="n">
        <x:f>MAX(0,H1020-MAX(G1020,M1020))</x:f>
        <x:v>0.0804967854529598</x:v>
      </x:c>
      <x:c r="O1020" s="28" t="n">
        <x:f>J1020*I1020</x:f>
        <x:v>3452.356899770757</x:v>
      </x:c>
      <x:c r="P1020" s="27" t="n">
        <x:f>(VLOOKUP(O1020,'Fee Data'!$C$6:$G$50,2,TRUE)+O1020*VLOOKUP(O1020,'Fee Data'!$C$6:$G$50,3,TRUE)+VLOOKUP(O1020,'Fee Data'!$I$6:$J$14,2,TRUE)+'Fee Data'!$J$20+'Fee Data'!$J$21)*'Assumptions'!H37</x:f>
        <x:v>865</x:v>
      </x:c>
      <x:c r="Q1020" s="27" t="n">
        <x:f>(VLOOKUP(O1020,'Fee Data'!$C$6:$G$50,4,TRUE)+O1020*VLOOKUP(O1020,'Fee Data'!$C$6:$G$50,5,TRUE)+VLOOKUP(O1020,'Fee Data'!$I$6:$J$14,2,TRUE)+'Fee Data'!$J$20+'Fee Data'!$J$21)*'Assumptions'!H37</x:f>
        <x:v>715</x:v>
      </x:c>
      <x:c r="R1020" s="27" t="n">
        <x:f>P1020*(1-'Assumptions'!$D$14)+Q1020*'Assumptions'!$D$14</x:f>
        <x:v>790</x:v>
      </x:c>
      <x:c r="S1020" s="27" t="n">
        <x:f>O1020*'Carrier Engine'!E95</x:f>
        <x:v>138.0942759908303</x:v>
      </x:c>
      <x:c r="T1020" s="28" t="n">
        <x:f>R1020+S1020</x:f>
        <x:v>928.0942759908303</x:v>
      </x:c>
      <x:c r="U1020" s="27" t="n">
        <x:f>N1020*'Fleet Engine'!J210</x:f>
        <x:v>216.68361821326528</x:v>
      </x:c>
      <x:c r="V1020" s="28" t="n">
        <x:f>U1020*T1020</x:f>
        <x:v>201102.82576471393</x:v>
      </x:c>
      <x:c r="W1020" s="28" t="n">
        <x:f>U1020*O1020</x:f>
        <x:v>748069.1844058589</x:v>
      </x:c>
    </x:row>
    <x:row r="1021" ht="19" customHeight="1">
      <x:c r="A1021" s="2"/>
      <x:c r="B1021" s="2"/>
      <x:c r="C1021" s="46" t="n">
        <x:v>4</x:v>
      </x:c>
      <x:c r="D1021" s="46" t="n">
        <x:v>16</x:v>
      </x:c>
      <x:c r="E1021" s="46" t="n">
        <x:v>2</x:v>
      </x:c>
      <x:c r="F1021" s="46" t="n">
        <x:v>4</x:v>
      </x:c>
      <x:c r="G1021" s="12" t="n">
        <x:v>0.7777777777777778</x:v>
      </x:c>
      <x:c r="H1021" s="12" t="n">
        <x:v>0.8888888888888888</x:v>
      </x:c>
      <x:c r="I1021" s="29" t="n">
        <x:f>'Assumptions'!$D$11+'Assumptions'!$D$12*(0.5-(G1021+H1021)/2)</x:f>
        <x:v>0.23333333333333334</x:v>
      </x:c>
      <x:c r="J1021" s="27" t="n">
        <x:f>'Assumptions'!$D$8*EXP(-'Assumptions'!$D$9*('Fleet Engine'!E210-10))*'Assumptions'!E57*'Assumptions'!H36</x:f>
        <x:v>13509.222651276876</x:v>
      </x:c>
      <x:c r="K1021" s="27" t="n">
        <x:f>'Source Data'!F221+LN('Assumptions'!D57)+LN('Assumptions'!H35)</x:f>
        <x:v>8.418486215784876</x:v>
      </x:c>
      <x:c r="L1021" s="27" t="n">
        <x:f>J1021*(1-I1021*(1-'Carrier Engine'!E95))</x:f>
        <x:v>10483.156777390855</x:v>
      </x:c>
      <x:c r="M1021" s="29" t="n">
        <x:f>NORM.S.DIST((LN(L1021)-K1021)/'Assumptions'!$D$10,TRUE)</x:f>
        <x:v>0.7034501581393012</x:v>
      </x:c>
      <x:c r="N1021" s="30" t="n">
        <x:f>MAX(0,H1021-MAX(G1021,M1021))</x:f>
        <x:v>0.11111111111111105</x:v>
      </x:c>
      <x:c r="O1021" s="28" t="n">
        <x:f>J1021*I1021</x:f>
        <x:v>3152.1519519646045</x:v>
      </x:c>
      <x:c r="P1021" s="27" t="n">
        <x:f>(VLOOKUP(O1021,'Fee Data'!$C$6:$G$50,2,TRUE)+O1021*VLOOKUP(O1021,'Fee Data'!$C$6:$G$50,3,TRUE)+VLOOKUP(O1021,'Fee Data'!$I$6:$J$14,2,TRUE)+'Fee Data'!$J$20+'Fee Data'!$J$21)*'Assumptions'!H37</x:f>
        <x:v>865</x:v>
      </x:c>
      <x:c r="Q1021" s="27" t="n">
        <x:f>(VLOOKUP(O1021,'Fee Data'!$C$6:$G$50,4,TRUE)+O1021*VLOOKUP(O1021,'Fee Data'!$C$6:$G$50,5,TRUE)+VLOOKUP(O1021,'Fee Data'!$I$6:$J$14,2,TRUE)+'Fee Data'!$J$20+'Fee Data'!$J$21)*'Assumptions'!H37</x:f>
        <x:v>715</x:v>
      </x:c>
      <x:c r="R1021" s="27" t="n">
        <x:f>P1021*(1-'Assumptions'!$D$14)+Q1021*'Assumptions'!$D$14</x:f>
        <x:v>790</x:v>
      </x:c>
      <x:c r="S1021" s="27" t="n">
        <x:f>O1021*'Carrier Engine'!E95</x:f>
        <x:v>126.08607807858421</x:v>
      </x:c>
      <x:c r="T1021" s="28" t="n">
        <x:f>R1021+S1021</x:f>
        <x:v>916.0860780785843</x:v>
      </x:c>
      <x:c r="U1021" s="27" t="n">
        <x:f>N1021*'Fleet Engine'!J210</x:f>
        <x:v>299.09216180217584</x:v>
      </x:c>
      <x:c r="V1021" s="28" t="n">
        <x:f>U1021*T1021</x:f>
        <x:v>273994.1654894006</x:v>
      </x:c>
      <x:c r="W1021" s="28" t="n">
        <x:f>U1021*O1021</x:f>
        <x:v>942783.9416420419</x:v>
      </x:c>
    </x:row>
    <x:row r="1022" ht="19" customHeight="1">
      <x:c r="A1022" s="2"/>
      <x:c r="B1022" s="2"/>
      <x:c r="C1022" s="46" t="n">
        <x:v>4</x:v>
      </x:c>
      <x:c r="D1022" s="46" t="n">
        <x:v>16</x:v>
      </x:c>
      <x:c r="E1022" s="46" t="n">
        <x:v>2</x:v>
      </x:c>
      <x:c r="F1022" s="46" t="n">
        <x:v>4</x:v>
      </x:c>
      <x:c r="G1022" s="12" t="n">
        <x:v>0.8888888888888888</x:v>
      </x:c>
      <x:c r="H1022" s="12" t="n">
        <x:v>1</x:v>
      </x:c>
      <x:c r="I1022" s="29" t="n">
        <x:f>'Assumptions'!$D$11+'Assumptions'!$D$12*(0.5-(G1022+H1022)/2)</x:f>
        <x:v>0.21111111111111108</x:v>
      </x:c>
      <x:c r="J1022" s="27" t="n">
        <x:f>'Assumptions'!$D$8*EXP(-'Assumptions'!$D$9*('Fleet Engine'!E210-10))*'Assumptions'!E57*'Assumptions'!H36</x:f>
        <x:v>13509.222651276876</x:v>
      </x:c>
      <x:c r="K1022" s="27" t="n">
        <x:f>'Source Data'!F221+LN('Assumptions'!D57)+LN('Assumptions'!H35)</x:f>
        <x:v>8.418486215784876</x:v>
      </x:c>
      <x:c r="L1022" s="27" t="n">
        <x:f>J1022*(1-I1022*(1-'Carrier Engine'!E95))</x:f>
        <x:v>10771.353527284762</x:v>
      </x:c>
      <x:c r="M1022" s="29" t="n">
        <x:f>NORM.S.DIST((LN(L1022)-K1022)/'Assumptions'!$D$10,TRUE)</x:f>
        <x:v>0.7093961183873236</x:v>
      </x:c>
      <x:c r="N1022" s="30" t="n">
        <x:f>MAX(0,H1022-MAX(G1022,M1022))</x:f>
        <x:v>0.11111111111111116</x:v>
      </x:c>
      <x:c r="O1022" s="28" t="n">
        <x:f>J1022*I1022</x:f>
        <x:v>2851.9470041584514</x:v>
      </x:c>
      <x:c r="P1022" s="27" t="n">
        <x:f>(VLOOKUP(O1022,'Fee Data'!$C$6:$G$50,2,TRUE)+O1022*VLOOKUP(O1022,'Fee Data'!$C$6:$G$50,3,TRUE)+VLOOKUP(O1022,'Fee Data'!$I$6:$J$14,2,TRUE)+'Fee Data'!$J$20+'Fee Data'!$J$21)*'Assumptions'!H37</x:f>
        <x:v>820</x:v>
      </x:c>
      <x:c r="Q1022" s="27" t="n">
        <x:f>(VLOOKUP(O1022,'Fee Data'!$C$6:$G$50,4,TRUE)+O1022*VLOOKUP(O1022,'Fee Data'!$C$6:$G$50,5,TRUE)+VLOOKUP(O1022,'Fee Data'!$I$6:$J$14,2,TRUE)+'Fee Data'!$J$20+'Fee Data'!$J$21)*'Assumptions'!H37</x:f>
        <x:v>670</x:v>
      </x:c>
      <x:c r="R1022" s="27" t="n">
        <x:f>P1022*(1-'Assumptions'!$D$14)+Q1022*'Assumptions'!$D$14</x:f>
        <x:v>745</x:v>
      </x:c>
      <x:c r="S1022" s="27" t="n">
        <x:f>O1022*'Carrier Engine'!E95</x:f>
        <x:v>114.07788016633808</x:v>
      </x:c>
      <x:c r="T1022" s="28" t="n">
        <x:f>R1022+S1022</x:f>
        <x:v>859.0778801663381</x:v>
      </x:c>
      <x:c r="U1022" s="27" t="n">
        <x:f>N1022*'Fleet Engine'!J210</x:f>
        <x:v>299.0921618021761</x:v>
      </x:c>
      <x:c r="V1022" s="28" t="n">
        <x:f>U1022*T1022</x:f>
        <x:v>256943.46033538086</x:v>
      </x:c>
      <x:c r="W1022" s="28" t="n">
        <x:f>U1022*O1022</x:f>
        <x:v>852994.994818991</x:v>
      </x:c>
    </x:row>
    <x:row r="1023" ht="19" customHeight="1">
      <x:c r="A1023" s="2"/>
      <x:c r="B1023" s="2"/>
      <x:c r="C1023" s="46" t="n">
        <x:v>4</x:v>
      </x:c>
      <x:c r="D1023" s="46" t="n">
        <x:v>17</x:v>
      </x:c>
      <x:c r="E1023" s="46" t="n">
        <x:v>2</x:v>
      </x:c>
      <x:c r="F1023" s="46" t="n">
        <x:v>5</x:v>
      </x:c>
      <x:c r="G1023" s="12" t="n">
        <x:v>0</x:v>
      </x:c>
      <x:c r="H1023" s="12" t="n">
        <x:v>0.1111111111111111</x:v>
      </x:c>
      <x:c r="I1023" s="29" t="n">
        <x:f>'Assumptions'!$D$11+'Assumptions'!$D$12*(0.5-(G1023+H1023)/2)</x:f>
        <x:v>0.3888888888888889</x:v>
      </x:c>
      <x:c r="J1023" s="27" t="n">
        <x:f>'Assumptions'!$D$8*EXP(-'Assumptions'!$D$9*('Fleet Engine'!E211-10))*'Assumptions'!E57*'Assumptions'!H36</x:f>
        <x:v>7414.018585605744</x:v>
      </x:c>
      <x:c r="K1023" s="27" t="n">
        <x:f>'Source Data'!F222+LN('Assumptions'!D57)+LN('Assumptions'!H35)</x:f>
        <x:v>8.319557366061195</x:v>
      </x:c>
      <x:c r="L1023" s="27" t="n">
        <x:f>J1023*(1-I1023*(1-'Carrier Engine'!E95))</x:f>
        <x:v>4646.118313646267</x:v>
      </x:c>
      <x:c r="M1023" s="29" t="n">
        <x:f>NORM.S.DIST((LN(L1023)-K1023)/'Assumptions'!$D$10,TRUE)</x:f>
        <x:v>0.5315302263315647</x:v>
      </x:c>
      <x:c r="N1023" s="30" t="n">
        <x:f>MAX(0,H1023-MAX(G1023,M1023))</x:f>
        <x:v>0</x:v>
      </x:c>
      <x:c r="O1023" s="28" t="n">
        <x:f>J1023*I1023</x:f>
        <x:v>2883.2294499577893</x:v>
      </x:c>
      <x:c r="P1023" s="27" t="n">
        <x:f>(VLOOKUP(O1023,'Fee Data'!$C$6:$G$50,2,TRUE)+O1023*VLOOKUP(O1023,'Fee Data'!$C$6:$G$50,3,TRUE)+VLOOKUP(O1023,'Fee Data'!$I$6:$J$14,2,TRUE)+'Fee Data'!$J$20+'Fee Data'!$J$21)*'Assumptions'!H37</x:f>
        <x:v>820</x:v>
      </x:c>
      <x:c r="Q1023" s="27" t="n">
        <x:f>(VLOOKUP(O1023,'Fee Data'!$C$6:$G$50,4,TRUE)+O1023*VLOOKUP(O1023,'Fee Data'!$C$6:$G$50,5,TRUE)+VLOOKUP(O1023,'Fee Data'!$I$6:$J$14,2,TRUE)+'Fee Data'!$J$20+'Fee Data'!$J$21)*'Assumptions'!H37</x:f>
        <x:v>670</x:v>
      </x:c>
      <x:c r="R1023" s="27" t="n">
        <x:f>P1023*(1-'Assumptions'!$D$14)+Q1023*'Assumptions'!$D$14</x:f>
        <x:v>745</x:v>
      </x:c>
      <x:c r="S1023" s="27" t="n">
        <x:f>O1023*'Carrier Engine'!E95</x:f>
        <x:v>115.3291779983116</x:v>
      </x:c>
      <x:c r="T1023" s="28" t="n">
        <x:f>R1023+S1023</x:f>
        <x:v>860.3291779983116</x:v>
      </x:c>
      <x:c r="U1023" s="27" t="n">
        <x:f>N1023*'Fleet Engine'!J211</x:f>
        <x:v>0</x:v>
      </x:c>
      <x:c r="V1023" s="28" t="n">
        <x:f>U1023*T1023</x:f>
        <x:v>0</x:v>
      </x:c>
      <x:c r="W1023" s="28" t="n">
        <x:f>U1023*O1023</x:f>
        <x:v>0</x:v>
      </x:c>
    </x:row>
    <x:row r="1024" ht="19" customHeight="1">
      <x:c r="A1024" s="2"/>
      <x:c r="B1024" s="2"/>
      <x:c r="C1024" s="46" t="n">
        <x:v>4</x:v>
      </x:c>
      <x:c r="D1024" s="46" t="n">
        <x:v>17</x:v>
      </x:c>
      <x:c r="E1024" s="46" t="n">
        <x:v>2</x:v>
      </x:c>
      <x:c r="F1024" s="46" t="n">
        <x:v>5</x:v>
      </x:c>
      <x:c r="G1024" s="12" t="n">
        <x:v>0.1111111111111111</x:v>
      </x:c>
      <x:c r="H1024" s="12" t="n">
        <x:v>0.2222222222222222</x:v>
      </x:c>
      <x:c r="I1024" s="29" t="n">
        <x:f>'Assumptions'!$D$11+'Assumptions'!$D$12*(0.5-(G1024+H1024)/2)</x:f>
        <x:v>0.3666666666666667</x:v>
      </x:c>
      <x:c r="J1024" s="27" t="n">
        <x:f>'Assumptions'!$D$8*EXP(-'Assumptions'!$D$9*('Fleet Engine'!E211-10))*'Assumptions'!E57*'Assumptions'!H36</x:f>
        <x:v>7414.018585605744</x:v>
      </x:c>
      <x:c r="K1024" s="27" t="n">
        <x:f>'Source Data'!F222+LN('Assumptions'!D57)+LN('Assumptions'!H35)</x:f>
        <x:v>8.319557366061195</x:v>
      </x:c>
      <x:c r="L1024" s="27" t="n">
        <x:f>J1024*(1-I1024*(1-'Carrier Engine'!E95))</x:f>
        <x:v>4804.284043472521</x:v>
      </x:c>
      <x:c r="M1024" s="29" t="n">
        <x:f>NORM.S.DIST((LN(L1024)-K1024)/'Assumptions'!$D$10,TRUE)</x:f>
        <x:v>0.5400010911799831</x:v>
      </x:c>
      <x:c r="N1024" s="30" t="n">
        <x:f>MAX(0,H1024-MAX(G1024,M1024))</x:f>
        <x:v>0</x:v>
      </x:c>
      <x:c r="O1024" s="28" t="n">
        <x:f>J1024*I1024</x:f>
        <x:v>2718.473481388773</x:v>
      </x:c>
      <x:c r="P1024" s="27" t="n">
        <x:f>(VLOOKUP(O1024,'Fee Data'!$C$6:$G$50,2,TRUE)+O1024*VLOOKUP(O1024,'Fee Data'!$C$6:$G$50,3,TRUE)+VLOOKUP(O1024,'Fee Data'!$I$6:$J$14,2,TRUE)+'Fee Data'!$J$20+'Fee Data'!$J$21)*'Assumptions'!H37</x:f>
        <x:v>820</x:v>
      </x:c>
      <x:c r="Q1024" s="27" t="n">
        <x:f>(VLOOKUP(O1024,'Fee Data'!$C$6:$G$50,4,TRUE)+O1024*VLOOKUP(O1024,'Fee Data'!$C$6:$G$50,5,TRUE)+VLOOKUP(O1024,'Fee Data'!$I$6:$J$14,2,TRUE)+'Fee Data'!$J$20+'Fee Data'!$J$21)*'Assumptions'!H37</x:f>
        <x:v>670</x:v>
      </x:c>
      <x:c r="R1024" s="27" t="n">
        <x:f>P1024*(1-'Assumptions'!$D$14)+Q1024*'Assumptions'!$D$14</x:f>
        <x:v>745</x:v>
      </x:c>
      <x:c r="S1024" s="27" t="n">
        <x:f>O1024*'Carrier Engine'!E95</x:f>
        <x:v>108.73893925555095</x:v>
      </x:c>
      <x:c r="T1024" s="28" t="n">
        <x:f>R1024+S1024</x:f>
        <x:v>853.7389392555509</x:v>
      </x:c>
      <x:c r="U1024" s="27" t="n">
        <x:f>N1024*'Fleet Engine'!J211</x:f>
        <x:v>0</x:v>
      </x:c>
      <x:c r="V1024" s="28" t="n">
        <x:f>U1024*T1024</x:f>
        <x:v>0</x:v>
      </x:c>
      <x:c r="W1024" s="28" t="n">
        <x:f>U1024*O1024</x:f>
        <x:v>0</x:v>
      </x:c>
    </x:row>
    <x:row r="1025" ht="19" customHeight="1">
      <x:c r="A1025" s="2"/>
      <x:c r="B1025" s="2"/>
      <x:c r="C1025" s="46" t="n">
        <x:v>4</x:v>
      </x:c>
      <x:c r="D1025" s="46" t="n">
        <x:v>17</x:v>
      </x:c>
      <x:c r="E1025" s="46" t="n">
        <x:v>2</x:v>
      </x:c>
      <x:c r="F1025" s="46" t="n">
        <x:v>5</x:v>
      </x:c>
      <x:c r="G1025" s="12" t="n">
        <x:v>0.2222222222222222</x:v>
      </x:c>
      <x:c r="H1025" s="12" t="n">
        <x:v>0.3333333333333333</x:v>
      </x:c>
      <x:c r="I1025" s="29" t="n">
        <x:f>'Assumptions'!$D$11+'Assumptions'!$D$12*(0.5-(G1025+H1025)/2)</x:f>
        <x:v>0.34444444444444444</x:v>
      </x:c>
      <x:c r="J1025" s="27" t="n">
        <x:f>'Assumptions'!$D$8*EXP(-'Assumptions'!$D$9*('Fleet Engine'!E211-10))*'Assumptions'!E57*'Assumptions'!H36</x:f>
        <x:v>7414.018585605744</x:v>
      </x:c>
      <x:c r="K1025" s="27" t="n">
        <x:f>'Source Data'!F222+LN('Assumptions'!D57)+LN('Assumptions'!H35)</x:f>
        <x:v>8.319557366061195</x:v>
      </x:c>
      <x:c r="L1025" s="27" t="n">
        <x:f>J1025*(1-I1025*(1-'Carrier Engine'!E95))</x:f>
        <x:v>4962.449773298778</x:v>
      </x:c>
      <x:c r="M1025" s="29" t="n">
        <x:f>NORM.S.DIST((LN(L1025)-K1025)/'Assumptions'!$D$10,TRUE)</x:f>
        <x:v>0.5481803390545841</x:v>
      </x:c>
      <x:c r="N1025" s="30" t="n">
        <x:f>MAX(0,H1025-MAX(G1025,M1025))</x:f>
        <x:v>0</x:v>
      </x:c>
      <x:c r="O1025" s="28" t="n">
        <x:f>J1025*I1025</x:f>
        <x:v>2553.7175128197564</x:v>
      </x:c>
      <x:c r="P1025" s="27" t="n">
        <x:f>(VLOOKUP(O1025,'Fee Data'!$C$6:$G$50,2,TRUE)+O1025*VLOOKUP(O1025,'Fee Data'!$C$6:$G$50,3,TRUE)+VLOOKUP(O1025,'Fee Data'!$I$6:$J$14,2,TRUE)+'Fee Data'!$J$20+'Fee Data'!$J$21)*'Assumptions'!H37</x:f>
        <x:v>820</x:v>
      </x:c>
      <x:c r="Q1025" s="27" t="n">
        <x:f>(VLOOKUP(O1025,'Fee Data'!$C$6:$G$50,4,TRUE)+O1025*VLOOKUP(O1025,'Fee Data'!$C$6:$G$50,5,TRUE)+VLOOKUP(O1025,'Fee Data'!$I$6:$J$14,2,TRUE)+'Fee Data'!$J$20+'Fee Data'!$J$21)*'Assumptions'!H37</x:f>
        <x:v>670</x:v>
      </x:c>
      <x:c r="R1025" s="27" t="n">
        <x:f>P1025*(1-'Assumptions'!$D$14)+Q1025*'Assumptions'!$D$14</x:f>
        <x:v>745</x:v>
      </x:c>
      <x:c r="S1025" s="27" t="n">
        <x:f>O1025*'Carrier Engine'!E95</x:f>
        <x:v>102.14870051279027</x:v>
      </x:c>
      <x:c r="T1025" s="28" t="n">
        <x:f>R1025+S1025</x:f>
        <x:v>847.1487005127902</x:v>
      </x:c>
      <x:c r="U1025" s="27" t="n">
        <x:f>N1025*'Fleet Engine'!J211</x:f>
        <x:v>0</x:v>
      </x:c>
      <x:c r="V1025" s="28" t="n">
        <x:f>U1025*T1025</x:f>
        <x:v>0</x:v>
      </x:c>
      <x:c r="W1025" s="28" t="n">
        <x:f>U1025*O1025</x:f>
        <x:v>0</x:v>
      </x:c>
    </x:row>
    <x:row r="1026" ht="19" customHeight="1">
      <x:c r="A1026" s="2"/>
      <x:c r="B1026" s="2"/>
      <x:c r="C1026" s="46" t="n">
        <x:v>4</x:v>
      </x:c>
      <x:c r="D1026" s="46" t="n">
        <x:v>17</x:v>
      </x:c>
      <x:c r="E1026" s="46" t="n">
        <x:v>2</x:v>
      </x:c>
      <x:c r="F1026" s="46" t="n">
        <x:v>5</x:v>
      </x:c>
      <x:c r="G1026" s="12" t="n">
        <x:v>0.3333333333333333</x:v>
      </x:c>
      <x:c r="H1026" s="12" t="n">
        <x:v>0.4444444444444444</x:v>
      </x:c>
      <x:c r="I1026" s="29" t="n">
        <x:f>'Assumptions'!$D$11+'Assumptions'!$D$12*(0.5-(G1026+H1026)/2)</x:f>
        <x:v>0.32222222222222224</x:v>
      </x:c>
      <x:c r="J1026" s="27" t="n">
        <x:f>'Assumptions'!$D$8*EXP(-'Assumptions'!$D$9*('Fleet Engine'!E211-10))*'Assumptions'!E57*'Assumptions'!H36</x:f>
        <x:v>7414.018585605744</x:v>
      </x:c>
      <x:c r="K1026" s="27" t="n">
        <x:f>'Source Data'!F222+LN('Assumptions'!D57)+LN('Assumptions'!H35)</x:f>
        <x:v>8.319557366061195</x:v>
      </x:c>
      <x:c r="L1026" s="27" t="n">
        <x:f>J1026*(1-I1026*(1-'Carrier Engine'!E95))</x:f>
        <x:v>5120.615503125034</x:v>
      </x:c>
      <x:c r="M1026" s="29" t="n">
        <x:f>NORM.S.DIST((LN(L1026)-K1026)/'Assumptions'!$D$10,TRUE)</x:f>
        <x:v>0.5560835236213721</x:v>
      </x:c>
      <x:c r="N1026" s="30" t="n">
        <x:f>MAX(0,H1026-MAX(G1026,M1026))</x:f>
        <x:v>0</x:v>
      </x:c>
      <x:c r="O1026" s="28" t="n">
        <x:f>J1026*I1026</x:f>
        <x:v>2388.9615442507397</x:v>
      </x:c>
      <x:c r="P1026" s="27" t="n">
        <x:f>(VLOOKUP(O1026,'Fee Data'!$C$6:$G$50,2,TRUE)+O1026*VLOOKUP(O1026,'Fee Data'!$C$6:$G$50,3,TRUE)+VLOOKUP(O1026,'Fee Data'!$I$6:$J$14,2,TRUE)+'Fee Data'!$J$20+'Fee Data'!$J$21)*'Assumptions'!H37</x:f>
        <x:v>745</x:v>
      </x:c>
      <x:c r="Q1026" s="27" t="n">
        <x:f>(VLOOKUP(O1026,'Fee Data'!$C$6:$G$50,4,TRUE)+O1026*VLOOKUP(O1026,'Fee Data'!$C$6:$G$50,5,TRUE)+VLOOKUP(O1026,'Fee Data'!$I$6:$J$14,2,TRUE)+'Fee Data'!$J$20+'Fee Data'!$J$21)*'Assumptions'!H37</x:f>
        <x:v>600</x:v>
      </x:c>
      <x:c r="R1026" s="27" t="n">
        <x:f>P1026*(1-'Assumptions'!$D$14)+Q1026*'Assumptions'!$D$14</x:f>
        <x:v>672.5</x:v>
      </x:c>
      <x:c r="S1026" s="27" t="n">
        <x:f>O1026*'Carrier Engine'!E95</x:f>
        <x:v>95.55846177002961</x:v>
      </x:c>
      <x:c r="T1026" s="28" t="n">
        <x:f>R1026+S1026</x:f>
        <x:v>768.0584617700296</x:v>
      </x:c>
      <x:c r="U1026" s="27" t="n">
        <x:f>N1026*'Fleet Engine'!J211</x:f>
        <x:v>0</x:v>
      </x:c>
      <x:c r="V1026" s="28" t="n">
        <x:f>U1026*T1026</x:f>
        <x:v>0</x:v>
      </x:c>
      <x:c r="W1026" s="28" t="n">
        <x:f>U1026*O1026</x:f>
        <x:v>0</x:v>
      </x:c>
    </x:row>
    <x:row r="1027" ht="19" customHeight="1">
      <x:c r="A1027" s="2"/>
      <x:c r="B1027" s="2"/>
      <x:c r="C1027" s="46" t="n">
        <x:v>4</x:v>
      </x:c>
      <x:c r="D1027" s="46" t="n">
        <x:v>17</x:v>
      </x:c>
      <x:c r="E1027" s="46" t="n">
        <x:v>2</x:v>
      </x:c>
      <x:c r="F1027" s="46" t="n">
        <x:v>5</x:v>
      </x:c>
      <x:c r="G1027" s="12" t="n">
        <x:v>0.4444444444444444</x:v>
      </x:c>
      <x:c r="H1027" s="12" t="n">
        <x:v>0.5555555555555556</x:v>
      </x:c>
      <x:c r="I1027" s="29" t="n">
        <x:f>'Assumptions'!$D$11+'Assumptions'!$D$12*(0.5-(G1027+H1027)/2)</x:f>
        <x:v>0.3</x:v>
      </x:c>
      <x:c r="J1027" s="27" t="n">
        <x:f>'Assumptions'!$D$8*EXP(-'Assumptions'!$D$9*('Fleet Engine'!E211-10))*'Assumptions'!E57*'Assumptions'!H36</x:f>
        <x:v>7414.018585605744</x:v>
      </x:c>
      <x:c r="K1027" s="27" t="n">
        <x:f>'Source Data'!F222+LN('Assumptions'!D57)+LN('Assumptions'!H35)</x:f>
        <x:v>8.319557366061195</x:v>
      </x:c>
      <x:c r="L1027" s="27" t="n">
        <x:f>J1027*(1-I1027*(1-'Carrier Engine'!E95))</x:f>
        <x:v>5278.78123295129</x:v>
      </x:c>
      <x:c r="M1027" s="29" t="n">
        <x:f>NORM.S.DIST((LN(L1027)-K1027)/'Assumptions'!$D$10,TRUE)</x:f>
        <x:v>0.5637250623121128</x:v>
      </x:c>
      <x:c r="N1027" s="30" t="n">
        <x:f>MAX(0,H1027-MAX(G1027,M1027))</x:f>
        <x:v>0</x:v>
      </x:c>
      <x:c r="O1027" s="28" t="n">
        <x:f>J1027*I1027</x:f>
        <x:v>2224.205575681723</x:v>
      </x:c>
      <x:c r="P1027" s="27" t="n">
        <x:f>(VLOOKUP(O1027,'Fee Data'!$C$6:$G$50,2,TRUE)+O1027*VLOOKUP(O1027,'Fee Data'!$C$6:$G$50,3,TRUE)+VLOOKUP(O1027,'Fee Data'!$I$6:$J$14,2,TRUE)+'Fee Data'!$J$20+'Fee Data'!$J$21)*'Assumptions'!H37</x:f>
        <x:v>745</x:v>
      </x:c>
      <x:c r="Q1027" s="27" t="n">
        <x:f>(VLOOKUP(O1027,'Fee Data'!$C$6:$G$50,4,TRUE)+O1027*VLOOKUP(O1027,'Fee Data'!$C$6:$G$50,5,TRUE)+VLOOKUP(O1027,'Fee Data'!$I$6:$J$14,2,TRUE)+'Fee Data'!$J$20+'Fee Data'!$J$21)*'Assumptions'!H37</x:f>
        <x:v>600</x:v>
      </x:c>
      <x:c r="R1027" s="27" t="n">
        <x:f>P1027*(1-'Assumptions'!$D$14)+Q1027*'Assumptions'!$D$14</x:f>
        <x:v>672.5</x:v>
      </x:c>
      <x:c r="S1027" s="27" t="n">
        <x:f>O1027*'Carrier Engine'!E95</x:f>
        <x:v>88.96822302726893</x:v>
      </x:c>
      <x:c r="T1027" s="28" t="n">
        <x:f>R1027+S1027</x:f>
        <x:v>761.4682230272689</x:v>
      </x:c>
      <x:c r="U1027" s="27" t="n">
        <x:f>N1027*'Fleet Engine'!J211</x:f>
        <x:v>0</x:v>
      </x:c>
      <x:c r="V1027" s="28" t="n">
        <x:f>U1027*T1027</x:f>
        <x:v>0</x:v>
      </x:c>
      <x:c r="W1027" s="28" t="n">
        <x:f>U1027*O1027</x:f>
        <x:v>0</x:v>
      </x:c>
    </x:row>
    <x:row r="1028" ht="19" customHeight="1">
      <x:c r="A1028" s="2"/>
      <x:c r="B1028" s="2"/>
      <x:c r="C1028" s="46" t="n">
        <x:v>4</x:v>
      </x:c>
      <x:c r="D1028" s="46" t="n">
        <x:v>17</x:v>
      </x:c>
      <x:c r="E1028" s="46" t="n">
        <x:v>2</x:v>
      </x:c>
      <x:c r="F1028" s="46" t="n">
        <x:v>5</x:v>
      </x:c>
      <x:c r="G1028" s="12" t="n">
        <x:v>0.5555555555555556</x:v>
      </x:c>
      <x:c r="H1028" s="12" t="n">
        <x:v>0.6666666666666666</x:v>
      </x:c>
      <x:c r="I1028" s="29" t="n">
        <x:f>'Assumptions'!$D$11+'Assumptions'!$D$12*(0.5-(G1028+H1028)/2)</x:f>
        <x:v>0.27777777777777773</x:v>
      </x:c>
      <x:c r="J1028" s="27" t="n">
        <x:f>'Assumptions'!$D$8*EXP(-'Assumptions'!$D$9*('Fleet Engine'!E211-10))*'Assumptions'!E57*'Assumptions'!H36</x:f>
        <x:v>7414.018585605744</x:v>
      </x:c>
      <x:c r="K1028" s="27" t="n">
        <x:f>'Source Data'!F222+LN('Assumptions'!D57)+LN('Assumptions'!H35)</x:f>
        <x:v>8.319557366061195</x:v>
      </x:c>
      <x:c r="L1028" s="27" t="n">
        <x:f>J1028*(1-I1028*(1-'Carrier Engine'!E95))</x:f>
        <x:v>5436.946962777546</x:v>
      </x:c>
      <x:c r="M1028" s="29" t="n">
        <x:f>NORM.S.DIST((LN(L1028)-K1028)/'Assumptions'!$D$10,TRUE)</x:f>
        <x:v>0.5711183414959459</x:v>
      </x:c>
      <x:c r="N1028" s="30" t="n">
        <x:f>MAX(0,H1028-MAX(G1028,M1028))</x:f>
        <x:v>0.09554832517072076</x:v>
      </x:c>
      <x:c r="O1028" s="28" t="n">
        <x:f>J1028*I1028</x:f>
        <x:v>2059.4496071127064</x:v>
      </x:c>
      <x:c r="P1028" s="27" t="n">
        <x:f>(VLOOKUP(O1028,'Fee Data'!$C$6:$G$50,2,TRUE)+O1028*VLOOKUP(O1028,'Fee Data'!$C$6:$G$50,3,TRUE)+VLOOKUP(O1028,'Fee Data'!$I$6:$J$14,2,TRUE)+'Fee Data'!$J$20+'Fee Data'!$J$21)*'Assumptions'!H37</x:f>
        <x:v>745</x:v>
      </x:c>
      <x:c r="Q1028" s="27" t="n">
        <x:f>(VLOOKUP(O1028,'Fee Data'!$C$6:$G$50,4,TRUE)+O1028*VLOOKUP(O1028,'Fee Data'!$C$6:$G$50,5,TRUE)+VLOOKUP(O1028,'Fee Data'!$I$6:$J$14,2,TRUE)+'Fee Data'!$J$20+'Fee Data'!$J$21)*'Assumptions'!H37</x:f>
        <x:v>600</x:v>
      </x:c>
      <x:c r="R1028" s="27" t="n">
        <x:f>P1028*(1-'Assumptions'!$D$14)+Q1028*'Assumptions'!$D$14</x:f>
        <x:v>672.5</x:v>
      </x:c>
      <x:c r="S1028" s="27" t="n">
        <x:f>O1028*'Carrier Engine'!E95</x:f>
        <x:v>82.37798428450827</x:v>
      </x:c>
      <x:c r="T1028" s="28" t="n">
        <x:f>R1028+S1028</x:f>
        <x:v>754.8779842845083</x:v>
      </x:c>
      <x:c r="U1028" s="27" t="n">
        <x:f>N1028*'Fleet Engine'!J211</x:f>
        <x:v>299.2314356257554</x:v>
      </x:c>
      <x:c r="V1028" s="28" t="n">
        <x:f>U1028*T1028</x:f>
        <x:v>225883.22295972987</x:v>
      </x:c>
      <x:c r="W1028" s="28" t="n">
        <x:f>U1028*O1028</x:f>
        <x:v>616252.0625352331</x:v>
      </x:c>
    </x:row>
    <x:row r="1029" ht="19" customHeight="1">
      <x:c r="A1029" s="2"/>
      <x:c r="B1029" s="2"/>
      <x:c r="C1029" s="46" t="n">
        <x:v>4</x:v>
      </x:c>
      <x:c r="D1029" s="46" t="n">
        <x:v>17</x:v>
      </x:c>
      <x:c r="E1029" s="46" t="n">
        <x:v>2</x:v>
      </x:c>
      <x:c r="F1029" s="46" t="n">
        <x:v>5</x:v>
      </x:c>
      <x:c r="G1029" s="12" t="n">
        <x:v>0.6666666666666666</x:v>
      </x:c>
      <x:c r="H1029" s="12" t="n">
        <x:v>0.7777777777777778</x:v>
      </x:c>
      <x:c r="I1029" s="29" t="n">
        <x:f>'Assumptions'!$D$11+'Assumptions'!$D$12*(0.5-(G1029+H1029)/2)</x:f>
        <x:v>0.25555555555555554</x:v>
      </x:c>
      <x:c r="J1029" s="27" t="n">
        <x:f>'Assumptions'!$D$8*EXP(-'Assumptions'!$D$9*('Fleet Engine'!E211-10))*'Assumptions'!E57*'Assumptions'!H36</x:f>
        <x:v>7414.018585605744</x:v>
      </x:c>
      <x:c r="K1029" s="27" t="n">
        <x:f>'Source Data'!F222+LN('Assumptions'!D57)+LN('Assumptions'!H35)</x:f>
        <x:v>8.319557366061195</x:v>
      </x:c>
      <x:c r="L1029" s="27" t="n">
        <x:f>J1029*(1-I1029*(1-'Carrier Engine'!E95))</x:f>
        <x:v>5595.112692603802</x:v>
      </x:c>
      <x:c r="M1029" s="29" t="n">
        <x:f>NORM.S.DIST((LN(L1029)-K1029)/'Assumptions'!$D$10,TRUE)</x:f>
        <x:v>0.5782758099492802</x:v>
      </x:c>
      <x:c r="N1029" s="30" t="n">
        <x:f>MAX(0,H1029-MAX(G1029,M1029))</x:f>
        <x:v>0.11111111111111116</x:v>
      </x:c>
      <x:c r="O1029" s="28" t="n">
        <x:f>J1029*I1029</x:f>
        <x:v>1894.69363854369</x:v>
      </x:c>
      <x:c r="P1029" s="27" t="n">
        <x:f>(VLOOKUP(O1029,'Fee Data'!$C$6:$G$50,2,TRUE)+O1029*VLOOKUP(O1029,'Fee Data'!$C$6:$G$50,3,TRUE)+VLOOKUP(O1029,'Fee Data'!$I$6:$J$14,2,TRUE)+'Fee Data'!$J$20+'Fee Data'!$J$21)*'Assumptions'!H37</x:f>
        <x:v>705</x:v>
      </x:c>
      <x:c r="Q1029" s="27" t="n">
        <x:f>(VLOOKUP(O1029,'Fee Data'!$C$6:$G$50,4,TRUE)+O1029*VLOOKUP(O1029,'Fee Data'!$C$6:$G$50,5,TRUE)+VLOOKUP(O1029,'Fee Data'!$I$6:$J$14,2,TRUE)+'Fee Data'!$J$20+'Fee Data'!$J$21)*'Assumptions'!H37</x:f>
        <x:v>565</x:v>
      </x:c>
      <x:c r="R1029" s="27" t="n">
        <x:f>P1029*(1-'Assumptions'!$D$14)+Q1029*'Assumptions'!$D$14</x:f>
        <x:v>635</x:v>
      </x:c>
      <x:c r="S1029" s="27" t="n">
        <x:f>O1029*'Carrier Engine'!E95</x:f>
        <x:v>75.78774554174761</x:v>
      </x:c>
      <x:c r="T1029" s="28" t="n">
        <x:f>R1029+S1029</x:f>
        <x:v>710.7877455417477</x:v>
      </x:c>
      <x:c r="U1029" s="27" t="n">
        <x:f>N1029*'Fleet Engine'!J211</x:f>
        <x:v>347.96985956943706</x:v>
      </x:c>
      <x:c r="V1029" s="28" t="n">
        <x:f>U1029*T1029</x:f>
        <x:v>247332.7119998387</x:v>
      </x:c>
      <x:c r="W1029" s="28" t="n">
        <x:f>U1029*O1029</x:f>
        <x:v>659296.2793311535</x:v>
      </x:c>
    </x:row>
    <x:row r="1030" ht="19" customHeight="1">
      <x:c r="A1030" s="2"/>
      <x:c r="B1030" s="2"/>
      <x:c r="C1030" s="46" t="n">
        <x:v>4</x:v>
      </x:c>
      <x:c r="D1030" s="46" t="n">
        <x:v>17</x:v>
      </x:c>
      <x:c r="E1030" s="46" t="n">
        <x:v>2</x:v>
      </x:c>
      <x:c r="F1030" s="46" t="n">
        <x:v>5</x:v>
      </x:c>
      <x:c r="G1030" s="12" t="n">
        <x:v>0.7777777777777778</x:v>
      </x:c>
      <x:c r="H1030" s="12" t="n">
        <x:v>0.8888888888888888</x:v>
      </x:c>
      <x:c r="I1030" s="29" t="n">
        <x:f>'Assumptions'!$D$11+'Assumptions'!$D$12*(0.5-(G1030+H1030)/2)</x:f>
        <x:v>0.23333333333333334</x:v>
      </x:c>
      <x:c r="J1030" s="27" t="n">
        <x:f>'Assumptions'!$D$8*EXP(-'Assumptions'!$D$9*('Fleet Engine'!E211-10))*'Assumptions'!E57*'Assumptions'!H36</x:f>
        <x:v>7414.018585605744</x:v>
      </x:c>
      <x:c r="K1030" s="27" t="n">
        <x:f>'Source Data'!F222+LN('Assumptions'!D57)+LN('Assumptions'!H35)</x:f>
        <x:v>8.319557366061195</x:v>
      </x:c>
      <x:c r="L1030" s="27" t="n">
        <x:f>J1030*(1-I1030*(1-'Carrier Engine'!E95))</x:f>
        <x:v>5753.278422430058</x:v>
      </x:c>
      <x:c r="M1030" s="29" t="n">
        <x:f>NORM.S.DIST((LN(L1030)-K1030)/'Assumptions'!$D$10,TRUE)</x:f>
        <x:v>0.5852090621304324</x:v>
      </x:c>
      <x:c r="N1030" s="30" t="n">
        <x:f>MAX(0,H1030-MAX(G1030,M1030))</x:f>
        <x:v>0.11111111111111105</x:v>
      </x:c>
      <x:c r="O1030" s="28" t="n">
        <x:f>J1030*I1030</x:f>
        <x:v>1729.9376699746738</x:v>
      </x:c>
      <x:c r="P1030" s="27" t="n">
        <x:f>(VLOOKUP(O1030,'Fee Data'!$C$6:$G$50,2,TRUE)+O1030*VLOOKUP(O1030,'Fee Data'!$C$6:$G$50,3,TRUE)+VLOOKUP(O1030,'Fee Data'!$I$6:$J$14,2,TRUE)+'Fee Data'!$J$20+'Fee Data'!$J$21)*'Assumptions'!H37</x:f>
        <x:v>680</x:v>
      </x:c>
      <x:c r="Q1030" s="27" t="n">
        <x:f>(VLOOKUP(O1030,'Fee Data'!$C$6:$G$50,4,TRUE)+O1030*VLOOKUP(O1030,'Fee Data'!$C$6:$G$50,5,TRUE)+VLOOKUP(O1030,'Fee Data'!$I$6:$J$14,2,TRUE)+'Fee Data'!$J$20+'Fee Data'!$J$21)*'Assumptions'!H37</x:f>
        <x:v>545</x:v>
      </x:c>
      <x:c r="R1030" s="27" t="n">
        <x:f>P1030*(1-'Assumptions'!$D$14)+Q1030*'Assumptions'!$D$14</x:f>
        <x:v>612.5</x:v>
      </x:c>
      <x:c r="S1030" s="27" t="n">
        <x:f>O1030*'Carrier Engine'!E95</x:f>
        <x:v>69.19750679898696</x:v>
      </x:c>
      <x:c r="T1030" s="28" t="n">
        <x:f>R1030+S1030</x:f>
        <x:v>681.697506798987</x:v>
      </x:c>
      <x:c r="U1030" s="27" t="n">
        <x:f>N1030*'Fleet Engine'!J211</x:f>
        <x:v>347.9698595694367</x:v>
      </x:c>
      <x:c r="V1030" s="28" t="n">
        <x:f>U1030*T1030</x:f>
        <x:v>237210.18570967863</x:v>
      </x:c>
      <x:c r="W1030" s="28" t="n">
        <x:f>U1030*O1030</x:f>
        <x:v>601966.1680849658</x:v>
      </x:c>
    </x:row>
    <x:row r="1031" ht="19" customHeight="1">
      <x:c r="A1031" s="2"/>
      <x:c r="B1031" s="2"/>
      <x:c r="C1031" s="46" t="n">
        <x:v>4</x:v>
      </x:c>
      <x:c r="D1031" s="46" t="n">
        <x:v>17</x:v>
      </x:c>
      <x:c r="E1031" s="46" t="n">
        <x:v>2</x:v>
      </x:c>
      <x:c r="F1031" s="46" t="n">
        <x:v>5</x:v>
      </x:c>
      <x:c r="G1031" s="12" t="n">
        <x:v>0.8888888888888888</x:v>
      </x:c>
      <x:c r="H1031" s="12" t="n">
        <x:v>1</x:v>
      </x:c>
      <x:c r="I1031" s="29" t="n">
        <x:f>'Assumptions'!$D$11+'Assumptions'!$D$12*(0.5-(G1031+H1031)/2)</x:f>
        <x:v>0.21111111111111108</x:v>
      </x:c>
      <x:c r="J1031" s="27" t="n">
        <x:f>'Assumptions'!$D$8*EXP(-'Assumptions'!$D$9*('Fleet Engine'!E211-10))*'Assumptions'!E57*'Assumptions'!H36</x:f>
        <x:v>7414.018585605744</x:v>
      </x:c>
      <x:c r="K1031" s="27" t="n">
        <x:f>'Source Data'!F222+LN('Assumptions'!D57)+LN('Assumptions'!H35)</x:f>
        <x:v>8.319557366061195</x:v>
      </x:c>
      <x:c r="L1031" s="27" t="n">
        <x:f>J1031*(1-I1031*(1-'Carrier Engine'!E95))</x:f>
        <x:v>5911.444152256314</x:v>
      </x:c>
      <x:c r="M1031" s="29" t="n">
        <x:f>NORM.S.DIST((LN(L1031)-K1031)/'Assumptions'!$D$10,TRUE)</x:f>
        <x:v>0.591928912547617</x:v>
      </x:c>
      <x:c r="N1031" s="30" t="n">
        <x:f>MAX(0,H1031-MAX(G1031,M1031))</x:f>
        <x:v>0.11111111111111116</x:v>
      </x:c>
      <x:c r="O1031" s="28" t="n">
        <x:f>J1031*I1031</x:f>
        <x:v>1565.181701405657</x:v>
      </x:c>
      <x:c r="P1031" s="27" t="n">
        <x:f>(VLOOKUP(O1031,'Fee Data'!$C$6:$G$50,2,TRUE)+O1031*VLOOKUP(O1031,'Fee Data'!$C$6:$G$50,3,TRUE)+VLOOKUP(O1031,'Fee Data'!$I$6:$J$14,2,TRUE)+'Fee Data'!$J$20+'Fee Data'!$J$21)*'Assumptions'!H37</x:f>
        <x:v>640</x:v>
      </x:c>
      <x:c r="Q1031" s="27" t="n">
        <x:f>(VLOOKUP(O1031,'Fee Data'!$C$6:$G$50,4,TRUE)+O1031*VLOOKUP(O1031,'Fee Data'!$C$6:$G$50,5,TRUE)+VLOOKUP(O1031,'Fee Data'!$I$6:$J$14,2,TRUE)+'Fee Data'!$J$20+'Fee Data'!$J$21)*'Assumptions'!H37</x:f>
        <x:v>510</x:v>
      </x:c>
      <x:c r="R1031" s="27" t="n">
        <x:f>P1031*(1-'Assumptions'!$D$14)+Q1031*'Assumptions'!$D$14</x:f>
        <x:v>575</x:v>
      </x:c>
      <x:c r="S1031" s="27" t="n">
        <x:f>O1031*'Carrier Engine'!E95</x:f>
        <x:v>62.60726805622629</x:v>
      </x:c>
      <x:c r="T1031" s="28" t="n">
        <x:f>R1031+S1031</x:f>
        <x:v>637.6072680562263</x:v>
      </x:c>
      <x:c r="U1031" s="27" t="n">
        <x:f>N1031*'Fleet Engine'!J211</x:f>
        <x:v>347.96985956943706</x:v>
      </x:c>
      <x:c r="V1031" s="28" t="n">
        <x:f>U1031*T1031</x:f>
        <x:v>221868.11152597747</x:v>
      </x:c>
      <x:c r="W1031" s="28" t="n">
        <x:f>U1031*O1031</x:f>
        <x:v>544636.056838779</x:v>
      </x:c>
    </x:row>
    <x:row r="1032" ht="19" customHeight="1">
      <x:c r="A1032" s="2"/>
      <x:c r="B1032" s="2"/>
      <x:c r="C1032" s="46" t="n">
        <x:v>4</x:v>
      </x:c>
      <x:c r="D1032" s="46" t="n">
        <x:v>18</x:v>
      </x:c>
      <x:c r="E1032" s="46" t="n">
        <x:v>3</x:v>
      </x:c>
      <x:c r="F1032" s="46" t="n">
        <x:v>0</x:v>
      </x:c>
      <x:c r="G1032" s="12" t="n">
        <x:v>0</x:v>
      </x:c>
      <x:c r="H1032" s="12" t="n">
        <x:v>0.1111111111111111</x:v>
      </x:c>
      <x:c r="I1032" s="29" t="n">
        <x:f>'Assumptions'!$D$11+'Assumptions'!$D$12*(0.5-(G1032+H1032)/2)</x:f>
        <x:v>0.3888888888888889</x:v>
      </x:c>
      <x:c r="J1032" s="27" t="n">
        <x:f>'Assumptions'!$D$8*EXP(-'Assumptions'!$D$9*('Fleet Engine'!E212-10))*'Assumptions'!E58*'Assumptions'!H36</x:f>
        <x:v>27182.818284590452</x:v>
      </x:c>
      <x:c r="K1032" s="27" t="n">
        <x:f>'Source Data'!F217+LN('Assumptions'!D58)+LN('Assumptions'!H35)</x:f>
        <x:v>8.005343029779286</x:v>
      </x:c>
      <x:c r="L1032" s="27" t="n">
        <x:f>J1032*(1-I1032*(1-'Carrier Engine'!E95))</x:f>
        <x:v>17034.566125010017</x:v>
      </x:c>
      <x:c r="M1032" s="29" t="n">
        <x:f>NORM.S.DIST((LN(L1032)-K1032)/'Assumptions'!$D$10,TRUE)</x:f>
        <x:v>0.8657757644693824</x:v>
      </x:c>
      <x:c r="N1032" s="30" t="n">
        <x:f>MAX(0,H1032-MAX(G1032,M1032))</x:f>
        <x:v>0</x:v>
      </x:c>
      <x:c r="O1032" s="28" t="n">
        <x:f>J1032*I1032</x:f>
        <x:v>10571.095999562955</x:v>
      </x:c>
      <x:c r="P1032" s="27" t="n">
        <x:f>(VLOOKUP(O1032,'Fee Data'!$C$6:$G$50,2,TRUE)+O1032*VLOOKUP(O1032,'Fee Data'!$C$6:$G$50,3,TRUE)+VLOOKUP(O1032,'Fee Data'!$I$6:$J$14,2,TRUE)+'Fee Data'!$J$20+'Fee Data'!$J$21)*'Assumptions'!H37</x:f>
        <x:v>1250</x:v>
      </x:c>
      <x:c r="Q1032" s="27" t="n">
        <x:f>(VLOOKUP(O1032,'Fee Data'!$C$6:$G$50,4,TRUE)+O1032*VLOOKUP(O1032,'Fee Data'!$C$6:$G$50,5,TRUE)+VLOOKUP(O1032,'Fee Data'!$I$6:$J$14,2,TRUE)+'Fee Data'!$J$20+'Fee Data'!$J$21)*'Assumptions'!H37</x:f>
        <x:v>1100</x:v>
      </x:c>
      <x:c r="R1032" s="27" t="n">
        <x:f>P1032*(1-'Assumptions'!$D$14)+Q1032*'Assumptions'!$D$14</x:f>
        <x:v>1175</x:v>
      </x:c>
      <x:c r="S1032" s="27" t="n">
        <x:f>O1032*'Carrier Engine'!E95</x:f>
        <x:v>422.84383998251826</x:v>
      </x:c>
      <x:c r="T1032" s="28" t="n">
        <x:f>R1032+S1032</x:f>
        <x:v>1597.8438399825181</x:v>
      </x:c>
      <x:c r="U1032" s="27" t="n">
        <x:f>N1032*'Fleet Engine'!J212</x:f>
        <x:v>0</x:v>
      </x:c>
      <x:c r="V1032" s="28" t="n">
        <x:f>U1032*T1032</x:f>
        <x:v>0</x:v>
      </x:c>
      <x:c r="W1032" s="28" t="n">
        <x:f>U1032*O1032</x:f>
        <x:v>0</x:v>
      </x:c>
    </x:row>
    <x:row r="1033" ht="19" customHeight="1">
      <x:c r="A1033" s="2"/>
      <x:c r="B1033" s="2"/>
      <x:c r="C1033" s="46" t="n">
        <x:v>4</x:v>
      </x:c>
      <x:c r="D1033" s="46" t="n">
        <x:v>18</x:v>
      </x:c>
      <x:c r="E1033" s="46" t="n">
        <x:v>3</x:v>
      </x:c>
      <x:c r="F1033" s="46" t="n">
        <x:v>0</x:v>
      </x:c>
      <x:c r="G1033" s="12" t="n">
        <x:v>0.1111111111111111</x:v>
      </x:c>
      <x:c r="H1033" s="12" t="n">
        <x:v>0.2222222222222222</x:v>
      </x:c>
      <x:c r="I1033" s="29" t="n">
        <x:f>'Assumptions'!$D$11+'Assumptions'!$D$12*(0.5-(G1033+H1033)/2)</x:f>
        <x:v>0.3666666666666667</x:v>
      </x:c>
      <x:c r="J1033" s="27" t="n">
        <x:f>'Assumptions'!$D$8*EXP(-'Assumptions'!$D$9*('Fleet Engine'!E212-10))*'Assumptions'!E58*'Assumptions'!H36</x:f>
        <x:v>27182.818284590452</x:v>
      </x:c>
      <x:c r="K1033" s="27" t="n">
        <x:f>'Source Data'!F217+LN('Assumptions'!D58)+LN('Assumptions'!H35)</x:f>
        <x:v>8.005343029779286</x:v>
      </x:c>
      <x:c r="L1033" s="27" t="n">
        <x:f>J1033*(1-I1033*(1-'Carrier Engine'!E95))</x:f>
        <x:v>17614.46624841461</x:v>
      </x:c>
      <x:c r="M1033" s="29" t="n">
        <x:f>NORM.S.DIST((LN(L1033)-K1033)/'Assumptions'!$D$10,TRUE)</x:f>
        <x:v>0.8703320319855985</x:v>
      </x:c>
      <x:c r="N1033" s="30" t="n">
        <x:f>MAX(0,H1033-MAX(G1033,M1033))</x:f>
        <x:v>0</x:v>
      </x:c>
      <x:c r="O1033" s="28" t="n">
        <x:f>J1033*I1033</x:f>
        <x:v>9967.0333710165</x:v>
      </x:c>
      <x:c r="P1033" s="27" t="n">
        <x:f>(VLOOKUP(O1033,'Fee Data'!$C$6:$G$50,2,TRUE)+O1033*VLOOKUP(O1033,'Fee Data'!$C$6:$G$50,3,TRUE)+VLOOKUP(O1033,'Fee Data'!$I$6:$J$14,2,TRUE)+'Fee Data'!$J$20+'Fee Data'!$J$21)*'Assumptions'!H37</x:f>
        <x:v>1195</x:v>
      </x:c>
      <x:c r="Q1033" s="27" t="n">
        <x:f>(VLOOKUP(O1033,'Fee Data'!$C$6:$G$50,4,TRUE)+O1033*VLOOKUP(O1033,'Fee Data'!$C$6:$G$50,5,TRUE)+VLOOKUP(O1033,'Fee Data'!$I$6:$J$14,2,TRUE)+'Fee Data'!$J$20+'Fee Data'!$J$21)*'Assumptions'!H37</x:f>
        <x:v>1070</x:v>
      </x:c>
      <x:c r="R1033" s="27" t="n">
        <x:f>P1033*(1-'Assumptions'!$D$14)+Q1033*'Assumptions'!$D$14</x:f>
        <x:v>1132.5</x:v>
      </x:c>
      <x:c r="S1033" s="27" t="n">
        <x:f>O1033*'Carrier Engine'!E95</x:f>
        <x:v>398.68133484066004</x:v>
      </x:c>
      <x:c r="T1033" s="28" t="n">
        <x:f>R1033+S1033</x:f>
        <x:v>1531.18133484066</x:v>
      </x:c>
      <x:c r="U1033" s="27" t="n">
        <x:f>N1033*'Fleet Engine'!J212</x:f>
        <x:v>0</x:v>
      </x:c>
      <x:c r="V1033" s="28" t="n">
        <x:f>U1033*T1033</x:f>
        <x:v>0</x:v>
      </x:c>
      <x:c r="W1033" s="28" t="n">
        <x:f>U1033*O1033</x:f>
        <x:v>0</x:v>
      </x:c>
    </x:row>
    <x:row r="1034" ht="19" customHeight="1">
      <x:c r="A1034" s="2"/>
      <x:c r="B1034" s="2"/>
      <x:c r="C1034" s="46" t="n">
        <x:v>4</x:v>
      </x:c>
      <x:c r="D1034" s="46" t="n">
        <x:v>18</x:v>
      </x:c>
      <x:c r="E1034" s="46" t="n">
        <x:v>3</x:v>
      </x:c>
      <x:c r="F1034" s="46" t="n">
        <x:v>0</x:v>
      </x:c>
      <x:c r="G1034" s="12" t="n">
        <x:v>0.2222222222222222</x:v>
      </x:c>
      <x:c r="H1034" s="12" t="n">
        <x:v>0.3333333333333333</x:v>
      </x:c>
      <x:c r="I1034" s="29" t="n">
        <x:f>'Assumptions'!$D$11+'Assumptions'!$D$12*(0.5-(G1034+H1034)/2)</x:f>
        <x:v>0.34444444444444444</x:v>
      </x:c>
      <x:c r="J1034" s="27" t="n">
        <x:f>'Assumptions'!$D$8*EXP(-'Assumptions'!$D$9*('Fleet Engine'!E212-10))*'Assumptions'!E58*'Assumptions'!H36</x:f>
        <x:v>27182.818284590452</x:v>
      </x:c>
      <x:c r="K1034" s="27" t="n">
        <x:f>'Source Data'!F217+LN('Assumptions'!D58)+LN('Assumptions'!H35)</x:f>
        <x:v>8.005343029779286</x:v>
      </x:c>
      <x:c r="L1034" s="27" t="n">
        <x:f>J1034*(1-I1034*(1-'Carrier Engine'!E95))</x:f>
        <x:v>18194.36637181921</x:v>
      </x:c>
      <x:c r="M1034" s="29" t="n">
        <x:f>NORM.S.DIST((LN(L1034)-K1034)/'Assumptions'!$D$10,TRUE)</x:f>
        <x:v>0.874637643415871</x:v>
      </x:c>
      <x:c r="N1034" s="30" t="n">
        <x:f>MAX(0,H1034-MAX(G1034,M1034))</x:f>
        <x:v>0</x:v>
      </x:c>
      <x:c r="O1034" s="28" t="n">
        <x:f>J1034*I1034</x:f>
        <x:v>9362.970742470045</x:v>
      </x:c>
      <x:c r="P1034" s="27" t="n">
        <x:f>(VLOOKUP(O1034,'Fee Data'!$C$6:$G$50,2,TRUE)+O1034*VLOOKUP(O1034,'Fee Data'!$C$6:$G$50,3,TRUE)+VLOOKUP(O1034,'Fee Data'!$I$6:$J$14,2,TRUE)+'Fee Data'!$J$20+'Fee Data'!$J$21)*'Assumptions'!H37</x:f>
        <x:v>1195</x:v>
      </x:c>
      <x:c r="Q1034" s="27" t="n">
        <x:f>(VLOOKUP(O1034,'Fee Data'!$C$6:$G$50,4,TRUE)+O1034*VLOOKUP(O1034,'Fee Data'!$C$6:$G$50,5,TRUE)+VLOOKUP(O1034,'Fee Data'!$I$6:$J$14,2,TRUE)+'Fee Data'!$J$20+'Fee Data'!$J$21)*'Assumptions'!H37</x:f>
        <x:v>1070</x:v>
      </x:c>
      <x:c r="R1034" s="27" t="n">
        <x:f>P1034*(1-'Assumptions'!$D$14)+Q1034*'Assumptions'!$D$14</x:f>
        <x:v>1132.5</x:v>
      </x:c>
      <x:c r="S1034" s="27" t="n">
        <x:f>O1034*'Carrier Engine'!E95</x:f>
        <x:v>374.5188296988019</x:v>
      </x:c>
      <x:c r="T1034" s="28" t="n">
        <x:f>R1034+S1034</x:f>
        <x:v>1507.018829698802</x:v>
      </x:c>
      <x:c r="U1034" s="27" t="n">
        <x:f>N1034*'Fleet Engine'!J212</x:f>
        <x:v>0</x:v>
      </x:c>
      <x:c r="V1034" s="28" t="n">
        <x:f>U1034*T1034</x:f>
        <x:v>0</x:v>
      </x:c>
      <x:c r="W1034" s="28" t="n">
        <x:f>U1034*O1034</x:f>
        <x:v>0</x:v>
      </x:c>
    </x:row>
    <x:row r="1035" ht="19" customHeight="1">
      <x:c r="A1035" s="2"/>
      <x:c r="B1035" s="2"/>
      <x:c r="C1035" s="46" t="n">
        <x:v>4</x:v>
      </x:c>
      <x:c r="D1035" s="46" t="n">
        <x:v>18</x:v>
      </x:c>
      <x:c r="E1035" s="46" t="n">
        <x:v>3</x:v>
      </x:c>
      <x:c r="F1035" s="46" t="n">
        <x:v>0</x:v>
      </x:c>
      <x:c r="G1035" s="12" t="n">
        <x:v>0.3333333333333333</x:v>
      </x:c>
      <x:c r="H1035" s="12" t="n">
        <x:v>0.4444444444444444</x:v>
      </x:c>
      <x:c r="I1035" s="29" t="n">
        <x:f>'Assumptions'!$D$11+'Assumptions'!$D$12*(0.5-(G1035+H1035)/2)</x:f>
        <x:v>0.32222222222222224</x:v>
      </x:c>
      <x:c r="J1035" s="27" t="n">
        <x:f>'Assumptions'!$D$8*EXP(-'Assumptions'!$D$9*('Fleet Engine'!E212-10))*'Assumptions'!E58*'Assumptions'!H36</x:f>
        <x:v>27182.818284590452</x:v>
      </x:c>
      <x:c r="K1035" s="27" t="n">
        <x:f>'Source Data'!F217+LN('Assumptions'!D58)+LN('Assumptions'!H35)</x:f>
        <x:v>8.005343029779286</x:v>
      </x:c>
      <x:c r="L1035" s="27" t="n">
        <x:f>J1035*(1-I1035*(1-'Carrier Engine'!E95))</x:f>
        <x:v>18774.266495223805</x:v>
      </x:c>
      <x:c r="M1035" s="29" t="n">
        <x:f>NORM.S.DIST((LN(L1035)-K1035)/'Assumptions'!$D$10,TRUE)</x:f>
        <x:v>0.8787120289402852</x:v>
      </x:c>
      <x:c r="N1035" s="30" t="n">
        <x:f>MAX(0,H1035-MAX(G1035,M1035))</x:f>
        <x:v>0</x:v>
      </x:c>
      <x:c r="O1035" s="28" t="n">
        <x:f>J1035*I1035</x:f>
        <x:v>8758.908113923591</x:v>
      </x:c>
      <x:c r="P1035" s="27" t="n">
        <x:f>(VLOOKUP(O1035,'Fee Data'!$C$6:$G$50,2,TRUE)+O1035*VLOOKUP(O1035,'Fee Data'!$C$6:$G$50,3,TRUE)+VLOOKUP(O1035,'Fee Data'!$I$6:$J$14,2,TRUE)+'Fee Data'!$J$20+'Fee Data'!$J$21)*'Assumptions'!H37</x:f>
        <x:v>1195</x:v>
      </x:c>
      <x:c r="Q1035" s="27" t="n">
        <x:f>(VLOOKUP(O1035,'Fee Data'!$C$6:$G$50,4,TRUE)+O1035*VLOOKUP(O1035,'Fee Data'!$C$6:$G$50,5,TRUE)+VLOOKUP(O1035,'Fee Data'!$I$6:$J$14,2,TRUE)+'Fee Data'!$J$20+'Fee Data'!$J$21)*'Assumptions'!H37</x:f>
        <x:v>1070</x:v>
      </x:c>
      <x:c r="R1035" s="27" t="n">
        <x:f>P1035*(1-'Assumptions'!$D$14)+Q1035*'Assumptions'!$D$14</x:f>
        <x:v>1132.5</x:v>
      </x:c>
      <x:c r="S1035" s="27" t="n">
        <x:f>O1035*'Carrier Engine'!E95</x:f>
        <x:v>350.3563245569437</x:v>
      </x:c>
      <x:c r="T1035" s="28" t="n">
        <x:f>R1035+S1035</x:f>
        <x:v>1482.8563245569437</x:v>
      </x:c>
      <x:c r="U1035" s="27" t="n">
        <x:f>N1035*'Fleet Engine'!J212</x:f>
        <x:v>0</x:v>
      </x:c>
      <x:c r="V1035" s="28" t="n">
        <x:f>U1035*T1035</x:f>
        <x:v>0</x:v>
      </x:c>
      <x:c r="W1035" s="28" t="n">
        <x:f>U1035*O1035</x:f>
        <x:v>0</x:v>
      </x:c>
    </x:row>
    <x:row r="1036" ht="19" customHeight="1">
      <x:c r="A1036" s="2"/>
      <x:c r="B1036" s="2"/>
      <x:c r="C1036" s="46" t="n">
        <x:v>4</x:v>
      </x:c>
      <x:c r="D1036" s="46" t="n">
        <x:v>18</x:v>
      </x:c>
      <x:c r="E1036" s="46" t="n">
        <x:v>3</x:v>
      </x:c>
      <x:c r="F1036" s="46" t="n">
        <x:v>0</x:v>
      </x:c>
      <x:c r="G1036" s="12" t="n">
        <x:v>0.4444444444444444</x:v>
      </x:c>
      <x:c r="H1036" s="12" t="n">
        <x:v>0.5555555555555556</x:v>
      </x:c>
      <x:c r="I1036" s="29" t="n">
        <x:f>'Assumptions'!$D$11+'Assumptions'!$D$12*(0.5-(G1036+H1036)/2)</x:f>
        <x:v>0.3</x:v>
      </x:c>
      <x:c r="J1036" s="27" t="n">
        <x:f>'Assumptions'!$D$8*EXP(-'Assumptions'!$D$9*('Fleet Engine'!E212-10))*'Assumptions'!E58*'Assumptions'!H36</x:f>
        <x:v>27182.818284590452</x:v>
      </x:c>
      <x:c r="K1036" s="27" t="n">
        <x:f>'Source Data'!F217+LN('Assumptions'!D58)+LN('Assumptions'!H35)</x:f>
        <x:v>8.005343029779286</x:v>
      </x:c>
      <x:c r="L1036" s="27" t="n">
        <x:f>J1036*(1-I1036*(1-'Carrier Engine'!E95))</x:f>
        <x:v>19354.166618628402</x:v>
      </x:c>
      <x:c r="M1036" s="29" t="n">
        <x:f>NORM.S.DIST((LN(L1036)-K1036)/'Assumptions'!$D$10,TRUE)</x:f>
        <x:v>0.882572669925294</x:v>
      </x:c>
      <x:c r="N1036" s="30" t="n">
        <x:f>MAX(0,H1036-MAX(G1036,M1036))</x:f>
        <x:v>0</x:v>
      </x:c>
      <x:c r="O1036" s="28" t="n">
        <x:f>J1036*I1036</x:f>
        <x:v>8154.845485377135</x:v>
      </x:c>
      <x:c r="P1036" s="27" t="n">
        <x:f>(VLOOKUP(O1036,'Fee Data'!$C$6:$G$50,2,TRUE)+O1036*VLOOKUP(O1036,'Fee Data'!$C$6:$G$50,3,TRUE)+VLOOKUP(O1036,'Fee Data'!$I$6:$J$14,2,TRUE)+'Fee Data'!$J$20+'Fee Data'!$J$21)*'Assumptions'!H37</x:f>
        <x:v>1175</x:v>
      </x:c>
      <x:c r="Q1036" s="27" t="n">
        <x:f>(VLOOKUP(O1036,'Fee Data'!$C$6:$G$50,4,TRUE)+O1036*VLOOKUP(O1036,'Fee Data'!$C$6:$G$50,5,TRUE)+VLOOKUP(O1036,'Fee Data'!$I$6:$J$14,2,TRUE)+'Fee Data'!$J$20+'Fee Data'!$J$21)*'Assumptions'!H37</x:f>
        <x:v>1050</x:v>
      </x:c>
      <x:c r="R1036" s="27" t="n">
        <x:f>P1036*(1-'Assumptions'!$D$14)+Q1036*'Assumptions'!$D$14</x:f>
        <x:v>1112.5</x:v>
      </x:c>
      <x:c r="S1036" s="27" t="n">
        <x:f>O1036*'Carrier Engine'!E95</x:f>
        <x:v>326.1938194150855</x:v>
      </x:c>
      <x:c r="T1036" s="28" t="n">
        <x:f>R1036+S1036</x:f>
        <x:v>1438.6938194150855</x:v>
      </x:c>
      <x:c r="U1036" s="27" t="n">
        <x:f>N1036*'Fleet Engine'!J212</x:f>
        <x:v>0</x:v>
      </x:c>
      <x:c r="V1036" s="28" t="n">
        <x:f>U1036*T1036</x:f>
        <x:v>0</x:v>
      </x:c>
      <x:c r="W1036" s="28" t="n">
        <x:f>U1036*O1036</x:f>
        <x:v>0</x:v>
      </x:c>
    </x:row>
    <x:row r="1037" ht="19" customHeight="1">
      <x:c r="A1037" s="2"/>
      <x:c r="B1037" s="2"/>
      <x:c r="C1037" s="46" t="n">
        <x:v>4</x:v>
      </x:c>
      <x:c r="D1037" s="46" t="n">
        <x:v>18</x:v>
      </x:c>
      <x:c r="E1037" s="46" t="n">
        <x:v>3</x:v>
      </x:c>
      <x:c r="F1037" s="46" t="n">
        <x:v>0</x:v>
      </x:c>
      <x:c r="G1037" s="12" t="n">
        <x:v>0.5555555555555556</x:v>
      </x:c>
      <x:c r="H1037" s="12" t="n">
        <x:v>0.6666666666666666</x:v>
      </x:c>
      <x:c r="I1037" s="29" t="n">
        <x:f>'Assumptions'!$D$11+'Assumptions'!$D$12*(0.5-(G1037+H1037)/2)</x:f>
        <x:v>0.27777777777777773</x:v>
      </x:c>
      <x:c r="J1037" s="27" t="n">
        <x:f>'Assumptions'!$D$8*EXP(-'Assumptions'!$D$9*('Fleet Engine'!E212-10))*'Assumptions'!E58*'Assumptions'!H36</x:f>
        <x:v>27182.818284590452</x:v>
      </x:c>
      <x:c r="K1037" s="27" t="n">
        <x:f>'Source Data'!F217+LN('Assumptions'!D58)+LN('Assumptions'!H35)</x:f>
        <x:v>8.005343029779286</x:v>
      </x:c>
      <x:c r="L1037" s="27" t="n">
        <x:f>J1037*(1-I1037*(1-'Carrier Engine'!E95))</x:f>
        <x:v>19934.066742033</x:v>
      </x:c>
      <x:c r="M1037" s="29" t="n">
        <x:f>NORM.S.DIST((LN(L1037)-K1037)/'Assumptions'!$D$10,TRUE)</x:f>
        <x:v>0.8862353381924654</x:v>
      </x:c>
      <x:c r="N1037" s="30" t="n">
        <x:f>MAX(0,H1037-MAX(G1037,M1037))</x:f>
        <x:v>0</x:v>
      </x:c>
      <x:c r="O1037" s="28" t="n">
        <x:f>J1037*I1037</x:f>
        <x:v>7550.7828568306795</x:v>
      </x:c>
      <x:c r="P1037" s="27" t="n">
        <x:f>(VLOOKUP(O1037,'Fee Data'!$C$6:$G$50,2,TRUE)+O1037*VLOOKUP(O1037,'Fee Data'!$C$6:$G$50,3,TRUE)+VLOOKUP(O1037,'Fee Data'!$I$6:$J$14,2,TRUE)+'Fee Data'!$J$20+'Fee Data'!$J$21)*'Assumptions'!H37</x:f>
        <x:v>1135</x:v>
      </x:c>
      <x:c r="Q1037" s="27" t="n">
        <x:f>(VLOOKUP(O1037,'Fee Data'!$C$6:$G$50,4,TRUE)+O1037*VLOOKUP(O1037,'Fee Data'!$C$6:$G$50,5,TRUE)+VLOOKUP(O1037,'Fee Data'!$I$6:$J$14,2,TRUE)+'Fee Data'!$J$20+'Fee Data'!$J$21)*'Assumptions'!H37</x:f>
        <x:v>1010</x:v>
      </x:c>
      <x:c r="R1037" s="27" t="n">
        <x:f>P1037*(1-'Assumptions'!$D$14)+Q1037*'Assumptions'!$D$14</x:f>
        <x:v>1072.5</x:v>
      </x:c>
      <x:c r="S1037" s="27" t="n">
        <x:f>O1037*'Carrier Engine'!E95</x:f>
        <x:v>302.0313142732272</x:v>
      </x:c>
      <x:c r="T1037" s="28" t="n">
        <x:f>R1037+S1037</x:f>
        <x:v>1374.5313142732273</x:v>
      </x:c>
      <x:c r="U1037" s="27" t="n">
        <x:f>N1037*'Fleet Engine'!J212</x:f>
        <x:v>0</x:v>
      </x:c>
      <x:c r="V1037" s="28" t="n">
        <x:f>U1037*T1037</x:f>
        <x:v>0</x:v>
      </x:c>
      <x:c r="W1037" s="28" t="n">
        <x:f>U1037*O1037</x:f>
        <x:v>0</x:v>
      </x:c>
    </x:row>
    <x:row r="1038" ht="19" customHeight="1">
      <x:c r="A1038" s="2"/>
      <x:c r="B1038" s="2"/>
      <x:c r="C1038" s="46" t="n">
        <x:v>4</x:v>
      </x:c>
      <x:c r="D1038" s="46" t="n">
        <x:v>18</x:v>
      </x:c>
      <x:c r="E1038" s="46" t="n">
        <x:v>3</x:v>
      </x:c>
      <x:c r="F1038" s="46" t="n">
        <x:v>0</x:v>
      </x:c>
      <x:c r="G1038" s="12" t="n">
        <x:v>0.6666666666666666</x:v>
      </x:c>
      <x:c r="H1038" s="12" t="n">
        <x:v>0.7777777777777778</x:v>
      </x:c>
      <x:c r="I1038" s="29" t="n">
        <x:f>'Assumptions'!$D$11+'Assumptions'!$D$12*(0.5-(G1038+H1038)/2)</x:f>
        <x:v>0.25555555555555554</x:v>
      </x:c>
      <x:c r="J1038" s="27" t="n">
        <x:f>'Assumptions'!$D$8*EXP(-'Assumptions'!$D$9*('Fleet Engine'!E212-10))*'Assumptions'!E58*'Assumptions'!H36</x:f>
        <x:v>27182.818284590452</x:v>
      </x:c>
      <x:c r="K1038" s="27" t="n">
        <x:f>'Source Data'!F217+LN('Assumptions'!D58)+LN('Assumptions'!H35)</x:f>
        <x:v>8.005343029779286</x:v>
      </x:c>
      <x:c r="L1038" s="27" t="n">
        <x:f>J1038*(1-I1038*(1-'Carrier Engine'!E95))</x:f>
        <x:v>20513.966865437596</x:v>
      </x:c>
      <x:c r="M1038" s="29" t="n">
        <x:f>NORM.S.DIST((LN(L1038)-K1038)/'Assumptions'!$D$10,TRUE)</x:f>
        <x:v>0.8897143006733278</x:v>
      </x:c>
      <x:c r="N1038" s="30" t="n">
        <x:f>MAX(0,H1038-MAX(G1038,M1038))</x:f>
        <x:v>0</x:v>
      </x:c>
      <x:c r="O1038" s="28" t="n">
        <x:f>J1038*I1038</x:f>
        <x:v>6946.720228284226</x:v>
      </x:c>
      <x:c r="P1038" s="27" t="n">
        <x:f>(VLOOKUP(O1038,'Fee Data'!$C$6:$G$50,2,TRUE)+O1038*VLOOKUP(O1038,'Fee Data'!$C$6:$G$50,3,TRUE)+VLOOKUP(O1038,'Fee Data'!$I$6:$J$14,2,TRUE)+'Fee Data'!$J$20+'Fee Data'!$J$21)*'Assumptions'!H37</x:f>
        <x:v>1080</x:v>
      </x:c>
      <x:c r="Q1038" s="27" t="n">
        <x:f>(VLOOKUP(O1038,'Fee Data'!$C$6:$G$50,4,TRUE)+O1038*VLOOKUP(O1038,'Fee Data'!$C$6:$G$50,5,TRUE)+VLOOKUP(O1038,'Fee Data'!$I$6:$J$14,2,TRUE)+'Fee Data'!$J$20+'Fee Data'!$J$21)*'Assumptions'!H37</x:f>
        <x:v>955</x:v>
      </x:c>
      <x:c r="R1038" s="27" t="n">
        <x:f>P1038*(1-'Assumptions'!$D$14)+Q1038*'Assumptions'!$D$14</x:f>
        <x:v>1017.5</x:v>
      </x:c>
      <x:c r="S1038" s="27" t="n">
        <x:f>O1038*'Carrier Engine'!E95</x:f>
        <x:v>277.8688091313691</x:v>
      </x:c>
      <x:c r="T1038" s="28" t="n">
        <x:f>R1038+S1038</x:f>
        <x:v>1295.368809131369</x:v>
      </x:c>
      <x:c r="U1038" s="27" t="n">
        <x:f>N1038*'Fleet Engine'!J212</x:f>
        <x:v>0</x:v>
      </x:c>
      <x:c r="V1038" s="28" t="n">
        <x:f>U1038*T1038</x:f>
        <x:v>0</x:v>
      </x:c>
      <x:c r="W1038" s="28" t="n">
        <x:f>U1038*O1038</x:f>
        <x:v>0</x:v>
      </x:c>
    </x:row>
    <x:row r="1039" ht="19" customHeight="1">
      <x:c r="A1039" s="2"/>
      <x:c r="B1039" s="2"/>
      <x:c r="C1039" s="46" t="n">
        <x:v>4</x:v>
      </x:c>
      <x:c r="D1039" s="46" t="n">
        <x:v>18</x:v>
      </x:c>
      <x:c r="E1039" s="46" t="n">
        <x:v>3</x:v>
      </x:c>
      <x:c r="F1039" s="46" t="n">
        <x:v>0</x:v>
      </x:c>
      <x:c r="G1039" s="12" t="n">
        <x:v>0.7777777777777778</x:v>
      </x:c>
      <x:c r="H1039" s="12" t="n">
        <x:v>0.8888888888888888</x:v>
      </x:c>
      <x:c r="I1039" s="29" t="n">
        <x:f>'Assumptions'!$D$11+'Assumptions'!$D$12*(0.5-(G1039+H1039)/2)</x:f>
        <x:v>0.23333333333333334</x:v>
      </x:c>
      <x:c r="J1039" s="27" t="n">
        <x:f>'Assumptions'!$D$8*EXP(-'Assumptions'!$D$9*('Fleet Engine'!E212-10))*'Assumptions'!E58*'Assumptions'!H36</x:f>
        <x:v>27182.818284590452</x:v>
      </x:c>
      <x:c r="K1039" s="27" t="n">
        <x:f>'Source Data'!F217+LN('Assumptions'!D58)+LN('Assumptions'!H35)</x:f>
        <x:v>8.005343029779286</x:v>
      </x:c>
      <x:c r="L1039" s="27" t="n">
        <x:f>J1039*(1-I1039*(1-'Carrier Engine'!E95))</x:f>
        <x:v>21093.86698884219</x:v>
      </x:c>
      <x:c r="M1039" s="29" t="n">
        <x:f>NORM.S.DIST((LN(L1039)-K1039)/'Assumptions'!$D$10,TRUE)</x:f>
        <x:v>0.8930224951902263</x:v>
      </x:c>
      <x:c r="N1039" s="30" t="n">
        <x:f>MAX(0,H1039-MAX(G1039,M1039))</x:f>
        <x:v>0</x:v>
      </x:c>
      <x:c r="O1039" s="28" t="n">
        <x:f>J1039*I1039</x:f>
        <x:v>6342.657599737772</x:v>
      </x:c>
      <x:c r="P1039" s="27" t="n">
        <x:f>(VLOOKUP(O1039,'Fee Data'!$C$6:$G$50,2,TRUE)+O1039*VLOOKUP(O1039,'Fee Data'!$C$6:$G$50,3,TRUE)+VLOOKUP(O1039,'Fee Data'!$I$6:$J$14,2,TRUE)+'Fee Data'!$J$20+'Fee Data'!$J$21)*'Assumptions'!H37</x:f>
        <x:v>1060</x:v>
      </x:c>
      <x:c r="Q1039" s="27" t="n">
        <x:f>(VLOOKUP(O1039,'Fee Data'!$C$6:$G$50,4,TRUE)+O1039*VLOOKUP(O1039,'Fee Data'!$C$6:$G$50,5,TRUE)+VLOOKUP(O1039,'Fee Data'!$I$6:$J$14,2,TRUE)+'Fee Data'!$J$20+'Fee Data'!$J$21)*'Assumptions'!H37</x:f>
        <x:v>935</x:v>
      </x:c>
      <x:c r="R1039" s="27" t="n">
        <x:f>P1039*(1-'Assumptions'!$D$14)+Q1039*'Assumptions'!$D$14</x:f>
        <x:v>997.5</x:v>
      </x:c>
      <x:c r="S1039" s="27" t="n">
        <x:f>O1039*'Carrier Engine'!E95</x:f>
        <x:v>253.70630398951093</x:v>
      </x:c>
      <x:c r="T1039" s="28" t="n">
        <x:f>R1039+S1039</x:f>
        <x:v>1251.2063039895108</x:v>
      </x:c>
      <x:c r="U1039" s="27" t="n">
        <x:f>N1039*'Fleet Engine'!J212</x:f>
        <x:v>0</x:v>
      </x:c>
      <x:c r="V1039" s="28" t="n">
        <x:f>U1039*T1039</x:f>
        <x:v>0</x:v>
      </x:c>
      <x:c r="W1039" s="28" t="n">
        <x:f>U1039*O1039</x:f>
        <x:v>0</x:v>
      </x:c>
    </x:row>
    <x:row r="1040" ht="19" customHeight="1">
      <x:c r="A1040" s="2"/>
      <x:c r="B1040" s="2"/>
      <x:c r="C1040" s="46" t="n">
        <x:v>4</x:v>
      </x:c>
      <x:c r="D1040" s="46" t="n">
        <x:v>18</x:v>
      </x:c>
      <x:c r="E1040" s="46" t="n">
        <x:v>3</x:v>
      </x:c>
      <x:c r="F1040" s="46" t="n">
        <x:v>0</x:v>
      </x:c>
      <x:c r="G1040" s="12" t="n">
        <x:v>0.8888888888888888</x:v>
      </x:c>
      <x:c r="H1040" s="12" t="n">
        <x:v>1</x:v>
      </x:c>
      <x:c r="I1040" s="29" t="n">
        <x:f>'Assumptions'!$D$11+'Assumptions'!$D$12*(0.5-(G1040+H1040)/2)</x:f>
        <x:v>0.21111111111111108</x:v>
      </x:c>
      <x:c r="J1040" s="27" t="n">
        <x:f>'Assumptions'!$D$8*EXP(-'Assumptions'!$D$9*('Fleet Engine'!E212-10))*'Assumptions'!E58*'Assumptions'!H36</x:f>
        <x:v>27182.818284590452</x:v>
      </x:c>
      <x:c r="K1040" s="27" t="n">
        <x:f>'Source Data'!F217+LN('Assumptions'!D58)+LN('Assumptions'!H35)</x:f>
        <x:v>8.005343029779286</x:v>
      </x:c>
      <x:c r="L1040" s="27" t="n">
        <x:f>J1040*(1-I1040*(1-'Carrier Engine'!E95))</x:f>
        <x:v>21673.767112246787</x:v>
      </x:c>
      <x:c r="M1040" s="29" t="n">
        <x:f>NORM.S.DIST((LN(L1040)-K1040)/'Assumptions'!$D$10,TRUE)</x:f>
        <x:v>0.8961716820343077</x:v>
      </x:c>
      <x:c r="N1040" s="30" t="n">
        <x:f>MAX(0,H1040-MAX(G1040,M1040))</x:f>
        <x:v>0.10382831796569225</x:v>
      </x:c>
      <x:c r="O1040" s="28" t="n">
        <x:f>J1040*I1040</x:f>
        <x:v>5738.594971191317</x:v>
      </x:c>
      <x:c r="P1040" s="27" t="n">
        <x:f>(VLOOKUP(O1040,'Fee Data'!$C$6:$G$50,2,TRUE)+O1040*VLOOKUP(O1040,'Fee Data'!$C$6:$G$50,3,TRUE)+VLOOKUP(O1040,'Fee Data'!$I$6:$J$14,2,TRUE)+'Fee Data'!$J$20+'Fee Data'!$J$21)*'Assumptions'!H37</x:f>
        <x:v>1020</x:v>
      </x:c>
      <x:c r="Q1040" s="27" t="n">
        <x:f>(VLOOKUP(O1040,'Fee Data'!$C$6:$G$50,4,TRUE)+O1040*VLOOKUP(O1040,'Fee Data'!$C$6:$G$50,5,TRUE)+VLOOKUP(O1040,'Fee Data'!$I$6:$J$14,2,TRUE)+'Fee Data'!$J$20+'Fee Data'!$J$21)*'Assumptions'!H37</x:f>
        <x:v>895</x:v>
      </x:c>
      <x:c r="R1040" s="27" t="n">
        <x:f>P1040*(1-'Assumptions'!$D$14)+Q1040*'Assumptions'!$D$14</x:f>
        <x:v>957.5</x:v>
      </x:c>
      <x:c r="S1040" s="27" t="n">
        <x:f>O1040*'Carrier Engine'!E95</x:f>
        <x:v>229.54379884765274</x:v>
      </x:c>
      <x:c r="T1040" s="28" t="n">
        <x:f>R1040+S1040</x:f>
        <x:v>1187.0437988476529</x:v>
      </x:c>
      <x:c r="U1040" s="27" t="n">
        <x:f>N1040*'Fleet Engine'!J212</x:f>
        <x:v>56.531624803101806</x:v>
      </x:c>
      <x:c r="V1040" s="28" t="n">
        <x:f>U1040*T1040</x:f>
        <x:v>67105.51466130416</x:v>
      </x:c>
      <x:c r="W1040" s="28" t="n">
        <x:f>U1040*O1040</x:f>
        <x:v>324412.09780835436</x:v>
      </x:c>
    </x:row>
    <x:row r="1041" ht="19" customHeight="1">
      <x:c r="A1041" s="2"/>
      <x:c r="B1041" s="2"/>
      <x:c r="C1041" s="46" t="n">
        <x:v>4</x:v>
      </x:c>
      <x:c r="D1041" s="46" t="n">
        <x:v>19</x:v>
      </x:c>
      <x:c r="E1041" s="46" t="n">
        <x:v>3</x:v>
      </x:c>
      <x:c r="F1041" s="46" t="n">
        <x:v>1</x:v>
      </x:c>
      <x:c r="G1041" s="12" t="n">
        <x:v>0</x:v>
      </x:c>
      <x:c r="H1041" s="12" t="n">
        <x:v>0.1111111111111111</x:v>
      </x:c>
      <x:c r="I1041" s="29" t="n">
        <x:f>'Assumptions'!$D$11+'Assumptions'!$D$12*(0.5-(G1041+H1041)/2)</x:f>
        <x:v>0.3888888888888889</x:v>
      </x:c>
      <x:c r="J1041" s="27" t="n">
        <x:f>'Assumptions'!$D$8*EXP(-'Assumptions'!$D$9*('Fleet Engine'!E213-10))*'Assumptions'!E58*'Assumptions'!H36</x:f>
        <x:v>22255.409284924677</x:v>
      </x:c>
      <x:c r="K1041" s="27" t="n">
        <x:f>'Source Data'!F218+LN('Assumptions'!D58)+LN('Assumptions'!H35)</x:f>
        <x:v>7.890902228235048</x:v>
      </x:c>
      <x:c r="L1041" s="27" t="n">
        <x:f>J1041*(1-I1041*(1-'Carrier Engine'!E95))</x:f>
        <x:v>13946.723151886132</x:v>
      </x:c>
      <x:c r="M1041" s="29" t="n">
        <x:f>NORM.S.DIST((LN(L1041)-K1041)/'Assumptions'!$D$10,TRUE)</x:f>
        <x:v>0.8536354275611799</x:v>
      </x:c>
      <x:c r="N1041" s="30" t="n">
        <x:f>MAX(0,H1041-MAX(G1041,M1041))</x:f>
        <x:v>0</x:v>
      </x:c>
      <x:c r="O1041" s="28" t="n">
        <x:f>J1041*I1041</x:f>
        <x:v>8654.88138858182</x:v>
      </x:c>
      <x:c r="P1041" s="27" t="n">
        <x:f>(VLOOKUP(O1041,'Fee Data'!$C$6:$G$50,2,TRUE)+O1041*VLOOKUP(O1041,'Fee Data'!$C$6:$G$50,3,TRUE)+VLOOKUP(O1041,'Fee Data'!$I$6:$J$14,2,TRUE)+'Fee Data'!$J$20+'Fee Data'!$J$21)*'Assumptions'!H37</x:f>
        <x:v>1195</x:v>
      </x:c>
      <x:c r="Q1041" s="27" t="n">
        <x:f>(VLOOKUP(O1041,'Fee Data'!$C$6:$G$50,4,TRUE)+O1041*VLOOKUP(O1041,'Fee Data'!$C$6:$G$50,5,TRUE)+VLOOKUP(O1041,'Fee Data'!$I$6:$J$14,2,TRUE)+'Fee Data'!$J$20+'Fee Data'!$J$21)*'Assumptions'!H37</x:f>
        <x:v>1070</x:v>
      </x:c>
      <x:c r="R1041" s="27" t="n">
        <x:f>P1041*(1-'Assumptions'!$D$14)+Q1041*'Assumptions'!$D$14</x:f>
        <x:v>1132.5</x:v>
      </x:c>
      <x:c r="S1041" s="27" t="n">
        <x:f>O1041*'Carrier Engine'!E95</x:f>
        <x:v>346.1952555432729</x:v>
      </x:c>
      <x:c r="T1041" s="28" t="n">
        <x:f>R1041+S1041</x:f>
        <x:v>1478.6952555432729</x:v>
      </x:c>
      <x:c r="U1041" s="27" t="n">
        <x:f>N1041*'Fleet Engine'!J213</x:f>
        <x:v>0</x:v>
      </x:c>
      <x:c r="V1041" s="28" t="n">
        <x:f>U1041*T1041</x:f>
        <x:v>0</x:v>
      </x:c>
      <x:c r="W1041" s="28" t="n">
        <x:f>U1041*O1041</x:f>
        <x:v>0</x:v>
      </x:c>
    </x:row>
    <x:row r="1042" ht="19" customHeight="1">
      <x:c r="A1042" s="2"/>
      <x:c r="B1042" s="2"/>
      <x:c r="C1042" s="46" t="n">
        <x:v>4</x:v>
      </x:c>
      <x:c r="D1042" s="46" t="n">
        <x:v>19</x:v>
      </x:c>
      <x:c r="E1042" s="46" t="n">
        <x:v>3</x:v>
      </x:c>
      <x:c r="F1042" s="46" t="n">
        <x:v>1</x:v>
      </x:c>
      <x:c r="G1042" s="12" t="n">
        <x:v>0.1111111111111111</x:v>
      </x:c>
      <x:c r="H1042" s="12" t="n">
        <x:v>0.2222222222222222</x:v>
      </x:c>
      <x:c r="I1042" s="29" t="n">
        <x:f>'Assumptions'!$D$11+'Assumptions'!$D$12*(0.5-(G1042+H1042)/2)</x:f>
        <x:v>0.3666666666666667</x:v>
      </x:c>
      <x:c r="J1042" s="27" t="n">
        <x:f>'Assumptions'!$D$8*EXP(-'Assumptions'!$D$9*('Fleet Engine'!E213-10))*'Assumptions'!E58*'Assumptions'!H36</x:f>
        <x:v>22255.409284924677</x:v>
      </x:c>
      <x:c r="K1042" s="27" t="n">
        <x:f>'Source Data'!F218+LN('Assumptions'!D58)+LN('Assumptions'!H35)</x:f>
        <x:v>7.890902228235048</x:v>
      </x:c>
      <x:c r="L1042" s="27" t="n">
        <x:f>J1042*(1-I1042*(1-'Carrier Engine'!E95))</x:f>
        <x:v>14421.505216631189</x:v>
      </x:c>
      <x:c r="M1042" s="29" t="n">
        <x:f>NORM.S.DIST((LN(L1042)-K1042)/'Assumptions'!$D$10,TRUE)</x:f>
        <x:v>0.858470508362788</x:v>
      </x:c>
      <x:c r="N1042" s="30" t="n">
        <x:f>MAX(0,H1042-MAX(G1042,M1042))</x:f>
        <x:v>0</x:v>
      </x:c>
      <x:c r="O1042" s="28" t="n">
        <x:f>J1042*I1042</x:f>
        <x:v>8160.316737805716</x:v>
      </x:c>
      <x:c r="P1042" s="27" t="n">
        <x:f>(VLOOKUP(O1042,'Fee Data'!$C$6:$G$50,2,TRUE)+O1042*VLOOKUP(O1042,'Fee Data'!$C$6:$G$50,3,TRUE)+VLOOKUP(O1042,'Fee Data'!$I$6:$J$14,2,TRUE)+'Fee Data'!$J$20+'Fee Data'!$J$21)*'Assumptions'!H37</x:f>
        <x:v>1175</x:v>
      </x:c>
      <x:c r="Q1042" s="27" t="n">
        <x:f>(VLOOKUP(O1042,'Fee Data'!$C$6:$G$50,4,TRUE)+O1042*VLOOKUP(O1042,'Fee Data'!$C$6:$G$50,5,TRUE)+VLOOKUP(O1042,'Fee Data'!$I$6:$J$14,2,TRUE)+'Fee Data'!$J$20+'Fee Data'!$J$21)*'Assumptions'!H37</x:f>
        <x:v>1050</x:v>
      </x:c>
      <x:c r="R1042" s="27" t="n">
        <x:f>P1042*(1-'Assumptions'!$D$14)+Q1042*'Assumptions'!$D$14</x:f>
        <x:v>1112.5</x:v>
      </x:c>
      <x:c r="S1042" s="27" t="n">
        <x:f>O1042*'Carrier Engine'!E95</x:f>
        <x:v>326.4126695122287</x:v>
      </x:c>
      <x:c r="T1042" s="28" t="n">
        <x:f>R1042+S1042</x:f>
        <x:v>1438.9126695122286</x:v>
      </x:c>
      <x:c r="U1042" s="27" t="n">
        <x:f>N1042*'Fleet Engine'!J213</x:f>
        <x:v>0</x:v>
      </x:c>
      <x:c r="V1042" s="28" t="n">
        <x:f>U1042*T1042</x:f>
        <x:v>0</x:v>
      </x:c>
      <x:c r="W1042" s="28" t="n">
        <x:f>U1042*O1042</x:f>
        <x:v>0</x:v>
      </x:c>
    </x:row>
    <x:row r="1043" ht="19" customHeight="1">
      <x:c r="A1043" s="2"/>
      <x:c r="B1043" s="2"/>
      <x:c r="C1043" s="46" t="n">
        <x:v>4</x:v>
      </x:c>
      <x:c r="D1043" s="46" t="n">
        <x:v>19</x:v>
      </x:c>
      <x:c r="E1043" s="46" t="n">
        <x:v>3</x:v>
      </x:c>
      <x:c r="F1043" s="46" t="n">
        <x:v>1</x:v>
      </x:c>
      <x:c r="G1043" s="12" t="n">
        <x:v>0.2222222222222222</x:v>
      </x:c>
      <x:c r="H1043" s="12" t="n">
        <x:v>0.3333333333333333</x:v>
      </x:c>
      <x:c r="I1043" s="29" t="n">
        <x:f>'Assumptions'!$D$11+'Assumptions'!$D$12*(0.5-(G1043+H1043)/2)</x:f>
        <x:v>0.34444444444444444</x:v>
      </x:c>
      <x:c r="J1043" s="27" t="n">
        <x:f>'Assumptions'!$D$8*EXP(-'Assumptions'!$D$9*('Fleet Engine'!E213-10))*'Assumptions'!E58*'Assumptions'!H36</x:f>
        <x:v>22255.409284924677</x:v>
      </x:c>
      <x:c r="K1043" s="27" t="n">
        <x:f>'Source Data'!F218+LN('Assumptions'!D58)+LN('Assumptions'!H35)</x:f>
        <x:v>7.890902228235048</x:v>
      </x:c>
      <x:c r="L1043" s="27" t="n">
        <x:f>J1043*(1-I1043*(1-'Carrier Engine'!E95))</x:f>
        <x:v>14896.287281376251</x:v>
      </x:c>
      <x:c r="M1043" s="29" t="n">
        <x:f>NORM.S.DIST((LN(L1043)-K1043)/'Assumptions'!$D$10,TRUE)</x:f>
        <x:v>0.8630448198872039</x:v>
      </x:c>
      <x:c r="N1043" s="30" t="n">
        <x:f>MAX(0,H1043-MAX(G1043,M1043))</x:f>
        <x:v>0</x:v>
      </x:c>
      <x:c r="O1043" s="28" t="n">
        <x:f>J1043*I1043</x:f>
        <x:v>7665.752087029611</x:v>
      </x:c>
      <x:c r="P1043" s="27" t="n">
        <x:f>(VLOOKUP(O1043,'Fee Data'!$C$6:$G$50,2,TRUE)+O1043*VLOOKUP(O1043,'Fee Data'!$C$6:$G$50,3,TRUE)+VLOOKUP(O1043,'Fee Data'!$I$6:$J$14,2,TRUE)+'Fee Data'!$J$20+'Fee Data'!$J$21)*'Assumptions'!H37</x:f>
        <x:v>1135</x:v>
      </x:c>
      <x:c r="Q1043" s="27" t="n">
        <x:f>(VLOOKUP(O1043,'Fee Data'!$C$6:$G$50,4,TRUE)+O1043*VLOOKUP(O1043,'Fee Data'!$C$6:$G$50,5,TRUE)+VLOOKUP(O1043,'Fee Data'!$I$6:$J$14,2,TRUE)+'Fee Data'!$J$20+'Fee Data'!$J$21)*'Assumptions'!H37</x:f>
        <x:v>1010</x:v>
      </x:c>
      <x:c r="R1043" s="27" t="n">
        <x:f>P1043*(1-'Assumptions'!$D$14)+Q1043*'Assumptions'!$D$14</x:f>
        <x:v>1072.5</x:v>
      </x:c>
      <x:c r="S1043" s="27" t="n">
        <x:f>O1043*'Carrier Engine'!E95</x:f>
        <x:v>306.6300834811845</x:v>
      </x:c>
      <x:c r="T1043" s="28" t="n">
        <x:f>R1043+S1043</x:f>
        <x:v>1379.1300834811846</x:v>
      </x:c>
      <x:c r="U1043" s="27" t="n">
        <x:f>N1043*'Fleet Engine'!J213</x:f>
        <x:v>0</x:v>
      </x:c>
      <x:c r="V1043" s="28" t="n">
        <x:f>U1043*T1043</x:f>
        <x:v>0</x:v>
      </x:c>
      <x:c r="W1043" s="28" t="n">
        <x:f>U1043*O1043</x:f>
        <x:v>0</x:v>
      </x:c>
    </x:row>
    <x:row r="1044" ht="19" customHeight="1">
      <x:c r="A1044" s="2"/>
      <x:c r="B1044" s="2"/>
      <x:c r="C1044" s="46" t="n">
        <x:v>4</x:v>
      </x:c>
      <x:c r="D1044" s="46" t="n">
        <x:v>19</x:v>
      </x:c>
      <x:c r="E1044" s="46" t="n">
        <x:v>3</x:v>
      </x:c>
      <x:c r="F1044" s="46" t="n">
        <x:v>1</x:v>
      </x:c>
      <x:c r="G1044" s="12" t="n">
        <x:v>0.3333333333333333</x:v>
      </x:c>
      <x:c r="H1044" s="12" t="n">
        <x:v>0.4444444444444444</x:v>
      </x:c>
      <x:c r="I1044" s="29" t="n">
        <x:f>'Assumptions'!$D$11+'Assumptions'!$D$12*(0.5-(G1044+H1044)/2)</x:f>
        <x:v>0.32222222222222224</x:v>
      </x:c>
      <x:c r="J1044" s="27" t="n">
        <x:f>'Assumptions'!$D$8*EXP(-'Assumptions'!$D$9*('Fleet Engine'!E213-10))*'Assumptions'!E58*'Assumptions'!H36</x:f>
        <x:v>22255.409284924677</x:v>
      </x:c>
      <x:c r="K1044" s="27" t="n">
        <x:f>'Source Data'!F218+LN('Assumptions'!D58)+LN('Assumptions'!H35)</x:f>
        <x:v>7.890902228235048</x:v>
      </x:c>
      <x:c r="L1044" s="27" t="n">
        <x:f>J1044*(1-I1044*(1-'Carrier Engine'!E95))</x:f>
        <x:v>15371.06934612131</x:v>
      </x:c>
      <x:c r="M1044" s="29" t="n">
        <x:f>NORM.S.DIST((LN(L1044)-K1044)/'Assumptions'!$D$10,TRUE)</x:f>
        <x:v>0.8673782677431042</x:v>
      </x:c>
      <x:c r="N1044" s="30" t="n">
        <x:f>MAX(0,H1044-MAX(G1044,M1044))</x:f>
        <x:v>0</x:v>
      </x:c>
      <x:c r="O1044" s="28" t="n">
        <x:f>J1044*I1044</x:f>
        <x:v>7171.187436253507</x:v>
      </x:c>
      <x:c r="P1044" s="27" t="n">
        <x:f>(VLOOKUP(O1044,'Fee Data'!$C$6:$G$50,2,TRUE)+O1044*VLOOKUP(O1044,'Fee Data'!$C$6:$G$50,3,TRUE)+VLOOKUP(O1044,'Fee Data'!$I$6:$J$14,2,TRUE)+'Fee Data'!$J$20+'Fee Data'!$J$21)*'Assumptions'!H37</x:f>
        <x:v>1115</x:v>
      </x:c>
      <x:c r="Q1044" s="27" t="n">
        <x:f>(VLOOKUP(O1044,'Fee Data'!$C$6:$G$50,4,TRUE)+O1044*VLOOKUP(O1044,'Fee Data'!$C$6:$G$50,5,TRUE)+VLOOKUP(O1044,'Fee Data'!$I$6:$J$14,2,TRUE)+'Fee Data'!$J$20+'Fee Data'!$J$21)*'Assumptions'!H37</x:f>
        <x:v>990</x:v>
      </x:c>
      <x:c r="R1044" s="27" t="n">
        <x:f>P1044*(1-'Assumptions'!$D$14)+Q1044*'Assumptions'!$D$14</x:f>
        <x:v>1052.5</x:v>
      </x:c>
      <x:c r="S1044" s="27" t="n">
        <x:f>O1044*'Carrier Engine'!E95</x:f>
        <x:v>286.84749745014034</x:v>
      </x:c>
      <x:c r="T1044" s="28" t="n">
        <x:f>R1044+S1044</x:f>
        <x:v>1339.3474974501403</x:v>
      </x:c>
      <x:c r="U1044" s="27" t="n">
        <x:f>N1044*'Fleet Engine'!J213</x:f>
        <x:v>0</x:v>
      </x:c>
      <x:c r="V1044" s="28" t="n">
        <x:f>U1044*T1044</x:f>
        <x:v>0</x:v>
      </x:c>
      <x:c r="W1044" s="28" t="n">
        <x:f>U1044*O1044</x:f>
        <x:v>0</x:v>
      </x:c>
    </x:row>
    <x:row r="1045" ht="19" customHeight="1">
      <x:c r="A1045" s="2"/>
      <x:c r="B1045" s="2"/>
      <x:c r="C1045" s="46" t="n">
        <x:v>4</x:v>
      </x:c>
      <x:c r="D1045" s="46" t="n">
        <x:v>19</x:v>
      </x:c>
      <x:c r="E1045" s="46" t="n">
        <x:v>3</x:v>
      </x:c>
      <x:c r="F1045" s="46" t="n">
        <x:v>1</x:v>
      </x:c>
      <x:c r="G1045" s="12" t="n">
        <x:v>0.4444444444444444</x:v>
      </x:c>
      <x:c r="H1045" s="12" t="n">
        <x:v>0.5555555555555556</x:v>
      </x:c>
      <x:c r="I1045" s="29" t="n">
        <x:f>'Assumptions'!$D$11+'Assumptions'!$D$12*(0.5-(G1045+H1045)/2)</x:f>
        <x:v>0.3</x:v>
      </x:c>
      <x:c r="J1045" s="27" t="n">
        <x:f>'Assumptions'!$D$8*EXP(-'Assumptions'!$D$9*('Fleet Engine'!E213-10))*'Assumptions'!E58*'Assumptions'!H36</x:f>
        <x:v>22255.409284924677</x:v>
      </x:c>
      <x:c r="K1045" s="27" t="n">
        <x:f>'Source Data'!F218+LN('Assumptions'!D58)+LN('Assumptions'!H35)</x:f>
        <x:v>7.890902228235048</x:v>
      </x:c>
      <x:c r="L1045" s="27" t="n">
        <x:f>J1045*(1-I1045*(1-'Carrier Engine'!E95))</x:f>
        <x:v>15845.85141086637</x:v>
      </x:c>
      <x:c r="M1045" s="29" t="n">
        <x:f>NORM.S.DIST((LN(L1045)-K1045)/'Assumptions'!$D$10,TRUE)</x:f>
        <x:v>0.8714887858690716</x:v>
      </x:c>
      <x:c r="N1045" s="30" t="n">
        <x:f>MAX(0,H1045-MAX(G1045,M1045))</x:f>
        <x:v>0</x:v>
      </x:c>
      <x:c r="O1045" s="28" t="n">
        <x:f>J1045*I1045</x:f>
        <x:v>6676.622785477403</x:v>
      </x:c>
      <x:c r="P1045" s="27" t="n">
        <x:f>(VLOOKUP(O1045,'Fee Data'!$C$6:$G$50,2,TRUE)+O1045*VLOOKUP(O1045,'Fee Data'!$C$6:$G$50,3,TRUE)+VLOOKUP(O1045,'Fee Data'!$I$6:$J$14,2,TRUE)+'Fee Data'!$J$20+'Fee Data'!$J$21)*'Assumptions'!H37</x:f>
        <x:v>1080</x:v>
      </x:c>
      <x:c r="Q1045" s="27" t="n">
        <x:f>(VLOOKUP(O1045,'Fee Data'!$C$6:$G$50,4,TRUE)+O1045*VLOOKUP(O1045,'Fee Data'!$C$6:$G$50,5,TRUE)+VLOOKUP(O1045,'Fee Data'!$I$6:$J$14,2,TRUE)+'Fee Data'!$J$20+'Fee Data'!$J$21)*'Assumptions'!H37</x:f>
        <x:v>955</x:v>
      </x:c>
      <x:c r="R1045" s="27" t="n">
        <x:f>P1045*(1-'Assumptions'!$D$14)+Q1045*'Assumptions'!$D$14</x:f>
        <x:v>1017.5</x:v>
      </x:c>
      <x:c r="S1045" s="27" t="n">
        <x:f>O1045*'Carrier Engine'!E95</x:f>
        <x:v>267.0649114190962</x:v>
      </x:c>
      <x:c r="T1045" s="28" t="n">
        <x:f>R1045+S1045</x:f>
        <x:v>1284.5649114190962</x:v>
      </x:c>
      <x:c r="U1045" s="27" t="n">
        <x:f>N1045*'Fleet Engine'!J213</x:f>
        <x:v>0</x:v>
      </x:c>
      <x:c r="V1045" s="28" t="n">
        <x:f>U1045*T1045</x:f>
        <x:v>0</x:v>
      </x:c>
      <x:c r="W1045" s="28" t="n">
        <x:f>U1045*O1045</x:f>
        <x:v>0</x:v>
      </x:c>
    </x:row>
    <x:row r="1046" ht="19" customHeight="1">
      <x:c r="A1046" s="2"/>
      <x:c r="B1046" s="2"/>
      <x:c r="C1046" s="46" t="n">
        <x:v>4</x:v>
      </x:c>
      <x:c r="D1046" s="46" t="n">
        <x:v>19</x:v>
      </x:c>
      <x:c r="E1046" s="46" t="n">
        <x:v>3</x:v>
      </x:c>
      <x:c r="F1046" s="46" t="n">
        <x:v>1</x:v>
      </x:c>
      <x:c r="G1046" s="12" t="n">
        <x:v>0.5555555555555556</x:v>
      </x:c>
      <x:c r="H1046" s="12" t="n">
        <x:v>0.6666666666666666</x:v>
      </x:c>
      <x:c r="I1046" s="29" t="n">
        <x:f>'Assumptions'!$D$11+'Assumptions'!$D$12*(0.5-(G1046+H1046)/2)</x:f>
        <x:v>0.27777777777777773</x:v>
      </x:c>
      <x:c r="J1046" s="27" t="n">
        <x:f>'Assumptions'!$D$8*EXP(-'Assumptions'!$D$9*('Fleet Engine'!E213-10))*'Assumptions'!E58*'Assumptions'!H36</x:f>
        <x:v>22255.409284924677</x:v>
      </x:c>
      <x:c r="K1046" s="27" t="n">
        <x:f>'Source Data'!F218+LN('Assumptions'!D58)+LN('Assumptions'!H35)</x:f>
        <x:v>7.890902228235048</x:v>
      </x:c>
      <x:c r="L1046" s="27" t="n">
        <x:f>J1046*(1-I1046*(1-'Carrier Engine'!E95))</x:f>
        <x:v>16320.633475611432</x:v>
      </x:c>
      <x:c r="M1046" s="29" t="n">
        <x:f>NORM.S.DIST((LN(L1046)-K1046)/'Assumptions'!$D$10,TRUE)</x:f>
        <x:v>0.875392576065582</x:v>
      </x:c>
      <x:c r="N1046" s="30" t="n">
        <x:f>MAX(0,H1046-MAX(G1046,M1046))</x:f>
        <x:v>0</x:v>
      </x:c>
      <x:c r="O1046" s="28" t="n">
        <x:f>J1046*I1046</x:f>
        <x:v>6182.0581347012985</x:v>
      </x:c>
      <x:c r="P1046" s="27" t="n">
        <x:f>(VLOOKUP(O1046,'Fee Data'!$C$6:$G$50,2,TRUE)+O1046*VLOOKUP(O1046,'Fee Data'!$C$6:$G$50,3,TRUE)+VLOOKUP(O1046,'Fee Data'!$I$6:$J$14,2,TRUE)+'Fee Data'!$J$20+'Fee Data'!$J$21)*'Assumptions'!H37</x:f>
        <x:v>1060</x:v>
      </x:c>
      <x:c r="Q1046" s="27" t="n">
        <x:f>(VLOOKUP(O1046,'Fee Data'!$C$6:$G$50,4,TRUE)+O1046*VLOOKUP(O1046,'Fee Data'!$C$6:$G$50,5,TRUE)+VLOOKUP(O1046,'Fee Data'!$I$6:$J$14,2,TRUE)+'Fee Data'!$J$20+'Fee Data'!$J$21)*'Assumptions'!H37</x:f>
        <x:v>935</x:v>
      </x:c>
      <x:c r="R1046" s="27" t="n">
        <x:f>P1046*(1-'Assumptions'!$D$14)+Q1046*'Assumptions'!$D$14</x:f>
        <x:v>997.5</x:v>
      </x:c>
      <x:c r="S1046" s="27" t="n">
        <x:f>O1046*'Carrier Engine'!E95</x:f>
        <x:v>247.282325388052</x:v>
      </x:c>
      <x:c r="T1046" s="28" t="n">
        <x:f>R1046+S1046</x:f>
        <x:v>1244.782325388052</x:v>
      </x:c>
      <x:c r="U1046" s="27" t="n">
        <x:f>N1046*'Fleet Engine'!J213</x:f>
        <x:v>0</x:v>
      </x:c>
      <x:c r="V1046" s="28" t="n">
        <x:f>U1046*T1046</x:f>
        <x:v>0</x:v>
      </x:c>
      <x:c r="W1046" s="28" t="n">
        <x:f>U1046*O1046</x:f>
        <x:v>0</x:v>
      </x:c>
    </x:row>
    <x:row r="1047" ht="19" customHeight="1">
      <x:c r="A1047" s="2"/>
      <x:c r="B1047" s="2"/>
      <x:c r="C1047" s="46" t="n">
        <x:v>4</x:v>
      </x:c>
      <x:c r="D1047" s="46" t="n">
        <x:v>19</x:v>
      </x:c>
      <x:c r="E1047" s="46" t="n">
        <x:v>3</x:v>
      </x:c>
      <x:c r="F1047" s="46" t="n">
        <x:v>1</x:v>
      </x:c>
      <x:c r="G1047" s="12" t="n">
        <x:v>0.6666666666666666</x:v>
      </x:c>
      <x:c r="H1047" s="12" t="n">
        <x:v>0.7777777777777778</x:v>
      </x:c>
      <x:c r="I1047" s="29" t="n">
        <x:f>'Assumptions'!$D$11+'Assumptions'!$D$12*(0.5-(G1047+H1047)/2)</x:f>
        <x:v>0.25555555555555554</x:v>
      </x:c>
      <x:c r="J1047" s="27" t="n">
        <x:f>'Assumptions'!$D$8*EXP(-'Assumptions'!$D$9*('Fleet Engine'!E213-10))*'Assumptions'!E58*'Assumptions'!H36</x:f>
        <x:v>22255.409284924677</x:v>
      </x:c>
      <x:c r="K1047" s="27" t="n">
        <x:f>'Source Data'!F218+LN('Assumptions'!D58)+LN('Assumptions'!H35)</x:f>
        <x:v>7.890902228235048</x:v>
      </x:c>
      <x:c r="L1047" s="27" t="n">
        <x:f>J1047*(1-I1047*(1-'Carrier Engine'!E95))</x:f>
        <x:v>16795.41554035649</x:v>
      </x:c>
      <x:c r="M1047" s="29" t="n">
        <x:f>NORM.S.DIST((LN(L1047)-K1047)/'Assumptions'!$D$10,TRUE)</x:f>
        <x:v>0.879104313191051</x:v>
      </x:c>
      <x:c r="N1047" s="30" t="n">
        <x:f>MAX(0,H1047-MAX(G1047,M1047))</x:f>
        <x:v>0</x:v>
      </x:c>
      <x:c r="O1047" s="28" t="n">
        <x:f>J1047*I1047</x:f>
        <x:v>5687.493483925195</x:v>
      </x:c>
      <x:c r="P1047" s="27" t="n">
        <x:f>(VLOOKUP(O1047,'Fee Data'!$C$6:$G$50,2,TRUE)+O1047*VLOOKUP(O1047,'Fee Data'!$C$6:$G$50,3,TRUE)+VLOOKUP(O1047,'Fee Data'!$I$6:$J$14,2,TRUE)+'Fee Data'!$J$20+'Fee Data'!$J$21)*'Assumptions'!H37</x:f>
        <x:v>1020</x:v>
      </x:c>
      <x:c r="Q1047" s="27" t="n">
        <x:f>(VLOOKUP(O1047,'Fee Data'!$C$6:$G$50,4,TRUE)+O1047*VLOOKUP(O1047,'Fee Data'!$C$6:$G$50,5,TRUE)+VLOOKUP(O1047,'Fee Data'!$I$6:$J$14,2,TRUE)+'Fee Data'!$J$20+'Fee Data'!$J$21)*'Assumptions'!H37</x:f>
        <x:v>895</x:v>
      </x:c>
      <x:c r="R1047" s="27" t="n">
        <x:f>P1047*(1-'Assumptions'!$D$14)+Q1047*'Assumptions'!$D$14</x:f>
        <x:v>957.5</x:v>
      </x:c>
      <x:c r="S1047" s="27" t="n">
        <x:f>O1047*'Carrier Engine'!E95</x:f>
        <x:v>227.49973935700783</x:v>
      </x:c>
      <x:c r="T1047" s="28" t="n">
        <x:f>R1047+S1047</x:f>
        <x:v>1184.999739357008</x:v>
      </x:c>
      <x:c r="U1047" s="27" t="n">
        <x:f>N1047*'Fleet Engine'!J213</x:f>
        <x:v>0</x:v>
      </x:c>
      <x:c r="V1047" s="28" t="n">
        <x:f>U1047*T1047</x:f>
        <x:v>0</x:v>
      </x:c>
      <x:c r="W1047" s="28" t="n">
        <x:f>U1047*O1047</x:f>
        <x:v>0</x:v>
      </x:c>
    </x:row>
    <x:row r="1048" ht="19" customHeight="1">
      <x:c r="A1048" s="2"/>
      <x:c r="B1048" s="2"/>
      <x:c r="C1048" s="46" t="n">
        <x:v>4</x:v>
      </x:c>
      <x:c r="D1048" s="46" t="n">
        <x:v>19</x:v>
      </x:c>
      <x:c r="E1048" s="46" t="n">
        <x:v>3</x:v>
      </x:c>
      <x:c r="F1048" s="46" t="n">
        <x:v>1</x:v>
      </x:c>
      <x:c r="G1048" s="12" t="n">
        <x:v>0.7777777777777778</x:v>
      </x:c>
      <x:c r="H1048" s="12" t="n">
        <x:v>0.8888888888888888</x:v>
      </x:c>
      <x:c r="I1048" s="29" t="n">
        <x:f>'Assumptions'!$D$11+'Assumptions'!$D$12*(0.5-(G1048+H1048)/2)</x:f>
        <x:v>0.23333333333333334</x:v>
      </x:c>
      <x:c r="J1048" s="27" t="n">
        <x:f>'Assumptions'!$D$8*EXP(-'Assumptions'!$D$9*('Fleet Engine'!E213-10))*'Assumptions'!E58*'Assumptions'!H36</x:f>
        <x:v>22255.409284924677</x:v>
      </x:c>
      <x:c r="K1048" s="27" t="n">
        <x:f>'Source Data'!F218+LN('Assumptions'!D58)+LN('Assumptions'!H35)</x:f>
        <x:v>7.890902228235048</x:v>
      </x:c>
      <x:c r="L1048" s="27" t="n">
        <x:f>J1048*(1-I1048*(1-'Carrier Engine'!E95))</x:f>
        <x:v>17270.19760510155</x:v>
      </x:c>
      <x:c r="M1048" s="29" t="n">
        <x:f>NORM.S.DIST((LN(L1048)-K1048)/'Assumptions'!$D$10,TRUE)</x:f>
        <x:v>0.8826373216697017</x:v>
      </x:c>
      <x:c r="N1048" s="30" t="n">
        <x:f>MAX(0,H1048-MAX(G1048,M1048))</x:f>
        <x:v>0.006251567219187182</x:v>
      </x:c>
      <x:c r="O1048" s="28" t="n">
        <x:f>J1048*I1048</x:f>
        <x:v>5192.928833149092</x:v>
      </x:c>
      <x:c r="P1048" s="27" t="n">
        <x:f>(VLOOKUP(O1048,'Fee Data'!$C$6:$G$50,2,TRUE)+O1048*VLOOKUP(O1048,'Fee Data'!$C$6:$G$50,3,TRUE)+VLOOKUP(O1048,'Fee Data'!$I$6:$J$14,2,TRUE)+'Fee Data'!$J$20+'Fee Data'!$J$21)*'Assumptions'!H37</x:f>
        <x:v>995</x:v>
      </x:c>
      <x:c r="Q1048" s="27" t="n">
        <x:f>(VLOOKUP(O1048,'Fee Data'!$C$6:$G$50,4,TRUE)+O1048*VLOOKUP(O1048,'Fee Data'!$C$6:$G$50,5,TRUE)+VLOOKUP(O1048,'Fee Data'!$I$6:$J$14,2,TRUE)+'Fee Data'!$J$20+'Fee Data'!$J$21)*'Assumptions'!H37</x:f>
        <x:v>870</x:v>
      </x:c>
      <x:c r="R1048" s="27" t="n">
        <x:f>P1048*(1-'Assumptions'!$D$14)+Q1048*'Assumptions'!$D$14</x:f>
        <x:v>932.5</x:v>
      </x:c>
      <x:c r="S1048" s="27" t="n">
        <x:f>O1048*'Carrier Engine'!E95</x:f>
        <x:v>207.7171533259637</x:v>
      </x:c>
      <x:c r="T1048" s="28" t="n">
        <x:f>R1048+S1048</x:f>
        <x:v>1140.2171533259636</x:v>
      </x:c>
      <x:c r="U1048" s="27" t="n">
        <x:f>N1048*'Fleet Engine'!J213</x:f>
        <x:v>18.822754401817736</x:v>
      </x:c>
      <x:c r="V1048" s="28" t="n">
        <x:f>U1048*T1048</x:f>
        <x:v>21462.02744179437</x:v>
      </x:c>
      <x:c r="W1048" s="28" t="n">
        <x:f>U1048*O1048</x:f>
        <x:v>97745.2240524833</x:v>
      </x:c>
    </x:row>
    <x:row r="1049" ht="19" customHeight="1">
      <x:c r="A1049" s="2"/>
      <x:c r="B1049" s="2"/>
      <x:c r="C1049" s="46" t="n">
        <x:v>4</x:v>
      </x:c>
      <x:c r="D1049" s="46" t="n">
        <x:v>19</x:v>
      </x:c>
      <x:c r="E1049" s="46" t="n">
        <x:v>3</x:v>
      </x:c>
      <x:c r="F1049" s="46" t="n">
        <x:v>1</x:v>
      </x:c>
      <x:c r="G1049" s="12" t="n">
        <x:v>0.8888888888888888</x:v>
      </x:c>
      <x:c r="H1049" s="12" t="n">
        <x:v>1</x:v>
      </x:c>
      <x:c r="I1049" s="29" t="n">
        <x:f>'Assumptions'!$D$11+'Assumptions'!$D$12*(0.5-(G1049+H1049)/2)</x:f>
        <x:v>0.21111111111111108</x:v>
      </x:c>
      <x:c r="J1049" s="27" t="n">
        <x:f>'Assumptions'!$D$8*EXP(-'Assumptions'!$D$9*('Fleet Engine'!E213-10))*'Assumptions'!E58*'Assumptions'!H36</x:f>
        <x:v>22255.409284924677</x:v>
      </x:c>
      <x:c r="K1049" s="27" t="n">
        <x:f>'Source Data'!F218+LN('Assumptions'!D58)+LN('Assumptions'!H35)</x:f>
        <x:v>7.890902228235048</x:v>
      </x:c>
      <x:c r="L1049" s="27" t="n">
        <x:f>J1049*(1-I1049*(1-'Carrier Engine'!E95))</x:f>
        <x:v>17744.97966984661</x:v>
      </x:c>
      <x:c r="M1049" s="29" t="n">
        <x:f>NORM.S.DIST((LN(L1049)-K1049)/'Assumptions'!$D$10,TRUE)</x:f>
        <x:v>0.8860037279150648</x:v>
      </x:c>
      <x:c r="N1049" s="30" t="n">
        <x:f>MAX(0,H1049-MAX(G1049,M1049))</x:f>
        <x:v>0.11111111111111116</x:v>
      </x:c>
      <x:c r="O1049" s="28" t="n">
        <x:f>J1049*I1049</x:f>
        <x:v>4698.364182372987</x:v>
      </x:c>
      <x:c r="P1049" s="27" t="n">
        <x:f>(VLOOKUP(O1049,'Fee Data'!$C$6:$G$50,2,TRUE)+O1049*VLOOKUP(O1049,'Fee Data'!$C$6:$G$50,3,TRUE)+VLOOKUP(O1049,'Fee Data'!$I$6:$J$14,2,TRUE)+'Fee Data'!$J$20+'Fee Data'!$J$21)*'Assumptions'!H37</x:f>
        <x:v>970</x:v>
      </x:c>
      <x:c r="Q1049" s="27" t="n">
        <x:f>(VLOOKUP(O1049,'Fee Data'!$C$6:$G$50,4,TRUE)+O1049*VLOOKUP(O1049,'Fee Data'!$C$6:$G$50,5,TRUE)+VLOOKUP(O1049,'Fee Data'!$I$6:$J$14,2,TRUE)+'Fee Data'!$J$20+'Fee Data'!$J$21)*'Assumptions'!H37</x:f>
        <x:v>845</x:v>
      </x:c>
      <x:c r="R1049" s="27" t="n">
        <x:f>P1049*(1-'Assumptions'!$D$14)+Q1049*'Assumptions'!$D$14</x:f>
        <x:v>907.5</x:v>
      </x:c>
      <x:c r="S1049" s="27" t="n">
        <x:f>O1049*'Carrier Engine'!E95</x:f>
        <x:v>187.9345672949195</x:v>
      </x:c>
      <x:c r="T1049" s="28" t="n">
        <x:f>R1049+S1049</x:f>
        <x:v>1095.4345672949196</x:v>
      </x:c>
      <x:c r="U1049" s="27" t="n">
        <x:f>N1049*'Fleet Engine'!J213</x:f>
        <x:v>334.5428566037957</x:v>
      </x:c>
      <x:c r="V1049" s="28" t="n">
        <x:f>U1049*T1049</x:f>
        <x:v>366469.80936538527</x:v>
      </x:c>
      <x:c r="W1049" s="28" t="n">
        <x:f>U1049*O1049</x:f>
        <x:v>1571804.174936016</x:v>
      </x:c>
    </x:row>
    <x:row r="1050" ht="19" customHeight="1">
      <x:c r="A1050" s="2"/>
      <x:c r="B1050" s="2"/>
      <x:c r="C1050" s="46" t="n">
        <x:v>4</x:v>
      </x:c>
      <x:c r="D1050" s="46" t="n">
        <x:v>20</x:v>
      </x:c>
      <x:c r="E1050" s="46" t="n">
        <x:v>3</x:v>
      </x:c>
      <x:c r="F1050" s="46" t="n">
        <x:v>2</x:v>
      </x:c>
      <x:c r="G1050" s="12" t="n">
        <x:v>0</x:v>
      </x:c>
      <x:c r="H1050" s="12" t="n">
        <x:v>0.1111111111111111</x:v>
      </x:c>
      <x:c r="I1050" s="29" t="n">
        <x:f>'Assumptions'!$D$11+'Assumptions'!$D$12*(0.5-(G1050+H1050)/2)</x:f>
        <x:v>0.3888888888888889</x:v>
      </x:c>
      <x:c r="J1050" s="27" t="n">
        <x:f>'Assumptions'!$D$8*EXP(-'Assumptions'!$D$9*('Fleet Engine'!E214-10))*'Assumptions'!E58*'Assumptions'!H36</x:f>
        <x:v>16487.212707001283</x:v>
      </x:c>
      <x:c r="K1050" s="27" t="n">
        <x:f>'Source Data'!F219+LN('Assumptions'!D58)+LN('Assumptions'!H35)</x:f>
        <x:v>7.936584069520856</x:v>
      </x:c>
      <x:c r="L1050" s="27" t="n">
        <x:f>J1050*(1-I1050*(1-'Carrier Engine'!E95))</x:f>
        <x:v>10331.986629720805</x:v>
      </x:c>
      <x:c r="M1050" s="29" t="n">
        <x:f>NORM.S.DIST((LN(L1050)-K1050)/'Assumptions'!$D$10,TRUE)</x:f>
        <x:v>0.7972963261215247</x:v>
      </x:c>
      <x:c r="N1050" s="30" t="n">
        <x:f>MAX(0,H1050-MAX(G1050,M1050))</x:f>
        <x:v>0</x:v>
      </x:c>
      <x:c r="O1050" s="28" t="n">
        <x:f>J1050*I1050</x:f>
        <x:v>6411.693830500499</x:v>
      </x:c>
      <x:c r="P1050" s="27" t="n">
        <x:f>(VLOOKUP(O1050,'Fee Data'!$C$6:$G$50,2,TRUE)+O1050*VLOOKUP(O1050,'Fee Data'!$C$6:$G$50,3,TRUE)+VLOOKUP(O1050,'Fee Data'!$I$6:$J$14,2,TRUE)+'Fee Data'!$J$20+'Fee Data'!$J$21)*'Assumptions'!H37</x:f>
        <x:v>1060</x:v>
      </x:c>
      <x:c r="Q1050" s="27" t="n">
        <x:f>(VLOOKUP(O1050,'Fee Data'!$C$6:$G$50,4,TRUE)+O1050*VLOOKUP(O1050,'Fee Data'!$C$6:$G$50,5,TRUE)+VLOOKUP(O1050,'Fee Data'!$I$6:$J$14,2,TRUE)+'Fee Data'!$J$20+'Fee Data'!$J$21)*'Assumptions'!H37</x:f>
        <x:v>935</x:v>
      </x:c>
      <x:c r="R1050" s="27" t="n">
        <x:f>P1050*(1-'Assumptions'!$D$14)+Q1050*'Assumptions'!$D$14</x:f>
        <x:v>997.5</x:v>
      </x:c>
      <x:c r="S1050" s="27" t="n">
        <x:f>O1050*'Carrier Engine'!E95</x:f>
        <x:v>256.46775322002</x:v>
      </x:c>
      <x:c r="T1050" s="28" t="n">
        <x:f>R1050+S1050</x:f>
        <x:v>1253.9677532200199</x:v>
      </x:c>
      <x:c r="U1050" s="27" t="n">
        <x:f>N1050*'Fleet Engine'!J214</x:f>
        <x:v>0</x:v>
      </x:c>
      <x:c r="V1050" s="28" t="n">
        <x:f>U1050*T1050</x:f>
        <x:v>0</x:v>
      </x:c>
      <x:c r="W1050" s="28" t="n">
        <x:f>U1050*O1050</x:f>
        <x:v>0</x:v>
      </x:c>
    </x:row>
    <x:row r="1051" ht="19" customHeight="1">
      <x:c r="A1051" s="2"/>
      <x:c r="B1051" s="2"/>
      <x:c r="C1051" s="46" t="n">
        <x:v>4</x:v>
      </x:c>
      <x:c r="D1051" s="46" t="n">
        <x:v>20</x:v>
      </x:c>
      <x:c r="E1051" s="46" t="n">
        <x:v>3</x:v>
      </x:c>
      <x:c r="F1051" s="46" t="n">
        <x:v>2</x:v>
      </x:c>
      <x:c r="G1051" s="12" t="n">
        <x:v>0.1111111111111111</x:v>
      </x:c>
      <x:c r="H1051" s="12" t="n">
        <x:v>0.2222222222222222</x:v>
      </x:c>
      <x:c r="I1051" s="29" t="n">
        <x:f>'Assumptions'!$D$11+'Assumptions'!$D$12*(0.5-(G1051+H1051)/2)</x:f>
        <x:v>0.3666666666666667</x:v>
      </x:c>
      <x:c r="J1051" s="27" t="n">
        <x:f>'Assumptions'!$D$8*EXP(-'Assumptions'!$D$9*('Fleet Engine'!E214-10))*'Assumptions'!E58*'Assumptions'!H36</x:f>
        <x:v>16487.212707001283</x:v>
      </x:c>
      <x:c r="K1051" s="27" t="n">
        <x:f>'Source Data'!F219+LN('Assumptions'!D58)+LN('Assumptions'!H35)</x:f>
        <x:v>7.936584069520856</x:v>
      </x:c>
      <x:c r="L1051" s="27" t="n">
        <x:f>J1051*(1-I1051*(1-'Carrier Engine'!E95))</x:f>
        <x:v>10683.71383413683</x:v>
      </x:c>
      <x:c r="M1051" s="29" t="n">
        <x:f>NORM.S.DIST((LN(L1051)-K1051)/'Assumptions'!$D$10,TRUE)</x:f>
        <x:v>0.8032596960589325</x:v>
      </x:c>
      <x:c r="N1051" s="30" t="n">
        <x:f>MAX(0,H1051-MAX(G1051,M1051))</x:f>
        <x:v>0</x:v>
      </x:c>
      <x:c r="O1051" s="28" t="n">
        <x:f>J1051*I1051</x:f>
        <x:v>6045.311325900471</x:v>
      </x:c>
      <x:c r="P1051" s="27" t="n">
        <x:f>(VLOOKUP(O1051,'Fee Data'!$C$6:$G$50,2,TRUE)+O1051*VLOOKUP(O1051,'Fee Data'!$C$6:$G$50,3,TRUE)+VLOOKUP(O1051,'Fee Data'!$I$6:$J$14,2,TRUE)+'Fee Data'!$J$20+'Fee Data'!$J$21)*'Assumptions'!H37</x:f>
        <x:v>1060</x:v>
      </x:c>
      <x:c r="Q1051" s="27" t="n">
        <x:f>(VLOOKUP(O1051,'Fee Data'!$C$6:$G$50,4,TRUE)+O1051*VLOOKUP(O1051,'Fee Data'!$C$6:$G$50,5,TRUE)+VLOOKUP(O1051,'Fee Data'!$I$6:$J$14,2,TRUE)+'Fee Data'!$J$20+'Fee Data'!$J$21)*'Assumptions'!H37</x:f>
        <x:v>935</x:v>
      </x:c>
      <x:c r="R1051" s="27" t="n">
        <x:f>P1051*(1-'Assumptions'!$D$14)+Q1051*'Assumptions'!$D$14</x:f>
        <x:v>997.5</x:v>
      </x:c>
      <x:c r="S1051" s="27" t="n">
        <x:f>O1051*'Carrier Engine'!E95</x:f>
        <x:v>241.8124530360189</x:v>
      </x:c>
      <x:c r="T1051" s="28" t="n">
        <x:f>R1051+S1051</x:f>
        <x:v>1239.312453036019</x:v>
      </x:c>
      <x:c r="U1051" s="27" t="n">
        <x:f>N1051*'Fleet Engine'!J214</x:f>
        <x:v>0</x:v>
      </x:c>
      <x:c r="V1051" s="28" t="n">
        <x:f>U1051*T1051</x:f>
        <x:v>0</x:v>
      </x:c>
      <x:c r="W1051" s="28" t="n">
        <x:f>U1051*O1051</x:f>
        <x:v>0</x:v>
      </x:c>
    </x:row>
    <x:row r="1052" ht="19" customHeight="1">
      <x:c r="A1052" s="2"/>
      <x:c r="B1052" s="2"/>
      <x:c r="C1052" s="46" t="n">
        <x:v>4</x:v>
      </x:c>
      <x:c r="D1052" s="46" t="n">
        <x:v>20</x:v>
      </x:c>
      <x:c r="E1052" s="46" t="n">
        <x:v>3</x:v>
      </x:c>
      <x:c r="F1052" s="46" t="n">
        <x:v>2</x:v>
      </x:c>
      <x:c r="G1052" s="12" t="n">
        <x:v>0.2222222222222222</x:v>
      </x:c>
      <x:c r="H1052" s="12" t="n">
        <x:v>0.3333333333333333</x:v>
      </x:c>
      <x:c r="I1052" s="29" t="n">
        <x:f>'Assumptions'!$D$11+'Assumptions'!$D$12*(0.5-(G1052+H1052)/2)</x:f>
        <x:v>0.34444444444444444</x:v>
      </x:c>
      <x:c r="J1052" s="27" t="n">
        <x:f>'Assumptions'!$D$8*EXP(-'Assumptions'!$D$9*('Fleet Engine'!E214-10))*'Assumptions'!E58*'Assumptions'!H36</x:f>
        <x:v>16487.212707001283</x:v>
      </x:c>
      <x:c r="K1052" s="27" t="n">
        <x:f>'Source Data'!F219+LN('Assumptions'!D58)+LN('Assumptions'!H35)</x:f>
        <x:v>7.936584069520856</x:v>
      </x:c>
      <x:c r="L1052" s="27" t="n">
        <x:f>J1052*(1-I1052*(1-'Carrier Engine'!E95))</x:f>
        <x:v>11035.441038552859</x:v>
      </x:c>
      <x:c r="M1052" s="29" t="n">
        <x:f>NORM.S.DIST((LN(L1052)-K1052)/'Assumptions'!$D$10,TRUE)</x:f>
        <x:v>0.8089275577472801</x:v>
      </x:c>
      <x:c r="N1052" s="30" t="n">
        <x:f>MAX(0,H1052-MAX(G1052,M1052))</x:f>
        <x:v>0</x:v>
      </x:c>
      <x:c r="O1052" s="28" t="n">
        <x:f>J1052*I1052</x:f>
        <x:v>5678.928821300442</x:v>
      </x:c>
      <x:c r="P1052" s="27" t="n">
        <x:f>(VLOOKUP(O1052,'Fee Data'!$C$6:$G$50,2,TRUE)+O1052*VLOOKUP(O1052,'Fee Data'!$C$6:$G$50,3,TRUE)+VLOOKUP(O1052,'Fee Data'!$I$6:$J$14,2,TRUE)+'Fee Data'!$J$20+'Fee Data'!$J$21)*'Assumptions'!H37</x:f>
        <x:v>1020</x:v>
      </x:c>
      <x:c r="Q1052" s="27" t="n">
        <x:f>(VLOOKUP(O1052,'Fee Data'!$C$6:$G$50,4,TRUE)+O1052*VLOOKUP(O1052,'Fee Data'!$C$6:$G$50,5,TRUE)+VLOOKUP(O1052,'Fee Data'!$I$6:$J$14,2,TRUE)+'Fee Data'!$J$20+'Fee Data'!$J$21)*'Assumptions'!H37</x:f>
        <x:v>895</x:v>
      </x:c>
      <x:c r="R1052" s="27" t="n">
        <x:f>P1052*(1-'Assumptions'!$D$14)+Q1052*'Assumptions'!$D$14</x:f>
        <x:v>957.5</x:v>
      </x:c>
      <x:c r="S1052" s="27" t="n">
        <x:f>O1052*'Carrier Engine'!E95</x:f>
        <x:v>227.15715285201773</x:v>
      </x:c>
      <x:c r="T1052" s="28" t="n">
        <x:f>R1052+S1052</x:f>
        <x:v>1184.6571528520178</x:v>
      </x:c>
      <x:c r="U1052" s="27" t="n">
        <x:f>N1052*'Fleet Engine'!J214</x:f>
        <x:v>0</x:v>
      </x:c>
      <x:c r="V1052" s="28" t="n">
        <x:f>U1052*T1052</x:f>
        <x:v>0</x:v>
      </x:c>
      <x:c r="W1052" s="28" t="n">
        <x:f>U1052*O1052</x:f>
        <x:v>0</x:v>
      </x:c>
    </x:row>
    <x:row r="1053" ht="19" customHeight="1">
      <x:c r="A1053" s="2"/>
      <x:c r="B1053" s="2"/>
      <x:c r="C1053" s="46" t="n">
        <x:v>4</x:v>
      </x:c>
      <x:c r="D1053" s="46" t="n">
        <x:v>20</x:v>
      </x:c>
      <x:c r="E1053" s="46" t="n">
        <x:v>3</x:v>
      </x:c>
      <x:c r="F1053" s="46" t="n">
        <x:v>2</x:v>
      </x:c>
      <x:c r="G1053" s="12" t="n">
        <x:v>0.3333333333333333</x:v>
      </x:c>
      <x:c r="H1053" s="12" t="n">
        <x:v>0.4444444444444444</x:v>
      </x:c>
      <x:c r="I1053" s="29" t="n">
        <x:f>'Assumptions'!$D$11+'Assumptions'!$D$12*(0.5-(G1053+H1053)/2)</x:f>
        <x:v>0.32222222222222224</x:v>
      </x:c>
      <x:c r="J1053" s="27" t="n">
        <x:f>'Assumptions'!$D$8*EXP(-'Assumptions'!$D$9*('Fleet Engine'!E214-10))*'Assumptions'!E58*'Assumptions'!H36</x:f>
        <x:v>16487.212707001283</x:v>
      </x:c>
      <x:c r="K1053" s="27" t="n">
        <x:f>'Source Data'!F219+LN('Assumptions'!D58)+LN('Assumptions'!H35)</x:f>
        <x:v>7.936584069520856</x:v>
      </x:c>
      <x:c r="L1053" s="27" t="n">
        <x:f>J1053*(1-I1053*(1-'Carrier Engine'!E95))</x:f>
        <x:v>11387.168242968886</x:v>
      </x:c>
      <x:c r="M1053" s="29" t="n">
        <x:f>NORM.S.DIST((LN(L1053)-K1053)/'Assumptions'!$D$10,TRUE)</x:f>
        <x:v>0.8143210319055623</x:v>
      </x:c>
      <x:c r="N1053" s="30" t="n">
        <x:f>MAX(0,H1053-MAX(G1053,M1053))</x:f>
        <x:v>0</x:v>
      </x:c>
      <x:c r="O1053" s="28" t="n">
        <x:f>J1053*I1053</x:f>
        <x:v>5312.546316700414</x:v>
      </x:c>
      <x:c r="P1053" s="27" t="n">
        <x:f>(VLOOKUP(O1053,'Fee Data'!$C$6:$G$50,2,TRUE)+O1053*VLOOKUP(O1053,'Fee Data'!$C$6:$G$50,3,TRUE)+VLOOKUP(O1053,'Fee Data'!$I$6:$J$14,2,TRUE)+'Fee Data'!$J$20+'Fee Data'!$J$21)*'Assumptions'!H37</x:f>
        <x:v>995</x:v>
      </x:c>
      <x:c r="Q1053" s="27" t="n">
        <x:f>(VLOOKUP(O1053,'Fee Data'!$C$6:$G$50,4,TRUE)+O1053*VLOOKUP(O1053,'Fee Data'!$C$6:$G$50,5,TRUE)+VLOOKUP(O1053,'Fee Data'!$I$6:$J$14,2,TRUE)+'Fee Data'!$J$20+'Fee Data'!$J$21)*'Assumptions'!H37</x:f>
        <x:v>870</x:v>
      </x:c>
      <x:c r="R1053" s="27" t="n">
        <x:f>P1053*(1-'Assumptions'!$D$14)+Q1053*'Assumptions'!$D$14</x:f>
        <x:v>932.5</x:v>
      </x:c>
      <x:c r="S1053" s="27" t="n">
        <x:f>O1053*'Carrier Engine'!E95</x:f>
        <x:v>212.5018526680166</x:v>
      </x:c>
      <x:c r="T1053" s="28" t="n">
        <x:f>R1053+S1053</x:f>
        <x:v>1145.0018526680167</x:v>
      </x:c>
      <x:c r="U1053" s="27" t="n">
        <x:f>N1053*'Fleet Engine'!J214</x:f>
        <x:v>0</x:v>
      </x:c>
      <x:c r="V1053" s="28" t="n">
        <x:f>U1053*T1053</x:f>
        <x:v>0</x:v>
      </x:c>
      <x:c r="W1053" s="28" t="n">
        <x:f>U1053*O1053</x:f>
        <x:v>0</x:v>
      </x:c>
    </x:row>
    <x:row r="1054" ht="19" customHeight="1">
      <x:c r="A1054" s="2"/>
      <x:c r="B1054" s="2"/>
      <x:c r="C1054" s="46" t="n">
        <x:v>4</x:v>
      </x:c>
      <x:c r="D1054" s="46" t="n">
        <x:v>20</x:v>
      </x:c>
      <x:c r="E1054" s="46" t="n">
        <x:v>3</x:v>
      </x:c>
      <x:c r="F1054" s="46" t="n">
        <x:v>2</x:v>
      </x:c>
      <x:c r="G1054" s="12" t="n">
        <x:v>0.4444444444444444</x:v>
      </x:c>
      <x:c r="H1054" s="12" t="n">
        <x:v>0.5555555555555556</x:v>
      </x:c>
      <x:c r="I1054" s="29" t="n">
        <x:f>'Assumptions'!$D$11+'Assumptions'!$D$12*(0.5-(G1054+H1054)/2)</x:f>
        <x:v>0.3</x:v>
      </x:c>
      <x:c r="J1054" s="27" t="n">
        <x:f>'Assumptions'!$D$8*EXP(-'Assumptions'!$D$9*('Fleet Engine'!E214-10))*'Assumptions'!E58*'Assumptions'!H36</x:f>
        <x:v>16487.212707001283</x:v>
      </x:c>
      <x:c r="K1054" s="27" t="n">
        <x:f>'Source Data'!F219+LN('Assumptions'!D58)+LN('Assumptions'!H35)</x:f>
        <x:v>7.936584069520856</x:v>
      </x:c>
      <x:c r="L1054" s="27" t="n">
        <x:f>J1054*(1-I1054*(1-'Carrier Engine'!E95))</x:f>
        <x:v>11738.895447384913</x:v>
      </x:c>
      <x:c r="M1054" s="29" t="n">
        <x:f>NORM.S.DIST((LN(L1054)-K1054)/'Assumptions'!$D$10,TRUE)</x:f>
        <x:v>0.8194592567333258</x:v>
      </x:c>
      <x:c r="N1054" s="30" t="n">
        <x:f>MAX(0,H1054-MAX(G1054,M1054))</x:f>
        <x:v>0</x:v>
      </x:c>
      <x:c r="O1054" s="28" t="n">
        <x:f>J1054*I1054</x:f>
        <x:v>4946.163812100384</x:v>
      </x:c>
      <x:c r="P1054" s="27" t="n">
        <x:f>(VLOOKUP(O1054,'Fee Data'!$C$6:$G$50,2,TRUE)+O1054*VLOOKUP(O1054,'Fee Data'!$C$6:$G$50,3,TRUE)+VLOOKUP(O1054,'Fee Data'!$I$6:$J$14,2,TRUE)+'Fee Data'!$J$20+'Fee Data'!$J$21)*'Assumptions'!H37</x:f>
        <x:v>970</x:v>
      </x:c>
      <x:c r="Q1054" s="27" t="n">
        <x:f>(VLOOKUP(O1054,'Fee Data'!$C$6:$G$50,4,TRUE)+O1054*VLOOKUP(O1054,'Fee Data'!$C$6:$G$50,5,TRUE)+VLOOKUP(O1054,'Fee Data'!$I$6:$J$14,2,TRUE)+'Fee Data'!$J$20+'Fee Data'!$J$21)*'Assumptions'!H37</x:f>
        <x:v>845</x:v>
      </x:c>
      <x:c r="R1054" s="27" t="n">
        <x:f>P1054*(1-'Assumptions'!$D$14)+Q1054*'Assumptions'!$D$14</x:f>
        <x:v>907.5</x:v>
      </x:c>
      <x:c r="S1054" s="27" t="n">
        <x:f>O1054*'Carrier Engine'!E95</x:f>
        <x:v>197.8465524840154</x:v>
      </x:c>
      <x:c r="T1054" s="28" t="n">
        <x:f>R1054+S1054</x:f>
        <x:v>1105.3465524840153</x:v>
      </x:c>
      <x:c r="U1054" s="27" t="n">
        <x:f>N1054*'Fleet Engine'!J214</x:f>
        <x:v>0</x:v>
      </x:c>
      <x:c r="V1054" s="28" t="n">
        <x:f>U1054*T1054</x:f>
        <x:v>0</x:v>
      </x:c>
      <x:c r="W1054" s="28" t="n">
        <x:f>U1054*O1054</x:f>
        <x:v>0</x:v>
      </x:c>
    </x:row>
    <x:row r="1055" ht="19" customHeight="1">
      <x:c r="A1055" s="2"/>
      <x:c r="B1055" s="2"/>
      <x:c r="C1055" s="46" t="n">
        <x:v>4</x:v>
      </x:c>
      <x:c r="D1055" s="46" t="n">
        <x:v>20</x:v>
      </x:c>
      <x:c r="E1055" s="46" t="n">
        <x:v>3</x:v>
      </x:c>
      <x:c r="F1055" s="46" t="n">
        <x:v>2</x:v>
      </x:c>
      <x:c r="G1055" s="12" t="n">
        <x:v>0.5555555555555556</x:v>
      </x:c>
      <x:c r="H1055" s="12" t="n">
        <x:v>0.6666666666666666</x:v>
      </x:c>
      <x:c r="I1055" s="29" t="n">
        <x:f>'Assumptions'!$D$11+'Assumptions'!$D$12*(0.5-(G1055+H1055)/2)</x:f>
        <x:v>0.27777777777777773</x:v>
      </x:c>
      <x:c r="J1055" s="27" t="n">
        <x:f>'Assumptions'!$D$8*EXP(-'Assumptions'!$D$9*('Fleet Engine'!E214-10))*'Assumptions'!E58*'Assumptions'!H36</x:f>
        <x:v>16487.212707001283</x:v>
      </x:c>
      <x:c r="K1055" s="27" t="n">
        <x:f>'Source Data'!F219+LN('Assumptions'!D58)+LN('Assumptions'!H35)</x:f>
        <x:v>7.936584069520856</x:v>
      </x:c>
      <x:c r="L1055" s="27" t="n">
        <x:f>J1055*(1-I1055*(1-'Carrier Engine'!E95))</x:f>
        <x:v>12090.622651800943</x:v>
      </x:c>
      <x:c r="M1055" s="29" t="n">
        <x:f>NORM.S.DIST((LN(L1055)-K1055)/'Assumptions'!$D$10,TRUE)</x:f>
        <x:v>0.824359618018476</x:v>
      </x:c>
      <x:c r="N1055" s="30" t="n">
        <x:f>MAX(0,H1055-MAX(G1055,M1055))</x:f>
        <x:v>0</x:v>
      </x:c>
      <x:c r="O1055" s="28" t="n">
        <x:f>J1055*I1055</x:f>
        <x:v>4579.781307500356</x:v>
      </x:c>
      <x:c r="P1055" s="27" t="n">
        <x:f>(VLOOKUP(O1055,'Fee Data'!$C$6:$G$50,2,TRUE)+O1055*VLOOKUP(O1055,'Fee Data'!$C$6:$G$50,3,TRUE)+VLOOKUP(O1055,'Fee Data'!$I$6:$J$14,2,TRUE)+'Fee Data'!$J$20+'Fee Data'!$J$21)*'Assumptions'!H37</x:f>
        <x:v>970</x:v>
      </x:c>
      <x:c r="Q1055" s="27" t="n">
        <x:f>(VLOOKUP(O1055,'Fee Data'!$C$6:$G$50,4,TRUE)+O1055*VLOOKUP(O1055,'Fee Data'!$C$6:$G$50,5,TRUE)+VLOOKUP(O1055,'Fee Data'!$I$6:$J$14,2,TRUE)+'Fee Data'!$J$20+'Fee Data'!$J$21)*'Assumptions'!H37</x:f>
        <x:v>845</x:v>
      </x:c>
      <x:c r="R1055" s="27" t="n">
        <x:f>P1055*(1-'Assumptions'!$D$14)+Q1055*'Assumptions'!$D$14</x:f>
        <x:v>907.5</x:v>
      </x:c>
      <x:c r="S1055" s="27" t="n">
        <x:f>O1055*'Carrier Engine'!E95</x:f>
        <x:v>183.19125230001427</x:v>
      </x:c>
      <x:c r="T1055" s="28" t="n">
        <x:f>R1055+S1055</x:f>
        <x:v>1090.6912523000142</x:v>
      </x:c>
      <x:c r="U1055" s="27" t="n">
        <x:f>N1055*'Fleet Engine'!J214</x:f>
        <x:v>0</x:v>
      </x:c>
      <x:c r="V1055" s="28" t="n">
        <x:f>U1055*T1055</x:f>
        <x:v>0</x:v>
      </x:c>
      <x:c r="W1055" s="28" t="n">
        <x:f>U1055*O1055</x:f>
        <x:v>0</x:v>
      </x:c>
    </x:row>
    <x:row r="1056" ht="19" customHeight="1">
      <x:c r="A1056" s="2"/>
      <x:c r="B1056" s="2"/>
      <x:c r="C1056" s="46" t="n">
        <x:v>4</x:v>
      </x:c>
      <x:c r="D1056" s="46" t="n">
        <x:v>20</x:v>
      </x:c>
      <x:c r="E1056" s="46" t="n">
        <x:v>3</x:v>
      </x:c>
      <x:c r="F1056" s="46" t="n">
        <x:v>2</x:v>
      </x:c>
      <x:c r="G1056" s="12" t="n">
        <x:v>0.6666666666666666</x:v>
      </x:c>
      <x:c r="H1056" s="12" t="n">
        <x:v>0.7777777777777778</x:v>
      </x:c>
      <x:c r="I1056" s="29" t="n">
        <x:f>'Assumptions'!$D$11+'Assumptions'!$D$12*(0.5-(G1056+H1056)/2)</x:f>
        <x:v>0.25555555555555554</x:v>
      </x:c>
      <x:c r="J1056" s="27" t="n">
        <x:f>'Assumptions'!$D$8*EXP(-'Assumptions'!$D$9*('Fleet Engine'!E214-10))*'Assumptions'!E58*'Assumptions'!H36</x:f>
        <x:v>16487.212707001283</x:v>
      </x:c>
      <x:c r="K1056" s="27" t="n">
        <x:f>'Source Data'!F219+LN('Assumptions'!D58)+LN('Assumptions'!H35)</x:f>
        <x:v>7.936584069520856</x:v>
      </x:c>
      <x:c r="L1056" s="27" t="n">
        <x:f>J1056*(1-I1056*(1-'Carrier Engine'!E95))</x:f>
        <x:v>12442.34985621697</x:v>
      </x:c>
      <x:c r="M1056" s="29" t="n">
        <x:f>NORM.S.DIST((LN(L1056)-K1056)/'Assumptions'!$D$10,TRUE)</x:f>
        <x:v>0.8290379475487466</x:v>
      </x:c>
      <x:c r="N1056" s="30" t="n">
        <x:f>MAX(0,H1056-MAX(G1056,M1056))</x:f>
        <x:v>0</x:v>
      </x:c>
      <x:c r="O1056" s="28" t="n">
        <x:f>J1056*I1056</x:f>
        <x:v>4213.398802900328</x:v>
      </x:c>
      <x:c r="P1056" s="27" t="n">
        <x:f>(VLOOKUP(O1056,'Fee Data'!$C$6:$G$50,2,TRUE)+O1056*VLOOKUP(O1056,'Fee Data'!$C$6:$G$50,3,TRUE)+VLOOKUP(O1056,'Fee Data'!$I$6:$J$14,2,TRUE)+'Fee Data'!$J$20+'Fee Data'!$J$21)*'Assumptions'!H37</x:f>
        <x:v>945</x:v>
      </x:c>
      <x:c r="Q1056" s="27" t="n">
        <x:f>(VLOOKUP(O1056,'Fee Data'!$C$6:$G$50,4,TRUE)+O1056*VLOOKUP(O1056,'Fee Data'!$C$6:$G$50,5,TRUE)+VLOOKUP(O1056,'Fee Data'!$I$6:$J$14,2,TRUE)+'Fee Data'!$J$20+'Fee Data'!$J$21)*'Assumptions'!H37</x:f>
        <x:v>820</x:v>
      </x:c>
      <x:c r="R1056" s="27" t="n">
        <x:f>P1056*(1-'Assumptions'!$D$14)+Q1056*'Assumptions'!$D$14</x:f>
        <x:v>882.5</x:v>
      </x:c>
      <x:c r="S1056" s="27" t="n">
        <x:f>O1056*'Carrier Engine'!E95</x:f>
        <x:v>168.53595211601314</x:v>
      </x:c>
      <x:c r="T1056" s="28" t="n">
        <x:f>R1056+S1056</x:f>
        <x:v>1051.035952116013</x:v>
      </x:c>
      <x:c r="U1056" s="27" t="n">
        <x:f>N1056*'Fleet Engine'!J214</x:f>
        <x:v>0</x:v>
      </x:c>
      <x:c r="V1056" s="28" t="n">
        <x:f>U1056*T1056</x:f>
        <x:v>0</x:v>
      </x:c>
      <x:c r="W1056" s="28" t="n">
        <x:f>U1056*O1056</x:f>
        <x:v>0</x:v>
      </x:c>
    </x:row>
    <x:row r="1057" ht="19" customHeight="1">
      <x:c r="A1057" s="2"/>
      <x:c r="B1057" s="2"/>
      <x:c r="C1057" s="46" t="n">
        <x:v>4</x:v>
      </x:c>
      <x:c r="D1057" s="46" t="n">
        <x:v>20</x:v>
      </x:c>
      <x:c r="E1057" s="46" t="n">
        <x:v>3</x:v>
      </x:c>
      <x:c r="F1057" s="46" t="n">
        <x:v>2</x:v>
      </x:c>
      <x:c r="G1057" s="12" t="n">
        <x:v>0.7777777777777778</x:v>
      </x:c>
      <x:c r="H1057" s="12" t="n">
        <x:v>0.8888888888888888</x:v>
      </x:c>
      <x:c r="I1057" s="29" t="n">
        <x:f>'Assumptions'!$D$11+'Assumptions'!$D$12*(0.5-(G1057+H1057)/2)</x:f>
        <x:v>0.23333333333333334</x:v>
      </x:c>
      <x:c r="J1057" s="27" t="n">
        <x:f>'Assumptions'!$D$8*EXP(-'Assumptions'!$D$9*('Fleet Engine'!E214-10))*'Assumptions'!E58*'Assumptions'!H36</x:f>
        <x:v>16487.212707001283</x:v>
      </x:c>
      <x:c r="K1057" s="27" t="n">
        <x:f>'Source Data'!F219+LN('Assumptions'!D58)+LN('Assumptions'!H35)</x:f>
        <x:v>7.936584069520856</x:v>
      </x:c>
      <x:c r="L1057" s="27" t="n">
        <x:f>J1057*(1-I1057*(1-'Carrier Engine'!E95))</x:f>
        <x:v>12794.077060632995</x:v>
      </x:c>
      <x:c r="M1057" s="29" t="n">
        <x:f>NORM.S.DIST((LN(L1057)-K1057)/'Assumptions'!$D$10,TRUE)</x:f>
        <x:v>0.8335086948581082</x:v>
      </x:c>
      <x:c r="N1057" s="30" t="n">
        <x:f>MAX(0,H1057-MAX(G1057,M1057))</x:f>
        <x:v>0.05538019403078065</x:v>
      </x:c>
      <x:c r="O1057" s="28" t="n">
        <x:f>J1057*I1057</x:f>
        <x:v>3847.0162983002992</x:v>
      </x:c>
      <x:c r="P1057" s="27" t="n">
        <x:f>(VLOOKUP(O1057,'Fee Data'!$C$6:$G$50,2,TRUE)+O1057*VLOOKUP(O1057,'Fee Data'!$C$6:$G$50,3,TRUE)+VLOOKUP(O1057,'Fee Data'!$I$6:$J$14,2,TRUE)+'Fee Data'!$J$20+'Fee Data'!$J$21)*'Assumptions'!H37</x:f>
        <x:v>915</x:v>
      </x:c>
      <x:c r="Q1057" s="27" t="n">
        <x:f>(VLOOKUP(O1057,'Fee Data'!$C$6:$G$50,4,TRUE)+O1057*VLOOKUP(O1057,'Fee Data'!$C$6:$G$50,5,TRUE)+VLOOKUP(O1057,'Fee Data'!$I$6:$J$14,2,TRUE)+'Fee Data'!$J$20+'Fee Data'!$J$21)*'Assumptions'!H37</x:f>
        <x:v>765</x:v>
      </x:c>
      <x:c r="R1057" s="27" t="n">
        <x:f>P1057*(1-'Assumptions'!$D$14)+Q1057*'Assumptions'!$D$14</x:f>
        <x:v>840</x:v>
      </x:c>
      <x:c r="S1057" s="27" t="n">
        <x:f>O1057*'Carrier Engine'!E95</x:f>
        <x:v>153.880651932012</x:v>
      </x:c>
      <x:c r="T1057" s="28" t="n">
        <x:f>R1057+S1057</x:f>
        <x:v>993.880651932012</x:v>
      </x:c>
      <x:c r="U1057" s="27" t="n">
        <x:f>N1057*'Fleet Engine'!J214</x:f>
        <x:v>143.63887076403236</x:v>
      </x:c>
      <x:c r="V1057" s="28" t="n">
        <x:f>U1057*T1057</x:f>
        <x:v>142759.8945177345</x:v>
      </x:c>
      <x:c r="W1057" s="28" t="n">
        <x:f>U1057*O1057</x:f>
        <x:v>552581.0768986829</x:v>
      </x:c>
    </x:row>
    <x:row r="1058" ht="19" customHeight="1">
      <x:c r="A1058" s="2"/>
      <x:c r="B1058" s="2"/>
      <x:c r="C1058" s="46" t="n">
        <x:v>4</x:v>
      </x:c>
      <x:c r="D1058" s="46" t="n">
        <x:v>20</x:v>
      </x:c>
      <x:c r="E1058" s="46" t="n">
        <x:v>3</x:v>
      </x:c>
      <x:c r="F1058" s="46" t="n">
        <x:v>2</x:v>
      </x:c>
      <x:c r="G1058" s="12" t="n">
        <x:v>0.8888888888888888</x:v>
      </x:c>
      <x:c r="H1058" s="12" t="n">
        <x:v>1</x:v>
      </x:c>
      <x:c r="I1058" s="29" t="n">
        <x:f>'Assumptions'!$D$11+'Assumptions'!$D$12*(0.5-(G1058+H1058)/2)</x:f>
        <x:v>0.21111111111111108</x:v>
      </x:c>
      <x:c r="J1058" s="27" t="n">
        <x:f>'Assumptions'!$D$8*EXP(-'Assumptions'!$D$9*('Fleet Engine'!E214-10))*'Assumptions'!E58*'Assumptions'!H36</x:f>
        <x:v>16487.212707001283</x:v>
      </x:c>
      <x:c r="K1058" s="27" t="n">
        <x:f>'Source Data'!F219+LN('Assumptions'!D58)+LN('Assumptions'!H35)</x:f>
        <x:v>7.936584069520856</x:v>
      </x:c>
      <x:c r="L1058" s="27" t="n">
        <x:f>J1058*(1-I1058*(1-'Carrier Engine'!E95))</x:f>
        <x:v>13145.804265049022</x:v>
      </x:c>
      <x:c r="M1058" s="29" t="n">
        <x:f>NORM.S.DIST((LN(L1058)-K1058)/'Assumptions'!$D$10,TRUE)</x:f>
        <x:v>0.8377850764390044</x:v>
      </x:c>
      <x:c r="N1058" s="30" t="n">
        <x:f>MAX(0,H1058-MAX(G1058,M1058))</x:f>
        <x:v>0.11111111111111116</x:v>
      </x:c>
      <x:c r="O1058" s="28" t="n">
        <x:f>J1058*I1058</x:f>
        <x:v>3480.6337937002704</x:v>
      </x:c>
      <x:c r="P1058" s="27" t="n">
        <x:f>(VLOOKUP(O1058,'Fee Data'!$C$6:$G$50,2,TRUE)+O1058*VLOOKUP(O1058,'Fee Data'!$C$6:$G$50,3,TRUE)+VLOOKUP(O1058,'Fee Data'!$I$6:$J$14,2,TRUE)+'Fee Data'!$J$20+'Fee Data'!$J$21)*'Assumptions'!H37</x:f>
        <x:v>865</x:v>
      </x:c>
      <x:c r="Q1058" s="27" t="n">
        <x:f>(VLOOKUP(O1058,'Fee Data'!$C$6:$G$50,4,TRUE)+O1058*VLOOKUP(O1058,'Fee Data'!$C$6:$G$50,5,TRUE)+VLOOKUP(O1058,'Fee Data'!$I$6:$J$14,2,TRUE)+'Fee Data'!$J$20+'Fee Data'!$J$21)*'Assumptions'!H37</x:f>
        <x:v>715</x:v>
      </x:c>
      <x:c r="R1058" s="27" t="n">
        <x:f>P1058*(1-'Assumptions'!$D$14)+Q1058*'Assumptions'!$D$14</x:f>
        <x:v>790</x:v>
      </x:c>
      <x:c r="S1058" s="27" t="n">
        <x:f>O1058*'Carrier Engine'!E95</x:f>
        <x:v>139.22535174801084</x:v>
      </x:c>
      <x:c r="T1058" s="28" t="n">
        <x:f>R1058+S1058</x:f>
        <x:v>929.2253517480108</x:v>
      </x:c>
      <x:c r="U1058" s="27" t="n">
        <x:f>N1058*'Fleet Engine'!J214</x:f>
        <x:v>288.18740722479845</x:v>
      </x:c>
      <x:c r="V1058" s="28" t="n">
        <x:f>U1058*T1058</x:f>
        <x:v>267791.0448478106</x:v>
      </x:c>
      <x:c r="W1058" s="28" t="n">
        <x:f>U1058*O1058</x:f>
        <x:v>1003074.828505495</x:v>
      </x:c>
    </x:row>
    <x:row r="1059" ht="19" customHeight="1">
      <x:c r="A1059" s="2"/>
      <x:c r="B1059" s="2"/>
      <x:c r="C1059" s="46" t="n">
        <x:v>4</x:v>
      </x:c>
      <x:c r="D1059" s="46" t="n">
        <x:v>21</x:v>
      </x:c>
      <x:c r="E1059" s="46" t="n">
        <x:v>3</x:v>
      </x:c>
      <x:c r="F1059" s="46" t="n">
        <x:v>3</x:v>
      </x:c>
      <x:c r="G1059" s="12" t="n">
        <x:v>0</x:v>
      </x:c>
      <x:c r="H1059" s="12" t="n">
        <x:v>0.1111111111111111</x:v>
      </x:c>
      <x:c r="I1059" s="29" t="n">
        <x:f>'Assumptions'!$D$11+'Assumptions'!$D$12*(0.5-(G1059+H1059)/2)</x:f>
        <x:v>0.3888888888888889</x:v>
      </x:c>
      <x:c r="J1059" s="27" t="n">
        <x:f>'Assumptions'!$D$8*EXP(-'Assumptions'!$D$9*('Fleet Engine'!E215-10))*'Assumptions'!E58*'Assumptions'!H36</x:f>
        <x:v>12214.027581601698</x:v>
      </x:c>
      <x:c r="K1059" s="27" t="n">
        <x:f>'Source Data'!F220+LN('Assumptions'!D58)+LN('Assumptions'!H35)</x:f>
        <x:v>8.04371664078851</x:v>
      </x:c>
      <x:c r="L1059" s="27" t="n">
        <x:f>J1059*(1-I1059*(1-'Carrier Engine'!E95))</x:f>
        <x:v>7654.123951137065</x:v>
      </x:c>
      <x:c r="M1059" s="29" t="n">
        <x:f>NORM.S.DIST((LN(L1059)-K1059)/'Assumptions'!$D$10,TRUE)</x:f>
        <x:v>0.7165817467781002</x:v>
      </x:c>
      <x:c r="N1059" s="30" t="n">
        <x:f>MAX(0,H1059-MAX(G1059,M1059))</x:f>
        <x:v>0</x:v>
      </x:c>
      <x:c r="O1059" s="28" t="n">
        <x:f>J1059*I1059</x:f>
        <x:v>4749.899615067327</x:v>
      </x:c>
      <x:c r="P1059" s="27" t="n">
        <x:f>(VLOOKUP(O1059,'Fee Data'!$C$6:$G$50,2,TRUE)+O1059*VLOOKUP(O1059,'Fee Data'!$C$6:$G$50,3,TRUE)+VLOOKUP(O1059,'Fee Data'!$I$6:$J$14,2,TRUE)+'Fee Data'!$J$20+'Fee Data'!$J$21)*'Assumptions'!H37</x:f>
        <x:v>970</x:v>
      </x:c>
      <x:c r="Q1059" s="27" t="n">
        <x:f>(VLOOKUP(O1059,'Fee Data'!$C$6:$G$50,4,TRUE)+O1059*VLOOKUP(O1059,'Fee Data'!$C$6:$G$50,5,TRUE)+VLOOKUP(O1059,'Fee Data'!$I$6:$J$14,2,TRUE)+'Fee Data'!$J$20+'Fee Data'!$J$21)*'Assumptions'!H37</x:f>
        <x:v>845</x:v>
      </x:c>
      <x:c r="R1059" s="27" t="n">
        <x:f>P1059*(1-'Assumptions'!$D$14)+Q1059*'Assumptions'!$D$14</x:f>
        <x:v>907.5</x:v>
      </x:c>
      <x:c r="S1059" s="27" t="n">
        <x:f>O1059*'Carrier Engine'!E95</x:f>
        <x:v>189.99598460269314</x:v>
      </x:c>
      <x:c r="T1059" s="28" t="n">
        <x:f>R1059+S1059</x:f>
        <x:v>1097.4959846026932</x:v>
      </x:c>
      <x:c r="U1059" s="27" t="n">
        <x:f>N1059*'Fleet Engine'!J215</x:f>
        <x:v>0</x:v>
      </x:c>
      <x:c r="V1059" s="28" t="n">
        <x:f>U1059*T1059</x:f>
        <x:v>0</x:v>
      </x:c>
      <x:c r="W1059" s="28" t="n">
        <x:f>U1059*O1059</x:f>
        <x:v>0</x:v>
      </x:c>
    </x:row>
    <x:row r="1060" ht="19" customHeight="1">
      <x:c r="A1060" s="2"/>
      <x:c r="B1060" s="2"/>
      <x:c r="C1060" s="46" t="n">
        <x:v>4</x:v>
      </x:c>
      <x:c r="D1060" s="46" t="n">
        <x:v>21</x:v>
      </x:c>
      <x:c r="E1060" s="46" t="n">
        <x:v>3</x:v>
      </x:c>
      <x:c r="F1060" s="46" t="n">
        <x:v>3</x:v>
      </x:c>
      <x:c r="G1060" s="12" t="n">
        <x:v>0.1111111111111111</x:v>
      </x:c>
      <x:c r="H1060" s="12" t="n">
        <x:v>0.2222222222222222</x:v>
      </x:c>
      <x:c r="I1060" s="29" t="n">
        <x:f>'Assumptions'!$D$11+'Assumptions'!$D$12*(0.5-(G1060+H1060)/2)</x:f>
        <x:v>0.3666666666666667</x:v>
      </x:c>
      <x:c r="J1060" s="27" t="n">
        <x:f>'Assumptions'!$D$8*EXP(-'Assumptions'!$D$9*('Fleet Engine'!E215-10))*'Assumptions'!E58*'Assumptions'!H36</x:f>
        <x:v>12214.027581601698</x:v>
      </x:c>
      <x:c r="K1060" s="27" t="n">
        <x:f>'Source Data'!F220+LN('Assumptions'!D58)+LN('Assumptions'!H35)</x:f>
        <x:v>8.04371664078851</x:v>
      </x:c>
      <x:c r="L1060" s="27" t="n">
        <x:f>J1060*(1-I1060*(1-'Carrier Engine'!E95))</x:f>
        <x:v>7914.6898728779</x:v>
      </x:c>
      <x:c r="M1060" s="29" t="n">
        <x:f>NORM.S.DIST((LN(L1060)-K1060)/'Assumptions'!$D$10,TRUE)</x:f>
        <x:v>0.7237560438609862</x:v>
      </x:c>
      <x:c r="N1060" s="30" t="n">
        <x:f>MAX(0,H1060-MAX(G1060,M1060))</x:f>
        <x:v>0</x:v>
      </x:c>
      <x:c r="O1060" s="28" t="n">
        <x:f>J1060*I1060</x:f>
        <x:v>4478.476779920623</x:v>
      </x:c>
      <x:c r="P1060" s="27" t="n">
        <x:f>(VLOOKUP(O1060,'Fee Data'!$C$6:$G$50,2,TRUE)+O1060*VLOOKUP(O1060,'Fee Data'!$C$6:$G$50,3,TRUE)+VLOOKUP(O1060,'Fee Data'!$I$6:$J$14,2,TRUE)+'Fee Data'!$J$20+'Fee Data'!$J$21)*'Assumptions'!H37</x:f>
        <x:v>945</x:v>
      </x:c>
      <x:c r="Q1060" s="27" t="n">
        <x:f>(VLOOKUP(O1060,'Fee Data'!$C$6:$G$50,4,TRUE)+O1060*VLOOKUP(O1060,'Fee Data'!$C$6:$G$50,5,TRUE)+VLOOKUP(O1060,'Fee Data'!$I$6:$J$14,2,TRUE)+'Fee Data'!$J$20+'Fee Data'!$J$21)*'Assumptions'!H37</x:f>
        <x:v>820</x:v>
      </x:c>
      <x:c r="R1060" s="27" t="n">
        <x:f>P1060*(1-'Assumptions'!$D$14)+Q1060*'Assumptions'!$D$14</x:f>
        <x:v>882.5</x:v>
      </x:c>
      <x:c r="S1060" s="27" t="n">
        <x:f>O1060*'Carrier Engine'!E95</x:f>
        <x:v>179.13907119682494</x:v>
      </x:c>
      <x:c r="T1060" s="28" t="n">
        <x:f>R1060+S1060</x:f>
        <x:v>1061.639071196825</x:v>
      </x:c>
      <x:c r="U1060" s="27" t="n">
        <x:f>N1060*'Fleet Engine'!J215</x:f>
        <x:v>0</x:v>
      </x:c>
      <x:c r="V1060" s="28" t="n">
        <x:f>U1060*T1060</x:f>
        <x:v>0</x:v>
      </x:c>
      <x:c r="W1060" s="28" t="n">
        <x:f>U1060*O1060</x:f>
        <x:v>0</x:v>
      </x:c>
    </x:row>
    <x:row r="1061" ht="19" customHeight="1">
      <x:c r="A1061" s="2"/>
      <x:c r="B1061" s="2"/>
      <x:c r="C1061" s="46" t="n">
        <x:v>4</x:v>
      </x:c>
      <x:c r="D1061" s="46" t="n">
        <x:v>21</x:v>
      </x:c>
      <x:c r="E1061" s="46" t="n">
        <x:v>3</x:v>
      </x:c>
      <x:c r="F1061" s="46" t="n">
        <x:v>3</x:v>
      </x:c>
      <x:c r="G1061" s="12" t="n">
        <x:v>0.2222222222222222</x:v>
      </x:c>
      <x:c r="H1061" s="12" t="n">
        <x:v>0.3333333333333333</x:v>
      </x:c>
      <x:c r="I1061" s="29" t="n">
        <x:f>'Assumptions'!$D$11+'Assumptions'!$D$12*(0.5-(G1061+H1061)/2)</x:f>
        <x:v>0.34444444444444444</x:v>
      </x:c>
      <x:c r="J1061" s="27" t="n">
        <x:f>'Assumptions'!$D$8*EXP(-'Assumptions'!$D$9*('Fleet Engine'!E215-10))*'Assumptions'!E58*'Assumptions'!H36</x:f>
        <x:v>12214.027581601698</x:v>
      </x:c>
      <x:c r="K1061" s="27" t="n">
        <x:f>'Source Data'!F220+LN('Assumptions'!D58)+LN('Assumptions'!H35)</x:f>
        <x:v>8.04371664078851</x:v>
      </x:c>
      <x:c r="L1061" s="27" t="n">
        <x:f>J1061*(1-I1061*(1-'Carrier Engine'!E95))</x:f>
        <x:v>8175.255794618737</x:v>
      </x:c>
      <x:c r="M1061" s="29" t="n">
        <x:f>NORM.S.DIST((LN(L1061)-K1061)/'Assumptions'!$D$10,TRUE)</x:f>
        <x:v>0.730612011881529</x:v>
      </x:c>
      <x:c r="N1061" s="30" t="n">
        <x:f>MAX(0,H1061-MAX(G1061,M1061))</x:f>
        <x:v>0</x:v>
      </x:c>
      <x:c r="O1061" s="28" t="n">
        <x:f>J1061*I1061</x:f>
        <x:v>4207.053944773918</x:v>
      </x:c>
      <x:c r="P1061" s="27" t="n">
        <x:f>(VLOOKUP(O1061,'Fee Data'!$C$6:$G$50,2,TRUE)+O1061*VLOOKUP(O1061,'Fee Data'!$C$6:$G$50,3,TRUE)+VLOOKUP(O1061,'Fee Data'!$I$6:$J$14,2,TRUE)+'Fee Data'!$J$20+'Fee Data'!$J$21)*'Assumptions'!H37</x:f>
        <x:v>945</x:v>
      </x:c>
      <x:c r="Q1061" s="27" t="n">
        <x:f>(VLOOKUP(O1061,'Fee Data'!$C$6:$G$50,4,TRUE)+O1061*VLOOKUP(O1061,'Fee Data'!$C$6:$G$50,5,TRUE)+VLOOKUP(O1061,'Fee Data'!$I$6:$J$14,2,TRUE)+'Fee Data'!$J$20+'Fee Data'!$J$21)*'Assumptions'!H37</x:f>
        <x:v>820</x:v>
      </x:c>
      <x:c r="R1061" s="27" t="n">
        <x:f>P1061*(1-'Assumptions'!$D$14)+Q1061*'Assumptions'!$D$14</x:f>
        <x:v>882.5</x:v>
      </x:c>
      <x:c r="S1061" s="27" t="n">
        <x:f>O1061*'Carrier Engine'!E95</x:f>
        <x:v>168.28215779095677</x:v>
      </x:c>
      <x:c r="T1061" s="28" t="n">
        <x:f>R1061+S1061</x:f>
        <x:v>1050.7821577909567</x:v>
      </x:c>
      <x:c r="U1061" s="27" t="n">
        <x:f>N1061*'Fleet Engine'!J215</x:f>
        <x:v>0</x:v>
      </x:c>
      <x:c r="V1061" s="28" t="n">
        <x:f>U1061*T1061</x:f>
        <x:v>0</x:v>
      </x:c>
      <x:c r="W1061" s="28" t="n">
        <x:f>U1061*O1061</x:f>
        <x:v>0</x:v>
      </x:c>
    </x:row>
    <x:row r="1062" ht="19" customHeight="1">
      <x:c r="A1062" s="2"/>
      <x:c r="B1062" s="2"/>
      <x:c r="C1062" s="46" t="n">
        <x:v>4</x:v>
      </x:c>
      <x:c r="D1062" s="46" t="n">
        <x:v>21</x:v>
      </x:c>
      <x:c r="E1062" s="46" t="n">
        <x:v>3</x:v>
      </x:c>
      <x:c r="F1062" s="46" t="n">
        <x:v>3</x:v>
      </x:c>
      <x:c r="G1062" s="12" t="n">
        <x:v>0.3333333333333333</x:v>
      </x:c>
      <x:c r="H1062" s="12" t="n">
        <x:v>0.4444444444444444</x:v>
      </x:c>
      <x:c r="I1062" s="29" t="n">
        <x:f>'Assumptions'!$D$11+'Assumptions'!$D$12*(0.5-(G1062+H1062)/2)</x:f>
        <x:v>0.32222222222222224</x:v>
      </x:c>
      <x:c r="J1062" s="27" t="n">
        <x:f>'Assumptions'!$D$8*EXP(-'Assumptions'!$D$9*('Fleet Engine'!E215-10))*'Assumptions'!E58*'Assumptions'!H36</x:f>
        <x:v>12214.027581601698</x:v>
      </x:c>
      <x:c r="K1062" s="27" t="n">
        <x:f>'Source Data'!F220+LN('Assumptions'!D58)+LN('Assumptions'!H35)</x:f>
        <x:v>8.04371664078851</x:v>
      </x:c>
      <x:c r="L1062" s="27" t="n">
        <x:f>J1062*(1-I1062*(1-'Carrier Engine'!E95))</x:f>
        <x:v>8435.821716359573</x:v>
      </x:c>
      <x:c r="M1062" s="29" t="n">
        <x:f>NORM.S.DIST((LN(L1062)-K1062)/'Assumptions'!$D$10,TRUE)</x:f>
        <x:v>0.737170515190244</x:v>
      </x:c>
      <x:c r="N1062" s="30" t="n">
        <x:f>MAX(0,H1062-MAX(G1062,M1062))</x:f>
        <x:v>0</x:v>
      </x:c>
      <x:c r="O1062" s="28" t="n">
        <x:f>J1062*I1062</x:f>
        <x:v>3935.6311096272143</x:v>
      </x:c>
      <x:c r="P1062" s="27" t="n">
        <x:f>(VLOOKUP(O1062,'Fee Data'!$C$6:$G$50,2,TRUE)+O1062*VLOOKUP(O1062,'Fee Data'!$C$6:$G$50,3,TRUE)+VLOOKUP(O1062,'Fee Data'!$I$6:$J$14,2,TRUE)+'Fee Data'!$J$20+'Fee Data'!$J$21)*'Assumptions'!H37</x:f>
        <x:v>915</x:v>
      </x:c>
      <x:c r="Q1062" s="27" t="n">
        <x:f>(VLOOKUP(O1062,'Fee Data'!$C$6:$G$50,4,TRUE)+O1062*VLOOKUP(O1062,'Fee Data'!$C$6:$G$50,5,TRUE)+VLOOKUP(O1062,'Fee Data'!$I$6:$J$14,2,TRUE)+'Fee Data'!$J$20+'Fee Data'!$J$21)*'Assumptions'!H37</x:f>
        <x:v>765</x:v>
      </x:c>
      <x:c r="R1062" s="27" t="n">
        <x:f>P1062*(1-'Assumptions'!$D$14)+Q1062*'Assumptions'!$D$14</x:f>
        <x:v>840</x:v>
      </x:c>
      <x:c r="S1062" s="27" t="n">
        <x:f>O1062*'Carrier Engine'!E95</x:f>
        <x:v>157.4252443850886</x:v>
      </x:c>
      <x:c r="T1062" s="28" t="n">
        <x:f>R1062+S1062</x:f>
        <x:v>997.4252443850886</x:v>
      </x:c>
      <x:c r="U1062" s="27" t="n">
        <x:f>N1062*'Fleet Engine'!J215</x:f>
        <x:v>0</x:v>
      </x:c>
      <x:c r="V1062" s="28" t="n">
        <x:f>U1062*T1062</x:f>
        <x:v>0</x:v>
      </x:c>
      <x:c r="W1062" s="28" t="n">
        <x:f>U1062*O1062</x:f>
        <x:v>0</x:v>
      </x:c>
    </x:row>
    <x:row r="1063" ht="19" customHeight="1">
      <x:c r="A1063" s="2"/>
      <x:c r="B1063" s="2"/>
      <x:c r="C1063" s="46" t="n">
        <x:v>4</x:v>
      </x:c>
      <x:c r="D1063" s="46" t="n">
        <x:v>21</x:v>
      </x:c>
      <x:c r="E1063" s="46" t="n">
        <x:v>3</x:v>
      </x:c>
      <x:c r="F1063" s="46" t="n">
        <x:v>3</x:v>
      </x:c>
      <x:c r="G1063" s="12" t="n">
        <x:v>0.4444444444444444</x:v>
      </x:c>
      <x:c r="H1063" s="12" t="n">
        <x:v>0.5555555555555556</x:v>
      </x:c>
      <x:c r="I1063" s="29" t="n">
        <x:f>'Assumptions'!$D$11+'Assumptions'!$D$12*(0.5-(G1063+H1063)/2)</x:f>
        <x:v>0.3</x:v>
      </x:c>
      <x:c r="J1063" s="27" t="n">
        <x:f>'Assumptions'!$D$8*EXP(-'Assumptions'!$D$9*('Fleet Engine'!E215-10))*'Assumptions'!E58*'Assumptions'!H36</x:f>
        <x:v>12214.027581601698</x:v>
      </x:c>
      <x:c r="K1063" s="27" t="n">
        <x:f>'Source Data'!F220+LN('Assumptions'!D58)+LN('Assumptions'!H35)</x:f>
        <x:v>8.04371664078851</x:v>
      </x:c>
      <x:c r="L1063" s="27" t="n">
        <x:f>J1063*(1-I1063*(1-'Carrier Engine'!E95))</x:f>
        <x:v>8696.387638100408</x:v>
      </x:c>
      <x:c r="M1063" s="29" t="n">
        <x:f>NORM.S.DIST((LN(L1063)-K1063)/'Assumptions'!$D$10,TRUE)</x:f>
        <x:v>0.7434505950635955</x:v>
      </x:c>
      <x:c r="N1063" s="30" t="n">
        <x:f>MAX(0,H1063-MAX(G1063,M1063))</x:f>
        <x:v>0</x:v>
      </x:c>
      <x:c r="O1063" s="28" t="n">
        <x:f>J1063*I1063</x:f>
        <x:v>3664.2082744805093</x:v>
      </x:c>
      <x:c r="P1063" s="27" t="n">
        <x:f>(VLOOKUP(O1063,'Fee Data'!$C$6:$G$50,2,TRUE)+O1063*VLOOKUP(O1063,'Fee Data'!$C$6:$G$50,3,TRUE)+VLOOKUP(O1063,'Fee Data'!$I$6:$J$14,2,TRUE)+'Fee Data'!$J$20+'Fee Data'!$J$21)*'Assumptions'!H37</x:f>
        <x:v>915</x:v>
      </x:c>
      <x:c r="Q1063" s="27" t="n">
        <x:f>(VLOOKUP(O1063,'Fee Data'!$C$6:$G$50,4,TRUE)+O1063*VLOOKUP(O1063,'Fee Data'!$C$6:$G$50,5,TRUE)+VLOOKUP(O1063,'Fee Data'!$I$6:$J$14,2,TRUE)+'Fee Data'!$J$20+'Fee Data'!$J$21)*'Assumptions'!H37</x:f>
        <x:v>765</x:v>
      </x:c>
      <x:c r="R1063" s="27" t="n">
        <x:f>P1063*(1-'Assumptions'!$D$14)+Q1063*'Assumptions'!$D$14</x:f>
        <x:v>840</x:v>
      </x:c>
      <x:c r="S1063" s="27" t="n">
        <x:f>O1063*'Carrier Engine'!E95</x:f>
        <x:v>146.5683309792204</x:v>
      </x:c>
      <x:c r="T1063" s="28" t="n">
        <x:f>R1063+S1063</x:f>
        <x:v>986.5683309792204</x:v>
      </x:c>
      <x:c r="U1063" s="27" t="n">
        <x:f>N1063*'Fleet Engine'!J215</x:f>
        <x:v>0</x:v>
      </x:c>
      <x:c r="V1063" s="28" t="n">
        <x:f>U1063*T1063</x:f>
        <x:v>0</x:v>
      </x:c>
      <x:c r="W1063" s="28" t="n">
        <x:f>U1063*O1063</x:f>
        <x:v>0</x:v>
      </x:c>
    </x:row>
    <x:row r="1064" ht="19" customHeight="1">
      <x:c r="A1064" s="2"/>
      <x:c r="B1064" s="2"/>
      <x:c r="C1064" s="46" t="n">
        <x:v>4</x:v>
      </x:c>
      <x:c r="D1064" s="46" t="n">
        <x:v>21</x:v>
      </x:c>
      <x:c r="E1064" s="46" t="n">
        <x:v>3</x:v>
      </x:c>
      <x:c r="F1064" s="46" t="n">
        <x:v>3</x:v>
      </x:c>
      <x:c r="G1064" s="12" t="n">
        <x:v>0.5555555555555556</x:v>
      </x:c>
      <x:c r="H1064" s="12" t="n">
        <x:v>0.6666666666666666</x:v>
      </x:c>
      <x:c r="I1064" s="29" t="n">
        <x:f>'Assumptions'!$D$11+'Assumptions'!$D$12*(0.5-(G1064+H1064)/2)</x:f>
        <x:v>0.27777777777777773</x:v>
      </x:c>
      <x:c r="J1064" s="27" t="n">
        <x:f>'Assumptions'!$D$8*EXP(-'Assumptions'!$D$9*('Fleet Engine'!E215-10))*'Assumptions'!E58*'Assumptions'!H36</x:f>
        <x:v>12214.027581601698</x:v>
      </x:c>
      <x:c r="K1064" s="27" t="n">
        <x:f>'Source Data'!F220+LN('Assumptions'!D58)+LN('Assumptions'!H35)</x:f>
        <x:v>8.04371664078851</x:v>
      </x:c>
      <x:c r="L1064" s="27" t="n">
        <x:f>J1064*(1-I1064*(1-'Carrier Engine'!E95))</x:f>
        <x:v>8956.953559841246</x:v>
      </x:c>
      <x:c r="M1064" s="29" t="n">
        <x:f>NORM.S.DIST((LN(L1064)-K1064)/'Assumptions'!$D$10,TRUE)</x:f>
        <x:v>0.7494696686328344</x:v>
      </x:c>
      <x:c r="N1064" s="30" t="n">
        <x:f>MAX(0,H1064-MAX(G1064,M1064))</x:f>
        <x:v>0</x:v>
      </x:c>
      <x:c r="O1064" s="28" t="n">
        <x:f>J1064*I1064</x:f>
        <x:v>3392.785439333805</x:v>
      </x:c>
      <x:c r="P1064" s="27" t="n">
        <x:f>(VLOOKUP(O1064,'Fee Data'!$C$6:$G$50,2,TRUE)+O1064*VLOOKUP(O1064,'Fee Data'!$C$6:$G$50,3,TRUE)+VLOOKUP(O1064,'Fee Data'!$I$6:$J$14,2,TRUE)+'Fee Data'!$J$20+'Fee Data'!$J$21)*'Assumptions'!H37</x:f>
        <x:v>865</x:v>
      </x:c>
      <x:c r="Q1064" s="27" t="n">
        <x:f>(VLOOKUP(O1064,'Fee Data'!$C$6:$G$50,4,TRUE)+O1064*VLOOKUP(O1064,'Fee Data'!$C$6:$G$50,5,TRUE)+VLOOKUP(O1064,'Fee Data'!$I$6:$J$14,2,TRUE)+'Fee Data'!$J$20+'Fee Data'!$J$21)*'Assumptions'!H37</x:f>
        <x:v>715</x:v>
      </x:c>
      <x:c r="R1064" s="27" t="n">
        <x:f>P1064*(1-'Assumptions'!$D$14)+Q1064*'Assumptions'!$D$14</x:f>
        <x:v>790</x:v>
      </x:c>
      <x:c r="S1064" s="27" t="n">
        <x:f>O1064*'Carrier Engine'!E95</x:f>
        <x:v>135.7114175733522</x:v>
      </x:c>
      <x:c r="T1064" s="28" t="n">
        <x:f>R1064+S1064</x:f>
        <x:v>925.7114175733523</x:v>
      </x:c>
      <x:c r="U1064" s="27" t="n">
        <x:f>N1064*'Fleet Engine'!J215</x:f>
        <x:v>0</x:v>
      </x:c>
      <x:c r="V1064" s="28" t="n">
        <x:f>U1064*T1064</x:f>
        <x:v>0</x:v>
      </x:c>
      <x:c r="W1064" s="28" t="n">
        <x:f>U1064*O1064</x:f>
        <x:v>0</x:v>
      </x:c>
    </x:row>
    <x:row r="1065" ht="19" customHeight="1">
      <x:c r="A1065" s="2"/>
      <x:c r="B1065" s="2"/>
      <x:c r="C1065" s="46" t="n">
        <x:v>4</x:v>
      </x:c>
      <x:c r="D1065" s="46" t="n">
        <x:v>21</x:v>
      </x:c>
      <x:c r="E1065" s="46" t="n">
        <x:v>3</x:v>
      </x:c>
      <x:c r="F1065" s="46" t="n">
        <x:v>3</x:v>
      </x:c>
      <x:c r="G1065" s="12" t="n">
        <x:v>0.6666666666666666</x:v>
      </x:c>
      <x:c r="H1065" s="12" t="n">
        <x:v>0.7777777777777778</x:v>
      </x:c>
      <x:c r="I1065" s="29" t="n">
        <x:f>'Assumptions'!$D$11+'Assumptions'!$D$12*(0.5-(G1065+H1065)/2)</x:f>
        <x:v>0.25555555555555554</x:v>
      </x:c>
      <x:c r="J1065" s="27" t="n">
        <x:f>'Assumptions'!$D$8*EXP(-'Assumptions'!$D$9*('Fleet Engine'!E215-10))*'Assumptions'!E58*'Assumptions'!H36</x:f>
        <x:v>12214.027581601698</x:v>
      </x:c>
      <x:c r="K1065" s="27" t="n">
        <x:f>'Source Data'!F220+LN('Assumptions'!D58)+LN('Assumptions'!H35)</x:f>
        <x:v>8.04371664078851</x:v>
      </x:c>
      <x:c r="L1065" s="27" t="n">
        <x:f>J1065*(1-I1065*(1-'Carrier Engine'!E95))</x:f>
        <x:v>9217.519481582081</x:v>
      </x:c>
      <x:c r="M1065" s="29" t="n">
        <x:f>NORM.S.DIST((LN(L1065)-K1065)/'Assumptions'!$D$10,TRUE)</x:f>
        <x:v>0.755243701876744</x:v>
      </x:c>
      <x:c r="N1065" s="30" t="n">
        <x:f>MAX(0,H1065-MAX(G1065,M1065))</x:f>
        <x:v>0.022534075901033845</x:v>
      </x:c>
      <x:c r="O1065" s="28" t="n">
        <x:f>J1065*I1065</x:f>
        <x:v>3121.3626041871003</x:v>
      </x:c>
      <x:c r="P1065" s="27" t="n">
        <x:f>(VLOOKUP(O1065,'Fee Data'!$C$6:$G$50,2,TRUE)+O1065*VLOOKUP(O1065,'Fee Data'!$C$6:$G$50,3,TRUE)+VLOOKUP(O1065,'Fee Data'!$I$6:$J$14,2,TRUE)+'Fee Data'!$J$20+'Fee Data'!$J$21)*'Assumptions'!H37</x:f>
        <x:v>865</x:v>
      </x:c>
      <x:c r="Q1065" s="27" t="n">
        <x:f>(VLOOKUP(O1065,'Fee Data'!$C$6:$G$50,4,TRUE)+O1065*VLOOKUP(O1065,'Fee Data'!$C$6:$G$50,5,TRUE)+VLOOKUP(O1065,'Fee Data'!$I$6:$J$14,2,TRUE)+'Fee Data'!$J$20+'Fee Data'!$J$21)*'Assumptions'!H37</x:f>
        <x:v>715</x:v>
      </x:c>
      <x:c r="R1065" s="27" t="n">
        <x:f>P1065*(1-'Assumptions'!$D$14)+Q1065*'Assumptions'!$D$14</x:f>
        <x:v>790</x:v>
      </x:c>
      <x:c r="S1065" s="27" t="n">
        <x:f>O1065*'Carrier Engine'!E95</x:f>
        <x:v>124.85450416748404</x:v>
      </x:c>
      <x:c r="T1065" s="28" t="n">
        <x:f>R1065+S1065</x:f>
        <x:v>914.854504167484</x:v>
      </x:c>
      <x:c r="U1065" s="27" t="n">
        <x:f>N1065*'Fleet Engine'!J215</x:f>
        <x:v>46.999658693116544</x:v>
      </x:c>
      <x:c r="V1065" s="28" t="n">
        <x:f>U1065*T1065</x:f>
        <x:v>42997.849449732115</x:v>
      </x:c>
      <x:c r="W1065" s="28" t="n">
        <x:f>U1065*O1065</x:f>
        <x:v>146702.97705425115</x:v>
      </x:c>
    </x:row>
    <x:row r="1066" ht="19" customHeight="1">
      <x:c r="A1066" s="2"/>
      <x:c r="B1066" s="2"/>
      <x:c r="C1066" s="46" t="n">
        <x:v>4</x:v>
      </x:c>
      <x:c r="D1066" s="46" t="n">
        <x:v>21</x:v>
      </x:c>
      <x:c r="E1066" s="46" t="n">
        <x:v>3</x:v>
      </x:c>
      <x:c r="F1066" s="46" t="n">
        <x:v>3</x:v>
      </x:c>
      <x:c r="G1066" s="12" t="n">
        <x:v>0.7777777777777778</x:v>
      </x:c>
      <x:c r="H1066" s="12" t="n">
        <x:v>0.8888888888888888</x:v>
      </x:c>
      <x:c r="I1066" s="29" t="n">
        <x:f>'Assumptions'!$D$11+'Assumptions'!$D$12*(0.5-(G1066+H1066)/2)</x:f>
        <x:v>0.23333333333333334</x:v>
      </x:c>
      <x:c r="J1066" s="27" t="n">
        <x:f>'Assumptions'!$D$8*EXP(-'Assumptions'!$D$9*('Fleet Engine'!E215-10))*'Assumptions'!E58*'Assumptions'!H36</x:f>
        <x:v>12214.027581601698</x:v>
      </x:c>
      <x:c r="K1066" s="27" t="n">
        <x:f>'Source Data'!F220+LN('Assumptions'!D58)+LN('Assumptions'!H35)</x:f>
        <x:v>8.04371664078851</x:v>
      </x:c>
      <x:c r="L1066" s="27" t="n">
        <x:f>J1066*(1-I1066*(1-'Carrier Engine'!E95))</x:f>
        <x:v>9478.085403322919</x:v>
      </x:c>
      <x:c r="M1066" s="29" t="n">
        <x:f>NORM.S.DIST((LN(L1066)-K1066)/'Assumptions'!$D$10,TRUE)</x:f>
        <x:v>0.7607873605938249</x:v>
      </x:c>
      <x:c r="N1066" s="30" t="n">
        <x:f>MAX(0,H1066-MAX(G1066,M1066))</x:f>
        <x:v>0.11111111111111105</x:v>
      </x:c>
      <x:c r="O1066" s="28" t="n">
        <x:f>J1066*I1066</x:f>
        <x:v>2849.939769040396</x:v>
      </x:c>
      <x:c r="P1066" s="27" t="n">
        <x:f>(VLOOKUP(O1066,'Fee Data'!$C$6:$G$50,2,TRUE)+O1066*VLOOKUP(O1066,'Fee Data'!$C$6:$G$50,3,TRUE)+VLOOKUP(O1066,'Fee Data'!$I$6:$J$14,2,TRUE)+'Fee Data'!$J$20+'Fee Data'!$J$21)*'Assumptions'!H37</x:f>
        <x:v>820</x:v>
      </x:c>
      <x:c r="Q1066" s="27" t="n">
        <x:f>(VLOOKUP(O1066,'Fee Data'!$C$6:$G$50,4,TRUE)+O1066*VLOOKUP(O1066,'Fee Data'!$C$6:$G$50,5,TRUE)+VLOOKUP(O1066,'Fee Data'!$I$6:$J$14,2,TRUE)+'Fee Data'!$J$20+'Fee Data'!$J$21)*'Assumptions'!H37</x:f>
        <x:v>670</x:v>
      </x:c>
      <x:c r="R1066" s="27" t="n">
        <x:f>P1066*(1-'Assumptions'!$D$14)+Q1066*'Assumptions'!$D$14</x:f>
        <x:v>745</x:v>
      </x:c>
      <x:c r="S1066" s="27" t="n">
        <x:f>O1066*'Carrier Engine'!E95</x:f>
        <x:v>113.99759076161587</x:v>
      </x:c>
      <x:c r="T1066" s="28" t="n">
        <x:f>R1066+S1066</x:f>
        <x:v>858.9975907616158</x:v>
      </x:c>
      <x:c r="U1066" s="27" t="n">
        <x:f>N1066*'Fleet Engine'!J215</x:f>
        <x:v>231.7461040856607</x:v>
      </x:c>
      <x:c r="V1066" s="28" t="n">
        <x:f>U1066*T1066</x:f>
        <x:v>199069.3450779732</x:v>
      </x:c>
      <x:c r="W1066" s="28" t="n">
        <x:f>U1066*O1066</x:f>
        <x:v>660462.4383538995</x:v>
      </x:c>
    </x:row>
    <x:row r="1067" ht="19" customHeight="1">
      <x:c r="A1067" s="2"/>
      <x:c r="B1067" s="2"/>
      <x:c r="C1067" s="46" t="n">
        <x:v>4</x:v>
      </x:c>
      <x:c r="D1067" s="46" t="n">
        <x:v>21</x:v>
      </x:c>
      <x:c r="E1067" s="46" t="n">
        <x:v>3</x:v>
      </x:c>
      <x:c r="F1067" s="46" t="n">
        <x:v>3</x:v>
      </x:c>
      <x:c r="G1067" s="12" t="n">
        <x:v>0.8888888888888888</x:v>
      </x:c>
      <x:c r="H1067" s="12" t="n">
        <x:v>1</x:v>
      </x:c>
      <x:c r="I1067" s="29" t="n">
        <x:f>'Assumptions'!$D$11+'Assumptions'!$D$12*(0.5-(G1067+H1067)/2)</x:f>
        <x:v>0.21111111111111108</x:v>
      </x:c>
      <x:c r="J1067" s="27" t="n">
        <x:f>'Assumptions'!$D$8*EXP(-'Assumptions'!$D$9*('Fleet Engine'!E215-10))*'Assumptions'!E58*'Assumptions'!H36</x:f>
        <x:v>12214.027581601698</x:v>
      </x:c>
      <x:c r="K1067" s="27" t="n">
        <x:f>'Source Data'!F220+LN('Assumptions'!D58)+LN('Assumptions'!H35)</x:f>
        <x:v>8.04371664078851</x:v>
      </x:c>
      <x:c r="L1067" s="27" t="n">
        <x:f>J1067*(1-I1067*(1-'Carrier Engine'!E95))</x:f>
        <x:v>9738.651325063754</x:v>
      </x:c>
      <x:c r="M1067" s="29" t="n">
        <x:f>NORM.S.DIST((LN(L1067)-K1067)/'Assumptions'!$D$10,TRUE)</x:f>
        <x:v>0.7661141426007128</x:v>
      </x:c>
      <x:c r="N1067" s="30" t="n">
        <x:f>MAX(0,H1067-MAX(G1067,M1067))</x:f>
        <x:v>0.11111111111111116</x:v>
      </x:c>
      <x:c r="O1067" s="28" t="n">
        <x:f>J1067*I1067</x:f>
        <x:v>2578.5169338936917</x:v>
      </x:c>
      <x:c r="P1067" s="27" t="n">
        <x:f>(VLOOKUP(O1067,'Fee Data'!$C$6:$G$50,2,TRUE)+O1067*VLOOKUP(O1067,'Fee Data'!$C$6:$G$50,3,TRUE)+VLOOKUP(O1067,'Fee Data'!$I$6:$J$14,2,TRUE)+'Fee Data'!$J$20+'Fee Data'!$J$21)*'Assumptions'!H37</x:f>
        <x:v>820</x:v>
      </x:c>
      <x:c r="Q1067" s="27" t="n">
        <x:f>(VLOOKUP(O1067,'Fee Data'!$C$6:$G$50,4,TRUE)+O1067*VLOOKUP(O1067,'Fee Data'!$C$6:$G$50,5,TRUE)+VLOOKUP(O1067,'Fee Data'!$I$6:$J$14,2,TRUE)+'Fee Data'!$J$20+'Fee Data'!$J$21)*'Assumptions'!H37</x:f>
        <x:v>670</x:v>
      </x:c>
      <x:c r="R1067" s="27" t="n">
        <x:f>P1067*(1-'Assumptions'!$D$14)+Q1067*'Assumptions'!$D$14</x:f>
        <x:v>745</x:v>
      </x:c>
      <x:c r="S1067" s="27" t="n">
        <x:f>O1067*'Carrier Engine'!E95</x:f>
        <x:v>103.14067735574768</x:v>
      </x:c>
      <x:c r="T1067" s="28" t="n">
        <x:f>R1067+S1067</x:f>
        <x:v>848.1406773557477</x:v>
      </x:c>
      <x:c r="U1067" s="27" t="n">
        <x:f>N1067*'Fleet Engine'!J215</x:f>
        <x:v>231.74610408566096</x:v>
      </x:c>
      <x:c r="V1067" s="28" t="n">
        <x:f>U1067*T1067</x:f>
        <x:v>196553.2976937681</x:v>
      </x:c>
      <x:c r="W1067" s="28" t="n">
        <x:f>U1067*O1067</x:f>
        <x:v>597561.2537487668</x:v>
      </x:c>
    </x:row>
    <x:row r="1068" ht="19" customHeight="1">
      <x:c r="A1068" s="2"/>
      <x:c r="B1068" s="2"/>
      <x:c r="C1068" s="46" t="n">
        <x:v>4</x:v>
      </x:c>
      <x:c r="D1068" s="46" t="n">
        <x:v>22</x:v>
      </x:c>
      <x:c r="E1068" s="46" t="n">
        <x:v>3</x:v>
      </x:c>
      <x:c r="F1068" s="46" t="n">
        <x:v>4</x:v>
      </x:c>
      <x:c r="G1068" s="12" t="n">
        <x:v>0</x:v>
      </x:c>
      <x:c r="H1068" s="12" t="n">
        <x:v>0.1111111111111111</x:v>
      </x:c>
      <x:c r="I1068" s="29" t="n">
        <x:f>'Assumptions'!$D$11+'Assumptions'!$D$12*(0.5-(G1068+H1068)/2)</x:f>
        <x:v>0.3888888888888889</x:v>
      </x:c>
      <x:c r="J1068" s="27" t="n">
        <x:f>'Assumptions'!$D$8*EXP(-'Assumptions'!$D$9*('Fleet Engine'!E216-10))*'Assumptions'!E58*'Assumptions'!H36</x:f>
        <x:v>9048.374180359595</x:v>
      </x:c>
      <x:c r="K1068" s="27" t="n">
        <x:f>'Source Data'!F221+LN('Assumptions'!D58)+LN('Assumptions'!H35)</x:f>
        <x:v>8.129564769703762</x:v>
      </x:c>
      <x:c r="L1068" s="27" t="n">
        <x:f>J1068*(1-I1068*(1-'Carrier Engine'!E95))</x:f>
        <x:v>5670.3144863586795</x:v>
      </x:c>
      <x:c r="M1068" s="29" t="n">
        <x:f>NORM.S.DIST((LN(L1068)-K1068)/'Assumptions'!$D$10,TRUE)</x:f>
        <x:v>0.6281606975277834</x:v>
      </x:c>
      <x:c r="N1068" s="30" t="n">
        <x:f>MAX(0,H1068-MAX(G1068,M1068))</x:f>
        <x:v>0</x:v>
      </x:c>
      <x:c r="O1068" s="28" t="n">
        <x:f>J1068*I1068</x:f>
        <x:v>3518.8121812509535</x:v>
      </x:c>
      <x:c r="P1068" s="27" t="n">
        <x:f>(VLOOKUP(O1068,'Fee Data'!$C$6:$G$50,2,TRUE)+O1068*VLOOKUP(O1068,'Fee Data'!$C$6:$G$50,3,TRUE)+VLOOKUP(O1068,'Fee Data'!$I$6:$J$14,2,TRUE)+'Fee Data'!$J$20+'Fee Data'!$J$21)*'Assumptions'!H37</x:f>
        <x:v>915</x:v>
      </x:c>
      <x:c r="Q1068" s="27" t="n">
        <x:f>(VLOOKUP(O1068,'Fee Data'!$C$6:$G$50,4,TRUE)+O1068*VLOOKUP(O1068,'Fee Data'!$C$6:$G$50,5,TRUE)+VLOOKUP(O1068,'Fee Data'!$I$6:$J$14,2,TRUE)+'Fee Data'!$J$20+'Fee Data'!$J$21)*'Assumptions'!H37</x:f>
        <x:v>765</x:v>
      </x:c>
      <x:c r="R1068" s="27" t="n">
        <x:f>P1068*(1-'Assumptions'!$D$14)+Q1068*'Assumptions'!$D$14</x:f>
        <x:v>840</x:v>
      </x:c>
      <x:c r="S1068" s="27" t="n">
        <x:f>O1068*'Carrier Engine'!E95</x:f>
        <x:v>140.75248725003817</x:v>
      </x:c>
      <x:c r="T1068" s="28" t="n">
        <x:f>R1068+S1068</x:f>
        <x:v>980.7524872500381</x:v>
      </x:c>
      <x:c r="U1068" s="27" t="n">
        <x:f>N1068*'Fleet Engine'!J216</x:f>
        <x:v>0</x:v>
      </x:c>
      <x:c r="V1068" s="28" t="n">
        <x:f>U1068*T1068</x:f>
        <x:v>0</x:v>
      </x:c>
      <x:c r="W1068" s="28" t="n">
        <x:f>U1068*O1068</x:f>
        <x:v>0</x:v>
      </x:c>
    </x:row>
    <x:row r="1069" ht="19" customHeight="1">
      <x:c r="A1069" s="2"/>
      <x:c r="B1069" s="2"/>
      <x:c r="C1069" s="46" t="n">
        <x:v>4</x:v>
      </x:c>
      <x:c r="D1069" s="46" t="n">
        <x:v>22</x:v>
      </x:c>
      <x:c r="E1069" s="46" t="n">
        <x:v>3</x:v>
      </x:c>
      <x:c r="F1069" s="46" t="n">
        <x:v>4</x:v>
      </x:c>
      <x:c r="G1069" s="12" t="n">
        <x:v>0.1111111111111111</x:v>
      </x:c>
      <x:c r="H1069" s="12" t="n">
        <x:v>0.2222222222222222</x:v>
      </x:c>
      <x:c r="I1069" s="29" t="n">
        <x:f>'Assumptions'!$D$11+'Assumptions'!$D$12*(0.5-(G1069+H1069)/2)</x:f>
        <x:v>0.3666666666666667</x:v>
      </x:c>
      <x:c r="J1069" s="27" t="n">
        <x:f>'Assumptions'!$D$8*EXP(-'Assumptions'!$D$9*('Fleet Engine'!E216-10))*'Assumptions'!E58*'Assumptions'!H36</x:f>
        <x:v>9048.374180359595</x:v>
      </x:c>
      <x:c r="K1069" s="27" t="n">
        <x:f>'Source Data'!F221+LN('Assumptions'!D58)+LN('Assumptions'!H35)</x:f>
        <x:v>8.129564769703762</x:v>
      </x:c>
      <x:c r="L1069" s="27" t="n">
        <x:f>J1069*(1-I1069*(1-'Carrier Engine'!E95))</x:f>
        <x:v>5863.346468873016</x:v>
      </x:c>
      <x:c r="M1069" s="29" t="n">
        <x:f>NORM.S.DIST((LN(L1069)-K1069)/'Assumptions'!$D$10,TRUE)</x:f>
        <x:v>0.6361945348683504</x:v>
      </x:c>
      <x:c r="N1069" s="30" t="n">
        <x:f>MAX(0,H1069-MAX(G1069,M1069))</x:f>
        <x:v>0</x:v>
      </x:c>
      <x:c r="O1069" s="28" t="n">
        <x:f>J1069*I1069</x:f>
        <x:v>3317.737199465185</x:v>
      </x:c>
      <x:c r="P1069" s="27" t="n">
        <x:f>(VLOOKUP(O1069,'Fee Data'!$C$6:$G$50,2,TRUE)+O1069*VLOOKUP(O1069,'Fee Data'!$C$6:$G$50,3,TRUE)+VLOOKUP(O1069,'Fee Data'!$I$6:$J$14,2,TRUE)+'Fee Data'!$J$20+'Fee Data'!$J$21)*'Assumptions'!H37</x:f>
        <x:v>865</x:v>
      </x:c>
      <x:c r="Q1069" s="27" t="n">
        <x:f>(VLOOKUP(O1069,'Fee Data'!$C$6:$G$50,4,TRUE)+O1069*VLOOKUP(O1069,'Fee Data'!$C$6:$G$50,5,TRUE)+VLOOKUP(O1069,'Fee Data'!$I$6:$J$14,2,TRUE)+'Fee Data'!$J$20+'Fee Data'!$J$21)*'Assumptions'!H37</x:f>
        <x:v>715</x:v>
      </x:c>
      <x:c r="R1069" s="27" t="n">
        <x:f>P1069*(1-'Assumptions'!$D$14)+Q1069*'Assumptions'!$D$14</x:f>
        <x:v>790</x:v>
      </x:c>
      <x:c r="S1069" s="27" t="n">
        <x:f>O1069*'Carrier Engine'!E95</x:f>
        <x:v>132.70948797860743</x:v>
      </x:c>
      <x:c r="T1069" s="28" t="n">
        <x:f>R1069+S1069</x:f>
        <x:v>922.7094879786074</x:v>
      </x:c>
      <x:c r="U1069" s="27" t="n">
        <x:f>N1069*'Fleet Engine'!J216</x:f>
        <x:v>0</x:v>
      </x:c>
      <x:c r="V1069" s="28" t="n">
        <x:f>U1069*T1069</x:f>
        <x:v>0</x:v>
      </x:c>
      <x:c r="W1069" s="28" t="n">
        <x:f>U1069*O1069</x:f>
        <x:v>0</x:v>
      </x:c>
    </x:row>
    <x:row r="1070" ht="19" customHeight="1">
      <x:c r="A1070" s="2"/>
      <x:c r="B1070" s="2"/>
      <x:c r="C1070" s="46" t="n">
        <x:v>4</x:v>
      </x:c>
      <x:c r="D1070" s="46" t="n">
        <x:v>22</x:v>
      </x:c>
      <x:c r="E1070" s="46" t="n">
        <x:v>3</x:v>
      </x:c>
      <x:c r="F1070" s="46" t="n">
        <x:v>4</x:v>
      </x:c>
      <x:c r="G1070" s="12" t="n">
        <x:v>0.2222222222222222</x:v>
      </x:c>
      <x:c r="H1070" s="12" t="n">
        <x:v>0.3333333333333333</x:v>
      </x:c>
      <x:c r="I1070" s="29" t="n">
        <x:f>'Assumptions'!$D$11+'Assumptions'!$D$12*(0.5-(G1070+H1070)/2)</x:f>
        <x:v>0.34444444444444444</x:v>
      </x:c>
      <x:c r="J1070" s="27" t="n">
        <x:f>'Assumptions'!$D$8*EXP(-'Assumptions'!$D$9*('Fleet Engine'!E216-10))*'Assumptions'!E58*'Assumptions'!H36</x:f>
        <x:v>9048.374180359595</x:v>
      </x:c>
      <x:c r="K1070" s="27" t="n">
        <x:f>'Source Data'!F221+LN('Assumptions'!D58)+LN('Assumptions'!H35)</x:f>
        <x:v>8.129564769703762</x:v>
      </x:c>
      <x:c r="L1070" s="27" t="n">
        <x:f>J1070*(1-I1070*(1-'Carrier Engine'!E95))</x:f>
        <x:v>6056.378451387355</x:v>
      </x:c>
      <x:c r="M1070" s="29" t="n">
        <x:f>NORM.S.DIST((LN(L1070)-K1070)/'Assumptions'!$D$10,TRUE)</x:f>
        <x:v>0.6439115766417938</x:v>
      </x:c>
      <x:c r="N1070" s="30" t="n">
        <x:f>MAX(0,H1070-MAX(G1070,M1070))</x:f>
        <x:v>0</x:v>
      </x:c>
      <x:c r="O1070" s="28" t="n">
        <x:f>J1070*I1070</x:f>
        <x:v>3116.662217679416</x:v>
      </x:c>
      <x:c r="P1070" s="27" t="n">
        <x:f>(VLOOKUP(O1070,'Fee Data'!$C$6:$G$50,2,TRUE)+O1070*VLOOKUP(O1070,'Fee Data'!$C$6:$G$50,3,TRUE)+VLOOKUP(O1070,'Fee Data'!$I$6:$J$14,2,TRUE)+'Fee Data'!$J$20+'Fee Data'!$J$21)*'Assumptions'!H37</x:f>
        <x:v>865</x:v>
      </x:c>
      <x:c r="Q1070" s="27" t="n">
        <x:f>(VLOOKUP(O1070,'Fee Data'!$C$6:$G$50,4,TRUE)+O1070*VLOOKUP(O1070,'Fee Data'!$C$6:$G$50,5,TRUE)+VLOOKUP(O1070,'Fee Data'!$I$6:$J$14,2,TRUE)+'Fee Data'!$J$20+'Fee Data'!$J$21)*'Assumptions'!H37</x:f>
        <x:v>715</x:v>
      </x:c>
      <x:c r="R1070" s="27" t="n">
        <x:f>P1070*(1-'Assumptions'!$D$14)+Q1070*'Assumptions'!$D$14</x:f>
        <x:v>790</x:v>
      </x:c>
      <x:c r="S1070" s="27" t="n">
        <x:f>O1070*'Carrier Engine'!E95</x:f>
        <x:v>124.66648870717665</x:v>
      </x:c>
      <x:c r="T1070" s="28" t="n">
        <x:f>R1070+S1070</x:f>
        <x:v>914.6664887071767</x:v>
      </x:c>
      <x:c r="U1070" s="27" t="n">
        <x:f>N1070*'Fleet Engine'!J216</x:f>
        <x:v>0</x:v>
      </x:c>
      <x:c r="V1070" s="28" t="n">
        <x:f>U1070*T1070</x:f>
        <x:v>0</x:v>
      </x:c>
      <x:c r="W1070" s="28" t="n">
        <x:f>U1070*O1070</x:f>
        <x:v>0</x:v>
      </x:c>
    </x:row>
    <x:row r="1071" ht="19" customHeight="1">
      <x:c r="A1071" s="2"/>
      <x:c r="B1071" s="2"/>
      <x:c r="C1071" s="46" t="n">
        <x:v>4</x:v>
      </x:c>
      <x:c r="D1071" s="46" t="n">
        <x:v>22</x:v>
      </x:c>
      <x:c r="E1071" s="46" t="n">
        <x:v>3</x:v>
      </x:c>
      <x:c r="F1071" s="46" t="n">
        <x:v>4</x:v>
      </x:c>
      <x:c r="G1071" s="12" t="n">
        <x:v>0.3333333333333333</x:v>
      </x:c>
      <x:c r="H1071" s="12" t="n">
        <x:v>0.4444444444444444</x:v>
      </x:c>
      <x:c r="I1071" s="29" t="n">
        <x:f>'Assumptions'!$D$11+'Assumptions'!$D$12*(0.5-(G1071+H1071)/2)</x:f>
        <x:v>0.32222222222222224</x:v>
      </x:c>
      <x:c r="J1071" s="27" t="n">
        <x:f>'Assumptions'!$D$8*EXP(-'Assumptions'!$D$9*('Fleet Engine'!E216-10))*'Assumptions'!E58*'Assumptions'!H36</x:f>
        <x:v>9048.374180359595</x:v>
      </x:c>
      <x:c r="K1071" s="27" t="n">
        <x:f>'Source Data'!F221+LN('Assumptions'!D58)+LN('Assumptions'!H35)</x:f>
        <x:v>8.129564769703762</x:v>
      </x:c>
      <x:c r="L1071" s="27" t="n">
        <x:f>J1071*(1-I1071*(1-'Carrier Engine'!E95))</x:f>
        <x:v>6249.410433901693</x:v>
      </x:c>
      <x:c r="M1071" s="29" t="n">
        <x:f>NORM.S.DIST((LN(L1071)-K1071)/'Assumptions'!$D$10,TRUE)</x:f>
        <x:v>0.651330720808863</x:v>
      </x:c>
      <x:c r="N1071" s="30" t="n">
        <x:f>MAX(0,H1071-MAX(G1071,M1071))</x:f>
        <x:v>0</x:v>
      </x:c>
      <x:c r="O1071" s="28" t="n">
        <x:f>J1071*I1071</x:f>
        <x:v>2915.5872358936476</x:v>
      </x:c>
      <x:c r="P1071" s="27" t="n">
        <x:f>(VLOOKUP(O1071,'Fee Data'!$C$6:$G$50,2,TRUE)+O1071*VLOOKUP(O1071,'Fee Data'!$C$6:$G$50,3,TRUE)+VLOOKUP(O1071,'Fee Data'!$I$6:$J$14,2,TRUE)+'Fee Data'!$J$20+'Fee Data'!$J$21)*'Assumptions'!H37</x:f>
        <x:v>820</x:v>
      </x:c>
      <x:c r="Q1071" s="27" t="n">
        <x:f>(VLOOKUP(O1071,'Fee Data'!$C$6:$G$50,4,TRUE)+O1071*VLOOKUP(O1071,'Fee Data'!$C$6:$G$50,5,TRUE)+VLOOKUP(O1071,'Fee Data'!$I$6:$J$14,2,TRUE)+'Fee Data'!$J$20+'Fee Data'!$J$21)*'Assumptions'!H37</x:f>
        <x:v>670</x:v>
      </x:c>
      <x:c r="R1071" s="27" t="n">
        <x:f>P1071*(1-'Assumptions'!$D$14)+Q1071*'Assumptions'!$D$14</x:f>
        <x:v>745</x:v>
      </x:c>
      <x:c r="S1071" s="27" t="n">
        <x:f>O1071*'Carrier Engine'!E95</x:f>
        <x:v>116.62348943574592</x:v>
      </x:c>
      <x:c r="T1071" s="28" t="n">
        <x:f>R1071+S1071</x:f>
        <x:v>861.6234894357459</x:v>
      </x:c>
      <x:c r="U1071" s="27" t="n">
        <x:f>N1071*'Fleet Engine'!J216</x:f>
        <x:v>0</x:v>
      </x:c>
      <x:c r="V1071" s="28" t="n">
        <x:f>U1071*T1071</x:f>
        <x:v>0</x:v>
      </x:c>
      <x:c r="W1071" s="28" t="n">
        <x:f>U1071*O1071</x:f>
        <x:v>0</x:v>
      </x:c>
    </x:row>
    <x:row r="1072" ht="19" customHeight="1">
      <x:c r="A1072" s="2"/>
      <x:c r="B1072" s="2"/>
      <x:c r="C1072" s="46" t="n">
        <x:v>4</x:v>
      </x:c>
      <x:c r="D1072" s="46" t="n">
        <x:v>22</x:v>
      </x:c>
      <x:c r="E1072" s="46" t="n">
        <x:v>3</x:v>
      </x:c>
      <x:c r="F1072" s="46" t="n">
        <x:v>4</x:v>
      </x:c>
      <x:c r="G1072" s="12" t="n">
        <x:v>0.4444444444444444</x:v>
      </x:c>
      <x:c r="H1072" s="12" t="n">
        <x:v>0.5555555555555556</x:v>
      </x:c>
      <x:c r="I1072" s="29" t="n">
        <x:f>'Assumptions'!$D$11+'Assumptions'!$D$12*(0.5-(G1072+H1072)/2)</x:f>
        <x:v>0.3</x:v>
      </x:c>
      <x:c r="J1072" s="27" t="n">
        <x:f>'Assumptions'!$D$8*EXP(-'Assumptions'!$D$9*('Fleet Engine'!E216-10))*'Assumptions'!E58*'Assumptions'!H36</x:f>
        <x:v>9048.374180359595</x:v>
      </x:c>
      <x:c r="K1072" s="27" t="n">
        <x:f>'Source Data'!F221+LN('Assumptions'!D58)+LN('Assumptions'!H35)</x:f>
        <x:v>8.129564769703762</x:v>
      </x:c>
      <x:c r="L1072" s="27" t="n">
        <x:f>J1072*(1-I1072*(1-'Carrier Engine'!E95))</x:f>
        <x:v>6442.442416416031</x:v>
      </x:c>
      <x:c r="M1072" s="29" t="n">
        <x:f>NORM.S.DIST((LN(L1072)-K1072)/'Assumptions'!$D$10,TRUE)</x:f>
        <x:v>0.6584693407393539</x:v>
      </x:c>
      <x:c r="N1072" s="30" t="n">
        <x:f>MAX(0,H1072-MAX(G1072,M1072))</x:f>
        <x:v>0</x:v>
      </x:c>
      <x:c r="O1072" s="28" t="n">
        <x:f>J1072*I1072</x:f>
        <x:v>2714.5122541078786</x:v>
      </x:c>
      <x:c r="P1072" s="27" t="n">
        <x:f>(VLOOKUP(O1072,'Fee Data'!$C$6:$G$50,2,TRUE)+O1072*VLOOKUP(O1072,'Fee Data'!$C$6:$G$50,3,TRUE)+VLOOKUP(O1072,'Fee Data'!$I$6:$J$14,2,TRUE)+'Fee Data'!$J$20+'Fee Data'!$J$21)*'Assumptions'!H37</x:f>
        <x:v>820</x:v>
      </x:c>
      <x:c r="Q1072" s="27" t="n">
        <x:f>(VLOOKUP(O1072,'Fee Data'!$C$6:$G$50,4,TRUE)+O1072*VLOOKUP(O1072,'Fee Data'!$C$6:$G$50,5,TRUE)+VLOOKUP(O1072,'Fee Data'!$I$6:$J$14,2,TRUE)+'Fee Data'!$J$20+'Fee Data'!$J$21)*'Assumptions'!H37</x:f>
        <x:v>670</x:v>
      </x:c>
      <x:c r="R1072" s="27" t="n">
        <x:f>P1072*(1-'Assumptions'!$D$14)+Q1072*'Assumptions'!$D$14</x:f>
        <x:v>745</x:v>
      </x:c>
      <x:c r="S1072" s="27" t="n">
        <x:f>O1072*'Carrier Engine'!E95</x:f>
        <x:v>108.58049016431517</x:v>
      </x:c>
      <x:c r="T1072" s="28" t="n">
        <x:f>R1072+S1072</x:f>
        <x:v>853.5804901643152</x:v>
      </x:c>
      <x:c r="U1072" s="27" t="n">
        <x:f>N1072*'Fleet Engine'!J216</x:f>
        <x:v>0</x:v>
      </x:c>
      <x:c r="V1072" s="28" t="n">
        <x:f>U1072*T1072</x:f>
        <x:v>0</x:v>
      </x:c>
      <x:c r="W1072" s="28" t="n">
        <x:f>U1072*O1072</x:f>
        <x:v>0</x:v>
      </x:c>
    </x:row>
    <x:row r="1073" ht="19" customHeight="1">
      <x:c r="A1073" s="2"/>
      <x:c r="B1073" s="2"/>
      <x:c r="C1073" s="46" t="n">
        <x:v>4</x:v>
      </x:c>
      <x:c r="D1073" s="46" t="n">
        <x:v>22</x:v>
      </x:c>
      <x:c r="E1073" s="46" t="n">
        <x:v>3</x:v>
      </x:c>
      <x:c r="F1073" s="46" t="n">
        <x:v>4</x:v>
      </x:c>
      <x:c r="G1073" s="12" t="n">
        <x:v>0.5555555555555556</x:v>
      </x:c>
      <x:c r="H1073" s="12" t="n">
        <x:v>0.6666666666666666</x:v>
      </x:c>
      <x:c r="I1073" s="29" t="n">
        <x:f>'Assumptions'!$D$11+'Assumptions'!$D$12*(0.5-(G1073+H1073)/2)</x:f>
        <x:v>0.27777777777777773</x:v>
      </x:c>
      <x:c r="J1073" s="27" t="n">
        <x:f>'Assumptions'!$D$8*EXP(-'Assumptions'!$D$9*('Fleet Engine'!E216-10))*'Assumptions'!E58*'Assumptions'!H36</x:f>
        <x:v>9048.374180359595</x:v>
      </x:c>
      <x:c r="K1073" s="27" t="n">
        <x:f>'Source Data'!F221+LN('Assumptions'!D58)+LN('Assumptions'!H35)</x:f>
        <x:v>8.129564769703762</x:v>
      </x:c>
      <x:c r="L1073" s="27" t="n">
        <x:f>J1073*(1-I1073*(1-'Carrier Engine'!E95))</x:f>
        <x:v>6635.47439893037</x:v>
      </x:c>
      <x:c r="M1073" s="29" t="n">
        <x:f>NORM.S.DIST((LN(L1073)-K1073)/'Assumptions'!$D$10,TRUE)</x:f>
        <x:v>0.6653434401742447</x:v>
      </x:c>
      <x:c r="N1073" s="30" t="n">
        <x:f>MAX(0,H1073-MAX(G1073,M1073))</x:f>
        <x:v>0.0013232264924218917</x:v>
      </x:c>
      <x:c r="O1073" s="28" t="n">
        <x:f>J1073*I1073</x:f>
        <x:v>2513.4372723221095</x:v>
      </x:c>
      <x:c r="P1073" s="27" t="n">
        <x:f>(VLOOKUP(O1073,'Fee Data'!$C$6:$G$50,2,TRUE)+O1073*VLOOKUP(O1073,'Fee Data'!$C$6:$G$50,3,TRUE)+VLOOKUP(O1073,'Fee Data'!$I$6:$J$14,2,TRUE)+'Fee Data'!$J$20+'Fee Data'!$J$21)*'Assumptions'!H37</x:f>
        <x:v>820</x:v>
      </x:c>
      <x:c r="Q1073" s="27" t="n">
        <x:f>(VLOOKUP(O1073,'Fee Data'!$C$6:$G$50,4,TRUE)+O1073*VLOOKUP(O1073,'Fee Data'!$C$6:$G$50,5,TRUE)+VLOOKUP(O1073,'Fee Data'!$I$6:$J$14,2,TRUE)+'Fee Data'!$J$20+'Fee Data'!$J$21)*'Assumptions'!H37</x:f>
        <x:v>670</x:v>
      </x:c>
      <x:c r="R1073" s="27" t="n">
        <x:f>P1073*(1-'Assumptions'!$D$14)+Q1073*'Assumptions'!$D$14</x:f>
        <x:v>745</x:v>
      </x:c>
      <x:c r="S1073" s="27" t="n">
        <x:f>O1073*'Carrier Engine'!E95</x:f>
        <x:v>100.53749089288439</x:v>
      </x:c>
      <x:c r="T1073" s="28" t="n">
        <x:f>R1073+S1073</x:f>
        <x:v>845.5374908928844</x:v>
      </x:c>
      <x:c r="U1073" s="27" t="n">
        <x:f>N1073*'Fleet Engine'!J216</x:f>
        <x:v>1.5358651589808654</x:v>
      </x:c>
      <x:c r="V1073" s="28" t="n">
        <x:f>U1073*T1073</x:f>
        <x:v>1298.631572874482</x:v>
      </x:c>
      <x:c r="W1073" s="28" t="n">
        <x:f>U1073*O1073</x:f>
        <x:v>3860.3007358434293</x:v>
      </x:c>
    </x:row>
    <x:row r="1074" ht="19" customHeight="1">
      <x:c r="A1074" s="2"/>
      <x:c r="B1074" s="2"/>
      <x:c r="C1074" s="46" t="n">
        <x:v>4</x:v>
      </x:c>
      <x:c r="D1074" s="46" t="n">
        <x:v>22</x:v>
      </x:c>
      <x:c r="E1074" s="46" t="n">
        <x:v>3</x:v>
      </x:c>
      <x:c r="F1074" s="46" t="n">
        <x:v>4</x:v>
      </x:c>
      <x:c r="G1074" s="12" t="n">
        <x:v>0.6666666666666666</x:v>
      </x:c>
      <x:c r="H1074" s="12" t="n">
        <x:v>0.7777777777777778</x:v>
      </x:c>
      <x:c r="I1074" s="29" t="n">
        <x:f>'Assumptions'!$D$11+'Assumptions'!$D$12*(0.5-(G1074+H1074)/2)</x:f>
        <x:v>0.25555555555555554</x:v>
      </x:c>
      <x:c r="J1074" s="27" t="n">
        <x:f>'Assumptions'!$D$8*EXP(-'Assumptions'!$D$9*('Fleet Engine'!E216-10))*'Assumptions'!E58*'Assumptions'!H36</x:f>
        <x:v>9048.374180359595</x:v>
      </x:c>
      <x:c r="K1074" s="27" t="n">
        <x:f>'Source Data'!F221+LN('Assumptions'!D58)+LN('Assumptions'!H35)</x:f>
        <x:v>8.129564769703762</x:v>
      </x:c>
      <x:c r="L1074" s="27" t="n">
        <x:f>J1074*(1-I1074*(1-'Carrier Engine'!E95))</x:f>
        <x:v>6828.506381444708</x:v>
      </x:c>
      <x:c r="M1074" s="29" t="n">
        <x:f>NORM.S.DIST((LN(L1074)-K1074)/'Assumptions'!$D$10,TRUE)</x:f>
        <x:v>0.6719677892659592</x:v>
      </x:c>
      <x:c r="N1074" s="30" t="n">
        <x:f>MAX(0,H1074-MAX(G1074,M1074))</x:f>
        <x:v>0.10580998851181855</x:v>
      </x:c>
      <x:c r="O1074" s="28" t="n">
        <x:f>J1074*I1074</x:f>
        <x:v>2312.362290536341</x:v>
      </x:c>
      <x:c r="P1074" s="27" t="n">
        <x:f>(VLOOKUP(O1074,'Fee Data'!$C$6:$G$50,2,TRUE)+O1074*VLOOKUP(O1074,'Fee Data'!$C$6:$G$50,3,TRUE)+VLOOKUP(O1074,'Fee Data'!$I$6:$J$14,2,TRUE)+'Fee Data'!$J$20+'Fee Data'!$J$21)*'Assumptions'!H37</x:f>
        <x:v>745</x:v>
      </x:c>
      <x:c r="Q1074" s="27" t="n">
        <x:f>(VLOOKUP(O1074,'Fee Data'!$C$6:$G$50,4,TRUE)+O1074*VLOOKUP(O1074,'Fee Data'!$C$6:$G$50,5,TRUE)+VLOOKUP(O1074,'Fee Data'!$I$6:$J$14,2,TRUE)+'Fee Data'!$J$20+'Fee Data'!$J$21)*'Assumptions'!H37</x:f>
        <x:v>600</x:v>
      </x:c>
      <x:c r="R1074" s="27" t="n">
        <x:f>P1074*(1-'Assumptions'!$D$14)+Q1074*'Assumptions'!$D$14</x:f>
        <x:v>672.5</x:v>
      </x:c>
      <x:c r="S1074" s="27" t="n">
        <x:f>O1074*'Carrier Engine'!E95</x:f>
        <x:v>92.49449162145365</x:v>
      </x:c>
      <x:c r="T1074" s="28" t="n">
        <x:f>R1074+S1074</x:f>
        <x:v>764.9944916214537</x:v>
      </x:c>
      <x:c r="U1074" s="27" t="n">
        <x:f>N1074*'Fleet Engine'!J216</x:f>
        <x:v>122.81334734314993</x:v>
      </x:c>
      <x:c r="V1074" s="28" t="n">
        <x:f>U1074*T1074</x:f>
        <x:v>93951.53421510199</x:v>
      </x:c>
      <x:c r="W1074" s="28" t="n">
        <x:f>U1074*O1074</x:f>
        <x:v>283988.9531708414</x:v>
      </x:c>
    </x:row>
    <x:row r="1075" ht="19" customHeight="1">
      <x:c r="A1075" s="2"/>
      <x:c r="B1075" s="2"/>
      <x:c r="C1075" s="46" t="n">
        <x:v>4</x:v>
      </x:c>
      <x:c r="D1075" s="46" t="n">
        <x:v>22</x:v>
      </x:c>
      <x:c r="E1075" s="46" t="n">
        <x:v>3</x:v>
      </x:c>
      <x:c r="F1075" s="46" t="n">
        <x:v>4</x:v>
      </x:c>
      <x:c r="G1075" s="12" t="n">
        <x:v>0.7777777777777778</x:v>
      </x:c>
      <x:c r="H1075" s="12" t="n">
        <x:v>0.8888888888888888</x:v>
      </x:c>
      <x:c r="I1075" s="29" t="n">
        <x:f>'Assumptions'!$D$11+'Assumptions'!$D$12*(0.5-(G1075+H1075)/2)</x:f>
        <x:v>0.23333333333333334</x:v>
      </x:c>
      <x:c r="J1075" s="27" t="n">
        <x:f>'Assumptions'!$D$8*EXP(-'Assumptions'!$D$9*('Fleet Engine'!E216-10))*'Assumptions'!E58*'Assumptions'!H36</x:f>
        <x:v>9048.374180359595</x:v>
      </x:c>
      <x:c r="K1075" s="27" t="n">
        <x:f>'Source Data'!F221+LN('Assumptions'!D58)+LN('Assumptions'!H35)</x:f>
        <x:v>8.129564769703762</x:v>
      </x:c>
      <x:c r="L1075" s="27" t="n">
        <x:f>J1075*(1-I1075*(1-'Carrier Engine'!E95))</x:f>
        <x:v>7021.5383639590455</x:v>
      </x:c>
      <x:c r="M1075" s="29" t="n">
        <x:f>NORM.S.DIST((LN(L1075)-K1075)/'Assumptions'!$D$10,TRUE)</x:f>
        <x:v>0.6783560443804386</x:v>
      </x:c>
      <x:c r="N1075" s="30" t="n">
        <x:f>MAX(0,H1075-MAX(G1075,M1075))</x:f>
        <x:v>0.11111111111111105</x:v>
      </x:c>
      <x:c r="O1075" s="28" t="n">
        <x:f>J1075*I1075</x:f>
        <x:v>2111.2873087505723</x:v>
      </x:c>
      <x:c r="P1075" s="27" t="n">
        <x:f>(VLOOKUP(O1075,'Fee Data'!$C$6:$G$50,2,TRUE)+O1075*VLOOKUP(O1075,'Fee Data'!$C$6:$G$50,3,TRUE)+VLOOKUP(O1075,'Fee Data'!$I$6:$J$14,2,TRUE)+'Fee Data'!$J$20+'Fee Data'!$J$21)*'Assumptions'!H37</x:f>
        <x:v>745</x:v>
      </x:c>
      <x:c r="Q1075" s="27" t="n">
        <x:f>(VLOOKUP(O1075,'Fee Data'!$C$6:$G$50,4,TRUE)+O1075*VLOOKUP(O1075,'Fee Data'!$C$6:$G$50,5,TRUE)+VLOOKUP(O1075,'Fee Data'!$I$6:$J$14,2,TRUE)+'Fee Data'!$J$20+'Fee Data'!$J$21)*'Assumptions'!H37</x:f>
        <x:v>600</x:v>
      </x:c>
      <x:c r="R1075" s="27" t="n">
        <x:f>P1075*(1-'Assumptions'!$D$14)+Q1075*'Assumptions'!$D$14</x:f>
        <x:v>672.5</x:v>
      </x:c>
      <x:c r="S1075" s="27" t="n">
        <x:f>O1075*'Carrier Engine'!E95</x:f>
        <x:v>84.4514923500229</x:v>
      </x:c>
      <x:c r="T1075" s="28" t="n">
        <x:f>R1075+S1075</x:f>
        <x:v>756.9514923500229</x:v>
      </x:c>
      <x:c r="U1075" s="27" t="n">
        <x:f>N1075*'Fleet Engine'!J216</x:f>
        <x:v>128.9663449972685</x:v>
      </x:c>
      <x:c r="V1075" s="28" t="n">
        <x:f>U1075*T1075</x:f>
        <x:v>97621.2673086103</x:v>
      </x:c>
      <x:c r="W1075" s="28" t="n">
        <x:f>U1075*O1075</x:f>
        <x:v>272285.0074486808</x:v>
      </x:c>
    </x:row>
    <x:row r="1076" ht="19" customHeight="1">
      <x:c r="A1076" s="2"/>
      <x:c r="B1076" s="2"/>
      <x:c r="C1076" s="46" t="n">
        <x:v>4</x:v>
      </x:c>
      <x:c r="D1076" s="46" t="n">
        <x:v>22</x:v>
      </x:c>
      <x:c r="E1076" s="46" t="n">
        <x:v>3</x:v>
      </x:c>
      <x:c r="F1076" s="46" t="n">
        <x:v>4</x:v>
      </x:c>
      <x:c r="G1076" s="12" t="n">
        <x:v>0.8888888888888888</x:v>
      </x:c>
      <x:c r="H1076" s="12" t="n">
        <x:v>1</x:v>
      </x:c>
      <x:c r="I1076" s="29" t="n">
        <x:f>'Assumptions'!$D$11+'Assumptions'!$D$12*(0.5-(G1076+H1076)/2)</x:f>
        <x:v>0.21111111111111108</x:v>
      </x:c>
      <x:c r="J1076" s="27" t="n">
        <x:f>'Assumptions'!$D$8*EXP(-'Assumptions'!$D$9*('Fleet Engine'!E216-10))*'Assumptions'!E58*'Assumptions'!H36</x:f>
        <x:v>9048.374180359595</x:v>
      </x:c>
      <x:c r="K1076" s="27" t="n">
        <x:f>'Source Data'!F221+LN('Assumptions'!D58)+LN('Assumptions'!H35)</x:f>
        <x:v>8.129564769703762</x:v>
      </x:c>
      <x:c r="L1076" s="27" t="n">
        <x:f>J1076*(1-I1076*(1-'Carrier Engine'!E95))</x:f>
        <x:v>7214.570346473383</x:v>
      </x:c>
      <x:c r="M1076" s="29" t="n">
        <x:f>NORM.S.DIST((LN(L1076)-K1076)/'Assumptions'!$D$10,TRUE)</x:f>
        <x:v>0.6845208539134946</x:v>
      </x:c>
      <x:c r="N1076" s="30" t="n">
        <x:f>MAX(0,H1076-MAX(G1076,M1076))</x:f>
        <x:v>0.11111111111111116</x:v>
      </x:c>
      <x:c r="O1076" s="28" t="n">
        <x:f>J1076*I1076</x:f>
        <x:v>1910.2123269648032</x:v>
      </x:c>
      <x:c r="P1076" s="27" t="n">
        <x:f>(VLOOKUP(O1076,'Fee Data'!$C$6:$G$50,2,TRUE)+O1076*VLOOKUP(O1076,'Fee Data'!$C$6:$G$50,3,TRUE)+VLOOKUP(O1076,'Fee Data'!$I$6:$J$14,2,TRUE)+'Fee Data'!$J$20+'Fee Data'!$J$21)*'Assumptions'!H37</x:f>
        <x:v>705</x:v>
      </x:c>
      <x:c r="Q1076" s="27" t="n">
        <x:f>(VLOOKUP(O1076,'Fee Data'!$C$6:$G$50,4,TRUE)+O1076*VLOOKUP(O1076,'Fee Data'!$C$6:$G$50,5,TRUE)+VLOOKUP(O1076,'Fee Data'!$I$6:$J$14,2,TRUE)+'Fee Data'!$J$20+'Fee Data'!$J$21)*'Assumptions'!H37</x:f>
        <x:v>565</x:v>
      </x:c>
      <x:c r="R1076" s="27" t="n">
        <x:f>P1076*(1-'Assumptions'!$D$14)+Q1076*'Assumptions'!$D$14</x:f>
        <x:v>635</x:v>
      </x:c>
      <x:c r="S1076" s="27" t="n">
        <x:f>O1076*'Carrier Engine'!E95</x:f>
        <x:v>76.40849307859214</x:v>
      </x:c>
      <x:c r="T1076" s="28" t="n">
        <x:f>R1076+S1076</x:f>
        <x:v>711.4084930785922</x:v>
      </x:c>
      <x:c r="U1076" s="27" t="n">
        <x:f>N1076*'Fleet Engine'!J216</x:f>
        <x:v>128.9663449972686</x:v>
      </x:c>
      <x:c r="V1076" s="28" t="n">
        <x:f>U1076*T1076</x:f>
        <x:v>91747.75315236069</x:v>
      </x:c>
      <x:c r="W1076" s="28" t="n">
        <x:f>U1076*O1076</x:f>
        <x:v>246353.10197737807</x:v>
      </x:c>
    </x:row>
    <x:row r="1077" ht="19" customHeight="1">
      <x:c r="A1077" s="2"/>
      <x:c r="B1077" s="2"/>
      <x:c r="C1077" s="46" t="n">
        <x:v>4</x:v>
      </x:c>
      <x:c r="D1077" s="46" t="n">
        <x:v>23</x:v>
      </x:c>
      <x:c r="E1077" s="46" t="n">
        <x:v>3</x:v>
      </x:c>
      <x:c r="F1077" s="46" t="n">
        <x:v>5</x:v>
      </x:c>
      <x:c r="G1077" s="12" t="n">
        <x:v>0</x:v>
      </x:c>
      <x:c r="H1077" s="12" t="n">
        <x:v>0.1111111111111111</x:v>
      </x:c>
      <x:c r="I1077" s="29" t="n">
        <x:f>'Assumptions'!$D$11+'Assumptions'!$D$12*(0.5-(G1077+H1077)/2)</x:f>
        <x:v>0.3888888888888889</x:v>
      </x:c>
      <x:c r="J1077" s="27" t="n">
        <x:f>'Assumptions'!$D$8*EXP(-'Assumptions'!$D$9*('Fleet Engine'!E217-10))*'Assumptions'!E58*'Assumptions'!H36</x:f>
        <x:v>4965.853037914095</x:v>
      </x:c>
      <x:c r="K1077" s="27" t="n">
        <x:f>'Source Data'!F222+LN('Assumptions'!D58)+LN('Assumptions'!H35)</x:f>
        <x:v>8.030635919980082</x:v>
      </x:c>
      <x:c r="L1077" s="27" t="n">
        <x:f>J1077*(1-I1077*(1-'Carrier Engine'!E95))</x:f>
        <x:v>3111.9345704261664</x:v>
      </x:c>
      <x:c r="M1077" s="29" t="n">
        <x:f>NORM.S.DIST((LN(L1077)-K1077)/'Assumptions'!$D$10,TRUE)</x:f>
        <x:v>0.5031412742530323</x:v>
      </x:c>
      <x:c r="N1077" s="30" t="n">
        <x:f>MAX(0,H1077-MAX(G1077,M1077))</x:f>
        <x:v>0</x:v>
      </x:c>
      <x:c r="O1077" s="28" t="n">
        <x:f>J1077*I1077</x:f>
        <x:v>1931.1650702999257</x:v>
      </x:c>
      <x:c r="P1077" s="27" t="n">
        <x:f>(VLOOKUP(O1077,'Fee Data'!$C$6:$G$50,2,TRUE)+O1077*VLOOKUP(O1077,'Fee Data'!$C$6:$G$50,3,TRUE)+VLOOKUP(O1077,'Fee Data'!$I$6:$J$14,2,TRUE)+'Fee Data'!$J$20+'Fee Data'!$J$21)*'Assumptions'!H37</x:f>
        <x:v>705</x:v>
      </x:c>
      <x:c r="Q1077" s="27" t="n">
        <x:f>(VLOOKUP(O1077,'Fee Data'!$C$6:$G$50,4,TRUE)+O1077*VLOOKUP(O1077,'Fee Data'!$C$6:$G$50,5,TRUE)+VLOOKUP(O1077,'Fee Data'!$I$6:$J$14,2,TRUE)+'Fee Data'!$J$20+'Fee Data'!$J$21)*'Assumptions'!H37</x:f>
        <x:v>565</x:v>
      </x:c>
      <x:c r="R1077" s="27" t="n">
        <x:f>P1077*(1-'Assumptions'!$D$14)+Q1077*'Assumptions'!$D$14</x:f>
        <x:v>635</x:v>
      </x:c>
      <x:c r="S1077" s="27" t="n">
        <x:f>O1077*'Carrier Engine'!E95</x:f>
        <x:v>77.24660281199704</x:v>
      </x:c>
      <x:c r="T1077" s="28" t="n">
        <x:f>R1077+S1077</x:f>
        <x:v>712.246602811997</x:v>
      </x:c>
      <x:c r="U1077" s="27" t="n">
        <x:f>N1077*'Fleet Engine'!J217</x:f>
        <x:v>0</x:v>
      </x:c>
      <x:c r="V1077" s="28" t="n">
        <x:f>U1077*T1077</x:f>
        <x:v>0</x:v>
      </x:c>
      <x:c r="W1077" s="28" t="n">
        <x:f>U1077*O1077</x:f>
        <x:v>0</x:v>
      </x:c>
    </x:row>
    <x:row r="1078" ht="19" customHeight="1">
      <x:c r="A1078" s="2"/>
      <x:c r="B1078" s="2"/>
      <x:c r="C1078" s="46" t="n">
        <x:v>4</x:v>
      </x:c>
      <x:c r="D1078" s="46" t="n">
        <x:v>23</x:v>
      </x:c>
      <x:c r="E1078" s="46" t="n">
        <x:v>3</x:v>
      </x:c>
      <x:c r="F1078" s="46" t="n">
        <x:v>5</x:v>
      </x:c>
      <x:c r="G1078" s="12" t="n">
        <x:v>0.1111111111111111</x:v>
      </x:c>
      <x:c r="H1078" s="12" t="n">
        <x:v>0.2222222222222222</x:v>
      </x:c>
      <x:c r="I1078" s="29" t="n">
        <x:f>'Assumptions'!$D$11+'Assumptions'!$D$12*(0.5-(G1078+H1078)/2)</x:f>
        <x:v>0.3666666666666667</x:v>
      </x:c>
      <x:c r="J1078" s="27" t="n">
        <x:f>'Assumptions'!$D$8*EXP(-'Assumptions'!$D$9*('Fleet Engine'!E217-10))*'Assumptions'!E58*'Assumptions'!H36</x:f>
        <x:v>4965.853037914095</x:v>
      </x:c>
      <x:c r="K1078" s="27" t="n">
        <x:f>'Source Data'!F222+LN('Assumptions'!D58)+LN('Assumptions'!H35)</x:f>
        <x:v>8.030635919980082</x:v>
      </x:c>
      <x:c r="L1078" s="27" t="n">
        <x:f>J1078*(1-I1078*(1-'Carrier Engine'!E95))</x:f>
        <x:v>3217.872768568333</x:v>
      </x:c>
      <x:c r="M1078" s="29" t="n">
        <x:f>NORM.S.DIST((LN(L1078)-K1078)/'Assumptions'!$D$10,TRUE)</x:f>
        <x:v>0.511644883114373</x:v>
      </x:c>
      <x:c r="N1078" s="30" t="n">
        <x:f>MAX(0,H1078-MAX(G1078,M1078))</x:f>
        <x:v>0</x:v>
      </x:c>
      <x:c r="O1078" s="28" t="n">
        <x:f>J1078*I1078</x:f>
        <x:v>1820.8127805685015</x:v>
      </x:c>
      <x:c r="P1078" s="27" t="n">
        <x:f>(VLOOKUP(O1078,'Fee Data'!$C$6:$G$50,2,TRUE)+O1078*VLOOKUP(O1078,'Fee Data'!$C$6:$G$50,3,TRUE)+VLOOKUP(O1078,'Fee Data'!$I$6:$J$14,2,TRUE)+'Fee Data'!$J$20+'Fee Data'!$J$21)*'Assumptions'!H37</x:f>
        <x:v>705</x:v>
      </x:c>
      <x:c r="Q1078" s="27" t="n">
        <x:f>(VLOOKUP(O1078,'Fee Data'!$C$6:$G$50,4,TRUE)+O1078*VLOOKUP(O1078,'Fee Data'!$C$6:$G$50,5,TRUE)+VLOOKUP(O1078,'Fee Data'!$I$6:$J$14,2,TRUE)+'Fee Data'!$J$20+'Fee Data'!$J$21)*'Assumptions'!H37</x:f>
        <x:v>565</x:v>
      </x:c>
      <x:c r="R1078" s="27" t="n">
        <x:f>P1078*(1-'Assumptions'!$D$14)+Q1078*'Assumptions'!$D$14</x:f>
        <x:v>635</x:v>
      </x:c>
      <x:c r="S1078" s="27" t="n">
        <x:f>O1078*'Carrier Engine'!E95</x:f>
        <x:v>72.83251122274007</x:v>
      </x:c>
      <x:c r="T1078" s="28" t="n">
        <x:f>R1078+S1078</x:f>
        <x:v>707.8325112227401</x:v>
      </x:c>
      <x:c r="U1078" s="27" t="n">
        <x:f>N1078*'Fleet Engine'!J217</x:f>
        <x:v>0</x:v>
      </x:c>
      <x:c r="V1078" s="28" t="n">
        <x:f>U1078*T1078</x:f>
        <x:v>0</x:v>
      </x:c>
      <x:c r="W1078" s="28" t="n">
        <x:f>U1078*O1078</x:f>
        <x:v>0</x:v>
      </x:c>
    </x:row>
    <x:row r="1079" ht="19" customHeight="1">
      <x:c r="A1079" s="2"/>
      <x:c r="B1079" s="2"/>
      <x:c r="C1079" s="46" t="n">
        <x:v>4</x:v>
      </x:c>
      <x:c r="D1079" s="46" t="n">
        <x:v>23</x:v>
      </x:c>
      <x:c r="E1079" s="46" t="n">
        <x:v>3</x:v>
      </x:c>
      <x:c r="F1079" s="46" t="n">
        <x:v>5</x:v>
      </x:c>
      <x:c r="G1079" s="12" t="n">
        <x:v>0.2222222222222222</x:v>
      </x:c>
      <x:c r="H1079" s="12" t="n">
        <x:v>0.3333333333333333</x:v>
      </x:c>
      <x:c r="I1079" s="29" t="n">
        <x:f>'Assumptions'!$D$11+'Assumptions'!$D$12*(0.5-(G1079+H1079)/2)</x:f>
        <x:v>0.34444444444444444</x:v>
      </x:c>
      <x:c r="J1079" s="27" t="n">
        <x:f>'Assumptions'!$D$8*EXP(-'Assumptions'!$D$9*('Fleet Engine'!E217-10))*'Assumptions'!E58*'Assumptions'!H36</x:f>
        <x:v>4965.853037914095</x:v>
      </x:c>
      <x:c r="K1079" s="27" t="n">
        <x:f>'Source Data'!F222+LN('Assumptions'!D58)+LN('Assumptions'!H35)</x:f>
        <x:v>8.030635919980082</x:v>
      </x:c>
      <x:c r="L1079" s="27" t="n">
        <x:f>J1079*(1-I1079*(1-'Carrier Engine'!E95))</x:f>
        <x:v>3323.810966710501</x:v>
      </x:c>
      <x:c r="M1079" s="29" t="n">
        <x:f>NORM.S.DIST((LN(L1079)-K1079)/'Assumptions'!$D$10,TRUE)</x:f>
        <x:v>0.5198680257298949</x:v>
      </x:c>
      <x:c r="N1079" s="30" t="n">
        <x:f>MAX(0,H1079-MAX(G1079,M1079))</x:f>
        <x:v>0</x:v>
      </x:c>
      <x:c r="O1079" s="28" t="n">
        <x:f>J1079*I1079</x:f>
        <x:v>1710.460490837077</x:v>
      </x:c>
      <x:c r="P1079" s="27" t="n">
        <x:f>(VLOOKUP(O1079,'Fee Data'!$C$6:$G$50,2,TRUE)+O1079*VLOOKUP(O1079,'Fee Data'!$C$6:$G$50,3,TRUE)+VLOOKUP(O1079,'Fee Data'!$I$6:$J$14,2,TRUE)+'Fee Data'!$J$20+'Fee Data'!$J$21)*'Assumptions'!H37</x:f>
        <x:v>680</x:v>
      </x:c>
      <x:c r="Q1079" s="27" t="n">
        <x:f>(VLOOKUP(O1079,'Fee Data'!$C$6:$G$50,4,TRUE)+O1079*VLOOKUP(O1079,'Fee Data'!$C$6:$G$50,5,TRUE)+VLOOKUP(O1079,'Fee Data'!$I$6:$J$14,2,TRUE)+'Fee Data'!$J$20+'Fee Data'!$J$21)*'Assumptions'!H37</x:f>
        <x:v>545</x:v>
      </x:c>
      <x:c r="R1079" s="27" t="n">
        <x:f>P1079*(1-'Assumptions'!$D$14)+Q1079*'Assumptions'!$D$14</x:f>
        <x:v>612.5</x:v>
      </x:c>
      <x:c r="S1079" s="27" t="n">
        <x:f>O1079*'Carrier Engine'!E95</x:f>
        <x:v>68.4184196334831</x:v>
      </x:c>
      <x:c r="T1079" s="28" t="n">
        <x:f>R1079+S1079</x:f>
        <x:v>680.9184196334832</x:v>
      </x:c>
      <x:c r="U1079" s="27" t="n">
        <x:f>N1079*'Fleet Engine'!J217</x:f>
        <x:v>0</x:v>
      </x:c>
      <x:c r="V1079" s="28" t="n">
        <x:f>U1079*T1079</x:f>
        <x:v>0</x:v>
      </x:c>
      <x:c r="W1079" s="28" t="n">
        <x:f>U1079*O1079</x:f>
        <x:v>0</x:v>
      </x:c>
    </x:row>
    <x:row r="1080" ht="19" customHeight="1">
      <x:c r="A1080" s="2"/>
      <x:c r="B1080" s="2"/>
      <x:c r="C1080" s="46" t="n">
        <x:v>4</x:v>
      </x:c>
      <x:c r="D1080" s="46" t="n">
        <x:v>23</x:v>
      </x:c>
      <x:c r="E1080" s="46" t="n">
        <x:v>3</x:v>
      </x:c>
      <x:c r="F1080" s="46" t="n">
        <x:v>5</x:v>
      </x:c>
      <x:c r="G1080" s="12" t="n">
        <x:v>0.3333333333333333</x:v>
      </x:c>
      <x:c r="H1080" s="12" t="n">
        <x:v>0.4444444444444444</x:v>
      </x:c>
      <x:c r="I1080" s="29" t="n">
        <x:f>'Assumptions'!$D$11+'Assumptions'!$D$12*(0.5-(G1080+H1080)/2)</x:f>
        <x:v>0.32222222222222224</x:v>
      </x:c>
      <x:c r="J1080" s="27" t="n">
        <x:f>'Assumptions'!$D$8*EXP(-'Assumptions'!$D$9*('Fleet Engine'!E217-10))*'Assumptions'!E58*'Assumptions'!H36</x:f>
        <x:v>4965.853037914095</x:v>
      </x:c>
      <x:c r="K1080" s="27" t="n">
        <x:f>'Source Data'!F222+LN('Assumptions'!D58)+LN('Assumptions'!H35)</x:f>
        <x:v>8.030635919980082</x:v>
      </x:c>
      <x:c r="L1080" s="27" t="n">
        <x:f>J1080*(1-I1080*(1-'Carrier Engine'!E95))</x:f>
        <x:v>3429.749164852668</x:v>
      </x:c>
      <x:c r="M1080" s="29" t="n">
        <x:f>NORM.S.DIST((LN(L1080)-K1080)/'Assumptions'!$D$10,TRUE)</x:f>
        <x:v>0.5278251256486162</x:v>
      </x:c>
      <x:c r="N1080" s="30" t="n">
        <x:f>MAX(0,H1080-MAX(G1080,M1080))</x:f>
        <x:v>0</x:v>
      </x:c>
      <x:c r="O1080" s="28" t="n">
        <x:f>J1080*I1080</x:f>
        <x:v>1600.1082011056528</x:v>
      </x:c>
      <x:c r="P1080" s="27" t="n">
        <x:f>(VLOOKUP(O1080,'Fee Data'!$C$6:$G$50,2,TRUE)+O1080*VLOOKUP(O1080,'Fee Data'!$C$6:$G$50,3,TRUE)+VLOOKUP(O1080,'Fee Data'!$I$6:$J$14,2,TRUE)+'Fee Data'!$J$20+'Fee Data'!$J$21)*'Assumptions'!H37</x:f>
        <x:v>660</x:v>
      </x:c>
      <x:c r="Q1080" s="27" t="n">
        <x:f>(VLOOKUP(O1080,'Fee Data'!$C$6:$G$50,4,TRUE)+O1080*VLOOKUP(O1080,'Fee Data'!$C$6:$G$50,5,TRUE)+VLOOKUP(O1080,'Fee Data'!$I$6:$J$14,2,TRUE)+'Fee Data'!$J$20+'Fee Data'!$J$21)*'Assumptions'!H37</x:f>
        <x:v>525</x:v>
      </x:c>
      <x:c r="R1080" s="27" t="n">
        <x:f>P1080*(1-'Assumptions'!$D$14)+Q1080*'Assumptions'!$D$14</x:f>
        <x:v>592.5</x:v>
      </x:c>
      <x:c r="S1080" s="27" t="n">
        <x:f>O1080*'Carrier Engine'!E95</x:f>
        <x:v>64.00432804422613</x:v>
      </x:c>
      <x:c r="T1080" s="28" t="n">
        <x:f>R1080+S1080</x:f>
        <x:v>656.5043280442261</x:v>
      </x:c>
      <x:c r="U1080" s="27" t="n">
        <x:f>N1080*'Fleet Engine'!J217</x:f>
        <x:v>0</x:v>
      </x:c>
      <x:c r="V1080" s="28" t="n">
        <x:f>U1080*T1080</x:f>
        <x:v>0</x:v>
      </x:c>
      <x:c r="W1080" s="28" t="n">
        <x:f>U1080*O1080</x:f>
        <x:v>0</x:v>
      </x:c>
    </x:row>
    <x:row r="1081" ht="19" customHeight="1">
      <x:c r="A1081" s="2"/>
      <x:c r="B1081" s="2"/>
      <x:c r="C1081" s="46" t="n">
        <x:v>4</x:v>
      </x:c>
      <x:c r="D1081" s="46" t="n">
        <x:v>23</x:v>
      </x:c>
      <x:c r="E1081" s="46" t="n">
        <x:v>3</x:v>
      </x:c>
      <x:c r="F1081" s="46" t="n">
        <x:v>5</x:v>
      </x:c>
      <x:c r="G1081" s="12" t="n">
        <x:v>0.4444444444444444</x:v>
      </x:c>
      <x:c r="H1081" s="12" t="n">
        <x:v>0.5555555555555556</x:v>
      </x:c>
      <x:c r="I1081" s="29" t="n">
        <x:f>'Assumptions'!$D$11+'Assumptions'!$D$12*(0.5-(G1081+H1081)/2)</x:f>
        <x:v>0.3</x:v>
      </x:c>
      <x:c r="J1081" s="27" t="n">
        <x:f>'Assumptions'!$D$8*EXP(-'Assumptions'!$D$9*('Fleet Engine'!E217-10))*'Assumptions'!E58*'Assumptions'!H36</x:f>
        <x:v>4965.853037914095</x:v>
      </x:c>
      <x:c r="K1081" s="27" t="n">
        <x:f>'Source Data'!F222+LN('Assumptions'!D58)+LN('Assumptions'!H35)</x:f>
        <x:v>8.030635919980082</x:v>
      </x:c>
      <x:c r="L1081" s="27" t="n">
        <x:f>J1081*(1-I1081*(1-'Carrier Engine'!E95))</x:f>
        <x:v>3535.6873629948354</x:v>
      </x:c>
      <x:c r="M1081" s="29" t="n">
        <x:f>NORM.S.DIST((LN(L1081)-K1081)/'Assumptions'!$D$10,TRUE)</x:f>
        <x:v>0.5355295877473003</x:v>
      </x:c>
      <x:c r="N1081" s="30" t="n">
        <x:f>MAX(0,H1081-MAX(G1081,M1081))</x:f>
        <x:v>0.020025967808255274</x:v>
      </x:c>
      <x:c r="O1081" s="28" t="n">
        <x:f>J1081*I1081</x:f>
        <x:v>1489.7559113742284</x:v>
      </x:c>
      <x:c r="P1081" s="27" t="n">
        <x:f>(VLOOKUP(O1081,'Fee Data'!$C$6:$G$50,2,TRUE)+O1081*VLOOKUP(O1081,'Fee Data'!$C$6:$G$50,3,TRUE)+VLOOKUP(O1081,'Fee Data'!$I$6:$J$14,2,TRUE)+'Fee Data'!$J$20+'Fee Data'!$J$21)*'Assumptions'!H37</x:f>
        <x:v>615</x:v>
      </x:c>
      <x:c r="Q1081" s="27" t="n">
        <x:f>(VLOOKUP(O1081,'Fee Data'!$C$6:$G$50,4,TRUE)+O1081*VLOOKUP(O1081,'Fee Data'!$C$6:$G$50,5,TRUE)+VLOOKUP(O1081,'Fee Data'!$I$6:$J$14,2,TRUE)+'Fee Data'!$J$20+'Fee Data'!$J$21)*'Assumptions'!H37</x:f>
        <x:v>485</x:v>
      </x:c>
      <x:c r="R1081" s="27" t="n">
        <x:f>P1081*(1-'Assumptions'!$D$14)+Q1081*'Assumptions'!$D$14</x:f>
        <x:v>550</x:v>
      </x:c>
      <x:c r="S1081" s="27" t="n">
        <x:f>O1081*'Carrier Engine'!E95</x:f>
        <x:v>59.590236454969144</x:v>
      </x:c>
      <x:c r="T1081" s="28" t="n">
        <x:f>R1081+S1081</x:f>
        <x:v>609.5902364549692</x:v>
      </x:c>
      <x:c r="U1081" s="27" t="n">
        <x:f>N1081*'Fleet Engine'!J217</x:f>
        <x:v>27.04263528559464</x:v>
      </x:c>
      <x:c r="V1081" s="28" t="n">
        <x:f>U1081*T1081</x:f>
        <x:v>16484.926438111128</x:v>
      </x:c>
      <x:c r="W1081" s="28" t="n">
        <x:f>U1081*O1081</x:f>
        <x:v>40286.92577585191</x:v>
      </x:c>
    </x:row>
    <x:row r="1082" ht="19" customHeight="1">
      <x:c r="A1082" s="2"/>
      <x:c r="B1082" s="2"/>
      <x:c r="C1082" s="46" t="n">
        <x:v>4</x:v>
      </x:c>
      <x:c r="D1082" s="46" t="n">
        <x:v>23</x:v>
      </x:c>
      <x:c r="E1082" s="46" t="n">
        <x:v>3</x:v>
      </x:c>
      <x:c r="F1082" s="46" t="n">
        <x:v>5</x:v>
      </x:c>
      <x:c r="G1082" s="12" t="n">
        <x:v>0.5555555555555556</x:v>
      </x:c>
      <x:c r="H1082" s="12" t="n">
        <x:v>0.6666666666666666</x:v>
      </x:c>
      <x:c r="I1082" s="29" t="n">
        <x:f>'Assumptions'!$D$11+'Assumptions'!$D$12*(0.5-(G1082+H1082)/2)</x:f>
        <x:v>0.27777777777777773</x:v>
      </x:c>
      <x:c r="J1082" s="27" t="n">
        <x:f>'Assumptions'!$D$8*EXP(-'Assumptions'!$D$9*('Fleet Engine'!E217-10))*'Assumptions'!E58*'Assumptions'!H36</x:f>
        <x:v>4965.853037914095</x:v>
      </x:c>
      <x:c r="K1082" s="27" t="n">
        <x:f>'Source Data'!F222+LN('Assumptions'!D58)+LN('Assumptions'!H35)</x:f>
        <x:v>8.030635919980082</x:v>
      </x:c>
      <x:c r="L1082" s="27" t="n">
        <x:f>J1082*(1-I1082*(1-'Carrier Engine'!E95))</x:f>
        <x:v>3641.625561137003</x:v>
      </x:c>
      <x:c r="M1082" s="29" t="n">
        <x:f>NORM.S.DIST((LN(L1082)-K1082)/'Assumptions'!$D$10,TRUE)</x:f>
        <x:v>0.5429938893858242</x:v>
      </x:c>
      <x:c r="N1082" s="30" t="n">
        <x:f>MAX(0,H1082-MAX(G1082,M1082))</x:f>
        <x:v>0.11111111111111105</x:v>
      </x:c>
      <x:c r="O1082" s="28" t="n">
        <x:f>J1082*I1082</x:f>
        <x:v>1379.403621642804</x:v>
      </x:c>
      <x:c r="P1082" s="27" t="n">
        <x:f>(VLOOKUP(O1082,'Fee Data'!$C$6:$G$50,2,TRUE)+O1082*VLOOKUP(O1082,'Fee Data'!$C$6:$G$50,3,TRUE)+VLOOKUP(O1082,'Fee Data'!$I$6:$J$14,2,TRUE)+'Fee Data'!$J$20+'Fee Data'!$J$21)*'Assumptions'!H37</x:f>
        <x:v>595</x:v>
      </x:c>
      <x:c r="Q1082" s="27" t="n">
        <x:f>(VLOOKUP(O1082,'Fee Data'!$C$6:$G$50,4,TRUE)+O1082*VLOOKUP(O1082,'Fee Data'!$C$6:$G$50,5,TRUE)+VLOOKUP(O1082,'Fee Data'!$I$6:$J$14,2,TRUE)+'Fee Data'!$J$20+'Fee Data'!$J$21)*'Assumptions'!H37</x:f>
        <x:v>470</x:v>
      </x:c>
      <x:c r="R1082" s="27" t="n">
        <x:f>P1082*(1-'Assumptions'!$D$14)+Q1082*'Assumptions'!$D$14</x:f>
        <x:v>532.5</x:v>
      </x:c>
      <x:c r="S1082" s="27" t="n">
        <x:f>O1082*'Carrier Engine'!E95</x:f>
        <x:v>55.17614486571217</x:v>
      </x:c>
      <x:c r="T1082" s="28" t="n">
        <x:f>R1082+S1082</x:f>
        <x:v>587.6761448657122</x:v>
      </x:c>
      <x:c r="U1082" s="27" t="n">
        <x:f>N1082*'Fleet Engine'!J217</x:f>
        <x:v>150.0420495391149</x:v>
      </x:c>
      <x:c r="V1082" s="28" t="n">
        <x:f>U1082*T1082</x:f>
        <x:v>88176.13324089727</x:v>
      </x:c>
      <x:c r="W1082" s="28" t="n">
        <x:f>U1082*O1082</x:f>
        <x:v>206968.5465329641</x:v>
      </x:c>
    </x:row>
    <x:row r="1083" ht="19" customHeight="1">
      <x:c r="A1083" s="2"/>
      <x:c r="B1083" s="2"/>
      <x:c r="C1083" s="46" t="n">
        <x:v>4</x:v>
      </x:c>
      <x:c r="D1083" s="46" t="n">
        <x:v>23</x:v>
      </x:c>
      <x:c r="E1083" s="46" t="n">
        <x:v>3</x:v>
      </x:c>
      <x:c r="F1083" s="46" t="n">
        <x:v>5</x:v>
      </x:c>
      <x:c r="G1083" s="12" t="n">
        <x:v>0.6666666666666666</x:v>
      </x:c>
      <x:c r="H1083" s="12" t="n">
        <x:v>0.7777777777777778</x:v>
      </x:c>
      <x:c r="I1083" s="29" t="n">
        <x:f>'Assumptions'!$D$11+'Assumptions'!$D$12*(0.5-(G1083+H1083)/2)</x:f>
        <x:v>0.25555555555555554</x:v>
      </x:c>
      <x:c r="J1083" s="27" t="n">
        <x:f>'Assumptions'!$D$8*EXP(-'Assumptions'!$D$9*('Fleet Engine'!E217-10))*'Assumptions'!E58*'Assumptions'!H36</x:f>
        <x:v>4965.853037914095</x:v>
      </x:c>
      <x:c r="K1083" s="27" t="n">
        <x:f>'Source Data'!F222+LN('Assumptions'!D58)+LN('Assumptions'!H35)</x:f>
        <x:v>8.030635919980082</x:v>
      </x:c>
      <x:c r="L1083" s="27" t="n">
        <x:f>J1083*(1-I1083*(1-'Carrier Engine'!E95))</x:f>
        <x:v>3747.5637592791704</x:v>
      </x:c>
      <x:c r="M1083" s="29" t="n">
        <x:f>NORM.S.DIST((LN(L1083)-K1083)/'Assumptions'!$D$10,TRUE)</x:f>
        <x:v>0.5502296617814866</x:v>
      </x:c>
      <x:c r="N1083" s="30" t="n">
        <x:f>MAX(0,H1083-MAX(G1083,M1083))</x:f>
        <x:v>0.11111111111111116</x:v>
      </x:c>
      <x:c r="O1083" s="28" t="n">
        <x:f>J1083*I1083</x:f>
        <x:v>1269.0513319113797</x:v>
      </x:c>
      <x:c r="P1083" s="27" t="n">
        <x:f>(VLOOKUP(O1083,'Fee Data'!$C$6:$G$50,2,TRUE)+O1083*VLOOKUP(O1083,'Fee Data'!$C$6:$G$50,3,TRUE)+VLOOKUP(O1083,'Fee Data'!$I$6:$J$14,2,TRUE)+'Fee Data'!$J$20+'Fee Data'!$J$21)*'Assumptions'!H37</x:f>
        <x:v>580</x:v>
      </x:c>
      <x:c r="Q1083" s="27" t="n">
        <x:f>(VLOOKUP(O1083,'Fee Data'!$C$6:$G$50,4,TRUE)+O1083*VLOOKUP(O1083,'Fee Data'!$C$6:$G$50,5,TRUE)+VLOOKUP(O1083,'Fee Data'!$I$6:$J$14,2,TRUE)+'Fee Data'!$J$20+'Fee Data'!$J$21)*'Assumptions'!H37</x:f>
        <x:v>455</x:v>
      </x:c>
      <x:c r="R1083" s="27" t="n">
        <x:f>P1083*(1-'Assumptions'!$D$14)+Q1083*'Assumptions'!$D$14</x:f>
        <x:v>517.5</x:v>
      </x:c>
      <x:c r="S1083" s="27" t="n">
        <x:f>O1083*'Carrier Engine'!E95</x:f>
        <x:v>50.7620532764552</x:v>
      </x:c>
      <x:c r="T1083" s="28" t="n">
        <x:f>R1083+S1083</x:f>
        <x:v>568.2620532764552</x:v>
      </x:c>
      <x:c r="U1083" s="27" t="n">
        <x:f>N1083*'Fleet Engine'!J217</x:f>
        <x:v>150.04204953911506</x:v>
      </x:c>
      <x:c r="V1083" s="28" t="n">
        <x:f>U1083*T1083</x:f>
        <x:v>85263.20314890513</x:v>
      </x:c>
      <x:c r="W1083" s="28" t="n">
        <x:f>U1083*O1083</x:f>
        <x:v>190411.0628103272</x:v>
      </x:c>
    </x:row>
    <x:row r="1084" ht="19" customHeight="1">
      <x:c r="A1084" s="2"/>
      <x:c r="B1084" s="2"/>
      <x:c r="C1084" s="46" t="n">
        <x:v>4</x:v>
      </x:c>
      <x:c r="D1084" s="46" t="n">
        <x:v>23</x:v>
      </x:c>
      <x:c r="E1084" s="46" t="n">
        <x:v>3</x:v>
      </x:c>
      <x:c r="F1084" s="46" t="n">
        <x:v>5</x:v>
      </x:c>
      <x:c r="G1084" s="12" t="n">
        <x:v>0.7777777777777778</x:v>
      </x:c>
      <x:c r="H1084" s="12" t="n">
        <x:v>0.8888888888888888</x:v>
      </x:c>
      <x:c r="I1084" s="29" t="n">
        <x:f>'Assumptions'!$D$11+'Assumptions'!$D$12*(0.5-(G1084+H1084)/2)</x:f>
        <x:v>0.23333333333333334</x:v>
      </x:c>
      <x:c r="J1084" s="27" t="n">
        <x:f>'Assumptions'!$D$8*EXP(-'Assumptions'!$D$9*('Fleet Engine'!E217-10))*'Assumptions'!E58*'Assumptions'!H36</x:f>
        <x:v>4965.853037914095</x:v>
      </x:c>
      <x:c r="K1084" s="27" t="n">
        <x:f>'Source Data'!F222+LN('Assumptions'!D58)+LN('Assumptions'!H35)</x:f>
        <x:v>8.030635919980082</x:v>
      </x:c>
      <x:c r="L1084" s="27" t="n">
        <x:f>J1084*(1-I1084*(1-'Carrier Engine'!E95))</x:f>
        <x:v>3853.5019574213375</x:v>
      </x:c>
      <x:c r="M1084" s="29" t="n">
        <x:f>NORM.S.DIST((LN(L1084)-K1084)/'Assumptions'!$D$10,TRUE)</x:f>
        <x:v>0.557247762810186</x:v>
      </x:c>
      <x:c r="N1084" s="30" t="n">
        <x:f>MAX(0,H1084-MAX(G1084,M1084))</x:f>
        <x:v>0.11111111111111105</x:v>
      </x:c>
      <x:c r="O1084" s="28" t="n">
        <x:f>J1084*I1084</x:f>
        <x:v>1158.6990421799555</x:v>
      </x:c>
      <x:c r="P1084" s="27" t="n">
        <x:f>(VLOOKUP(O1084,'Fee Data'!$C$6:$G$50,2,TRUE)+O1084*VLOOKUP(O1084,'Fee Data'!$C$6:$G$50,3,TRUE)+VLOOKUP(O1084,'Fee Data'!$I$6:$J$14,2,TRUE)+'Fee Data'!$J$20+'Fee Data'!$J$21)*'Assumptions'!H37</x:f>
        <x:v>560</x:v>
      </x:c>
      <x:c r="Q1084" s="27" t="n">
        <x:f>(VLOOKUP(O1084,'Fee Data'!$C$6:$G$50,4,TRUE)+O1084*VLOOKUP(O1084,'Fee Data'!$C$6:$G$50,5,TRUE)+VLOOKUP(O1084,'Fee Data'!$I$6:$J$14,2,TRUE)+'Fee Data'!$J$20+'Fee Data'!$J$21)*'Assumptions'!H37</x:f>
        <x:v>435</x:v>
      </x:c>
      <x:c r="R1084" s="27" t="n">
        <x:f>P1084*(1-'Assumptions'!$D$14)+Q1084*'Assumptions'!$D$14</x:f>
        <x:v>497.5</x:v>
      </x:c>
      <x:c r="S1084" s="27" t="n">
        <x:f>O1084*'Carrier Engine'!E95</x:f>
        <x:v>46.34796168719823</x:v>
      </x:c>
      <x:c r="T1084" s="28" t="n">
        <x:f>R1084+S1084</x:f>
        <x:v>543.8479616871982</x:v>
      </x:c>
      <x:c r="U1084" s="27" t="n">
        <x:f>N1084*'Fleet Engine'!J217</x:f>
        <x:v>150.0420495391149</x:v>
      </x:c>
      <x:c r="V1084" s="28" t="n">
        <x:f>U1084*T1084</x:f>
        <x:v>81600.06280921727</x:v>
      </x:c>
      <x:c r="W1084" s="28" t="n">
        <x:f>U1084*O1084</x:f>
        <x:v>173853.5790876899</x:v>
      </x:c>
    </x:row>
    <x:row r="1085" ht="19" customHeight="1">
      <x:c r="A1085" s="2"/>
      <x:c r="B1085" s="2"/>
      <x:c r="C1085" s="46" t="n">
        <x:v>4</x:v>
      </x:c>
      <x:c r="D1085" s="46" t="n">
        <x:v>23</x:v>
      </x:c>
      <x:c r="E1085" s="46" t="n">
        <x:v>3</x:v>
      </x:c>
      <x:c r="F1085" s="46" t="n">
        <x:v>5</x:v>
      </x:c>
      <x:c r="G1085" s="12" t="n">
        <x:v>0.8888888888888888</x:v>
      </x:c>
      <x:c r="H1085" s="12" t="n">
        <x:v>1</x:v>
      </x:c>
      <x:c r="I1085" s="29" t="n">
        <x:f>'Assumptions'!$D$11+'Assumptions'!$D$12*(0.5-(G1085+H1085)/2)</x:f>
        <x:v>0.21111111111111108</x:v>
      </x:c>
      <x:c r="J1085" s="27" t="n">
        <x:f>'Assumptions'!$D$8*EXP(-'Assumptions'!$D$9*('Fleet Engine'!E217-10))*'Assumptions'!E58*'Assumptions'!H36</x:f>
        <x:v>4965.853037914095</x:v>
      </x:c>
      <x:c r="K1085" s="27" t="n">
        <x:f>'Source Data'!F222+LN('Assumptions'!D58)+LN('Assumptions'!H35)</x:f>
        <x:v>8.030635919980082</x:v>
      </x:c>
      <x:c r="L1085" s="27" t="n">
        <x:f>J1085*(1-I1085*(1-'Carrier Engine'!E95))</x:f>
        <x:v>3959.440155563505</x:v>
      </x:c>
      <x:c r="M1085" s="29" t="n">
        <x:f>NORM.S.DIST((LN(L1085)-K1085)/'Assumptions'!$D$10,TRUE)</x:f>
        <x:v>0.5640583422764271</x:v>
      </x:c>
      <x:c r="N1085" s="30" t="n">
        <x:f>MAX(0,H1085-MAX(G1085,M1085))</x:f>
        <x:v>0.11111111111111116</x:v>
      </x:c>
      <x:c r="O1085" s="28" t="n">
        <x:f>J1085*I1085</x:f>
        <x:v>1048.3467524485309</x:v>
      </x:c>
      <x:c r="P1085" s="27" t="n">
        <x:f>(VLOOKUP(O1085,'Fee Data'!$C$6:$G$50,2,TRUE)+O1085*VLOOKUP(O1085,'Fee Data'!$C$6:$G$50,3,TRUE)+VLOOKUP(O1085,'Fee Data'!$I$6:$J$14,2,TRUE)+'Fee Data'!$J$20+'Fee Data'!$J$21)*'Assumptions'!H37</x:f>
        <x:v>560</x:v>
      </x:c>
      <x:c r="Q1085" s="27" t="n">
        <x:f>(VLOOKUP(O1085,'Fee Data'!$C$6:$G$50,4,TRUE)+O1085*VLOOKUP(O1085,'Fee Data'!$C$6:$G$50,5,TRUE)+VLOOKUP(O1085,'Fee Data'!$I$6:$J$14,2,TRUE)+'Fee Data'!$J$20+'Fee Data'!$J$21)*'Assumptions'!H37</x:f>
        <x:v>435</x:v>
      </x:c>
      <x:c r="R1085" s="27" t="n">
        <x:f>P1085*(1-'Assumptions'!$D$14)+Q1085*'Assumptions'!$D$14</x:f>
        <x:v>497.5</x:v>
      </x:c>
      <x:c r="S1085" s="27" t="n">
        <x:f>O1085*'Carrier Engine'!E95</x:f>
        <x:v>41.933870097941245</x:v>
      </x:c>
      <x:c r="T1085" s="28" t="n">
        <x:f>R1085+S1085</x:f>
        <x:v>539.4338700979413</x:v>
      </x:c>
      <x:c r="U1085" s="27" t="n">
        <x:f>N1085*'Fleet Engine'!J217</x:f>
        <x:v>150.04204953911506</x:v>
      </x:c>
      <x:c r="V1085" s="28" t="n">
        <x:f>U1085*T1085</x:f>
        <x:v>80937.76346031186</x:v>
      </x:c>
      <x:c r="W1085" s="28" t="n">
        <x:f>U1085*O1085</x:f>
        <x:v>157296.09536505287</x:v>
      </x:c>
    </x:row>
    <x:row r="1086" ht="19" customHeight="1">
      <x:c r="A1086" s="2"/>
      <x:c r="B1086" s="2"/>
      <x:c r="C1086" s="46" t="n">
        <x:v>5</x:v>
      </x:c>
      <x:c r="D1086" s="46" t="n">
        <x:v>0</x:v>
      </x:c>
      <x:c r="E1086" s="46" t="n">
        <x:v>0</x:v>
      </x:c>
      <x:c r="F1086" s="46" t="n">
        <x:v>0</x:v>
      </x:c>
      <x:c r="G1086" s="12" t="n">
        <x:v>0</x:v>
      </x:c>
      <x:c r="H1086" s="12" t="n">
        <x:v>0.1111111111111111</x:v>
      </x:c>
      <x:c r="I1086" s="29" t="n">
        <x:f>'Assumptions'!$D$11+'Assumptions'!$D$12*(0.5-(G1086+H1086)/2)</x:f>
        <x:v>0.3888888888888889</x:v>
      </x:c>
      <x:c r="J1086" s="27" t="n">
        <x:f>'Assumptions'!$D$8*EXP(-'Assumptions'!$D$9*('Fleet Engine'!E194-10))*'Assumptions'!E55*'Assumptions'!I36</x:f>
        <x:v>27182.818284590452</x:v>
      </x:c>
      <x:c r="K1086" s="27" t="n">
        <x:f>'Source Data'!F217+LN('Assumptions'!D55)+LN('Assumptions'!I35)</x:f>
        <x:v>8.024343827519704</x:v>
      </x:c>
      <x:c r="L1086" s="27" t="n">
        <x:f>J1086*(1-I1086*(1-'Carrier Engine'!E96))</x:f>
        <x:v>17034.566125010017</x:v>
      </x:c>
      <x:c r="M1086" s="29" t="n">
        <x:f>NORM.S.DIST((LN(L1086)-K1086)/'Assumptions'!$D$10,TRUE)</x:f>
        <x:v>0.8631412857617822</x:v>
      </x:c>
      <x:c r="N1086" s="30" t="n">
        <x:f>MAX(0,H1086-MAX(G1086,M1086))</x:f>
        <x:v>0</x:v>
      </x:c>
      <x:c r="O1086" s="28" t="n">
        <x:f>J1086*I1086</x:f>
        <x:v>10571.095999562955</x:v>
      </x:c>
      <x:c r="P1086" s="27" t="n">
        <x:f>(VLOOKUP(O1086,'Fee Data'!$C$6:$G$50,2,TRUE)+O1086*VLOOKUP(O1086,'Fee Data'!$C$6:$G$50,3,TRUE)+VLOOKUP(O1086,'Fee Data'!$I$6:$J$14,2,TRUE)+'Fee Data'!$J$20+'Fee Data'!$J$21)*'Assumptions'!I37</x:f>
        <x:v>1250</x:v>
      </x:c>
      <x:c r="Q1086" s="27" t="n">
        <x:f>(VLOOKUP(O1086,'Fee Data'!$C$6:$G$50,4,TRUE)+O1086*VLOOKUP(O1086,'Fee Data'!$C$6:$G$50,5,TRUE)+VLOOKUP(O1086,'Fee Data'!$I$6:$J$14,2,TRUE)+'Fee Data'!$J$20+'Fee Data'!$J$21)*'Assumptions'!I37</x:f>
        <x:v>1100</x:v>
      </x:c>
      <x:c r="R1086" s="27" t="n">
        <x:f>P1086*(1-'Assumptions'!$D$14)+Q1086*'Assumptions'!$D$14</x:f>
        <x:v>1175</x:v>
      </x:c>
      <x:c r="S1086" s="27" t="n">
        <x:f>O1086*'Carrier Engine'!E96</x:f>
        <x:v>422.8438399825182</x:v>
      </x:c>
      <x:c r="T1086" s="28" t="n">
        <x:f>R1086+S1086</x:f>
        <x:v>1597.8438399825181</x:v>
      </x:c>
      <x:c r="U1086" s="27" t="n">
        <x:f>N1086*'Fleet Engine'!K194</x:f>
        <x:v>0</x:v>
      </x:c>
      <x:c r="V1086" s="28" t="n">
        <x:f>U1086*T1086</x:f>
        <x:v>0</x:v>
      </x:c>
      <x:c r="W1086" s="28" t="n">
        <x:f>U1086*O1086</x:f>
        <x:v>0</x:v>
      </x:c>
    </x:row>
    <x:row r="1087" ht="19" customHeight="1">
      <x:c r="A1087" s="2"/>
      <x:c r="B1087" s="2"/>
      <x:c r="C1087" s="46" t="n">
        <x:v>5</x:v>
      </x:c>
      <x:c r="D1087" s="46" t="n">
        <x:v>0</x:v>
      </x:c>
      <x:c r="E1087" s="46" t="n">
        <x:v>0</x:v>
      </x:c>
      <x:c r="F1087" s="46" t="n">
        <x:v>0</x:v>
      </x:c>
      <x:c r="G1087" s="12" t="n">
        <x:v>0.1111111111111111</x:v>
      </x:c>
      <x:c r="H1087" s="12" t="n">
        <x:v>0.2222222222222222</x:v>
      </x:c>
      <x:c r="I1087" s="29" t="n">
        <x:f>'Assumptions'!$D$11+'Assumptions'!$D$12*(0.5-(G1087+H1087)/2)</x:f>
        <x:v>0.3666666666666667</x:v>
      </x:c>
      <x:c r="J1087" s="27" t="n">
        <x:f>'Assumptions'!$D$8*EXP(-'Assumptions'!$D$9*('Fleet Engine'!E194-10))*'Assumptions'!E55*'Assumptions'!I36</x:f>
        <x:v>27182.818284590452</x:v>
      </x:c>
      <x:c r="K1087" s="27" t="n">
        <x:f>'Source Data'!F217+LN('Assumptions'!D55)+LN('Assumptions'!I35)</x:f>
        <x:v>8.024343827519704</x:v>
      </x:c>
      <x:c r="L1087" s="27" t="n">
        <x:f>J1087*(1-I1087*(1-'Carrier Engine'!E96))</x:f>
        <x:v>17614.46624841461</x:v>
      </x:c>
      <x:c r="M1087" s="29" t="n">
        <x:f>NORM.S.DIST((LN(L1087)-K1087)/'Assumptions'!$D$10,TRUE)</x:f>
        <x:v>0.867759233179046</x:v>
      </x:c>
      <x:c r="N1087" s="30" t="n">
        <x:f>MAX(0,H1087-MAX(G1087,M1087))</x:f>
        <x:v>0</x:v>
      </x:c>
      <x:c r="O1087" s="28" t="n">
        <x:f>J1087*I1087</x:f>
        <x:v>9967.0333710165</x:v>
      </x:c>
      <x:c r="P1087" s="27" t="n">
        <x:f>(VLOOKUP(O1087,'Fee Data'!$C$6:$G$50,2,TRUE)+O1087*VLOOKUP(O1087,'Fee Data'!$C$6:$G$50,3,TRUE)+VLOOKUP(O1087,'Fee Data'!$I$6:$J$14,2,TRUE)+'Fee Data'!$J$20+'Fee Data'!$J$21)*'Assumptions'!I37</x:f>
        <x:v>1195</x:v>
      </x:c>
      <x:c r="Q1087" s="27" t="n">
        <x:f>(VLOOKUP(O1087,'Fee Data'!$C$6:$G$50,4,TRUE)+O1087*VLOOKUP(O1087,'Fee Data'!$C$6:$G$50,5,TRUE)+VLOOKUP(O1087,'Fee Data'!$I$6:$J$14,2,TRUE)+'Fee Data'!$J$20+'Fee Data'!$J$21)*'Assumptions'!I37</x:f>
        <x:v>1070</x:v>
      </x:c>
      <x:c r="R1087" s="27" t="n">
        <x:f>P1087*(1-'Assumptions'!$D$14)+Q1087*'Assumptions'!$D$14</x:f>
        <x:v>1132.5</x:v>
      </x:c>
      <x:c r="S1087" s="27" t="n">
        <x:f>O1087*'Carrier Engine'!E96</x:f>
        <x:v>398.68133484066</x:v>
      </x:c>
      <x:c r="T1087" s="28" t="n">
        <x:f>R1087+S1087</x:f>
        <x:v>1531.18133484066</x:v>
      </x:c>
      <x:c r="U1087" s="27" t="n">
        <x:f>N1087*'Fleet Engine'!K194</x:f>
        <x:v>0</x:v>
      </x:c>
      <x:c r="V1087" s="28" t="n">
        <x:f>U1087*T1087</x:f>
        <x:v>0</x:v>
      </x:c>
      <x:c r="W1087" s="28" t="n">
        <x:f>U1087*O1087</x:f>
        <x:v>0</x:v>
      </x:c>
    </x:row>
    <x:row r="1088" ht="19" customHeight="1">
      <x:c r="A1088" s="2"/>
      <x:c r="B1088" s="2"/>
      <x:c r="C1088" s="46" t="n">
        <x:v>5</x:v>
      </x:c>
      <x:c r="D1088" s="46" t="n">
        <x:v>0</x:v>
      </x:c>
      <x:c r="E1088" s="46" t="n">
        <x:v>0</x:v>
      </x:c>
      <x:c r="F1088" s="46" t="n">
        <x:v>0</x:v>
      </x:c>
      <x:c r="G1088" s="12" t="n">
        <x:v>0.2222222222222222</x:v>
      </x:c>
      <x:c r="H1088" s="12" t="n">
        <x:v>0.3333333333333333</x:v>
      </x:c>
      <x:c r="I1088" s="29" t="n">
        <x:f>'Assumptions'!$D$11+'Assumptions'!$D$12*(0.5-(G1088+H1088)/2)</x:f>
        <x:v>0.34444444444444444</x:v>
      </x:c>
      <x:c r="J1088" s="27" t="n">
        <x:f>'Assumptions'!$D$8*EXP(-'Assumptions'!$D$9*('Fleet Engine'!E194-10))*'Assumptions'!E55*'Assumptions'!I36</x:f>
        <x:v>27182.818284590452</x:v>
      </x:c>
      <x:c r="K1088" s="27" t="n">
        <x:f>'Source Data'!F217+LN('Assumptions'!D55)+LN('Assumptions'!I35)</x:f>
        <x:v>8.024343827519704</x:v>
      </x:c>
      <x:c r="L1088" s="27" t="n">
        <x:f>J1088*(1-I1088*(1-'Carrier Engine'!E96))</x:f>
        <x:v>18194.36637181921</x:v>
      </x:c>
      <x:c r="M1088" s="29" t="n">
        <x:f>NORM.S.DIST((LN(L1088)-K1088)/'Assumptions'!$D$10,TRUE)</x:f>
        <x:v>0.8721242391048682</x:v>
      </x:c>
      <x:c r="N1088" s="30" t="n">
        <x:f>MAX(0,H1088-MAX(G1088,M1088))</x:f>
        <x:v>0</x:v>
      </x:c>
      <x:c r="O1088" s="28" t="n">
        <x:f>J1088*I1088</x:f>
        <x:v>9362.970742470045</x:v>
      </x:c>
      <x:c r="P1088" s="27" t="n">
        <x:f>(VLOOKUP(O1088,'Fee Data'!$C$6:$G$50,2,TRUE)+O1088*VLOOKUP(O1088,'Fee Data'!$C$6:$G$50,3,TRUE)+VLOOKUP(O1088,'Fee Data'!$I$6:$J$14,2,TRUE)+'Fee Data'!$J$20+'Fee Data'!$J$21)*'Assumptions'!I37</x:f>
        <x:v>1195</x:v>
      </x:c>
      <x:c r="Q1088" s="27" t="n">
        <x:f>(VLOOKUP(O1088,'Fee Data'!$C$6:$G$50,4,TRUE)+O1088*VLOOKUP(O1088,'Fee Data'!$C$6:$G$50,5,TRUE)+VLOOKUP(O1088,'Fee Data'!$I$6:$J$14,2,TRUE)+'Fee Data'!$J$20+'Fee Data'!$J$21)*'Assumptions'!I37</x:f>
        <x:v>1070</x:v>
      </x:c>
      <x:c r="R1088" s="27" t="n">
        <x:f>P1088*(1-'Assumptions'!$D$14)+Q1088*'Assumptions'!$D$14</x:f>
        <x:v>1132.5</x:v>
      </x:c>
      <x:c r="S1088" s="27" t="n">
        <x:f>O1088*'Carrier Engine'!E96</x:f>
        <x:v>374.51882969880177</x:v>
      </x:c>
      <x:c r="T1088" s="28" t="n">
        <x:f>R1088+S1088</x:f>
        <x:v>1507.0188296988017</x:v>
      </x:c>
      <x:c r="U1088" s="27" t="n">
        <x:f>N1088*'Fleet Engine'!K194</x:f>
        <x:v>0</x:v>
      </x:c>
      <x:c r="V1088" s="28" t="n">
        <x:f>U1088*T1088</x:f>
        <x:v>0</x:v>
      </x:c>
      <x:c r="W1088" s="28" t="n">
        <x:f>U1088*O1088</x:f>
        <x:v>0</x:v>
      </x:c>
    </x:row>
    <x:row r="1089" ht="19" customHeight="1">
      <x:c r="A1089" s="2"/>
      <x:c r="B1089" s="2"/>
      <x:c r="C1089" s="46" t="n">
        <x:v>5</x:v>
      </x:c>
      <x:c r="D1089" s="46" t="n">
        <x:v>0</x:v>
      </x:c>
      <x:c r="E1089" s="46" t="n">
        <x:v>0</x:v>
      </x:c>
      <x:c r="F1089" s="46" t="n">
        <x:v>0</x:v>
      </x:c>
      <x:c r="G1089" s="12" t="n">
        <x:v>0.3333333333333333</x:v>
      </x:c>
      <x:c r="H1089" s="12" t="n">
        <x:v>0.4444444444444444</x:v>
      </x:c>
      <x:c r="I1089" s="29" t="n">
        <x:f>'Assumptions'!$D$11+'Assumptions'!$D$12*(0.5-(G1089+H1089)/2)</x:f>
        <x:v>0.32222222222222224</x:v>
      </x:c>
      <x:c r="J1089" s="27" t="n">
        <x:f>'Assumptions'!$D$8*EXP(-'Assumptions'!$D$9*('Fleet Engine'!E194-10))*'Assumptions'!E55*'Assumptions'!I36</x:f>
        <x:v>27182.818284590452</x:v>
      </x:c>
      <x:c r="K1089" s="27" t="n">
        <x:f>'Source Data'!F217+LN('Assumptions'!D55)+LN('Assumptions'!I35)</x:f>
        <x:v>8.024343827519704</x:v>
      </x:c>
      <x:c r="L1089" s="27" t="n">
        <x:f>J1089*(1-I1089*(1-'Carrier Engine'!E96))</x:f>
        <x:v>18774.266495223805</x:v>
      </x:c>
      <x:c r="M1089" s="29" t="n">
        <x:f>NORM.S.DIST((LN(L1089)-K1089)/'Assumptions'!$D$10,TRUE)</x:f>
        <x:v>0.8762558445797033</x:v>
      </x:c>
      <x:c r="N1089" s="30" t="n">
        <x:f>MAX(0,H1089-MAX(G1089,M1089))</x:f>
        <x:v>0</x:v>
      </x:c>
      <x:c r="O1089" s="28" t="n">
        <x:f>J1089*I1089</x:f>
        <x:v>8758.908113923591</x:v>
      </x:c>
      <x:c r="P1089" s="27" t="n">
        <x:f>(VLOOKUP(O1089,'Fee Data'!$C$6:$G$50,2,TRUE)+O1089*VLOOKUP(O1089,'Fee Data'!$C$6:$G$50,3,TRUE)+VLOOKUP(O1089,'Fee Data'!$I$6:$J$14,2,TRUE)+'Fee Data'!$J$20+'Fee Data'!$J$21)*'Assumptions'!I37</x:f>
        <x:v>1195</x:v>
      </x:c>
      <x:c r="Q1089" s="27" t="n">
        <x:f>(VLOOKUP(O1089,'Fee Data'!$C$6:$G$50,4,TRUE)+O1089*VLOOKUP(O1089,'Fee Data'!$C$6:$G$50,5,TRUE)+VLOOKUP(O1089,'Fee Data'!$I$6:$J$14,2,TRUE)+'Fee Data'!$J$20+'Fee Data'!$J$21)*'Assumptions'!I37</x:f>
        <x:v>1070</x:v>
      </x:c>
      <x:c r="R1089" s="27" t="n">
        <x:f>P1089*(1-'Assumptions'!$D$14)+Q1089*'Assumptions'!$D$14</x:f>
        <x:v>1132.5</x:v>
      </x:c>
      <x:c r="S1089" s="27" t="n">
        <x:f>O1089*'Carrier Engine'!E96</x:f>
        <x:v>350.35632455694366</x:v>
      </x:c>
      <x:c r="T1089" s="28" t="n">
        <x:f>R1089+S1089</x:f>
        <x:v>1482.8563245569437</x:v>
      </x:c>
      <x:c r="U1089" s="27" t="n">
        <x:f>N1089*'Fleet Engine'!K194</x:f>
        <x:v>0</x:v>
      </x:c>
      <x:c r="V1089" s="28" t="n">
        <x:f>U1089*T1089</x:f>
        <x:v>0</x:v>
      </x:c>
      <x:c r="W1089" s="28" t="n">
        <x:f>U1089*O1089</x:f>
        <x:v>0</x:v>
      </x:c>
    </x:row>
    <x:row r="1090" ht="19" customHeight="1">
      <x:c r="A1090" s="2"/>
      <x:c r="B1090" s="2"/>
      <x:c r="C1090" s="46" t="n">
        <x:v>5</x:v>
      </x:c>
      <x:c r="D1090" s="46" t="n">
        <x:v>0</x:v>
      </x:c>
      <x:c r="E1090" s="46" t="n">
        <x:v>0</x:v>
      </x:c>
      <x:c r="F1090" s="46" t="n">
        <x:v>0</x:v>
      </x:c>
      <x:c r="G1090" s="12" t="n">
        <x:v>0.4444444444444444</x:v>
      </x:c>
      <x:c r="H1090" s="12" t="n">
        <x:v>0.5555555555555556</x:v>
      </x:c>
      <x:c r="I1090" s="29" t="n">
        <x:f>'Assumptions'!$D$11+'Assumptions'!$D$12*(0.5-(G1090+H1090)/2)</x:f>
        <x:v>0.3</x:v>
      </x:c>
      <x:c r="J1090" s="27" t="n">
        <x:f>'Assumptions'!$D$8*EXP(-'Assumptions'!$D$9*('Fleet Engine'!E194-10))*'Assumptions'!E55*'Assumptions'!I36</x:f>
        <x:v>27182.818284590452</x:v>
      </x:c>
      <x:c r="K1090" s="27" t="n">
        <x:f>'Source Data'!F217+LN('Assumptions'!D55)+LN('Assumptions'!I35)</x:f>
        <x:v>8.024343827519704</x:v>
      </x:c>
      <x:c r="L1090" s="27" t="n">
        <x:f>J1090*(1-I1090*(1-'Carrier Engine'!E96))</x:f>
        <x:v>19354.166618628402</x:v>
      </x:c>
      <x:c r="M1090" s="29" t="n">
        <x:f>NORM.S.DIST((LN(L1090)-K1090)/'Assumptions'!$D$10,TRUE)</x:f>
        <x:v>0.8801716361024907</x:v>
      </x:c>
      <x:c r="N1090" s="30" t="n">
        <x:f>MAX(0,H1090-MAX(G1090,M1090))</x:f>
        <x:v>0</x:v>
      </x:c>
      <x:c r="O1090" s="28" t="n">
        <x:f>J1090*I1090</x:f>
        <x:v>8154.845485377135</x:v>
      </x:c>
      <x:c r="P1090" s="27" t="n">
        <x:f>(VLOOKUP(O1090,'Fee Data'!$C$6:$G$50,2,TRUE)+O1090*VLOOKUP(O1090,'Fee Data'!$C$6:$G$50,3,TRUE)+VLOOKUP(O1090,'Fee Data'!$I$6:$J$14,2,TRUE)+'Fee Data'!$J$20+'Fee Data'!$J$21)*'Assumptions'!I37</x:f>
        <x:v>1175</x:v>
      </x:c>
      <x:c r="Q1090" s="27" t="n">
        <x:f>(VLOOKUP(O1090,'Fee Data'!$C$6:$G$50,4,TRUE)+O1090*VLOOKUP(O1090,'Fee Data'!$C$6:$G$50,5,TRUE)+VLOOKUP(O1090,'Fee Data'!$I$6:$J$14,2,TRUE)+'Fee Data'!$J$20+'Fee Data'!$J$21)*'Assumptions'!I37</x:f>
        <x:v>1050</x:v>
      </x:c>
      <x:c r="R1090" s="27" t="n">
        <x:f>P1090*(1-'Assumptions'!$D$14)+Q1090*'Assumptions'!$D$14</x:f>
        <x:v>1112.5</x:v>
      </x:c>
      <x:c r="S1090" s="27" t="n">
        <x:f>O1090*'Carrier Engine'!E96</x:f>
        <x:v>326.19381941508544</x:v>
      </x:c>
      <x:c r="T1090" s="28" t="n">
        <x:f>R1090+S1090</x:f>
        <x:v>1438.6938194150855</x:v>
      </x:c>
      <x:c r="U1090" s="27" t="n">
        <x:f>N1090*'Fleet Engine'!K194</x:f>
        <x:v>0</x:v>
      </x:c>
      <x:c r="V1090" s="28" t="n">
        <x:f>U1090*T1090</x:f>
        <x:v>0</x:v>
      </x:c>
      <x:c r="W1090" s="28" t="n">
        <x:f>U1090*O1090</x:f>
        <x:v>0</x:v>
      </x:c>
    </x:row>
    <x:row r="1091" ht="19" customHeight="1">
      <x:c r="A1091" s="2"/>
      <x:c r="B1091" s="2"/>
      <x:c r="C1091" s="46" t="n">
        <x:v>5</x:v>
      </x:c>
      <x:c r="D1091" s="46" t="n">
        <x:v>0</x:v>
      </x:c>
      <x:c r="E1091" s="46" t="n">
        <x:v>0</x:v>
      </x:c>
      <x:c r="F1091" s="46" t="n">
        <x:v>0</x:v>
      </x:c>
      <x:c r="G1091" s="12" t="n">
        <x:v>0.5555555555555556</x:v>
      </x:c>
      <x:c r="H1091" s="12" t="n">
        <x:v>0.6666666666666666</x:v>
      </x:c>
      <x:c r="I1091" s="29" t="n">
        <x:f>'Assumptions'!$D$11+'Assumptions'!$D$12*(0.5-(G1091+H1091)/2)</x:f>
        <x:v>0.27777777777777773</x:v>
      </x:c>
      <x:c r="J1091" s="27" t="n">
        <x:f>'Assumptions'!$D$8*EXP(-'Assumptions'!$D$9*('Fleet Engine'!E194-10))*'Assumptions'!E55*'Assumptions'!I36</x:f>
        <x:v>27182.818284590452</x:v>
      </x:c>
      <x:c r="K1091" s="27" t="n">
        <x:f>'Source Data'!F217+LN('Assumptions'!D55)+LN('Assumptions'!I35)</x:f>
        <x:v>8.024343827519704</x:v>
      </x:c>
      <x:c r="L1091" s="27" t="n">
        <x:f>J1091*(1-I1091*(1-'Carrier Engine'!E96))</x:f>
        <x:v>19934.066742033</x:v>
      </x:c>
      <x:c r="M1091" s="29" t="n">
        <x:f>NORM.S.DIST((LN(L1091)-K1091)/'Assumptions'!$D$10,TRUE)</x:f>
        <x:v>0.8838874850458363</x:v>
      </x:c>
      <x:c r="N1091" s="30" t="n">
        <x:f>MAX(0,H1091-MAX(G1091,M1091))</x:f>
        <x:v>0</x:v>
      </x:c>
      <x:c r="O1091" s="28" t="n">
        <x:f>J1091*I1091</x:f>
        <x:v>7550.7828568306795</x:v>
      </x:c>
      <x:c r="P1091" s="27" t="n">
        <x:f>(VLOOKUP(O1091,'Fee Data'!$C$6:$G$50,2,TRUE)+O1091*VLOOKUP(O1091,'Fee Data'!$C$6:$G$50,3,TRUE)+VLOOKUP(O1091,'Fee Data'!$I$6:$J$14,2,TRUE)+'Fee Data'!$J$20+'Fee Data'!$J$21)*'Assumptions'!I37</x:f>
        <x:v>1135</x:v>
      </x:c>
      <x:c r="Q1091" s="27" t="n">
        <x:f>(VLOOKUP(O1091,'Fee Data'!$C$6:$G$50,4,TRUE)+O1091*VLOOKUP(O1091,'Fee Data'!$C$6:$G$50,5,TRUE)+VLOOKUP(O1091,'Fee Data'!$I$6:$J$14,2,TRUE)+'Fee Data'!$J$20+'Fee Data'!$J$21)*'Assumptions'!I37</x:f>
        <x:v>1010</x:v>
      </x:c>
      <x:c r="R1091" s="27" t="n">
        <x:f>P1091*(1-'Assumptions'!$D$14)+Q1091*'Assumptions'!$D$14</x:f>
        <x:v>1072.5</x:v>
      </x:c>
      <x:c r="S1091" s="27" t="n">
        <x:f>O1091*'Carrier Engine'!E96</x:f>
        <x:v>302.03131427322717</x:v>
      </x:c>
      <x:c r="T1091" s="28" t="n">
        <x:f>R1091+S1091</x:f>
        <x:v>1374.531314273227</x:v>
      </x:c>
      <x:c r="U1091" s="27" t="n">
        <x:f>N1091*'Fleet Engine'!K194</x:f>
        <x:v>0</x:v>
      </x:c>
      <x:c r="V1091" s="28" t="n">
        <x:f>U1091*T1091</x:f>
        <x:v>0</x:v>
      </x:c>
      <x:c r="W1091" s="28" t="n">
        <x:f>U1091*O1091</x:f>
        <x:v>0</x:v>
      </x:c>
    </x:row>
    <x:row r="1092" ht="19" customHeight="1">
      <x:c r="A1092" s="2"/>
      <x:c r="B1092" s="2"/>
      <x:c r="C1092" s="46" t="n">
        <x:v>5</x:v>
      </x:c>
      <x:c r="D1092" s="46" t="n">
        <x:v>0</x:v>
      </x:c>
      <x:c r="E1092" s="46" t="n">
        <x:v>0</x:v>
      </x:c>
      <x:c r="F1092" s="46" t="n">
        <x:v>0</x:v>
      </x:c>
      <x:c r="G1092" s="12" t="n">
        <x:v>0.6666666666666666</x:v>
      </x:c>
      <x:c r="H1092" s="12" t="n">
        <x:v>0.7777777777777778</x:v>
      </x:c>
      <x:c r="I1092" s="29" t="n">
        <x:f>'Assumptions'!$D$11+'Assumptions'!$D$12*(0.5-(G1092+H1092)/2)</x:f>
        <x:v>0.25555555555555554</x:v>
      </x:c>
      <x:c r="J1092" s="27" t="n">
        <x:f>'Assumptions'!$D$8*EXP(-'Assumptions'!$D$9*('Fleet Engine'!E194-10))*'Assumptions'!E55*'Assumptions'!I36</x:f>
        <x:v>27182.818284590452</x:v>
      </x:c>
      <x:c r="K1092" s="27" t="n">
        <x:f>'Source Data'!F217+LN('Assumptions'!D55)+LN('Assumptions'!I35)</x:f>
        <x:v>8.024343827519704</x:v>
      </x:c>
      <x:c r="L1092" s="27" t="n">
        <x:f>J1092*(1-I1092*(1-'Carrier Engine'!E96))</x:f>
        <x:v>20513.966865437596</x:v>
      </x:c>
      <x:c r="M1092" s="29" t="n">
        <x:f>NORM.S.DIST((LN(L1092)-K1092)/'Assumptions'!$D$10,TRUE)</x:f>
        <x:v>0.8874177525057891</x:v>
      </x:c>
      <x:c r="N1092" s="30" t="n">
        <x:f>MAX(0,H1092-MAX(G1092,M1092))</x:f>
        <x:v>0</x:v>
      </x:c>
      <x:c r="O1092" s="28" t="n">
        <x:f>J1092*I1092</x:f>
        <x:v>6946.720228284226</x:v>
      </x:c>
      <x:c r="P1092" s="27" t="n">
        <x:f>(VLOOKUP(O1092,'Fee Data'!$C$6:$G$50,2,TRUE)+O1092*VLOOKUP(O1092,'Fee Data'!$C$6:$G$50,3,TRUE)+VLOOKUP(O1092,'Fee Data'!$I$6:$J$14,2,TRUE)+'Fee Data'!$J$20+'Fee Data'!$J$21)*'Assumptions'!I37</x:f>
        <x:v>1080</x:v>
      </x:c>
      <x:c r="Q1092" s="27" t="n">
        <x:f>(VLOOKUP(O1092,'Fee Data'!$C$6:$G$50,4,TRUE)+O1092*VLOOKUP(O1092,'Fee Data'!$C$6:$G$50,5,TRUE)+VLOOKUP(O1092,'Fee Data'!$I$6:$J$14,2,TRUE)+'Fee Data'!$J$20+'Fee Data'!$J$21)*'Assumptions'!I37</x:f>
        <x:v>955</x:v>
      </x:c>
      <x:c r="R1092" s="27" t="n">
        <x:f>P1092*(1-'Assumptions'!$D$14)+Q1092*'Assumptions'!$D$14</x:f>
        <x:v>1017.5</x:v>
      </x:c>
      <x:c r="S1092" s="27" t="n">
        <x:f>O1092*'Carrier Engine'!E96</x:f>
        <x:v>277.86880913136906</x:v>
      </x:c>
      <x:c r="T1092" s="28" t="n">
        <x:f>R1092+S1092</x:f>
        <x:v>1295.368809131369</x:v>
      </x:c>
      <x:c r="U1092" s="27" t="n">
        <x:f>N1092*'Fleet Engine'!K194</x:f>
        <x:v>0</x:v>
      </x:c>
      <x:c r="V1092" s="28" t="n">
        <x:f>U1092*T1092</x:f>
        <x:v>0</x:v>
      </x:c>
      <x:c r="W1092" s="28" t="n">
        <x:f>U1092*O1092</x:f>
        <x:v>0</x:v>
      </x:c>
    </x:row>
    <x:row r="1093" ht="19" customHeight="1">
      <x:c r="A1093" s="2"/>
      <x:c r="B1093" s="2"/>
      <x:c r="C1093" s="46" t="n">
        <x:v>5</x:v>
      </x:c>
      <x:c r="D1093" s="46" t="n">
        <x:v>0</x:v>
      </x:c>
      <x:c r="E1093" s="46" t="n">
        <x:v>0</x:v>
      </x:c>
      <x:c r="F1093" s="46" t="n">
        <x:v>0</x:v>
      </x:c>
      <x:c r="G1093" s="12" t="n">
        <x:v>0.7777777777777778</x:v>
      </x:c>
      <x:c r="H1093" s="12" t="n">
        <x:v>0.8888888888888888</x:v>
      </x:c>
      <x:c r="I1093" s="29" t="n">
        <x:f>'Assumptions'!$D$11+'Assumptions'!$D$12*(0.5-(G1093+H1093)/2)</x:f>
        <x:v>0.23333333333333334</x:v>
      </x:c>
      <x:c r="J1093" s="27" t="n">
        <x:f>'Assumptions'!$D$8*EXP(-'Assumptions'!$D$9*('Fleet Engine'!E194-10))*'Assumptions'!E55*'Assumptions'!I36</x:f>
        <x:v>27182.818284590452</x:v>
      </x:c>
      <x:c r="K1093" s="27" t="n">
        <x:f>'Source Data'!F217+LN('Assumptions'!D55)+LN('Assumptions'!I35)</x:f>
        <x:v>8.024343827519704</x:v>
      </x:c>
      <x:c r="L1093" s="27" t="n">
        <x:f>J1093*(1-I1093*(1-'Carrier Engine'!E96))</x:f>
        <x:v>21093.86698884219</x:v>
      </x:c>
      <x:c r="M1093" s="29" t="n">
        <x:f>NORM.S.DIST((LN(L1093)-K1093)/'Assumptions'!$D$10,TRUE)</x:f>
        <x:v>0.8907754653078662</x:v>
      </x:c>
      <x:c r="N1093" s="30" t="n">
        <x:f>MAX(0,H1093-MAX(G1093,M1093))</x:f>
        <x:v>0</x:v>
      </x:c>
      <x:c r="O1093" s="28" t="n">
        <x:f>J1093*I1093</x:f>
        <x:v>6342.657599737772</x:v>
      </x:c>
      <x:c r="P1093" s="27" t="n">
        <x:f>(VLOOKUP(O1093,'Fee Data'!$C$6:$G$50,2,TRUE)+O1093*VLOOKUP(O1093,'Fee Data'!$C$6:$G$50,3,TRUE)+VLOOKUP(O1093,'Fee Data'!$I$6:$J$14,2,TRUE)+'Fee Data'!$J$20+'Fee Data'!$J$21)*'Assumptions'!I37</x:f>
        <x:v>1060</x:v>
      </x:c>
      <x:c r="Q1093" s="27" t="n">
        <x:f>(VLOOKUP(O1093,'Fee Data'!$C$6:$G$50,4,TRUE)+O1093*VLOOKUP(O1093,'Fee Data'!$C$6:$G$50,5,TRUE)+VLOOKUP(O1093,'Fee Data'!$I$6:$J$14,2,TRUE)+'Fee Data'!$J$20+'Fee Data'!$J$21)*'Assumptions'!I37</x:f>
        <x:v>935</x:v>
      </x:c>
      <x:c r="R1093" s="27" t="n">
        <x:f>P1093*(1-'Assumptions'!$D$14)+Q1093*'Assumptions'!$D$14</x:f>
        <x:v>997.5</x:v>
      </x:c>
      <x:c r="S1093" s="27" t="n">
        <x:f>O1093*'Carrier Engine'!E96</x:f>
        <x:v>253.7063039895109</x:v>
      </x:c>
      <x:c r="T1093" s="28" t="n">
        <x:f>R1093+S1093</x:f>
        <x:v>1251.2063039895108</x:v>
      </x:c>
      <x:c r="U1093" s="27" t="n">
        <x:f>N1093*'Fleet Engine'!K194</x:f>
        <x:v>0</x:v>
      </x:c>
      <x:c r="V1093" s="28" t="n">
        <x:f>U1093*T1093</x:f>
        <x:v>0</x:v>
      </x:c>
      <x:c r="W1093" s="28" t="n">
        <x:f>U1093*O1093</x:f>
        <x:v>0</x:v>
      </x:c>
    </x:row>
    <x:row r="1094" ht="19" customHeight="1">
      <x:c r="A1094" s="2"/>
      <x:c r="B1094" s="2"/>
      <x:c r="C1094" s="46" t="n">
        <x:v>5</x:v>
      </x:c>
      <x:c r="D1094" s="46" t="n">
        <x:v>0</x:v>
      </x:c>
      <x:c r="E1094" s="46" t="n">
        <x:v>0</x:v>
      </x:c>
      <x:c r="F1094" s="46" t="n">
        <x:v>0</x:v>
      </x:c>
      <x:c r="G1094" s="12" t="n">
        <x:v>0.8888888888888888</x:v>
      </x:c>
      <x:c r="H1094" s="12" t="n">
        <x:v>1</x:v>
      </x:c>
      <x:c r="I1094" s="29" t="n">
        <x:f>'Assumptions'!$D$11+'Assumptions'!$D$12*(0.5-(G1094+H1094)/2)</x:f>
        <x:v>0.21111111111111108</x:v>
      </x:c>
      <x:c r="J1094" s="27" t="n">
        <x:f>'Assumptions'!$D$8*EXP(-'Assumptions'!$D$9*('Fleet Engine'!E194-10))*'Assumptions'!E55*'Assumptions'!I36</x:f>
        <x:v>27182.818284590452</x:v>
      </x:c>
      <x:c r="K1094" s="27" t="n">
        <x:f>'Source Data'!F217+LN('Assumptions'!D55)+LN('Assumptions'!I35)</x:f>
        <x:v>8.024343827519704</x:v>
      </x:c>
      <x:c r="L1094" s="27" t="n">
        <x:f>J1094*(1-I1094*(1-'Carrier Engine'!E96))</x:f>
        <x:v>21673.767112246787</x:v>
      </x:c>
      <x:c r="M1094" s="29" t="n">
        <x:f>NORM.S.DIST((LN(L1094)-K1094)/'Assumptions'!$D$10,TRUE)</x:f>
        <x:v>0.8939724678273033</x:v>
      </x:c>
      <x:c r="N1094" s="30" t="n">
        <x:f>MAX(0,H1094-MAX(G1094,M1094))</x:f>
        <x:v>0.10602753217269667</x:v>
      </x:c>
      <x:c r="O1094" s="28" t="n">
        <x:f>J1094*I1094</x:f>
        <x:v>5738.594971191317</x:v>
      </x:c>
      <x:c r="P1094" s="27" t="n">
        <x:f>(VLOOKUP(O1094,'Fee Data'!$C$6:$G$50,2,TRUE)+O1094*VLOOKUP(O1094,'Fee Data'!$C$6:$G$50,3,TRUE)+VLOOKUP(O1094,'Fee Data'!$I$6:$J$14,2,TRUE)+'Fee Data'!$J$20+'Fee Data'!$J$21)*'Assumptions'!I37</x:f>
        <x:v>1020</x:v>
      </x:c>
      <x:c r="Q1094" s="27" t="n">
        <x:f>(VLOOKUP(O1094,'Fee Data'!$C$6:$G$50,4,TRUE)+O1094*VLOOKUP(O1094,'Fee Data'!$C$6:$G$50,5,TRUE)+VLOOKUP(O1094,'Fee Data'!$I$6:$J$14,2,TRUE)+'Fee Data'!$J$20+'Fee Data'!$J$21)*'Assumptions'!I37</x:f>
        <x:v>895</x:v>
      </x:c>
      <x:c r="R1094" s="27" t="n">
        <x:f>P1094*(1-'Assumptions'!$D$14)+Q1094*'Assumptions'!$D$14</x:f>
        <x:v>957.5</x:v>
      </x:c>
      <x:c r="S1094" s="27" t="n">
        <x:f>O1094*'Carrier Engine'!E96</x:f>
        <x:v>229.54379884765268</x:v>
      </x:c>
      <x:c r="T1094" s="28" t="n">
        <x:f>R1094+S1094</x:f>
        <x:v>1187.0437988476526</x:v>
      </x:c>
      <x:c r="U1094" s="27" t="n">
        <x:f>N1094*'Fleet Engine'!K194</x:f>
        <x:v>146.55125496910134</x:v>
      </x:c>
      <x:c r="V1094" s="28" t="n">
        <x:f>U1094*T1094</x:f>
        <x:v>173962.75842441298</x:v>
      </x:c>
      <x:c r="W1094" s="28" t="n">
        <x:f>U1094*O1094</x:f>
        <x:v>840998.2947874615</x:v>
      </x:c>
    </x:row>
    <x:row r="1095" ht="19" customHeight="1">
      <x:c r="A1095" s="2"/>
      <x:c r="B1095" s="2"/>
      <x:c r="C1095" s="46" t="n">
        <x:v>5</x:v>
      </x:c>
      <x:c r="D1095" s="46" t="n">
        <x:v>1</x:v>
      </x:c>
      <x:c r="E1095" s="46" t="n">
        <x:v>0</x:v>
      </x:c>
      <x:c r="F1095" s="46" t="n">
        <x:v>1</x:v>
      </x:c>
      <x:c r="G1095" s="12" t="n">
        <x:v>0</x:v>
      </x:c>
      <x:c r="H1095" s="12" t="n">
        <x:v>0.1111111111111111</x:v>
      </x:c>
      <x:c r="I1095" s="29" t="n">
        <x:f>'Assumptions'!$D$11+'Assumptions'!$D$12*(0.5-(G1095+H1095)/2)</x:f>
        <x:v>0.3888888888888889</x:v>
      </x:c>
      <x:c r="J1095" s="27" t="n">
        <x:f>'Assumptions'!$D$8*EXP(-'Assumptions'!$D$9*('Fleet Engine'!E195-10))*'Assumptions'!E55*'Assumptions'!I36</x:f>
        <x:v>22255.409284924677</x:v>
      </x:c>
      <x:c r="K1095" s="27" t="n">
        <x:f>'Source Data'!F218+LN('Assumptions'!D55)+LN('Assumptions'!I35)</x:f>
        <x:v>7.909903025975467</x:v>
      </x:c>
      <x:c r="L1095" s="27" t="n">
        <x:f>J1095*(1-I1095*(1-'Carrier Engine'!E96))</x:f>
        <x:v>13946.723151886132</x:v>
      </x:c>
      <x:c r="M1095" s="29" t="n">
        <x:f>NORM.S.DIST((LN(L1095)-K1095)/'Assumptions'!$D$10,TRUE)</x:f>
        <x:v>0.8508422763569413</x:v>
      </x:c>
      <x:c r="N1095" s="30" t="n">
        <x:f>MAX(0,H1095-MAX(G1095,M1095))</x:f>
        <x:v>0</x:v>
      </x:c>
      <x:c r="O1095" s="28" t="n">
        <x:f>J1095*I1095</x:f>
        <x:v>8654.88138858182</x:v>
      </x:c>
      <x:c r="P1095" s="27" t="n">
        <x:f>(VLOOKUP(O1095,'Fee Data'!$C$6:$G$50,2,TRUE)+O1095*VLOOKUP(O1095,'Fee Data'!$C$6:$G$50,3,TRUE)+VLOOKUP(O1095,'Fee Data'!$I$6:$J$14,2,TRUE)+'Fee Data'!$J$20+'Fee Data'!$J$21)*'Assumptions'!I37</x:f>
        <x:v>1195</x:v>
      </x:c>
      <x:c r="Q1095" s="27" t="n">
        <x:f>(VLOOKUP(O1095,'Fee Data'!$C$6:$G$50,4,TRUE)+O1095*VLOOKUP(O1095,'Fee Data'!$C$6:$G$50,5,TRUE)+VLOOKUP(O1095,'Fee Data'!$I$6:$J$14,2,TRUE)+'Fee Data'!$J$20+'Fee Data'!$J$21)*'Assumptions'!I37</x:f>
        <x:v>1070</x:v>
      </x:c>
      <x:c r="R1095" s="27" t="n">
        <x:f>P1095*(1-'Assumptions'!$D$14)+Q1095*'Assumptions'!$D$14</x:f>
        <x:v>1132.5</x:v>
      </x:c>
      <x:c r="S1095" s="27" t="n">
        <x:f>O1095*'Carrier Engine'!E96</x:f>
        <x:v>346.1952555432728</x:v>
      </x:c>
      <x:c r="T1095" s="28" t="n">
        <x:f>R1095+S1095</x:f>
        <x:v>1478.6952555432729</x:v>
      </x:c>
      <x:c r="U1095" s="27" t="n">
        <x:f>N1095*'Fleet Engine'!K195</x:f>
        <x:v>0</x:v>
      </x:c>
      <x:c r="V1095" s="28" t="n">
        <x:f>U1095*T1095</x:f>
        <x:v>0</x:v>
      </x:c>
      <x:c r="W1095" s="28" t="n">
        <x:f>U1095*O1095</x:f>
        <x:v>0</x:v>
      </x:c>
    </x:row>
    <x:row r="1096" ht="19" customHeight="1">
      <x:c r="A1096" s="2"/>
      <x:c r="B1096" s="2"/>
      <x:c r="C1096" s="46" t="n">
        <x:v>5</x:v>
      </x:c>
      <x:c r="D1096" s="46" t="n">
        <x:v>1</x:v>
      </x:c>
      <x:c r="E1096" s="46" t="n">
        <x:v>0</x:v>
      </x:c>
      <x:c r="F1096" s="46" t="n">
        <x:v>1</x:v>
      </x:c>
      <x:c r="G1096" s="12" t="n">
        <x:v>0.1111111111111111</x:v>
      </x:c>
      <x:c r="H1096" s="12" t="n">
        <x:v>0.2222222222222222</x:v>
      </x:c>
      <x:c r="I1096" s="29" t="n">
        <x:f>'Assumptions'!$D$11+'Assumptions'!$D$12*(0.5-(G1096+H1096)/2)</x:f>
        <x:v>0.3666666666666667</x:v>
      </x:c>
      <x:c r="J1096" s="27" t="n">
        <x:f>'Assumptions'!$D$8*EXP(-'Assumptions'!$D$9*('Fleet Engine'!E195-10))*'Assumptions'!E55*'Assumptions'!I36</x:f>
        <x:v>22255.409284924677</x:v>
      </x:c>
      <x:c r="K1096" s="27" t="n">
        <x:f>'Source Data'!F218+LN('Assumptions'!D55)+LN('Assumptions'!I35)</x:f>
        <x:v>7.909903025975467</x:v>
      </x:c>
      <x:c r="L1096" s="27" t="n">
        <x:f>J1096*(1-I1096*(1-'Carrier Engine'!E96))</x:f>
        <x:v>14421.505216631189</x:v>
      </x:c>
      <x:c r="M1096" s="29" t="n">
        <x:f>NORM.S.DIST((LN(L1096)-K1096)/'Assumptions'!$D$10,TRUE)</x:f>
        <x:v>0.8557395814099102</x:v>
      </x:c>
      <x:c r="N1096" s="30" t="n">
        <x:f>MAX(0,H1096-MAX(G1096,M1096))</x:f>
        <x:v>0</x:v>
      </x:c>
      <x:c r="O1096" s="28" t="n">
        <x:f>J1096*I1096</x:f>
        <x:v>8160.316737805716</x:v>
      </x:c>
      <x:c r="P1096" s="27" t="n">
        <x:f>(VLOOKUP(O1096,'Fee Data'!$C$6:$G$50,2,TRUE)+O1096*VLOOKUP(O1096,'Fee Data'!$C$6:$G$50,3,TRUE)+VLOOKUP(O1096,'Fee Data'!$I$6:$J$14,2,TRUE)+'Fee Data'!$J$20+'Fee Data'!$J$21)*'Assumptions'!I37</x:f>
        <x:v>1175</x:v>
      </x:c>
      <x:c r="Q1096" s="27" t="n">
        <x:f>(VLOOKUP(O1096,'Fee Data'!$C$6:$G$50,4,TRUE)+O1096*VLOOKUP(O1096,'Fee Data'!$C$6:$G$50,5,TRUE)+VLOOKUP(O1096,'Fee Data'!$I$6:$J$14,2,TRUE)+'Fee Data'!$J$20+'Fee Data'!$J$21)*'Assumptions'!I37</x:f>
        <x:v>1050</x:v>
      </x:c>
      <x:c r="R1096" s="27" t="n">
        <x:f>P1096*(1-'Assumptions'!$D$14)+Q1096*'Assumptions'!$D$14</x:f>
        <x:v>1112.5</x:v>
      </x:c>
      <x:c r="S1096" s="27" t="n">
        <x:f>O1096*'Carrier Engine'!E96</x:f>
        <x:v>326.41266951222866</x:v>
      </x:c>
      <x:c r="T1096" s="28" t="n">
        <x:f>R1096+S1096</x:f>
        <x:v>1438.9126695122286</x:v>
      </x:c>
      <x:c r="U1096" s="27" t="n">
        <x:f>N1096*'Fleet Engine'!K195</x:f>
        <x:v>0</x:v>
      </x:c>
      <x:c r="V1096" s="28" t="n">
        <x:f>U1096*T1096</x:f>
        <x:v>0</x:v>
      </x:c>
      <x:c r="W1096" s="28" t="n">
        <x:f>U1096*O1096</x:f>
        <x:v>0</x:v>
      </x:c>
    </x:row>
    <x:row r="1097" ht="19" customHeight="1">
      <x:c r="A1097" s="2"/>
      <x:c r="B1097" s="2"/>
      <x:c r="C1097" s="46" t="n">
        <x:v>5</x:v>
      </x:c>
      <x:c r="D1097" s="46" t="n">
        <x:v>1</x:v>
      </x:c>
      <x:c r="E1097" s="46" t="n">
        <x:v>0</x:v>
      </x:c>
      <x:c r="F1097" s="46" t="n">
        <x:v>1</x:v>
      </x:c>
      <x:c r="G1097" s="12" t="n">
        <x:v>0.2222222222222222</x:v>
      </x:c>
      <x:c r="H1097" s="12" t="n">
        <x:v>0.3333333333333333</x:v>
      </x:c>
      <x:c r="I1097" s="29" t="n">
        <x:f>'Assumptions'!$D$11+'Assumptions'!$D$12*(0.5-(G1097+H1097)/2)</x:f>
        <x:v>0.34444444444444444</x:v>
      </x:c>
      <x:c r="J1097" s="27" t="n">
        <x:f>'Assumptions'!$D$8*EXP(-'Assumptions'!$D$9*('Fleet Engine'!E195-10))*'Assumptions'!E55*'Assumptions'!I36</x:f>
        <x:v>22255.409284924677</x:v>
      </x:c>
      <x:c r="K1097" s="27" t="n">
        <x:f>'Source Data'!F218+LN('Assumptions'!D55)+LN('Assumptions'!I35)</x:f>
        <x:v>7.909903025975467</x:v>
      </x:c>
      <x:c r="L1097" s="27" t="n">
        <x:f>J1097*(1-I1097*(1-'Carrier Engine'!E96))</x:f>
        <x:v>14896.287281376251</x:v>
      </x:c>
      <x:c r="M1097" s="29" t="n">
        <x:f>NORM.S.DIST((LN(L1097)-K1097)/'Assumptions'!$D$10,TRUE)</x:f>
        <x:v>0.8603739374321665</x:v>
      </x:c>
      <x:c r="N1097" s="30" t="n">
        <x:f>MAX(0,H1097-MAX(G1097,M1097))</x:f>
        <x:v>0</x:v>
      </x:c>
      <x:c r="O1097" s="28" t="n">
        <x:f>J1097*I1097</x:f>
        <x:v>7665.752087029611</x:v>
      </x:c>
      <x:c r="P1097" s="27" t="n">
        <x:f>(VLOOKUP(O1097,'Fee Data'!$C$6:$G$50,2,TRUE)+O1097*VLOOKUP(O1097,'Fee Data'!$C$6:$G$50,3,TRUE)+VLOOKUP(O1097,'Fee Data'!$I$6:$J$14,2,TRUE)+'Fee Data'!$J$20+'Fee Data'!$J$21)*'Assumptions'!I37</x:f>
        <x:v>1135</x:v>
      </x:c>
      <x:c r="Q1097" s="27" t="n">
        <x:f>(VLOOKUP(O1097,'Fee Data'!$C$6:$G$50,4,TRUE)+O1097*VLOOKUP(O1097,'Fee Data'!$C$6:$G$50,5,TRUE)+VLOOKUP(O1097,'Fee Data'!$I$6:$J$14,2,TRUE)+'Fee Data'!$J$20+'Fee Data'!$J$21)*'Assumptions'!I37</x:f>
        <x:v>1010</x:v>
      </x:c>
      <x:c r="R1097" s="27" t="n">
        <x:f>P1097*(1-'Assumptions'!$D$14)+Q1097*'Assumptions'!$D$14</x:f>
        <x:v>1072.5</x:v>
      </x:c>
      <x:c r="S1097" s="27" t="n">
        <x:f>O1097*'Carrier Engine'!E96</x:f>
        <x:v>306.63008348118444</x:v>
      </x:c>
      <x:c r="T1097" s="28" t="n">
        <x:f>R1097+S1097</x:f>
        <x:v>1379.1300834811846</x:v>
      </x:c>
      <x:c r="U1097" s="27" t="n">
        <x:f>N1097*'Fleet Engine'!K195</x:f>
        <x:v>0</x:v>
      </x:c>
      <x:c r="V1097" s="28" t="n">
        <x:f>U1097*T1097</x:f>
        <x:v>0</x:v>
      </x:c>
      <x:c r="W1097" s="28" t="n">
        <x:f>U1097*O1097</x:f>
        <x:v>0</x:v>
      </x:c>
    </x:row>
    <x:row r="1098" ht="19" customHeight="1">
      <x:c r="A1098" s="2"/>
      <x:c r="B1098" s="2"/>
      <x:c r="C1098" s="46" t="n">
        <x:v>5</x:v>
      </x:c>
      <x:c r="D1098" s="46" t="n">
        <x:v>1</x:v>
      </x:c>
      <x:c r="E1098" s="46" t="n">
        <x:v>0</x:v>
      </x:c>
      <x:c r="F1098" s="46" t="n">
        <x:v>1</x:v>
      </x:c>
      <x:c r="G1098" s="12" t="n">
        <x:v>0.3333333333333333</x:v>
      </x:c>
      <x:c r="H1098" s="12" t="n">
        <x:v>0.4444444444444444</x:v>
      </x:c>
      <x:c r="I1098" s="29" t="n">
        <x:f>'Assumptions'!$D$11+'Assumptions'!$D$12*(0.5-(G1098+H1098)/2)</x:f>
        <x:v>0.32222222222222224</x:v>
      </x:c>
      <x:c r="J1098" s="27" t="n">
        <x:f>'Assumptions'!$D$8*EXP(-'Assumptions'!$D$9*('Fleet Engine'!E195-10))*'Assumptions'!E55*'Assumptions'!I36</x:f>
        <x:v>22255.409284924677</x:v>
      </x:c>
      <x:c r="K1098" s="27" t="n">
        <x:f>'Source Data'!F218+LN('Assumptions'!D55)+LN('Assumptions'!I35)</x:f>
        <x:v>7.909903025975467</x:v>
      </x:c>
      <x:c r="L1098" s="27" t="n">
        <x:f>J1098*(1-I1098*(1-'Carrier Engine'!E96))</x:f>
        <x:v>15371.06934612131</x:v>
      </x:c>
      <x:c r="M1098" s="29" t="n">
        <x:f>NORM.S.DIST((LN(L1098)-K1098)/'Assumptions'!$D$10,TRUE)</x:f>
        <x:v>0.8647653470677638</x:v>
      </x:c>
      <x:c r="N1098" s="30" t="n">
        <x:f>MAX(0,H1098-MAX(G1098,M1098))</x:f>
        <x:v>0</x:v>
      </x:c>
      <x:c r="O1098" s="28" t="n">
        <x:f>J1098*I1098</x:f>
        <x:v>7171.187436253507</x:v>
      </x:c>
      <x:c r="P1098" s="27" t="n">
        <x:f>(VLOOKUP(O1098,'Fee Data'!$C$6:$G$50,2,TRUE)+O1098*VLOOKUP(O1098,'Fee Data'!$C$6:$G$50,3,TRUE)+VLOOKUP(O1098,'Fee Data'!$I$6:$J$14,2,TRUE)+'Fee Data'!$J$20+'Fee Data'!$J$21)*'Assumptions'!I37</x:f>
        <x:v>1115</x:v>
      </x:c>
      <x:c r="Q1098" s="27" t="n">
        <x:f>(VLOOKUP(O1098,'Fee Data'!$C$6:$G$50,4,TRUE)+O1098*VLOOKUP(O1098,'Fee Data'!$C$6:$G$50,5,TRUE)+VLOOKUP(O1098,'Fee Data'!$I$6:$J$14,2,TRUE)+'Fee Data'!$J$20+'Fee Data'!$J$21)*'Assumptions'!I37</x:f>
        <x:v>990</x:v>
      </x:c>
      <x:c r="R1098" s="27" t="n">
        <x:f>P1098*(1-'Assumptions'!$D$14)+Q1098*'Assumptions'!$D$14</x:f>
        <x:v>1052.5</x:v>
      </x:c>
      <x:c r="S1098" s="27" t="n">
        <x:f>O1098*'Carrier Engine'!E96</x:f>
        <x:v>286.8474974501403</x:v>
      </x:c>
      <x:c r="T1098" s="28" t="n">
        <x:f>R1098+S1098</x:f>
        <x:v>1339.3474974501403</x:v>
      </x:c>
      <x:c r="U1098" s="27" t="n">
        <x:f>N1098*'Fleet Engine'!K195</x:f>
        <x:v>0</x:v>
      </x:c>
      <x:c r="V1098" s="28" t="n">
        <x:f>U1098*T1098</x:f>
        <x:v>0</x:v>
      </x:c>
      <x:c r="W1098" s="28" t="n">
        <x:f>U1098*O1098</x:f>
        <x:v>0</x:v>
      </x:c>
    </x:row>
    <x:row r="1099" ht="19" customHeight="1">
      <x:c r="A1099" s="2"/>
      <x:c r="B1099" s="2"/>
      <x:c r="C1099" s="46" t="n">
        <x:v>5</x:v>
      </x:c>
      <x:c r="D1099" s="46" t="n">
        <x:v>1</x:v>
      </x:c>
      <x:c r="E1099" s="46" t="n">
        <x:v>0</x:v>
      </x:c>
      <x:c r="F1099" s="46" t="n">
        <x:v>1</x:v>
      </x:c>
      <x:c r="G1099" s="12" t="n">
        <x:v>0.4444444444444444</x:v>
      </x:c>
      <x:c r="H1099" s="12" t="n">
        <x:v>0.5555555555555556</x:v>
      </x:c>
      <x:c r="I1099" s="29" t="n">
        <x:f>'Assumptions'!$D$11+'Assumptions'!$D$12*(0.5-(G1099+H1099)/2)</x:f>
        <x:v>0.3</x:v>
      </x:c>
      <x:c r="J1099" s="27" t="n">
        <x:f>'Assumptions'!$D$8*EXP(-'Assumptions'!$D$9*('Fleet Engine'!E195-10))*'Assumptions'!E55*'Assumptions'!I36</x:f>
        <x:v>22255.409284924677</x:v>
      </x:c>
      <x:c r="K1099" s="27" t="n">
        <x:f>'Source Data'!F218+LN('Assumptions'!D55)+LN('Assumptions'!I35)</x:f>
        <x:v>7.909903025975467</x:v>
      </x:c>
      <x:c r="L1099" s="27" t="n">
        <x:f>J1099*(1-I1099*(1-'Carrier Engine'!E96))</x:f>
        <x:v>15845.85141086637</x:v>
      </x:c>
      <x:c r="M1099" s="29" t="n">
        <x:f>NORM.S.DIST((LN(L1099)-K1099)/'Assumptions'!$D$10,TRUE)</x:f>
        <x:v>0.8689318372553634</x:v>
      </x:c>
      <x:c r="N1099" s="30" t="n">
        <x:f>MAX(0,H1099-MAX(G1099,M1099))</x:f>
        <x:v>0</x:v>
      </x:c>
      <x:c r="O1099" s="28" t="n">
        <x:f>J1099*I1099</x:f>
        <x:v>6676.622785477403</x:v>
      </x:c>
      <x:c r="P1099" s="27" t="n">
        <x:f>(VLOOKUP(O1099,'Fee Data'!$C$6:$G$50,2,TRUE)+O1099*VLOOKUP(O1099,'Fee Data'!$C$6:$G$50,3,TRUE)+VLOOKUP(O1099,'Fee Data'!$I$6:$J$14,2,TRUE)+'Fee Data'!$J$20+'Fee Data'!$J$21)*'Assumptions'!I37</x:f>
        <x:v>1080</x:v>
      </x:c>
      <x:c r="Q1099" s="27" t="n">
        <x:f>(VLOOKUP(O1099,'Fee Data'!$C$6:$G$50,4,TRUE)+O1099*VLOOKUP(O1099,'Fee Data'!$C$6:$G$50,5,TRUE)+VLOOKUP(O1099,'Fee Data'!$I$6:$J$14,2,TRUE)+'Fee Data'!$J$20+'Fee Data'!$J$21)*'Assumptions'!I37</x:f>
        <x:v>955</x:v>
      </x:c>
      <x:c r="R1099" s="27" t="n">
        <x:f>P1099*(1-'Assumptions'!$D$14)+Q1099*'Assumptions'!$D$14</x:f>
        <x:v>1017.5</x:v>
      </x:c>
      <x:c r="S1099" s="27" t="n">
        <x:f>O1099*'Carrier Engine'!E96</x:f>
        <x:v>267.0649114190961</x:v>
      </x:c>
      <x:c r="T1099" s="28" t="n">
        <x:f>R1099+S1099</x:f>
        <x:v>1284.564911419096</x:v>
      </x:c>
      <x:c r="U1099" s="27" t="n">
        <x:f>N1099*'Fleet Engine'!K195</x:f>
        <x:v>0</x:v>
      </x:c>
      <x:c r="V1099" s="28" t="n">
        <x:f>U1099*T1099</x:f>
        <x:v>0</x:v>
      </x:c>
      <x:c r="W1099" s="28" t="n">
        <x:f>U1099*O1099</x:f>
        <x:v>0</x:v>
      </x:c>
    </x:row>
    <x:row r="1100" ht="19" customHeight="1">
      <x:c r="A1100" s="2"/>
      <x:c r="B1100" s="2"/>
      <x:c r="C1100" s="46" t="n">
        <x:v>5</x:v>
      </x:c>
      <x:c r="D1100" s="46" t="n">
        <x:v>1</x:v>
      </x:c>
      <x:c r="E1100" s="46" t="n">
        <x:v>0</x:v>
      </x:c>
      <x:c r="F1100" s="46" t="n">
        <x:v>1</x:v>
      </x:c>
      <x:c r="G1100" s="12" t="n">
        <x:v>0.5555555555555556</x:v>
      </x:c>
      <x:c r="H1100" s="12" t="n">
        <x:v>0.6666666666666666</x:v>
      </x:c>
      <x:c r="I1100" s="29" t="n">
        <x:f>'Assumptions'!$D$11+'Assumptions'!$D$12*(0.5-(G1100+H1100)/2)</x:f>
        <x:v>0.27777777777777773</x:v>
      </x:c>
      <x:c r="J1100" s="27" t="n">
        <x:f>'Assumptions'!$D$8*EXP(-'Assumptions'!$D$9*('Fleet Engine'!E195-10))*'Assumptions'!E55*'Assumptions'!I36</x:f>
        <x:v>22255.409284924677</x:v>
      </x:c>
      <x:c r="K1100" s="27" t="n">
        <x:f>'Source Data'!F218+LN('Assumptions'!D55)+LN('Assumptions'!I35)</x:f>
        <x:v>7.909903025975467</x:v>
      </x:c>
      <x:c r="L1100" s="27" t="n">
        <x:f>J1100*(1-I1100*(1-'Carrier Engine'!E96))</x:f>
        <x:v>16320.633475611432</x:v>
      </x:c>
      <x:c r="M1100" s="29" t="n">
        <x:f>NORM.S.DIST((LN(L1100)-K1100)/'Assumptions'!$D$10,TRUE)</x:f>
        <x:v>0.8728896986796358</x:v>
      </x:c>
      <x:c r="N1100" s="30" t="n">
        <x:f>MAX(0,H1100-MAX(G1100,M1100))</x:f>
        <x:v>0</x:v>
      </x:c>
      <x:c r="O1100" s="28" t="n">
        <x:f>J1100*I1100</x:f>
        <x:v>6182.0581347012985</x:v>
      </x:c>
      <x:c r="P1100" s="27" t="n">
        <x:f>(VLOOKUP(O1100,'Fee Data'!$C$6:$G$50,2,TRUE)+O1100*VLOOKUP(O1100,'Fee Data'!$C$6:$G$50,3,TRUE)+VLOOKUP(O1100,'Fee Data'!$I$6:$J$14,2,TRUE)+'Fee Data'!$J$20+'Fee Data'!$J$21)*'Assumptions'!I37</x:f>
        <x:v>1060</x:v>
      </x:c>
      <x:c r="Q1100" s="27" t="n">
        <x:f>(VLOOKUP(O1100,'Fee Data'!$C$6:$G$50,4,TRUE)+O1100*VLOOKUP(O1100,'Fee Data'!$C$6:$G$50,5,TRUE)+VLOOKUP(O1100,'Fee Data'!$I$6:$J$14,2,TRUE)+'Fee Data'!$J$20+'Fee Data'!$J$21)*'Assumptions'!I37</x:f>
        <x:v>935</x:v>
      </x:c>
      <x:c r="R1100" s="27" t="n">
        <x:f>P1100*(1-'Assumptions'!$D$14)+Q1100*'Assumptions'!$D$14</x:f>
        <x:v>997.5</x:v>
      </x:c>
      <x:c r="S1100" s="27" t="n">
        <x:f>O1100*'Carrier Engine'!E96</x:f>
        <x:v>247.28232538805196</x:v>
      </x:c>
      <x:c r="T1100" s="28" t="n">
        <x:f>R1100+S1100</x:f>
        <x:v>1244.782325388052</x:v>
      </x:c>
      <x:c r="U1100" s="27" t="n">
        <x:f>N1100*'Fleet Engine'!K195</x:f>
        <x:v>0</x:v>
      </x:c>
      <x:c r="V1100" s="28" t="n">
        <x:f>U1100*T1100</x:f>
        <x:v>0</x:v>
      </x:c>
      <x:c r="W1100" s="28" t="n">
        <x:f>U1100*O1100</x:f>
        <x:v>0</x:v>
      </x:c>
    </x:row>
    <x:row r="1101" ht="19" customHeight="1">
      <x:c r="A1101" s="2"/>
      <x:c r="B1101" s="2"/>
      <x:c r="C1101" s="46" t="n">
        <x:v>5</x:v>
      </x:c>
      <x:c r="D1101" s="46" t="n">
        <x:v>1</x:v>
      </x:c>
      <x:c r="E1101" s="46" t="n">
        <x:v>0</x:v>
      </x:c>
      <x:c r="F1101" s="46" t="n">
        <x:v>1</x:v>
      </x:c>
      <x:c r="G1101" s="12" t="n">
        <x:v>0.6666666666666666</x:v>
      </x:c>
      <x:c r="H1101" s="12" t="n">
        <x:v>0.7777777777777778</x:v>
      </x:c>
      <x:c r="I1101" s="29" t="n">
        <x:f>'Assumptions'!$D$11+'Assumptions'!$D$12*(0.5-(G1101+H1101)/2)</x:f>
        <x:v>0.25555555555555554</x:v>
      </x:c>
      <x:c r="J1101" s="27" t="n">
        <x:f>'Assumptions'!$D$8*EXP(-'Assumptions'!$D$9*('Fleet Engine'!E195-10))*'Assumptions'!E55*'Assumptions'!I36</x:f>
        <x:v>22255.409284924677</x:v>
      </x:c>
      <x:c r="K1101" s="27" t="n">
        <x:f>'Source Data'!F218+LN('Assumptions'!D55)+LN('Assumptions'!I35)</x:f>
        <x:v>7.909903025975467</x:v>
      </x:c>
      <x:c r="L1101" s="27" t="n">
        <x:f>J1101*(1-I1101*(1-'Carrier Engine'!E96))</x:f>
        <x:v>16795.41554035649</x:v>
      </x:c>
      <x:c r="M1101" s="29" t="n">
        <x:f>NORM.S.DIST((LN(L1101)-K1101)/'Assumptions'!$D$10,TRUE)</x:f>
        <x:v>0.8766536909691995</x:v>
      </x:c>
      <x:c r="N1101" s="30" t="n">
        <x:f>MAX(0,H1101-MAX(G1101,M1101))</x:f>
        <x:v>0</x:v>
      </x:c>
      <x:c r="O1101" s="28" t="n">
        <x:f>J1101*I1101</x:f>
        <x:v>5687.493483925195</x:v>
      </x:c>
      <x:c r="P1101" s="27" t="n">
        <x:f>(VLOOKUP(O1101,'Fee Data'!$C$6:$G$50,2,TRUE)+O1101*VLOOKUP(O1101,'Fee Data'!$C$6:$G$50,3,TRUE)+VLOOKUP(O1101,'Fee Data'!$I$6:$J$14,2,TRUE)+'Fee Data'!$J$20+'Fee Data'!$J$21)*'Assumptions'!I37</x:f>
        <x:v>1020</x:v>
      </x:c>
      <x:c r="Q1101" s="27" t="n">
        <x:f>(VLOOKUP(O1101,'Fee Data'!$C$6:$G$50,4,TRUE)+O1101*VLOOKUP(O1101,'Fee Data'!$C$6:$G$50,5,TRUE)+VLOOKUP(O1101,'Fee Data'!$I$6:$J$14,2,TRUE)+'Fee Data'!$J$20+'Fee Data'!$J$21)*'Assumptions'!I37</x:f>
        <x:v>895</x:v>
      </x:c>
      <x:c r="R1101" s="27" t="n">
        <x:f>P1101*(1-'Assumptions'!$D$14)+Q1101*'Assumptions'!$D$14</x:f>
        <x:v>957.5</x:v>
      </x:c>
      <x:c r="S1101" s="27" t="n">
        <x:f>O1101*'Carrier Engine'!E96</x:f>
        <x:v>227.4997393570078</x:v>
      </x:c>
      <x:c r="T1101" s="28" t="n">
        <x:f>R1101+S1101</x:f>
        <x:v>1184.999739357008</x:v>
      </x:c>
      <x:c r="U1101" s="27" t="n">
        <x:f>N1101*'Fleet Engine'!K195</x:f>
        <x:v>0</x:v>
      </x:c>
      <x:c r="V1101" s="28" t="n">
        <x:f>U1101*T1101</x:f>
        <x:v>0</x:v>
      </x:c>
      <x:c r="W1101" s="28" t="n">
        <x:f>U1101*O1101</x:f>
        <x:v>0</x:v>
      </x:c>
    </x:row>
    <x:row r="1102" ht="19" customHeight="1">
      <x:c r="A1102" s="2"/>
      <x:c r="B1102" s="2"/>
      <x:c r="C1102" s="46" t="n">
        <x:v>5</x:v>
      </x:c>
      <x:c r="D1102" s="46" t="n">
        <x:v>1</x:v>
      </x:c>
      <x:c r="E1102" s="46" t="n">
        <x:v>0</x:v>
      </x:c>
      <x:c r="F1102" s="46" t="n">
        <x:v>1</x:v>
      </x:c>
      <x:c r="G1102" s="12" t="n">
        <x:v>0.7777777777777778</x:v>
      </x:c>
      <x:c r="H1102" s="12" t="n">
        <x:v>0.8888888888888888</x:v>
      </x:c>
      <x:c r="I1102" s="29" t="n">
        <x:f>'Assumptions'!$D$11+'Assumptions'!$D$12*(0.5-(G1102+H1102)/2)</x:f>
        <x:v>0.23333333333333334</x:v>
      </x:c>
      <x:c r="J1102" s="27" t="n">
        <x:f>'Assumptions'!$D$8*EXP(-'Assumptions'!$D$9*('Fleet Engine'!E195-10))*'Assumptions'!E55*'Assumptions'!I36</x:f>
        <x:v>22255.409284924677</x:v>
      </x:c>
      <x:c r="K1102" s="27" t="n">
        <x:f>'Source Data'!F218+LN('Assumptions'!D55)+LN('Assumptions'!I35)</x:f>
        <x:v>7.909903025975467</x:v>
      </x:c>
      <x:c r="L1102" s="27" t="n">
        <x:f>J1102*(1-I1102*(1-'Carrier Engine'!E96))</x:f>
        <x:v>17270.19760510155</x:v>
      </x:c>
      <x:c r="M1102" s="29" t="n">
        <x:f>NORM.S.DIST((LN(L1102)-K1102)/'Assumptions'!$D$10,TRUE)</x:f>
        <x:v>0.880237219264955</x:v>
      </x:c>
      <x:c r="N1102" s="30" t="n">
        <x:f>MAX(0,H1102-MAX(G1102,M1102))</x:f>
        <x:v>0.008651669623933822</x:v>
      </x:c>
      <x:c r="O1102" s="28" t="n">
        <x:f>J1102*I1102</x:f>
        <x:v>5192.928833149092</x:v>
      </x:c>
      <x:c r="P1102" s="27" t="n">
        <x:f>(VLOOKUP(O1102,'Fee Data'!$C$6:$G$50,2,TRUE)+O1102*VLOOKUP(O1102,'Fee Data'!$C$6:$G$50,3,TRUE)+VLOOKUP(O1102,'Fee Data'!$I$6:$J$14,2,TRUE)+'Fee Data'!$J$20+'Fee Data'!$J$21)*'Assumptions'!I37</x:f>
        <x:v>995</x:v>
      </x:c>
      <x:c r="Q1102" s="27" t="n">
        <x:f>(VLOOKUP(O1102,'Fee Data'!$C$6:$G$50,4,TRUE)+O1102*VLOOKUP(O1102,'Fee Data'!$C$6:$G$50,5,TRUE)+VLOOKUP(O1102,'Fee Data'!$I$6:$J$14,2,TRUE)+'Fee Data'!$J$20+'Fee Data'!$J$21)*'Assumptions'!I37</x:f>
        <x:v>870</x:v>
      </x:c>
      <x:c r="R1102" s="27" t="n">
        <x:f>P1102*(1-'Assumptions'!$D$14)+Q1102*'Assumptions'!$D$14</x:f>
        <x:v>932.5</x:v>
      </x:c>
      <x:c r="S1102" s="27" t="n">
        <x:f>O1102*'Carrier Engine'!E96</x:f>
        <x:v>207.71715332596366</x:v>
      </x:c>
      <x:c r="T1102" s="28" t="n">
        <x:f>R1102+S1102</x:f>
        <x:v>1140.2171533259636</x:v>
      </x:c>
      <x:c r="U1102" s="27" t="n">
        <x:f>N1102*'Fleet Engine'!K195</x:f>
        <x:v>77.42810264340685</x:v>
      </x:c>
      <x:c r="V1102" s="28" t="n">
        <x:f>U1102*T1102</x:f>
        <x:v>88284.85078349587</x:v>
      </x:c>
      <x:c r="W1102" s="28" t="n">
        <x:f>U1102*O1102</x:f>
        <x:v>402078.6267129748</x:v>
      </x:c>
    </x:row>
    <x:row r="1103" ht="19" customHeight="1">
      <x:c r="A1103" s="2"/>
      <x:c r="B1103" s="2"/>
      <x:c r="C1103" s="46" t="n">
        <x:v>5</x:v>
      </x:c>
      <x:c r="D1103" s="46" t="n">
        <x:v>1</x:v>
      </x:c>
      <x:c r="E1103" s="46" t="n">
        <x:v>0</x:v>
      </x:c>
      <x:c r="F1103" s="46" t="n">
        <x:v>1</x:v>
      </x:c>
      <x:c r="G1103" s="12" t="n">
        <x:v>0.8888888888888888</x:v>
      </x:c>
      <x:c r="H1103" s="12" t="n">
        <x:v>1</x:v>
      </x:c>
      <x:c r="I1103" s="29" t="n">
        <x:f>'Assumptions'!$D$11+'Assumptions'!$D$12*(0.5-(G1103+H1103)/2)</x:f>
        <x:v>0.21111111111111108</x:v>
      </x:c>
      <x:c r="J1103" s="27" t="n">
        <x:f>'Assumptions'!$D$8*EXP(-'Assumptions'!$D$9*('Fleet Engine'!E195-10))*'Assumptions'!E55*'Assumptions'!I36</x:f>
        <x:v>22255.409284924677</x:v>
      </x:c>
      <x:c r="K1103" s="27" t="n">
        <x:f>'Source Data'!F218+LN('Assumptions'!D55)+LN('Assumptions'!I35)</x:f>
        <x:v>7.909903025975467</x:v>
      </x:c>
      <x:c r="L1103" s="27" t="n">
        <x:f>J1103*(1-I1103*(1-'Carrier Engine'!E96))</x:f>
        <x:v>17744.97966984661</x:v>
      </x:c>
      <x:c r="M1103" s="29" t="n">
        <x:f>NORM.S.DIST((LN(L1103)-K1103)/'Assumptions'!$D$10,TRUE)</x:f>
        <x:v>0.8836524867448694</x:v>
      </x:c>
      <x:c r="N1103" s="30" t="n">
        <x:f>MAX(0,H1103-MAX(G1103,M1103))</x:f>
        <x:v>0.11111111111111116</x:v>
      </x:c>
      <x:c r="O1103" s="28" t="n">
        <x:f>J1103*I1103</x:f>
        <x:v>4698.364182372987</x:v>
      </x:c>
      <x:c r="P1103" s="27" t="n">
        <x:f>(VLOOKUP(O1103,'Fee Data'!$C$6:$G$50,2,TRUE)+O1103*VLOOKUP(O1103,'Fee Data'!$C$6:$G$50,3,TRUE)+VLOOKUP(O1103,'Fee Data'!$I$6:$J$14,2,TRUE)+'Fee Data'!$J$20+'Fee Data'!$J$21)*'Assumptions'!I37</x:f>
        <x:v>970</x:v>
      </x:c>
      <x:c r="Q1103" s="27" t="n">
        <x:f>(VLOOKUP(O1103,'Fee Data'!$C$6:$G$50,4,TRUE)+O1103*VLOOKUP(O1103,'Fee Data'!$C$6:$G$50,5,TRUE)+VLOOKUP(O1103,'Fee Data'!$I$6:$J$14,2,TRUE)+'Fee Data'!$J$20+'Fee Data'!$J$21)*'Assumptions'!I37</x:f>
        <x:v>845</x:v>
      </x:c>
      <x:c r="R1103" s="27" t="n">
        <x:f>P1103*(1-'Assumptions'!$D$14)+Q1103*'Assumptions'!$D$14</x:f>
        <x:v>907.5</x:v>
      </x:c>
      <x:c r="S1103" s="27" t="n">
        <x:f>O1103*'Carrier Engine'!E96</x:f>
        <x:v>187.93456729491947</x:v>
      </x:c>
      <x:c r="T1103" s="28" t="n">
        <x:f>R1103+S1103</x:f>
        <x:v>1095.4345672949194</x:v>
      </x:c>
      <x:c r="U1103" s="27" t="n">
        <x:f>N1103*'Fleet Engine'!K195</x:f>
        <x:v>994.3887006658896</x:v>
      </x:c>
      <x:c r="V1103" s="28" t="n">
        <x:f>U1103*T1103</x:f>
        <x:v>1089287.7560368958</x:v>
      </x:c>
      <x:c r="W1103" s="28" t="n">
        <x:f>U1103*O1103</x:f>
        <x:v>4672000.254565029</x:v>
      </x:c>
    </x:row>
    <x:row r="1104" ht="19" customHeight="1">
      <x:c r="A1104" s="2"/>
      <x:c r="B1104" s="2"/>
      <x:c r="C1104" s="46" t="n">
        <x:v>5</x:v>
      </x:c>
      <x:c r="D1104" s="46" t="n">
        <x:v>2</x:v>
      </x:c>
      <x:c r="E1104" s="46" t="n">
        <x:v>0</x:v>
      </x:c>
      <x:c r="F1104" s="46" t="n">
        <x:v>2</x:v>
      </x:c>
      <x:c r="G1104" s="12" t="n">
        <x:v>0</x:v>
      </x:c>
      <x:c r="H1104" s="12" t="n">
        <x:v>0.1111111111111111</x:v>
      </x:c>
      <x:c r="I1104" s="29" t="n">
        <x:f>'Assumptions'!$D$11+'Assumptions'!$D$12*(0.5-(G1104+H1104)/2)</x:f>
        <x:v>0.3888888888888889</x:v>
      </x:c>
      <x:c r="J1104" s="27" t="n">
        <x:f>'Assumptions'!$D$8*EXP(-'Assumptions'!$D$9*('Fleet Engine'!E196-10))*'Assumptions'!E55*'Assumptions'!I36</x:f>
        <x:v>16487.212707001283</x:v>
      </x:c>
      <x:c r="K1104" s="27" t="n">
        <x:f>'Source Data'!F219+LN('Assumptions'!D55)+LN('Assumptions'!I35)</x:f>
        <x:v>7.955584867261274</x:v>
      </x:c>
      <x:c r="L1104" s="27" t="n">
        <x:f>J1104*(1-I1104*(1-'Carrier Engine'!E96))</x:f>
        <x:v>10331.986629720805</x:v>
      </x:c>
      <x:c r="M1104" s="29" t="n">
        <x:f>NORM.S.DIST((LN(L1104)-K1104)/'Assumptions'!$D$10,TRUE)</x:f>
        <x:v>0.7938640109511643</x:v>
      </x:c>
      <x:c r="N1104" s="30" t="n">
        <x:f>MAX(0,H1104-MAX(G1104,M1104))</x:f>
        <x:v>0</x:v>
      </x:c>
      <x:c r="O1104" s="28" t="n">
        <x:f>J1104*I1104</x:f>
        <x:v>6411.693830500499</x:v>
      </x:c>
      <x:c r="P1104" s="27" t="n">
        <x:f>(VLOOKUP(O1104,'Fee Data'!$C$6:$G$50,2,TRUE)+O1104*VLOOKUP(O1104,'Fee Data'!$C$6:$G$50,3,TRUE)+VLOOKUP(O1104,'Fee Data'!$I$6:$J$14,2,TRUE)+'Fee Data'!$J$20+'Fee Data'!$J$21)*'Assumptions'!I37</x:f>
        <x:v>1060</x:v>
      </x:c>
      <x:c r="Q1104" s="27" t="n">
        <x:f>(VLOOKUP(O1104,'Fee Data'!$C$6:$G$50,4,TRUE)+O1104*VLOOKUP(O1104,'Fee Data'!$C$6:$G$50,5,TRUE)+VLOOKUP(O1104,'Fee Data'!$I$6:$J$14,2,TRUE)+'Fee Data'!$J$20+'Fee Data'!$J$21)*'Assumptions'!I37</x:f>
        <x:v>935</x:v>
      </x:c>
      <x:c r="R1104" s="27" t="n">
        <x:f>P1104*(1-'Assumptions'!$D$14)+Q1104*'Assumptions'!$D$14</x:f>
        <x:v>997.5</x:v>
      </x:c>
      <x:c r="S1104" s="27" t="n">
        <x:f>O1104*'Carrier Engine'!E96</x:f>
        <x:v>256.46775322002</x:v>
      </x:c>
      <x:c r="T1104" s="28" t="n">
        <x:f>R1104+S1104</x:f>
        <x:v>1253.9677532200199</x:v>
      </x:c>
      <x:c r="U1104" s="27" t="n">
        <x:f>N1104*'Fleet Engine'!K196</x:f>
        <x:v>0</x:v>
      </x:c>
      <x:c r="V1104" s="28" t="n">
        <x:f>U1104*T1104</x:f>
        <x:v>0</x:v>
      </x:c>
      <x:c r="W1104" s="28" t="n">
        <x:f>U1104*O1104</x:f>
        <x:v>0</x:v>
      </x:c>
    </x:row>
    <x:row r="1105" ht="19" customHeight="1">
      <x:c r="A1105" s="2"/>
      <x:c r="B1105" s="2"/>
      <x:c r="C1105" s="46" t="n">
        <x:v>5</x:v>
      </x:c>
      <x:c r="D1105" s="46" t="n">
        <x:v>2</x:v>
      </x:c>
      <x:c r="E1105" s="46" t="n">
        <x:v>0</x:v>
      </x:c>
      <x:c r="F1105" s="46" t="n">
        <x:v>2</x:v>
      </x:c>
      <x:c r="G1105" s="12" t="n">
        <x:v>0.1111111111111111</x:v>
      </x:c>
      <x:c r="H1105" s="12" t="n">
        <x:v>0.2222222222222222</x:v>
      </x:c>
      <x:c r="I1105" s="29" t="n">
        <x:f>'Assumptions'!$D$11+'Assumptions'!$D$12*(0.5-(G1105+H1105)/2)</x:f>
        <x:v>0.3666666666666667</x:v>
      </x:c>
      <x:c r="J1105" s="27" t="n">
        <x:f>'Assumptions'!$D$8*EXP(-'Assumptions'!$D$9*('Fleet Engine'!E196-10))*'Assumptions'!E55*'Assumptions'!I36</x:f>
        <x:v>16487.212707001283</x:v>
      </x:c>
      <x:c r="K1105" s="27" t="n">
        <x:f>'Source Data'!F219+LN('Assumptions'!D55)+LN('Assumptions'!I35)</x:f>
        <x:v>7.955584867261274</x:v>
      </x:c>
      <x:c r="L1105" s="27" t="n">
        <x:f>J1105*(1-I1105*(1-'Carrier Engine'!E96))</x:f>
        <x:v>10683.71383413683</x:v>
      </x:c>
      <x:c r="M1105" s="29" t="n">
        <x:f>NORM.S.DIST((LN(L1105)-K1105)/'Assumptions'!$D$10,TRUE)</x:f>
        <x:v>0.7998880565872375</x:v>
      </x:c>
      <x:c r="N1105" s="30" t="n">
        <x:f>MAX(0,H1105-MAX(G1105,M1105))</x:f>
        <x:v>0</x:v>
      </x:c>
      <x:c r="O1105" s="28" t="n">
        <x:f>J1105*I1105</x:f>
        <x:v>6045.311325900471</x:v>
      </x:c>
      <x:c r="P1105" s="27" t="n">
        <x:f>(VLOOKUP(O1105,'Fee Data'!$C$6:$G$50,2,TRUE)+O1105*VLOOKUP(O1105,'Fee Data'!$C$6:$G$50,3,TRUE)+VLOOKUP(O1105,'Fee Data'!$I$6:$J$14,2,TRUE)+'Fee Data'!$J$20+'Fee Data'!$J$21)*'Assumptions'!I37</x:f>
        <x:v>1060</x:v>
      </x:c>
      <x:c r="Q1105" s="27" t="n">
        <x:f>(VLOOKUP(O1105,'Fee Data'!$C$6:$G$50,4,TRUE)+O1105*VLOOKUP(O1105,'Fee Data'!$C$6:$G$50,5,TRUE)+VLOOKUP(O1105,'Fee Data'!$I$6:$J$14,2,TRUE)+'Fee Data'!$J$20+'Fee Data'!$J$21)*'Assumptions'!I37</x:f>
        <x:v>935</x:v>
      </x:c>
      <x:c r="R1105" s="27" t="n">
        <x:f>P1105*(1-'Assumptions'!$D$14)+Q1105*'Assumptions'!$D$14</x:f>
        <x:v>997.5</x:v>
      </x:c>
      <x:c r="S1105" s="27" t="n">
        <x:f>O1105*'Carrier Engine'!E96</x:f>
        <x:v>241.81245303601887</x:v>
      </x:c>
      <x:c r="T1105" s="28" t="n">
        <x:f>R1105+S1105</x:f>
        <x:v>1239.312453036019</x:v>
      </x:c>
      <x:c r="U1105" s="27" t="n">
        <x:f>N1105*'Fleet Engine'!K196</x:f>
        <x:v>0</x:v>
      </x:c>
      <x:c r="V1105" s="28" t="n">
        <x:f>U1105*T1105</x:f>
        <x:v>0</x:v>
      </x:c>
      <x:c r="W1105" s="28" t="n">
        <x:f>U1105*O1105</x:f>
        <x:v>0</x:v>
      </x:c>
    </x:row>
    <x:row r="1106" ht="19" customHeight="1">
      <x:c r="A1106" s="2"/>
      <x:c r="B1106" s="2"/>
      <x:c r="C1106" s="46" t="n">
        <x:v>5</x:v>
      </x:c>
      <x:c r="D1106" s="46" t="n">
        <x:v>2</x:v>
      </x:c>
      <x:c r="E1106" s="46" t="n">
        <x:v>0</x:v>
      </x:c>
      <x:c r="F1106" s="46" t="n">
        <x:v>2</x:v>
      </x:c>
      <x:c r="G1106" s="12" t="n">
        <x:v>0.2222222222222222</x:v>
      </x:c>
      <x:c r="H1106" s="12" t="n">
        <x:v>0.3333333333333333</x:v>
      </x:c>
      <x:c r="I1106" s="29" t="n">
        <x:f>'Assumptions'!$D$11+'Assumptions'!$D$12*(0.5-(G1106+H1106)/2)</x:f>
        <x:v>0.34444444444444444</x:v>
      </x:c>
      <x:c r="J1106" s="27" t="n">
        <x:f>'Assumptions'!$D$8*EXP(-'Assumptions'!$D$9*('Fleet Engine'!E196-10))*'Assumptions'!E55*'Assumptions'!I36</x:f>
        <x:v>16487.212707001283</x:v>
      </x:c>
      <x:c r="K1106" s="27" t="n">
        <x:f>'Source Data'!F219+LN('Assumptions'!D55)+LN('Assumptions'!I35)</x:f>
        <x:v>7.955584867261274</x:v>
      </x:c>
      <x:c r="L1106" s="27" t="n">
        <x:f>J1106*(1-I1106*(1-'Carrier Engine'!E96))</x:f>
        <x:v>11035.441038552859</x:v>
      </x:c>
      <x:c r="M1106" s="29" t="n">
        <x:f>NORM.S.DIST((LN(L1106)-K1106)/'Assumptions'!$D$10,TRUE)</x:f>
        <x:v>0.8056150406948284</x:v>
      </x:c>
      <x:c r="N1106" s="30" t="n">
        <x:f>MAX(0,H1106-MAX(G1106,M1106))</x:f>
        <x:v>0</x:v>
      </x:c>
      <x:c r="O1106" s="28" t="n">
        <x:f>J1106*I1106</x:f>
        <x:v>5678.928821300442</x:v>
      </x:c>
      <x:c r="P1106" s="27" t="n">
        <x:f>(VLOOKUP(O1106,'Fee Data'!$C$6:$G$50,2,TRUE)+O1106*VLOOKUP(O1106,'Fee Data'!$C$6:$G$50,3,TRUE)+VLOOKUP(O1106,'Fee Data'!$I$6:$J$14,2,TRUE)+'Fee Data'!$J$20+'Fee Data'!$J$21)*'Assumptions'!I37</x:f>
        <x:v>1020</x:v>
      </x:c>
      <x:c r="Q1106" s="27" t="n">
        <x:f>(VLOOKUP(O1106,'Fee Data'!$C$6:$G$50,4,TRUE)+O1106*VLOOKUP(O1106,'Fee Data'!$C$6:$G$50,5,TRUE)+VLOOKUP(O1106,'Fee Data'!$I$6:$J$14,2,TRUE)+'Fee Data'!$J$20+'Fee Data'!$J$21)*'Assumptions'!I37</x:f>
        <x:v>895</x:v>
      </x:c>
      <x:c r="R1106" s="27" t="n">
        <x:f>P1106*(1-'Assumptions'!$D$14)+Q1106*'Assumptions'!$D$14</x:f>
        <x:v>957.5</x:v>
      </x:c>
      <x:c r="S1106" s="27" t="n">
        <x:f>O1106*'Carrier Engine'!E96</x:f>
        <x:v>227.15715285201767</x:v>
      </x:c>
      <x:c r="T1106" s="28" t="n">
        <x:f>R1106+S1106</x:f>
        <x:v>1184.6571528520176</x:v>
      </x:c>
      <x:c r="U1106" s="27" t="n">
        <x:f>N1106*'Fleet Engine'!K196</x:f>
        <x:v>0</x:v>
      </x:c>
      <x:c r="V1106" s="28" t="n">
        <x:f>U1106*T1106</x:f>
        <x:v>0</x:v>
      </x:c>
      <x:c r="W1106" s="28" t="n">
        <x:f>U1106*O1106</x:f>
        <x:v>0</x:v>
      </x:c>
    </x:row>
    <x:row r="1107" ht="19" customHeight="1">
      <x:c r="A1107" s="2"/>
      <x:c r="B1107" s="2"/>
      <x:c r="C1107" s="46" t="n">
        <x:v>5</x:v>
      </x:c>
      <x:c r="D1107" s="46" t="n">
        <x:v>2</x:v>
      </x:c>
      <x:c r="E1107" s="46" t="n">
        <x:v>0</x:v>
      </x:c>
      <x:c r="F1107" s="46" t="n">
        <x:v>2</x:v>
      </x:c>
      <x:c r="G1107" s="12" t="n">
        <x:v>0.3333333333333333</x:v>
      </x:c>
      <x:c r="H1107" s="12" t="n">
        <x:v>0.4444444444444444</x:v>
      </x:c>
      <x:c r="I1107" s="29" t="n">
        <x:f>'Assumptions'!$D$11+'Assumptions'!$D$12*(0.5-(G1107+H1107)/2)</x:f>
        <x:v>0.32222222222222224</x:v>
      </x:c>
      <x:c r="J1107" s="27" t="n">
        <x:f>'Assumptions'!$D$8*EXP(-'Assumptions'!$D$9*('Fleet Engine'!E196-10))*'Assumptions'!E55*'Assumptions'!I36</x:f>
        <x:v>16487.212707001283</x:v>
      </x:c>
      <x:c r="K1107" s="27" t="n">
        <x:f>'Source Data'!F219+LN('Assumptions'!D55)+LN('Assumptions'!I35)</x:f>
        <x:v>7.955584867261274</x:v>
      </x:c>
      <x:c r="L1107" s="27" t="n">
        <x:f>J1107*(1-I1107*(1-'Carrier Engine'!E96))</x:f>
        <x:v>11387.168242968886</x:v>
      </x:c>
      <x:c r="M1107" s="29" t="n">
        <x:f>NORM.S.DIST((LN(L1107)-K1107)/'Assumptions'!$D$10,TRUE)</x:f>
        <x:v>0.8110661143853564</x:v>
      </x:c>
      <x:c r="N1107" s="30" t="n">
        <x:f>MAX(0,H1107-MAX(G1107,M1107))</x:f>
        <x:v>0</x:v>
      </x:c>
      <x:c r="O1107" s="28" t="n">
        <x:f>J1107*I1107</x:f>
        <x:v>5312.546316700414</x:v>
      </x:c>
      <x:c r="P1107" s="27" t="n">
        <x:f>(VLOOKUP(O1107,'Fee Data'!$C$6:$G$50,2,TRUE)+O1107*VLOOKUP(O1107,'Fee Data'!$C$6:$G$50,3,TRUE)+VLOOKUP(O1107,'Fee Data'!$I$6:$J$14,2,TRUE)+'Fee Data'!$J$20+'Fee Data'!$J$21)*'Assumptions'!I37</x:f>
        <x:v>995</x:v>
      </x:c>
      <x:c r="Q1107" s="27" t="n">
        <x:f>(VLOOKUP(O1107,'Fee Data'!$C$6:$G$50,4,TRUE)+O1107*VLOOKUP(O1107,'Fee Data'!$C$6:$G$50,5,TRUE)+VLOOKUP(O1107,'Fee Data'!$I$6:$J$14,2,TRUE)+'Fee Data'!$J$20+'Fee Data'!$J$21)*'Assumptions'!I37</x:f>
        <x:v>870</x:v>
      </x:c>
      <x:c r="R1107" s="27" t="n">
        <x:f>P1107*(1-'Assumptions'!$D$14)+Q1107*'Assumptions'!$D$14</x:f>
        <x:v>932.5</x:v>
      </x:c>
      <x:c r="S1107" s="27" t="n">
        <x:f>O1107*'Carrier Engine'!E96</x:f>
        <x:v>212.50185266801654</x:v>
      </x:c>
      <x:c r="T1107" s="28" t="n">
        <x:f>R1107+S1107</x:f>
        <x:v>1145.0018526680165</x:v>
      </x:c>
      <x:c r="U1107" s="27" t="n">
        <x:f>N1107*'Fleet Engine'!K196</x:f>
        <x:v>0</x:v>
      </x:c>
      <x:c r="V1107" s="28" t="n">
        <x:f>U1107*T1107</x:f>
        <x:v>0</x:v>
      </x:c>
      <x:c r="W1107" s="28" t="n">
        <x:f>U1107*O1107</x:f>
        <x:v>0</x:v>
      </x:c>
    </x:row>
    <x:row r="1108" ht="19" customHeight="1">
      <x:c r="A1108" s="2"/>
      <x:c r="B1108" s="2"/>
      <x:c r="C1108" s="46" t="n">
        <x:v>5</x:v>
      </x:c>
      <x:c r="D1108" s="46" t="n">
        <x:v>2</x:v>
      </x:c>
      <x:c r="E1108" s="46" t="n">
        <x:v>0</x:v>
      </x:c>
      <x:c r="F1108" s="46" t="n">
        <x:v>2</x:v>
      </x:c>
      <x:c r="G1108" s="12" t="n">
        <x:v>0.4444444444444444</x:v>
      </x:c>
      <x:c r="H1108" s="12" t="n">
        <x:v>0.5555555555555556</x:v>
      </x:c>
      <x:c r="I1108" s="29" t="n">
        <x:f>'Assumptions'!$D$11+'Assumptions'!$D$12*(0.5-(G1108+H1108)/2)</x:f>
        <x:v>0.3</x:v>
      </x:c>
      <x:c r="J1108" s="27" t="n">
        <x:f>'Assumptions'!$D$8*EXP(-'Assumptions'!$D$9*('Fleet Engine'!E196-10))*'Assumptions'!E55*'Assumptions'!I36</x:f>
        <x:v>16487.212707001283</x:v>
      </x:c>
      <x:c r="K1108" s="27" t="n">
        <x:f>'Source Data'!F219+LN('Assumptions'!D55)+LN('Assumptions'!I35)</x:f>
        <x:v>7.955584867261274</x:v>
      </x:c>
      <x:c r="L1108" s="27" t="n">
        <x:f>J1108*(1-I1108*(1-'Carrier Engine'!E96))</x:f>
        <x:v>11738.895447384913</x:v>
      </x:c>
      <x:c r="M1108" s="29" t="n">
        <x:f>NORM.S.DIST((LN(L1108)-K1108)/'Assumptions'!$D$10,TRUE)</x:f>
        <x:v>0.816260449587562</x:v>
      </x:c>
      <x:c r="N1108" s="30" t="n">
        <x:f>MAX(0,H1108-MAX(G1108,M1108))</x:f>
        <x:v>0</x:v>
      </x:c>
      <x:c r="O1108" s="28" t="n">
        <x:f>J1108*I1108</x:f>
        <x:v>4946.163812100384</x:v>
      </x:c>
      <x:c r="P1108" s="27" t="n">
        <x:f>(VLOOKUP(O1108,'Fee Data'!$C$6:$G$50,2,TRUE)+O1108*VLOOKUP(O1108,'Fee Data'!$C$6:$G$50,3,TRUE)+VLOOKUP(O1108,'Fee Data'!$I$6:$J$14,2,TRUE)+'Fee Data'!$J$20+'Fee Data'!$J$21)*'Assumptions'!I37</x:f>
        <x:v>970</x:v>
      </x:c>
      <x:c r="Q1108" s="27" t="n">
        <x:f>(VLOOKUP(O1108,'Fee Data'!$C$6:$G$50,4,TRUE)+O1108*VLOOKUP(O1108,'Fee Data'!$C$6:$G$50,5,TRUE)+VLOOKUP(O1108,'Fee Data'!$I$6:$J$14,2,TRUE)+'Fee Data'!$J$20+'Fee Data'!$J$21)*'Assumptions'!I37</x:f>
        <x:v>845</x:v>
      </x:c>
      <x:c r="R1108" s="27" t="n">
        <x:f>P1108*(1-'Assumptions'!$D$14)+Q1108*'Assumptions'!$D$14</x:f>
        <x:v>907.5</x:v>
      </x:c>
      <x:c r="S1108" s="27" t="n">
        <x:f>O1108*'Carrier Engine'!E96</x:f>
        <x:v>197.84655248401538</x:v>
      </x:c>
      <x:c r="T1108" s="28" t="n">
        <x:f>R1108+S1108</x:f>
        <x:v>1105.3465524840153</x:v>
      </x:c>
      <x:c r="U1108" s="27" t="n">
        <x:f>N1108*'Fleet Engine'!K196</x:f>
        <x:v>0</x:v>
      </x:c>
      <x:c r="V1108" s="28" t="n">
        <x:f>U1108*T1108</x:f>
        <x:v>0</x:v>
      </x:c>
      <x:c r="W1108" s="28" t="n">
        <x:f>U1108*O1108</x:f>
        <x:v>0</x:v>
      </x:c>
    </x:row>
    <x:row r="1109" ht="19" customHeight="1">
      <x:c r="A1109" s="2"/>
      <x:c r="B1109" s="2"/>
      <x:c r="C1109" s="46" t="n">
        <x:v>5</x:v>
      </x:c>
      <x:c r="D1109" s="46" t="n">
        <x:v>2</x:v>
      </x:c>
      <x:c r="E1109" s="46" t="n">
        <x:v>0</x:v>
      </x:c>
      <x:c r="F1109" s="46" t="n">
        <x:v>2</x:v>
      </x:c>
      <x:c r="G1109" s="12" t="n">
        <x:v>0.5555555555555556</x:v>
      </x:c>
      <x:c r="H1109" s="12" t="n">
        <x:v>0.6666666666666666</x:v>
      </x:c>
      <x:c r="I1109" s="29" t="n">
        <x:f>'Assumptions'!$D$11+'Assumptions'!$D$12*(0.5-(G1109+H1109)/2)</x:f>
        <x:v>0.27777777777777773</x:v>
      </x:c>
      <x:c r="J1109" s="27" t="n">
        <x:f>'Assumptions'!$D$8*EXP(-'Assumptions'!$D$9*('Fleet Engine'!E196-10))*'Assumptions'!E55*'Assumptions'!I36</x:f>
        <x:v>16487.212707001283</x:v>
      </x:c>
      <x:c r="K1109" s="27" t="n">
        <x:f>'Source Data'!F219+LN('Assumptions'!D55)+LN('Assumptions'!I35)</x:f>
        <x:v>7.955584867261274</x:v>
      </x:c>
      <x:c r="L1109" s="27" t="n">
        <x:f>J1109*(1-I1109*(1-'Carrier Engine'!E96))</x:f>
        <x:v>12090.622651800943</x:v>
      </x:c>
      <x:c r="M1109" s="29" t="n">
        <x:f>NORM.S.DIST((LN(L1109)-K1109)/'Assumptions'!$D$10,TRUE)</x:f>
        <x:v>0.8212154681565336</x:v>
      </x:c>
      <x:c r="N1109" s="30" t="n">
        <x:f>MAX(0,H1109-MAX(G1109,M1109))</x:f>
        <x:v>0</x:v>
      </x:c>
      <x:c r="O1109" s="28" t="n">
        <x:f>J1109*I1109</x:f>
        <x:v>4579.781307500356</x:v>
      </x:c>
      <x:c r="P1109" s="27" t="n">
        <x:f>(VLOOKUP(O1109,'Fee Data'!$C$6:$G$50,2,TRUE)+O1109*VLOOKUP(O1109,'Fee Data'!$C$6:$G$50,3,TRUE)+VLOOKUP(O1109,'Fee Data'!$I$6:$J$14,2,TRUE)+'Fee Data'!$J$20+'Fee Data'!$J$21)*'Assumptions'!I37</x:f>
        <x:v>970</x:v>
      </x:c>
      <x:c r="Q1109" s="27" t="n">
        <x:f>(VLOOKUP(O1109,'Fee Data'!$C$6:$G$50,4,TRUE)+O1109*VLOOKUP(O1109,'Fee Data'!$C$6:$G$50,5,TRUE)+VLOOKUP(O1109,'Fee Data'!$I$6:$J$14,2,TRUE)+'Fee Data'!$J$20+'Fee Data'!$J$21)*'Assumptions'!I37</x:f>
        <x:v>845</x:v>
      </x:c>
      <x:c r="R1109" s="27" t="n">
        <x:f>P1109*(1-'Assumptions'!$D$14)+Q1109*'Assumptions'!$D$14</x:f>
        <x:v>907.5</x:v>
      </x:c>
      <x:c r="S1109" s="27" t="n">
        <x:f>O1109*'Carrier Engine'!E96</x:f>
        <x:v>183.19125230001424</x:v>
      </x:c>
      <x:c r="T1109" s="28" t="n">
        <x:f>R1109+S1109</x:f>
        <x:v>1090.6912523000142</x:v>
      </x:c>
      <x:c r="U1109" s="27" t="n">
        <x:f>N1109*'Fleet Engine'!K196</x:f>
        <x:v>0</x:v>
      </x:c>
      <x:c r="V1109" s="28" t="n">
        <x:f>U1109*T1109</x:f>
        <x:v>0</x:v>
      </x:c>
      <x:c r="W1109" s="28" t="n">
        <x:f>U1109*O1109</x:f>
        <x:v>0</x:v>
      </x:c>
    </x:row>
    <x:row r="1110" ht="19" customHeight="1">
      <x:c r="A1110" s="2"/>
      <x:c r="B1110" s="2"/>
      <x:c r="C1110" s="46" t="n">
        <x:v>5</x:v>
      </x:c>
      <x:c r="D1110" s="46" t="n">
        <x:v>2</x:v>
      </x:c>
      <x:c r="E1110" s="46" t="n">
        <x:v>0</x:v>
      </x:c>
      <x:c r="F1110" s="46" t="n">
        <x:v>2</x:v>
      </x:c>
      <x:c r="G1110" s="12" t="n">
        <x:v>0.6666666666666666</x:v>
      </x:c>
      <x:c r="H1110" s="12" t="n">
        <x:v>0.7777777777777778</x:v>
      </x:c>
      <x:c r="I1110" s="29" t="n">
        <x:f>'Assumptions'!$D$11+'Assumptions'!$D$12*(0.5-(G1110+H1110)/2)</x:f>
        <x:v>0.25555555555555554</x:v>
      </x:c>
      <x:c r="J1110" s="27" t="n">
        <x:f>'Assumptions'!$D$8*EXP(-'Assumptions'!$D$9*('Fleet Engine'!E196-10))*'Assumptions'!E55*'Assumptions'!I36</x:f>
        <x:v>16487.212707001283</x:v>
      </x:c>
      <x:c r="K1110" s="27" t="n">
        <x:f>'Source Data'!F219+LN('Assumptions'!D55)+LN('Assumptions'!I35)</x:f>
        <x:v>7.955584867261274</x:v>
      </x:c>
      <x:c r="L1110" s="27" t="n">
        <x:f>J1110*(1-I1110*(1-'Carrier Engine'!E96))</x:f>
        <x:v>12442.34985621697</x:v>
      </x:c>
      <x:c r="M1110" s="29" t="n">
        <x:f>NORM.S.DIST((LN(L1110)-K1110)/'Assumptions'!$D$10,TRUE)</x:f>
        <x:v>0.8259470394978756</x:v>
      </x:c>
      <x:c r="N1110" s="30" t="n">
        <x:f>MAX(0,H1110-MAX(G1110,M1110))</x:f>
        <x:v>0</x:v>
      </x:c>
      <x:c r="O1110" s="28" t="n">
        <x:f>J1110*I1110</x:f>
        <x:v>4213.398802900328</x:v>
      </x:c>
      <x:c r="P1110" s="27" t="n">
        <x:f>(VLOOKUP(O1110,'Fee Data'!$C$6:$G$50,2,TRUE)+O1110*VLOOKUP(O1110,'Fee Data'!$C$6:$G$50,3,TRUE)+VLOOKUP(O1110,'Fee Data'!$I$6:$J$14,2,TRUE)+'Fee Data'!$J$20+'Fee Data'!$J$21)*'Assumptions'!I37</x:f>
        <x:v>945</x:v>
      </x:c>
      <x:c r="Q1110" s="27" t="n">
        <x:f>(VLOOKUP(O1110,'Fee Data'!$C$6:$G$50,4,TRUE)+O1110*VLOOKUP(O1110,'Fee Data'!$C$6:$G$50,5,TRUE)+VLOOKUP(O1110,'Fee Data'!$I$6:$J$14,2,TRUE)+'Fee Data'!$J$20+'Fee Data'!$J$21)*'Assumptions'!I37</x:f>
        <x:v>820</x:v>
      </x:c>
      <x:c r="R1110" s="27" t="n">
        <x:f>P1110*(1-'Assumptions'!$D$14)+Q1110*'Assumptions'!$D$14</x:f>
        <x:v>882.5</x:v>
      </x:c>
      <x:c r="S1110" s="27" t="n">
        <x:f>O1110*'Carrier Engine'!E96</x:f>
        <x:v>168.5359521160131</x:v>
      </x:c>
      <x:c r="T1110" s="28" t="n">
        <x:f>R1110+S1110</x:f>
        <x:v>1051.035952116013</x:v>
      </x:c>
      <x:c r="U1110" s="27" t="n">
        <x:f>N1110*'Fleet Engine'!K196</x:f>
        <x:v>0</x:v>
      </x:c>
      <x:c r="V1110" s="28" t="n">
        <x:f>U1110*T1110</x:f>
        <x:v>0</x:v>
      </x:c>
      <x:c r="W1110" s="28" t="n">
        <x:f>U1110*O1110</x:f>
        <x:v>0</x:v>
      </x:c>
    </x:row>
    <x:row r="1111" ht="19" customHeight="1">
      <x:c r="A1111" s="2"/>
      <x:c r="B1111" s="2"/>
      <x:c r="C1111" s="46" t="n">
        <x:v>5</x:v>
      </x:c>
      <x:c r="D1111" s="46" t="n">
        <x:v>2</x:v>
      </x:c>
      <x:c r="E1111" s="46" t="n">
        <x:v>0</x:v>
      </x:c>
      <x:c r="F1111" s="46" t="n">
        <x:v>2</x:v>
      </x:c>
      <x:c r="G1111" s="12" t="n">
        <x:v>0.7777777777777778</x:v>
      </x:c>
      <x:c r="H1111" s="12" t="n">
        <x:v>0.8888888888888888</x:v>
      </x:c>
      <x:c r="I1111" s="29" t="n">
        <x:f>'Assumptions'!$D$11+'Assumptions'!$D$12*(0.5-(G1111+H1111)/2)</x:f>
        <x:v>0.23333333333333334</x:v>
      </x:c>
      <x:c r="J1111" s="27" t="n">
        <x:f>'Assumptions'!$D$8*EXP(-'Assumptions'!$D$9*('Fleet Engine'!E196-10))*'Assumptions'!E55*'Assumptions'!I36</x:f>
        <x:v>16487.212707001283</x:v>
      </x:c>
      <x:c r="K1111" s="27" t="n">
        <x:f>'Source Data'!F219+LN('Assumptions'!D55)+LN('Assumptions'!I35)</x:f>
        <x:v>7.955584867261274</x:v>
      </x:c>
      <x:c r="L1111" s="27" t="n">
        <x:f>J1111*(1-I1111*(1-'Carrier Engine'!E96))</x:f>
        <x:v>12794.077060632995</x:v>
      </x:c>
      <x:c r="M1111" s="29" t="n">
        <x:f>NORM.S.DIST((LN(L1111)-K1111)/'Assumptions'!$D$10,TRUE)</x:f>
        <x:v>0.8304696516941905</x:v>
      </x:c>
      <x:c r="N1111" s="30" t="n">
        <x:f>MAX(0,H1111-MAX(G1111,M1111))</x:f>
        <x:v>0.058419237194698326</x:v>
      </x:c>
      <x:c r="O1111" s="28" t="n">
        <x:f>J1111*I1111</x:f>
        <x:v>3847.0162983002992</x:v>
      </x:c>
      <x:c r="P1111" s="27" t="n">
        <x:f>(VLOOKUP(O1111,'Fee Data'!$C$6:$G$50,2,TRUE)+O1111*VLOOKUP(O1111,'Fee Data'!$C$6:$G$50,3,TRUE)+VLOOKUP(O1111,'Fee Data'!$I$6:$J$14,2,TRUE)+'Fee Data'!$J$20+'Fee Data'!$J$21)*'Assumptions'!I37</x:f>
        <x:v>915</x:v>
      </x:c>
      <x:c r="Q1111" s="27" t="n">
        <x:f>(VLOOKUP(O1111,'Fee Data'!$C$6:$G$50,4,TRUE)+O1111*VLOOKUP(O1111,'Fee Data'!$C$6:$G$50,5,TRUE)+VLOOKUP(O1111,'Fee Data'!$I$6:$J$14,2,TRUE)+'Fee Data'!$J$20+'Fee Data'!$J$21)*'Assumptions'!I37</x:f>
        <x:v>765</x:v>
      </x:c>
      <x:c r="R1111" s="27" t="n">
        <x:f>P1111*(1-'Assumptions'!$D$14)+Q1111*'Assumptions'!$D$14</x:f>
        <x:v>840</x:v>
      </x:c>
      <x:c r="S1111" s="27" t="n">
        <x:f>O1111*'Carrier Engine'!E96</x:f>
        <x:v>153.88065193201197</x:v>
      </x:c>
      <x:c r="T1111" s="28" t="n">
        <x:f>R1111+S1111</x:f>
        <x:v>993.8806519320119</x:v>
      </x:c>
      <x:c r="U1111" s="27" t="n">
        <x:f>N1111*'Fleet Engine'!K196</x:f>
        <x:v>561.7840295663115</x:v>
      </x:c>
      <x:c r="V1111" s="28" t="n">
        <x:f>U1111*T1111</x:f>
        <x:v>558346.2775503583</x:v>
      </x:c>
      <x:c r="W1111" s="28" t="n">
        <x:f>U1111*O1111</x:f>
        <x:v>2161192.3178664176</x:v>
      </x:c>
    </x:row>
    <x:row r="1112" ht="19" customHeight="1">
      <x:c r="A1112" s="2"/>
      <x:c r="B1112" s="2"/>
      <x:c r="C1112" s="46" t="n">
        <x:v>5</x:v>
      </x:c>
      <x:c r="D1112" s="46" t="n">
        <x:v>2</x:v>
      </x:c>
      <x:c r="E1112" s="46" t="n">
        <x:v>0</x:v>
      </x:c>
      <x:c r="F1112" s="46" t="n">
        <x:v>2</x:v>
      </x:c>
      <x:c r="G1112" s="12" t="n">
        <x:v>0.8888888888888888</x:v>
      </x:c>
      <x:c r="H1112" s="12" t="n">
        <x:v>1</x:v>
      </x:c>
      <x:c r="I1112" s="29" t="n">
        <x:f>'Assumptions'!$D$11+'Assumptions'!$D$12*(0.5-(G1112+H1112)/2)</x:f>
        <x:v>0.21111111111111108</x:v>
      </x:c>
      <x:c r="J1112" s="27" t="n">
        <x:f>'Assumptions'!$D$8*EXP(-'Assumptions'!$D$9*('Fleet Engine'!E196-10))*'Assumptions'!E55*'Assumptions'!I36</x:f>
        <x:v>16487.212707001283</x:v>
      </x:c>
      <x:c r="K1112" s="27" t="n">
        <x:f>'Source Data'!F219+LN('Assumptions'!D55)+LN('Assumptions'!I35)</x:f>
        <x:v>7.955584867261274</x:v>
      </x:c>
      <x:c r="L1112" s="27" t="n">
        <x:f>J1112*(1-I1112*(1-'Carrier Engine'!E96))</x:f>
        <x:v>13145.804265049022</x:v>
      </x:c>
      <x:c r="M1112" s="29" t="n">
        <x:f>NORM.S.DIST((LN(L1112)-K1112)/'Assumptions'!$D$10,TRUE)</x:f>
        <x:v>0.8347965602302723</x:v>
      </x:c>
      <x:c r="N1112" s="30" t="n">
        <x:f>MAX(0,H1112-MAX(G1112,M1112))</x:f>
        <x:v>0.11111111111111116</x:v>
      </x:c>
      <x:c r="O1112" s="28" t="n">
        <x:f>J1112*I1112</x:f>
        <x:v>3480.6337937002704</x:v>
      </x:c>
      <x:c r="P1112" s="27" t="n">
        <x:f>(VLOOKUP(O1112,'Fee Data'!$C$6:$G$50,2,TRUE)+O1112*VLOOKUP(O1112,'Fee Data'!$C$6:$G$50,3,TRUE)+VLOOKUP(O1112,'Fee Data'!$I$6:$J$14,2,TRUE)+'Fee Data'!$J$20+'Fee Data'!$J$21)*'Assumptions'!I37</x:f>
        <x:v>865</x:v>
      </x:c>
      <x:c r="Q1112" s="27" t="n">
        <x:f>(VLOOKUP(O1112,'Fee Data'!$C$6:$G$50,4,TRUE)+O1112*VLOOKUP(O1112,'Fee Data'!$C$6:$G$50,5,TRUE)+VLOOKUP(O1112,'Fee Data'!$I$6:$J$14,2,TRUE)+'Fee Data'!$J$20+'Fee Data'!$J$21)*'Assumptions'!I37</x:f>
        <x:v>715</x:v>
      </x:c>
      <x:c r="R1112" s="27" t="n">
        <x:f>P1112*(1-'Assumptions'!$D$14)+Q1112*'Assumptions'!$D$14</x:f>
        <x:v>790</x:v>
      </x:c>
      <x:c r="S1112" s="27" t="n">
        <x:f>O1112*'Carrier Engine'!E96</x:f>
        <x:v>139.2253517480108</x:v>
      </x:c>
      <x:c r="T1112" s="28" t="n">
        <x:f>R1112+S1112</x:f>
        <x:v>929.2253517480108</x:v>
      </x:c>
      <x:c r="U1112" s="27" t="n">
        <x:f>N1112*'Fleet Engine'!K196</x:f>
        <x:v>1068.491317706815</x:v>
      </x:c>
      <x:c r="V1112" s="28" t="n">
        <x:f>U1112*T1112</x:f>
        <x:v>992869.2205358107</x:v>
      </x:c>
      <x:c r="W1112" s="28" t="n">
        <x:f>U1112*O1112</x:f>
        <x:v>3719026.988685672</x:v>
      </x:c>
    </x:row>
    <x:row r="1113" ht="19" customHeight="1">
      <x:c r="A1113" s="2"/>
      <x:c r="B1113" s="2"/>
      <x:c r="C1113" s="46" t="n">
        <x:v>5</x:v>
      </x:c>
      <x:c r="D1113" s="46" t="n">
        <x:v>3</x:v>
      </x:c>
      <x:c r="E1113" s="46" t="n">
        <x:v>0</x:v>
      </x:c>
      <x:c r="F1113" s="46" t="n">
        <x:v>3</x:v>
      </x:c>
      <x:c r="G1113" s="12" t="n">
        <x:v>0</x:v>
      </x:c>
      <x:c r="H1113" s="12" t="n">
        <x:v>0.1111111111111111</x:v>
      </x:c>
      <x:c r="I1113" s="29" t="n">
        <x:f>'Assumptions'!$D$11+'Assumptions'!$D$12*(0.5-(G1113+H1113)/2)</x:f>
        <x:v>0.3888888888888889</x:v>
      </x:c>
      <x:c r="J1113" s="27" t="n">
        <x:f>'Assumptions'!$D$8*EXP(-'Assumptions'!$D$9*('Fleet Engine'!E197-10))*'Assumptions'!E55*'Assumptions'!I36</x:f>
        <x:v>12214.027581601698</x:v>
      </x:c>
      <x:c r="K1113" s="27" t="n">
        <x:f>'Source Data'!F220+LN('Assumptions'!D55)+LN('Assumptions'!I35)</x:f>
        <x:v>8.062717438528928</x:v>
      </x:c>
      <x:c r="L1113" s="27" t="n">
        <x:f>J1113*(1-I1113*(1-'Carrier Engine'!E96))</x:f>
        <x:v>7654.123951137065</x:v>
      </x:c>
      <x:c r="M1113" s="29" t="n">
        <x:f>NORM.S.DIST((LN(L1113)-K1113)/'Assumptions'!$D$10,TRUE)</x:f>
        <x:v>0.7124702952152316</x:v>
      </x:c>
      <x:c r="N1113" s="30" t="n">
        <x:f>MAX(0,H1113-MAX(G1113,M1113))</x:f>
        <x:v>0</x:v>
      </x:c>
      <x:c r="O1113" s="28" t="n">
        <x:f>J1113*I1113</x:f>
        <x:v>4749.899615067327</x:v>
      </x:c>
      <x:c r="P1113" s="27" t="n">
        <x:f>(VLOOKUP(O1113,'Fee Data'!$C$6:$G$50,2,TRUE)+O1113*VLOOKUP(O1113,'Fee Data'!$C$6:$G$50,3,TRUE)+VLOOKUP(O1113,'Fee Data'!$I$6:$J$14,2,TRUE)+'Fee Data'!$J$20+'Fee Data'!$J$21)*'Assumptions'!I37</x:f>
        <x:v>970</x:v>
      </x:c>
      <x:c r="Q1113" s="27" t="n">
        <x:f>(VLOOKUP(O1113,'Fee Data'!$C$6:$G$50,4,TRUE)+O1113*VLOOKUP(O1113,'Fee Data'!$C$6:$G$50,5,TRUE)+VLOOKUP(O1113,'Fee Data'!$I$6:$J$14,2,TRUE)+'Fee Data'!$J$20+'Fee Data'!$J$21)*'Assumptions'!I37</x:f>
        <x:v>845</x:v>
      </x:c>
      <x:c r="R1113" s="27" t="n">
        <x:f>P1113*(1-'Assumptions'!$D$14)+Q1113*'Assumptions'!$D$14</x:f>
        <x:v>907.5</x:v>
      </x:c>
      <x:c r="S1113" s="27" t="n">
        <x:f>O1113*'Carrier Engine'!E96</x:f>
        <x:v>189.9959846026931</x:v>
      </x:c>
      <x:c r="T1113" s="28" t="n">
        <x:f>R1113+S1113</x:f>
        <x:v>1097.4959846026932</x:v>
      </x:c>
      <x:c r="U1113" s="27" t="n">
        <x:f>N1113*'Fleet Engine'!K197</x:f>
        <x:v>0</x:v>
      </x:c>
      <x:c r="V1113" s="28" t="n">
        <x:f>U1113*T1113</x:f>
        <x:v>0</x:v>
      </x:c>
      <x:c r="W1113" s="28" t="n">
        <x:f>U1113*O1113</x:f>
        <x:v>0</x:v>
      </x:c>
    </x:row>
    <x:row r="1114" ht="19" customHeight="1">
      <x:c r="A1114" s="2"/>
      <x:c r="B1114" s="2"/>
      <x:c r="C1114" s="46" t="n">
        <x:v>5</x:v>
      </x:c>
      <x:c r="D1114" s="46" t="n">
        <x:v>3</x:v>
      </x:c>
      <x:c r="E1114" s="46" t="n">
        <x:v>0</x:v>
      </x:c>
      <x:c r="F1114" s="46" t="n">
        <x:v>3</x:v>
      </x:c>
      <x:c r="G1114" s="12" t="n">
        <x:v>0.1111111111111111</x:v>
      </x:c>
      <x:c r="H1114" s="12" t="n">
        <x:v>0.2222222222222222</x:v>
      </x:c>
      <x:c r="I1114" s="29" t="n">
        <x:f>'Assumptions'!$D$11+'Assumptions'!$D$12*(0.5-(G1114+H1114)/2)</x:f>
        <x:v>0.3666666666666667</x:v>
      </x:c>
      <x:c r="J1114" s="27" t="n">
        <x:f>'Assumptions'!$D$8*EXP(-'Assumptions'!$D$9*('Fleet Engine'!E197-10))*'Assumptions'!E55*'Assumptions'!I36</x:f>
        <x:v>12214.027581601698</x:v>
      </x:c>
      <x:c r="K1114" s="27" t="n">
        <x:f>'Source Data'!F220+LN('Assumptions'!D55)+LN('Assumptions'!I35)</x:f>
        <x:v>8.062717438528928</x:v>
      </x:c>
      <x:c r="L1114" s="27" t="n">
        <x:f>J1114*(1-I1114*(1-'Carrier Engine'!E96))</x:f>
        <x:v>7914.6898728779</x:v>
      </x:c>
      <x:c r="M1114" s="29" t="n">
        <x:f>NORM.S.DIST((LN(L1114)-K1114)/'Assumptions'!$D$10,TRUE)</x:f>
        <x:v>0.7196948864067317</x:v>
      </x:c>
      <x:c r="N1114" s="30" t="n">
        <x:f>MAX(0,H1114-MAX(G1114,M1114))</x:f>
        <x:v>0</x:v>
      </x:c>
      <x:c r="O1114" s="28" t="n">
        <x:f>J1114*I1114</x:f>
        <x:v>4478.476779920623</x:v>
      </x:c>
      <x:c r="P1114" s="27" t="n">
        <x:f>(VLOOKUP(O1114,'Fee Data'!$C$6:$G$50,2,TRUE)+O1114*VLOOKUP(O1114,'Fee Data'!$C$6:$G$50,3,TRUE)+VLOOKUP(O1114,'Fee Data'!$I$6:$J$14,2,TRUE)+'Fee Data'!$J$20+'Fee Data'!$J$21)*'Assumptions'!I37</x:f>
        <x:v>945</x:v>
      </x:c>
      <x:c r="Q1114" s="27" t="n">
        <x:f>(VLOOKUP(O1114,'Fee Data'!$C$6:$G$50,4,TRUE)+O1114*VLOOKUP(O1114,'Fee Data'!$C$6:$G$50,5,TRUE)+VLOOKUP(O1114,'Fee Data'!$I$6:$J$14,2,TRUE)+'Fee Data'!$J$20+'Fee Data'!$J$21)*'Assumptions'!I37</x:f>
        <x:v>820</x:v>
      </x:c>
      <x:c r="R1114" s="27" t="n">
        <x:f>P1114*(1-'Assumptions'!$D$14)+Q1114*'Assumptions'!$D$14</x:f>
        <x:v>882.5</x:v>
      </x:c>
      <x:c r="S1114" s="27" t="n">
        <x:f>O1114*'Carrier Engine'!E96</x:f>
        <x:v>179.13907119682491</x:v>
      </x:c>
      <x:c r="T1114" s="28" t="n">
        <x:f>R1114+S1114</x:f>
        <x:v>1061.639071196825</x:v>
      </x:c>
      <x:c r="U1114" s="27" t="n">
        <x:f>N1114*'Fleet Engine'!K197</x:f>
        <x:v>0</x:v>
      </x:c>
      <x:c r="V1114" s="28" t="n">
        <x:f>U1114*T1114</x:f>
        <x:v>0</x:v>
      </x:c>
      <x:c r="W1114" s="28" t="n">
        <x:f>U1114*O1114</x:f>
        <x:v>0</x:v>
      </x:c>
    </x:row>
    <x:row r="1115" ht="19" customHeight="1">
      <x:c r="A1115" s="2"/>
      <x:c r="B1115" s="2"/>
      <x:c r="C1115" s="46" t="n">
        <x:v>5</x:v>
      </x:c>
      <x:c r="D1115" s="46" t="n">
        <x:v>3</x:v>
      </x:c>
      <x:c r="E1115" s="46" t="n">
        <x:v>0</x:v>
      </x:c>
      <x:c r="F1115" s="46" t="n">
        <x:v>3</x:v>
      </x:c>
      <x:c r="G1115" s="12" t="n">
        <x:v>0.2222222222222222</x:v>
      </x:c>
      <x:c r="H1115" s="12" t="n">
        <x:v>0.3333333333333333</x:v>
      </x:c>
      <x:c r="I1115" s="29" t="n">
        <x:f>'Assumptions'!$D$11+'Assumptions'!$D$12*(0.5-(G1115+H1115)/2)</x:f>
        <x:v>0.34444444444444444</x:v>
      </x:c>
      <x:c r="J1115" s="27" t="n">
        <x:f>'Assumptions'!$D$8*EXP(-'Assumptions'!$D$9*('Fleet Engine'!E197-10))*'Assumptions'!E55*'Assumptions'!I36</x:f>
        <x:v>12214.027581601698</x:v>
      </x:c>
      <x:c r="K1115" s="27" t="n">
        <x:f>'Source Data'!F220+LN('Assumptions'!D55)+LN('Assumptions'!I35)</x:f>
        <x:v>8.062717438528928</x:v>
      </x:c>
      <x:c r="L1115" s="27" t="n">
        <x:f>J1115*(1-I1115*(1-'Carrier Engine'!E96))</x:f>
        <x:v>8175.255794618737</x:v>
      </x:c>
      <x:c r="M1115" s="29" t="n">
        <x:f>NORM.S.DIST((LN(L1115)-K1115)/'Assumptions'!$D$10,TRUE)</x:f>
        <x:v>0.7266006694983298</x:v>
      </x:c>
      <x:c r="N1115" s="30" t="n">
        <x:f>MAX(0,H1115-MAX(G1115,M1115))</x:f>
        <x:v>0</x:v>
      </x:c>
      <x:c r="O1115" s="28" t="n">
        <x:f>J1115*I1115</x:f>
        <x:v>4207.053944773918</x:v>
      </x:c>
      <x:c r="P1115" s="27" t="n">
        <x:f>(VLOOKUP(O1115,'Fee Data'!$C$6:$G$50,2,TRUE)+O1115*VLOOKUP(O1115,'Fee Data'!$C$6:$G$50,3,TRUE)+VLOOKUP(O1115,'Fee Data'!$I$6:$J$14,2,TRUE)+'Fee Data'!$J$20+'Fee Data'!$J$21)*'Assumptions'!I37</x:f>
        <x:v>945</x:v>
      </x:c>
      <x:c r="Q1115" s="27" t="n">
        <x:f>(VLOOKUP(O1115,'Fee Data'!$C$6:$G$50,4,TRUE)+O1115*VLOOKUP(O1115,'Fee Data'!$C$6:$G$50,5,TRUE)+VLOOKUP(O1115,'Fee Data'!$I$6:$J$14,2,TRUE)+'Fee Data'!$J$20+'Fee Data'!$J$21)*'Assumptions'!I37</x:f>
        <x:v>820</x:v>
      </x:c>
      <x:c r="R1115" s="27" t="n">
        <x:f>P1115*(1-'Assumptions'!$D$14)+Q1115*'Assumptions'!$D$14</x:f>
        <x:v>882.5</x:v>
      </x:c>
      <x:c r="S1115" s="27" t="n">
        <x:f>O1115*'Carrier Engine'!E96</x:f>
        <x:v>168.28215779095675</x:v>
      </x:c>
      <x:c r="T1115" s="28" t="n">
        <x:f>R1115+S1115</x:f>
        <x:v>1050.7821577909567</x:v>
      </x:c>
      <x:c r="U1115" s="27" t="n">
        <x:f>N1115*'Fleet Engine'!K197</x:f>
        <x:v>0</x:v>
      </x:c>
      <x:c r="V1115" s="28" t="n">
        <x:f>U1115*T1115</x:f>
        <x:v>0</x:v>
      </x:c>
      <x:c r="W1115" s="28" t="n">
        <x:f>U1115*O1115</x:f>
        <x:v>0</x:v>
      </x:c>
    </x:row>
    <x:row r="1116" ht="19" customHeight="1">
      <x:c r="A1116" s="2"/>
      <x:c r="B1116" s="2"/>
      <x:c r="C1116" s="46" t="n">
        <x:v>5</x:v>
      </x:c>
      <x:c r="D1116" s="46" t="n">
        <x:v>3</x:v>
      </x:c>
      <x:c r="E1116" s="46" t="n">
        <x:v>0</x:v>
      </x:c>
      <x:c r="F1116" s="46" t="n">
        <x:v>3</x:v>
      </x:c>
      <x:c r="G1116" s="12" t="n">
        <x:v>0.3333333333333333</x:v>
      </x:c>
      <x:c r="H1116" s="12" t="n">
        <x:v>0.4444444444444444</x:v>
      </x:c>
      <x:c r="I1116" s="29" t="n">
        <x:f>'Assumptions'!$D$11+'Assumptions'!$D$12*(0.5-(G1116+H1116)/2)</x:f>
        <x:v>0.32222222222222224</x:v>
      </x:c>
      <x:c r="J1116" s="27" t="n">
        <x:f>'Assumptions'!$D$8*EXP(-'Assumptions'!$D$9*('Fleet Engine'!E197-10))*'Assumptions'!E55*'Assumptions'!I36</x:f>
        <x:v>12214.027581601698</x:v>
      </x:c>
      <x:c r="K1116" s="27" t="n">
        <x:f>'Source Data'!F220+LN('Assumptions'!D55)+LN('Assumptions'!I35)</x:f>
        <x:v>8.062717438528928</x:v>
      </x:c>
      <x:c r="L1116" s="27" t="n">
        <x:f>J1116*(1-I1116*(1-'Carrier Engine'!E96))</x:f>
        <x:v>8435.821716359573</x:v>
      </x:c>
      <x:c r="M1116" s="29" t="n">
        <x:f>NORM.S.DIST((LN(L1116)-K1116)/'Assumptions'!$D$10,TRUE)</x:f>
        <x:v>0.7332084499624358</x:v>
      </x:c>
      <x:c r="N1116" s="30" t="n">
        <x:f>MAX(0,H1116-MAX(G1116,M1116))</x:f>
        <x:v>0</x:v>
      </x:c>
      <x:c r="O1116" s="28" t="n">
        <x:f>J1116*I1116</x:f>
        <x:v>3935.6311096272143</x:v>
      </x:c>
      <x:c r="P1116" s="27" t="n">
        <x:f>(VLOOKUP(O1116,'Fee Data'!$C$6:$G$50,2,TRUE)+O1116*VLOOKUP(O1116,'Fee Data'!$C$6:$G$50,3,TRUE)+VLOOKUP(O1116,'Fee Data'!$I$6:$J$14,2,TRUE)+'Fee Data'!$J$20+'Fee Data'!$J$21)*'Assumptions'!I37</x:f>
        <x:v>915</x:v>
      </x:c>
      <x:c r="Q1116" s="27" t="n">
        <x:f>(VLOOKUP(O1116,'Fee Data'!$C$6:$G$50,4,TRUE)+O1116*VLOOKUP(O1116,'Fee Data'!$C$6:$G$50,5,TRUE)+VLOOKUP(O1116,'Fee Data'!$I$6:$J$14,2,TRUE)+'Fee Data'!$J$20+'Fee Data'!$J$21)*'Assumptions'!I37</x:f>
        <x:v>765</x:v>
      </x:c>
      <x:c r="R1116" s="27" t="n">
        <x:f>P1116*(1-'Assumptions'!$D$14)+Q1116*'Assumptions'!$D$14</x:f>
        <x:v>840</x:v>
      </x:c>
      <x:c r="S1116" s="27" t="n">
        <x:f>O1116*'Carrier Engine'!E96</x:f>
        <x:v>157.42524438508858</x:v>
      </x:c>
      <x:c r="T1116" s="28" t="n">
        <x:f>R1116+S1116</x:f>
        <x:v>997.4252443850886</x:v>
      </x:c>
      <x:c r="U1116" s="27" t="n">
        <x:f>N1116*'Fleet Engine'!K197</x:f>
        <x:v>0</x:v>
      </x:c>
      <x:c r="V1116" s="28" t="n">
        <x:f>U1116*T1116</x:f>
        <x:v>0</x:v>
      </x:c>
      <x:c r="W1116" s="28" t="n">
        <x:f>U1116*O1116</x:f>
        <x:v>0</x:v>
      </x:c>
    </x:row>
    <x:row r="1117" ht="19" customHeight="1">
      <x:c r="A1117" s="2"/>
      <x:c r="B1117" s="2"/>
      <x:c r="C1117" s="46" t="n">
        <x:v>5</x:v>
      </x:c>
      <x:c r="D1117" s="46" t="n">
        <x:v>3</x:v>
      </x:c>
      <x:c r="E1117" s="46" t="n">
        <x:v>0</x:v>
      </x:c>
      <x:c r="F1117" s="46" t="n">
        <x:v>3</x:v>
      </x:c>
      <x:c r="G1117" s="12" t="n">
        <x:v>0.4444444444444444</x:v>
      </x:c>
      <x:c r="H1117" s="12" t="n">
        <x:v>0.5555555555555556</x:v>
      </x:c>
      <x:c r="I1117" s="29" t="n">
        <x:f>'Assumptions'!$D$11+'Assumptions'!$D$12*(0.5-(G1117+H1117)/2)</x:f>
        <x:v>0.3</x:v>
      </x:c>
      <x:c r="J1117" s="27" t="n">
        <x:f>'Assumptions'!$D$8*EXP(-'Assumptions'!$D$9*('Fleet Engine'!E197-10))*'Assumptions'!E55*'Assumptions'!I36</x:f>
        <x:v>12214.027581601698</x:v>
      </x:c>
      <x:c r="K1117" s="27" t="n">
        <x:f>'Source Data'!F220+LN('Assumptions'!D55)+LN('Assumptions'!I35)</x:f>
        <x:v>8.062717438528928</x:v>
      </x:c>
      <x:c r="L1117" s="27" t="n">
        <x:f>J1117*(1-I1117*(1-'Carrier Engine'!E96))</x:f>
        <x:v>8696.387638100408</x:v>
      </x:c>
      <x:c r="M1117" s="29" t="n">
        <x:f>NORM.S.DIST((LN(L1117)-K1117)/'Assumptions'!$D$10,TRUE)</x:f>
        <x:v>0.7395372219077186</x:v>
      </x:c>
      <x:c r="N1117" s="30" t="n">
        <x:f>MAX(0,H1117-MAX(G1117,M1117))</x:f>
        <x:v>0</x:v>
      </x:c>
      <x:c r="O1117" s="28" t="n">
        <x:f>J1117*I1117</x:f>
        <x:v>3664.2082744805093</x:v>
      </x:c>
      <x:c r="P1117" s="27" t="n">
        <x:f>(VLOOKUP(O1117,'Fee Data'!$C$6:$G$50,2,TRUE)+O1117*VLOOKUP(O1117,'Fee Data'!$C$6:$G$50,3,TRUE)+VLOOKUP(O1117,'Fee Data'!$I$6:$J$14,2,TRUE)+'Fee Data'!$J$20+'Fee Data'!$J$21)*'Assumptions'!I37</x:f>
        <x:v>915</x:v>
      </x:c>
      <x:c r="Q1117" s="27" t="n">
        <x:f>(VLOOKUP(O1117,'Fee Data'!$C$6:$G$50,4,TRUE)+O1117*VLOOKUP(O1117,'Fee Data'!$C$6:$G$50,5,TRUE)+VLOOKUP(O1117,'Fee Data'!$I$6:$J$14,2,TRUE)+'Fee Data'!$J$20+'Fee Data'!$J$21)*'Assumptions'!I37</x:f>
        <x:v>765</x:v>
      </x:c>
      <x:c r="R1117" s="27" t="n">
        <x:f>P1117*(1-'Assumptions'!$D$14)+Q1117*'Assumptions'!$D$14</x:f>
        <x:v>840</x:v>
      </x:c>
      <x:c r="S1117" s="27" t="n">
        <x:f>O1117*'Carrier Engine'!E96</x:f>
        <x:v>146.56833097922038</x:v>
      </x:c>
      <x:c r="T1117" s="28" t="n">
        <x:f>R1117+S1117</x:f>
        <x:v>986.5683309792204</x:v>
      </x:c>
      <x:c r="U1117" s="27" t="n">
        <x:f>N1117*'Fleet Engine'!K197</x:f>
        <x:v>0</x:v>
      </x:c>
      <x:c r="V1117" s="28" t="n">
        <x:f>U1117*T1117</x:f>
        <x:v>0</x:v>
      </x:c>
      <x:c r="W1117" s="28" t="n">
        <x:f>U1117*O1117</x:f>
        <x:v>0</x:v>
      </x:c>
    </x:row>
    <x:row r="1118" ht="19" customHeight="1">
      <x:c r="A1118" s="2"/>
      <x:c r="B1118" s="2"/>
      <x:c r="C1118" s="46" t="n">
        <x:v>5</x:v>
      </x:c>
      <x:c r="D1118" s="46" t="n">
        <x:v>3</x:v>
      </x:c>
      <x:c r="E1118" s="46" t="n">
        <x:v>0</x:v>
      </x:c>
      <x:c r="F1118" s="46" t="n">
        <x:v>3</x:v>
      </x:c>
      <x:c r="G1118" s="12" t="n">
        <x:v>0.5555555555555556</x:v>
      </x:c>
      <x:c r="H1118" s="12" t="n">
        <x:v>0.6666666666666666</x:v>
      </x:c>
      <x:c r="I1118" s="29" t="n">
        <x:f>'Assumptions'!$D$11+'Assumptions'!$D$12*(0.5-(G1118+H1118)/2)</x:f>
        <x:v>0.27777777777777773</x:v>
      </x:c>
      <x:c r="J1118" s="27" t="n">
        <x:f>'Assumptions'!$D$8*EXP(-'Assumptions'!$D$9*('Fleet Engine'!E197-10))*'Assumptions'!E55*'Assumptions'!I36</x:f>
        <x:v>12214.027581601698</x:v>
      </x:c>
      <x:c r="K1118" s="27" t="n">
        <x:f>'Source Data'!F220+LN('Assumptions'!D55)+LN('Assumptions'!I35)</x:f>
        <x:v>8.062717438528928</x:v>
      </x:c>
      <x:c r="L1118" s="27" t="n">
        <x:f>J1118*(1-I1118*(1-'Carrier Engine'!E96))</x:f>
        <x:v>8956.953559841246</x:v>
      </x:c>
      <x:c r="M1118" s="29" t="n">
        <x:f>NORM.S.DIST((LN(L1118)-K1118)/'Assumptions'!$D$10,TRUE)</x:f>
        <x:v>0.7456043651066011</x:v>
      </x:c>
      <x:c r="N1118" s="30" t="n">
        <x:f>MAX(0,H1118-MAX(G1118,M1118))</x:f>
        <x:v>0</x:v>
      </x:c>
      <x:c r="O1118" s="28" t="n">
        <x:f>J1118*I1118</x:f>
        <x:v>3392.785439333805</x:v>
      </x:c>
      <x:c r="P1118" s="27" t="n">
        <x:f>(VLOOKUP(O1118,'Fee Data'!$C$6:$G$50,2,TRUE)+O1118*VLOOKUP(O1118,'Fee Data'!$C$6:$G$50,3,TRUE)+VLOOKUP(O1118,'Fee Data'!$I$6:$J$14,2,TRUE)+'Fee Data'!$J$20+'Fee Data'!$J$21)*'Assumptions'!I37</x:f>
        <x:v>865</x:v>
      </x:c>
      <x:c r="Q1118" s="27" t="n">
        <x:f>(VLOOKUP(O1118,'Fee Data'!$C$6:$G$50,4,TRUE)+O1118*VLOOKUP(O1118,'Fee Data'!$C$6:$G$50,5,TRUE)+VLOOKUP(O1118,'Fee Data'!$I$6:$J$14,2,TRUE)+'Fee Data'!$J$20+'Fee Data'!$J$21)*'Assumptions'!I37</x:f>
        <x:v>715</x:v>
      </x:c>
      <x:c r="R1118" s="27" t="n">
        <x:f>P1118*(1-'Assumptions'!$D$14)+Q1118*'Assumptions'!$D$14</x:f>
        <x:v>790</x:v>
      </x:c>
      <x:c r="S1118" s="27" t="n">
        <x:f>O1118*'Carrier Engine'!E96</x:f>
        <x:v>135.7114175733522</x:v>
      </x:c>
      <x:c r="T1118" s="28" t="n">
        <x:f>R1118+S1118</x:f>
        <x:v>925.7114175733523</x:v>
      </x:c>
      <x:c r="U1118" s="27" t="n">
        <x:f>N1118*'Fleet Engine'!K197</x:f>
        <x:v>0</x:v>
      </x:c>
      <x:c r="V1118" s="28" t="n">
        <x:f>U1118*T1118</x:f>
        <x:v>0</x:v>
      </x:c>
      <x:c r="W1118" s="28" t="n">
        <x:f>U1118*O1118</x:f>
        <x:v>0</x:v>
      </x:c>
    </x:row>
    <x:row r="1119" ht="19" customHeight="1">
      <x:c r="A1119" s="2"/>
      <x:c r="B1119" s="2"/>
      <x:c r="C1119" s="46" t="n">
        <x:v>5</x:v>
      </x:c>
      <x:c r="D1119" s="46" t="n">
        <x:v>3</x:v>
      </x:c>
      <x:c r="E1119" s="46" t="n">
        <x:v>0</x:v>
      </x:c>
      <x:c r="F1119" s="46" t="n">
        <x:v>3</x:v>
      </x:c>
      <x:c r="G1119" s="12" t="n">
        <x:v>0.6666666666666666</x:v>
      </x:c>
      <x:c r="H1119" s="12" t="n">
        <x:v>0.7777777777777778</x:v>
      </x:c>
      <x:c r="I1119" s="29" t="n">
        <x:f>'Assumptions'!$D$11+'Assumptions'!$D$12*(0.5-(G1119+H1119)/2)</x:f>
        <x:v>0.25555555555555554</x:v>
      </x:c>
      <x:c r="J1119" s="27" t="n">
        <x:f>'Assumptions'!$D$8*EXP(-'Assumptions'!$D$9*('Fleet Engine'!E197-10))*'Assumptions'!E55*'Assumptions'!I36</x:f>
        <x:v>12214.027581601698</x:v>
      </x:c>
      <x:c r="K1119" s="27" t="n">
        <x:f>'Source Data'!F220+LN('Assumptions'!D55)+LN('Assumptions'!I35)</x:f>
        <x:v>8.062717438528928</x:v>
      </x:c>
      <x:c r="L1119" s="27" t="n">
        <x:f>J1119*(1-I1119*(1-'Carrier Engine'!E96))</x:f>
        <x:v>9217.519481582081</x:v>
      </x:c>
      <x:c r="M1119" s="29" t="n">
        <x:f>NORM.S.DIST((LN(L1119)-K1119)/'Assumptions'!$D$10,TRUE)</x:f>
        <x:v>0.7514258164078012</x:v>
      </x:c>
      <x:c r="N1119" s="30" t="n">
        <x:f>MAX(0,H1119-MAX(G1119,M1119))</x:f>
        <x:v>0.02635196136997664</x:v>
      </x:c>
      <x:c r="O1119" s="28" t="n">
        <x:f>J1119*I1119</x:f>
        <x:v>3121.3626041871003</x:v>
      </x:c>
      <x:c r="P1119" s="27" t="n">
        <x:f>(VLOOKUP(O1119,'Fee Data'!$C$6:$G$50,2,TRUE)+O1119*VLOOKUP(O1119,'Fee Data'!$C$6:$G$50,3,TRUE)+VLOOKUP(O1119,'Fee Data'!$I$6:$J$14,2,TRUE)+'Fee Data'!$J$20+'Fee Data'!$J$21)*'Assumptions'!I37</x:f>
        <x:v>865</x:v>
      </x:c>
      <x:c r="Q1119" s="27" t="n">
        <x:f>(VLOOKUP(O1119,'Fee Data'!$C$6:$G$50,4,TRUE)+O1119*VLOOKUP(O1119,'Fee Data'!$C$6:$G$50,5,TRUE)+VLOOKUP(O1119,'Fee Data'!$I$6:$J$14,2,TRUE)+'Fee Data'!$J$20+'Fee Data'!$J$21)*'Assumptions'!I37</x:f>
        <x:v>715</x:v>
      </x:c>
      <x:c r="R1119" s="27" t="n">
        <x:f>P1119*(1-'Assumptions'!$D$14)+Q1119*'Assumptions'!$D$14</x:f>
        <x:v>790</x:v>
      </x:c>
      <x:c r="S1119" s="27" t="n">
        <x:f>O1119*'Carrier Engine'!E96</x:f>
        <x:v>124.85450416748401</x:v>
      </x:c>
      <x:c r="T1119" s="28" t="n">
        <x:f>R1119+S1119</x:f>
        <x:v>914.854504167484</x:v>
      </x:c>
      <x:c r="U1119" s="27" t="n">
        <x:f>N1119*'Fleet Engine'!K197</x:f>
        <x:v>338.29559295824504</x:v>
      </x:c>
      <x:c r="V1119" s="28" t="n">
        <x:f>U1119*T1119</x:f>
        <x:v>309491.24695786025</x:v>
      </x:c>
      <x:c r="W1119" s="28" t="n">
        <x:f>U1119*O1119</x:f>
        <x:v>1055943.213021167</x:v>
      </x:c>
    </x:row>
    <x:row r="1120" ht="19" customHeight="1">
      <x:c r="A1120" s="2"/>
      <x:c r="B1120" s="2"/>
      <x:c r="C1120" s="46" t="n">
        <x:v>5</x:v>
      </x:c>
      <x:c r="D1120" s="46" t="n">
        <x:v>3</x:v>
      </x:c>
      <x:c r="E1120" s="46" t="n">
        <x:v>0</x:v>
      </x:c>
      <x:c r="F1120" s="46" t="n">
        <x:v>3</x:v>
      </x:c>
      <x:c r="G1120" s="12" t="n">
        <x:v>0.7777777777777778</x:v>
      </x:c>
      <x:c r="H1120" s="12" t="n">
        <x:v>0.8888888888888888</x:v>
      </x:c>
      <x:c r="I1120" s="29" t="n">
        <x:f>'Assumptions'!$D$11+'Assumptions'!$D$12*(0.5-(G1120+H1120)/2)</x:f>
        <x:v>0.23333333333333334</x:v>
      </x:c>
      <x:c r="J1120" s="27" t="n">
        <x:f>'Assumptions'!$D$8*EXP(-'Assumptions'!$D$9*('Fleet Engine'!E197-10))*'Assumptions'!E55*'Assumptions'!I36</x:f>
        <x:v>12214.027581601698</x:v>
      </x:c>
      <x:c r="K1120" s="27" t="n">
        <x:f>'Source Data'!F220+LN('Assumptions'!D55)+LN('Assumptions'!I35)</x:f>
        <x:v>8.062717438528928</x:v>
      </x:c>
      <x:c r="L1120" s="27" t="n">
        <x:f>J1120*(1-I1120*(1-'Carrier Engine'!E96))</x:f>
        <x:v>9478.085403322919</x:v>
      </x:c>
      <x:c r="M1120" s="29" t="n">
        <x:f>NORM.S.DIST((LN(L1120)-K1120)/'Assumptions'!$D$10,TRUE)</x:f>
        <x:v>0.7570162193907342</x:v>
      </x:c>
      <x:c r="N1120" s="30" t="n">
        <x:f>MAX(0,H1120-MAX(G1120,M1120))</x:f>
        <x:v>0.11111111111111105</x:v>
      </x:c>
      <x:c r="O1120" s="28" t="n">
        <x:f>J1120*I1120</x:f>
        <x:v>2849.939769040396</x:v>
      </x:c>
      <x:c r="P1120" s="27" t="n">
        <x:f>(VLOOKUP(O1120,'Fee Data'!$C$6:$G$50,2,TRUE)+O1120*VLOOKUP(O1120,'Fee Data'!$C$6:$G$50,3,TRUE)+VLOOKUP(O1120,'Fee Data'!$I$6:$J$14,2,TRUE)+'Fee Data'!$J$20+'Fee Data'!$J$21)*'Assumptions'!I37</x:f>
        <x:v>820</x:v>
      </x:c>
      <x:c r="Q1120" s="27" t="n">
        <x:f>(VLOOKUP(O1120,'Fee Data'!$C$6:$G$50,4,TRUE)+O1120*VLOOKUP(O1120,'Fee Data'!$C$6:$G$50,5,TRUE)+VLOOKUP(O1120,'Fee Data'!$I$6:$J$14,2,TRUE)+'Fee Data'!$J$20+'Fee Data'!$J$21)*'Assumptions'!I37</x:f>
        <x:v>670</x:v>
      </x:c>
      <x:c r="R1120" s="27" t="n">
        <x:f>P1120*(1-'Assumptions'!$D$14)+Q1120*'Assumptions'!$D$14</x:f>
        <x:v>745</x:v>
      </x:c>
      <x:c r="S1120" s="27" t="n">
        <x:f>O1120*'Carrier Engine'!E96</x:f>
        <x:v>113.99759076161585</x:v>
      </x:c>
      <x:c r="T1120" s="28" t="n">
        <x:f>R1120+S1120</x:f>
        <x:v>858.9975907616158</x:v>
      </x:c>
      <x:c r="U1120" s="27" t="n">
        <x:f>N1120*'Fleet Engine'!K197</x:f>
        <x:v>1426.3985397461927</x:v>
      </x:c>
      <x:c r="V1120" s="28" t="n">
        <x:f>U1120*T1120</x:f>
        <x:v>1225272.9091078665</x:v>
      </x:c>
      <x:c r="W1120" s="28" t="n">
        <x:f>U1120*O1120</x:f>
        <x:v>4065149.9249238227</x:v>
      </x:c>
    </x:row>
    <x:row r="1121" ht="19" customHeight="1">
      <x:c r="A1121" s="2"/>
      <x:c r="B1121" s="2"/>
      <x:c r="C1121" s="46" t="n">
        <x:v>5</x:v>
      </x:c>
      <x:c r="D1121" s="46" t="n">
        <x:v>3</x:v>
      </x:c>
      <x:c r="E1121" s="46" t="n">
        <x:v>0</x:v>
      </x:c>
      <x:c r="F1121" s="46" t="n">
        <x:v>3</x:v>
      </x:c>
      <x:c r="G1121" s="12" t="n">
        <x:v>0.8888888888888888</x:v>
      </x:c>
      <x:c r="H1121" s="12" t="n">
        <x:v>1</x:v>
      </x:c>
      <x:c r="I1121" s="29" t="n">
        <x:f>'Assumptions'!$D$11+'Assumptions'!$D$12*(0.5-(G1121+H1121)/2)</x:f>
        <x:v>0.21111111111111108</x:v>
      </x:c>
      <x:c r="J1121" s="27" t="n">
        <x:f>'Assumptions'!$D$8*EXP(-'Assumptions'!$D$9*('Fleet Engine'!E197-10))*'Assumptions'!E55*'Assumptions'!I36</x:f>
        <x:v>12214.027581601698</x:v>
      </x:c>
      <x:c r="K1121" s="27" t="n">
        <x:f>'Source Data'!F220+LN('Assumptions'!D55)+LN('Assumptions'!I35)</x:f>
        <x:v>8.062717438528928</x:v>
      </x:c>
      <x:c r="L1121" s="27" t="n">
        <x:f>J1121*(1-I1121*(1-'Carrier Engine'!E96))</x:f>
        <x:v>9738.651325063754</x:v>
      </x:c>
      <x:c r="M1121" s="29" t="n">
        <x:f>NORM.S.DIST((LN(L1121)-K1121)/'Assumptions'!$D$10,TRUE)</x:f>
        <x:v>0.76238905546153</x:v>
      </x:c>
      <x:c r="N1121" s="30" t="n">
        <x:f>MAX(0,H1121-MAX(G1121,M1121))</x:f>
        <x:v>0.11111111111111116</x:v>
      </x:c>
      <x:c r="O1121" s="28" t="n">
        <x:f>J1121*I1121</x:f>
        <x:v>2578.5169338936917</x:v>
      </x:c>
      <x:c r="P1121" s="27" t="n">
        <x:f>(VLOOKUP(O1121,'Fee Data'!$C$6:$G$50,2,TRUE)+O1121*VLOOKUP(O1121,'Fee Data'!$C$6:$G$50,3,TRUE)+VLOOKUP(O1121,'Fee Data'!$I$6:$J$14,2,TRUE)+'Fee Data'!$J$20+'Fee Data'!$J$21)*'Assumptions'!I37</x:f>
        <x:v>820</x:v>
      </x:c>
      <x:c r="Q1121" s="27" t="n">
        <x:f>(VLOOKUP(O1121,'Fee Data'!$C$6:$G$50,4,TRUE)+O1121*VLOOKUP(O1121,'Fee Data'!$C$6:$G$50,5,TRUE)+VLOOKUP(O1121,'Fee Data'!$I$6:$J$14,2,TRUE)+'Fee Data'!$J$20+'Fee Data'!$J$21)*'Assumptions'!I37</x:f>
        <x:v>670</x:v>
      </x:c>
      <x:c r="R1121" s="27" t="n">
        <x:f>P1121*(1-'Assumptions'!$D$14)+Q1121*'Assumptions'!$D$14</x:f>
        <x:v>745</x:v>
      </x:c>
      <x:c r="S1121" s="27" t="n">
        <x:f>O1121*'Carrier Engine'!E96</x:f>
        <x:v>103.14067735574767</x:v>
      </x:c>
      <x:c r="T1121" s="28" t="n">
        <x:f>R1121+S1121</x:f>
        <x:v>848.1406773557477</x:v>
      </x:c>
      <x:c r="U1121" s="27" t="n">
        <x:f>N1121*'Fleet Engine'!K197</x:f>
        <x:v>1426.398539746194</x:v>
      </x:c>
      <x:c r="V1121" s="28" t="n">
        <x:f>U1121*T1121</x:f>
        <x:v>1209786.6236795865</x:v>
      </x:c>
      <x:c r="W1121" s="28" t="n">
        <x:f>U1121*O1121</x:f>
        <x:v>3677992.7892167955</x:v>
      </x:c>
    </x:row>
    <x:row r="1122" ht="19" customHeight="1">
      <x:c r="A1122" s="2"/>
      <x:c r="B1122" s="2"/>
      <x:c r="C1122" s="46" t="n">
        <x:v>5</x:v>
      </x:c>
      <x:c r="D1122" s="46" t="n">
        <x:v>4</x:v>
      </x:c>
      <x:c r="E1122" s="46" t="n">
        <x:v>0</x:v>
      </x:c>
      <x:c r="F1122" s="46" t="n">
        <x:v>4</x:v>
      </x:c>
      <x:c r="G1122" s="12" t="n">
        <x:v>0</x:v>
      </x:c>
      <x:c r="H1122" s="12" t="n">
        <x:v>0.1111111111111111</x:v>
      </x:c>
      <x:c r="I1122" s="29" t="n">
        <x:f>'Assumptions'!$D$11+'Assumptions'!$D$12*(0.5-(G1122+H1122)/2)</x:f>
        <x:v>0.3888888888888889</x:v>
      </x:c>
      <x:c r="J1122" s="27" t="n">
        <x:f>'Assumptions'!$D$8*EXP(-'Assumptions'!$D$9*('Fleet Engine'!E198-10))*'Assumptions'!E55*'Assumptions'!I36</x:f>
        <x:v>9048.374180359595</x:v>
      </x:c>
      <x:c r="K1122" s="27" t="n">
        <x:f>'Source Data'!F221+LN('Assumptions'!D55)+LN('Assumptions'!I35)</x:f>
        <x:v>8.14856556744418</x:v>
      </x:c>
      <x:c r="L1122" s="27" t="n">
        <x:f>J1122*(1-I1122*(1-'Carrier Engine'!E96))</x:f>
        <x:v>5670.3144863586795</x:v>
      </x:c>
      <x:c r="M1122" s="29" t="n">
        <x:f>NORM.S.DIST((LN(L1122)-K1122)/'Assumptions'!$D$10,TRUE)</x:f>
        <x:v>0.6235755127669419</x:v>
      </x:c>
      <x:c r="N1122" s="30" t="n">
        <x:f>MAX(0,H1122-MAX(G1122,M1122))</x:f>
        <x:v>0</x:v>
      </x:c>
      <x:c r="O1122" s="28" t="n">
        <x:f>J1122*I1122</x:f>
        <x:v>3518.8121812509535</x:v>
      </x:c>
      <x:c r="P1122" s="27" t="n">
        <x:f>(VLOOKUP(O1122,'Fee Data'!$C$6:$G$50,2,TRUE)+O1122*VLOOKUP(O1122,'Fee Data'!$C$6:$G$50,3,TRUE)+VLOOKUP(O1122,'Fee Data'!$I$6:$J$14,2,TRUE)+'Fee Data'!$J$20+'Fee Data'!$J$21)*'Assumptions'!I37</x:f>
        <x:v>915</x:v>
      </x:c>
      <x:c r="Q1122" s="27" t="n">
        <x:f>(VLOOKUP(O1122,'Fee Data'!$C$6:$G$50,4,TRUE)+O1122*VLOOKUP(O1122,'Fee Data'!$C$6:$G$50,5,TRUE)+VLOOKUP(O1122,'Fee Data'!$I$6:$J$14,2,TRUE)+'Fee Data'!$J$20+'Fee Data'!$J$21)*'Assumptions'!I37</x:f>
        <x:v>765</x:v>
      </x:c>
      <x:c r="R1122" s="27" t="n">
        <x:f>P1122*(1-'Assumptions'!$D$14)+Q1122*'Assumptions'!$D$14</x:f>
        <x:v>840</x:v>
      </x:c>
      <x:c r="S1122" s="27" t="n">
        <x:f>O1122*'Carrier Engine'!E96</x:f>
        <x:v>140.75248725003814</x:v>
      </x:c>
      <x:c r="T1122" s="28" t="n">
        <x:f>R1122+S1122</x:f>
        <x:v>980.7524872500381</x:v>
      </x:c>
      <x:c r="U1122" s="27" t="n">
        <x:f>N1122*'Fleet Engine'!K198</x:f>
        <x:v>0</x:v>
      </x:c>
      <x:c r="V1122" s="28" t="n">
        <x:f>U1122*T1122</x:f>
        <x:v>0</x:v>
      </x:c>
      <x:c r="W1122" s="28" t="n">
        <x:f>U1122*O1122</x:f>
        <x:v>0</x:v>
      </x:c>
    </x:row>
    <x:row r="1123" ht="19" customHeight="1">
      <x:c r="A1123" s="2"/>
      <x:c r="B1123" s="2"/>
      <x:c r="C1123" s="46" t="n">
        <x:v>5</x:v>
      </x:c>
      <x:c r="D1123" s="46" t="n">
        <x:v>4</x:v>
      </x:c>
      <x:c r="E1123" s="46" t="n">
        <x:v>0</x:v>
      </x:c>
      <x:c r="F1123" s="46" t="n">
        <x:v>4</x:v>
      </x:c>
      <x:c r="G1123" s="12" t="n">
        <x:v>0.1111111111111111</x:v>
      </x:c>
      <x:c r="H1123" s="12" t="n">
        <x:v>0.2222222222222222</x:v>
      </x:c>
      <x:c r="I1123" s="29" t="n">
        <x:f>'Assumptions'!$D$11+'Assumptions'!$D$12*(0.5-(G1123+H1123)/2)</x:f>
        <x:v>0.3666666666666667</x:v>
      </x:c>
      <x:c r="J1123" s="27" t="n">
        <x:f>'Assumptions'!$D$8*EXP(-'Assumptions'!$D$9*('Fleet Engine'!E198-10))*'Assumptions'!E55*'Assumptions'!I36</x:f>
        <x:v>9048.374180359595</x:v>
      </x:c>
      <x:c r="K1123" s="27" t="n">
        <x:f>'Source Data'!F221+LN('Assumptions'!D55)+LN('Assumptions'!I35)</x:f>
        <x:v>8.14856556744418</x:v>
      </x:c>
      <x:c r="L1123" s="27" t="n">
        <x:f>J1123*(1-I1123*(1-'Carrier Engine'!E96))</x:f>
        <x:v>5863.346468873016</x:v>
      </x:c>
      <x:c r="M1123" s="29" t="n">
        <x:f>NORM.S.DIST((LN(L1123)-K1123)/'Assumptions'!$D$10,TRUE)</x:f>
        <x:v>0.6316416500338942</x:v>
      </x:c>
      <x:c r="N1123" s="30" t="n">
        <x:f>MAX(0,H1123-MAX(G1123,M1123))</x:f>
        <x:v>0</x:v>
      </x:c>
      <x:c r="O1123" s="28" t="n">
        <x:f>J1123*I1123</x:f>
        <x:v>3317.737199465185</x:v>
      </x:c>
      <x:c r="P1123" s="27" t="n">
        <x:f>(VLOOKUP(O1123,'Fee Data'!$C$6:$G$50,2,TRUE)+O1123*VLOOKUP(O1123,'Fee Data'!$C$6:$G$50,3,TRUE)+VLOOKUP(O1123,'Fee Data'!$I$6:$J$14,2,TRUE)+'Fee Data'!$J$20+'Fee Data'!$J$21)*'Assumptions'!I37</x:f>
        <x:v>865</x:v>
      </x:c>
      <x:c r="Q1123" s="27" t="n">
        <x:f>(VLOOKUP(O1123,'Fee Data'!$C$6:$G$50,4,TRUE)+O1123*VLOOKUP(O1123,'Fee Data'!$C$6:$G$50,5,TRUE)+VLOOKUP(O1123,'Fee Data'!$I$6:$J$14,2,TRUE)+'Fee Data'!$J$20+'Fee Data'!$J$21)*'Assumptions'!I37</x:f>
        <x:v>715</x:v>
      </x:c>
      <x:c r="R1123" s="27" t="n">
        <x:f>P1123*(1-'Assumptions'!$D$14)+Q1123*'Assumptions'!$D$14</x:f>
        <x:v>790</x:v>
      </x:c>
      <x:c r="S1123" s="27" t="n">
        <x:f>O1123*'Carrier Engine'!E96</x:f>
        <x:v>132.7094879786074</x:v>
      </x:c>
      <x:c r="T1123" s="28" t="n">
        <x:f>R1123+S1123</x:f>
        <x:v>922.7094879786074</x:v>
      </x:c>
      <x:c r="U1123" s="27" t="n">
        <x:f>N1123*'Fleet Engine'!K198</x:f>
        <x:v>0</x:v>
      </x:c>
      <x:c r="V1123" s="28" t="n">
        <x:f>U1123*T1123</x:f>
        <x:v>0</x:v>
      </x:c>
      <x:c r="W1123" s="28" t="n">
        <x:f>U1123*O1123</x:f>
        <x:v>0</x:v>
      </x:c>
    </x:row>
    <x:row r="1124" ht="19" customHeight="1">
      <x:c r="A1124" s="2"/>
      <x:c r="B1124" s="2"/>
      <x:c r="C1124" s="46" t="n">
        <x:v>5</x:v>
      </x:c>
      <x:c r="D1124" s="46" t="n">
        <x:v>4</x:v>
      </x:c>
      <x:c r="E1124" s="46" t="n">
        <x:v>0</x:v>
      </x:c>
      <x:c r="F1124" s="46" t="n">
        <x:v>4</x:v>
      </x:c>
      <x:c r="G1124" s="12" t="n">
        <x:v>0.2222222222222222</x:v>
      </x:c>
      <x:c r="H1124" s="12" t="n">
        <x:v>0.3333333333333333</x:v>
      </x:c>
      <x:c r="I1124" s="29" t="n">
        <x:f>'Assumptions'!$D$11+'Assumptions'!$D$12*(0.5-(G1124+H1124)/2)</x:f>
        <x:v>0.34444444444444444</x:v>
      </x:c>
      <x:c r="J1124" s="27" t="n">
        <x:f>'Assumptions'!$D$8*EXP(-'Assumptions'!$D$9*('Fleet Engine'!E198-10))*'Assumptions'!E55*'Assumptions'!I36</x:f>
        <x:v>9048.374180359595</x:v>
      </x:c>
      <x:c r="K1124" s="27" t="n">
        <x:f>'Source Data'!F221+LN('Assumptions'!D55)+LN('Assumptions'!I35)</x:f>
        <x:v>8.14856556744418</x:v>
      </x:c>
      <x:c r="L1124" s="27" t="n">
        <x:f>J1124*(1-I1124*(1-'Carrier Engine'!E96))</x:f>
        <x:v>6056.378451387355</x:v>
      </x:c>
      <x:c r="M1124" s="29" t="n">
        <x:f>NORM.S.DIST((LN(L1124)-K1124)/'Assumptions'!$D$10,TRUE)</x:f>
        <x:v>0.6393916848110384</x:v>
      </x:c>
      <x:c r="N1124" s="30" t="n">
        <x:f>MAX(0,H1124-MAX(G1124,M1124))</x:f>
        <x:v>0</x:v>
      </x:c>
      <x:c r="O1124" s="28" t="n">
        <x:f>J1124*I1124</x:f>
        <x:v>3116.662217679416</x:v>
      </x:c>
      <x:c r="P1124" s="27" t="n">
        <x:f>(VLOOKUP(O1124,'Fee Data'!$C$6:$G$50,2,TRUE)+O1124*VLOOKUP(O1124,'Fee Data'!$C$6:$G$50,3,TRUE)+VLOOKUP(O1124,'Fee Data'!$I$6:$J$14,2,TRUE)+'Fee Data'!$J$20+'Fee Data'!$J$21)*'Assumptions'!I37</x:f>
        <x:v>865</x:v>
      </x:c>
      <x:c r="Q1124" s="27" t="n">
        <x:f>(VLOOKUP(O1124,'Fee Data'!$C$6:$G$50,4,TRUE)+O1124*VLOOKUP(O1124,'Fee Data'!$C$6:$G$50,5,TRUE)+VLOOKUP(O1124,'Fee Data'!$I$6:$J$14,2,TRUE)+'Fee Data'!$J$20+'Fee Data'!$J$21)*'Assumptions'!I37</x:f>
        <x:v>715</x:v>
      </x:c>
      <x:c r="R1124" s="27" t="n">
        <x:f>P1124*(1-'Assumptions'!$D$14)+Q1124*'Assumptions'!$D$14</x:f>
        <x:v>790</x:v>
      </x:c>
      <x:c r="S1124" s="27" t="n">
        <x:f>O1124*'Carrier Engine'!E96</x:f>
        <x:v>124.66648870717664</x:v>
      </x:c>
      <x:c r="T1124" s="28" t="n">
        <x:f>R1124+S1124</x:f>
        <x:v>914.6664887071767</x:v>
      </x:c>
      <x:c r="U1124" s="27" t="n">
        <x:f>N1124*'Fleet Engine'!K198</x:f>
        <x:v>0</x:v>
      </x:c>
      <x:c r="V1124" s="28" t="n">
        <x:f>U1124*T1124</x:f>
        <x:v>0</x:v>
      </x:c>
      <x:c r="W1124" s="28" t="n">
        <x:f>U1124*O1124</x:f>
        <x:v>0</x:v>
      </x:c>
    </x:row>
    <x:row r="1125" ht="19" customHeight="1">
      <x:c r="A1125" s="2"/>
      <x:c r="B1125" s="2"/>
      <x:c r="C1125" s="46" t="n">
        <x:v>5</x:v>
      </x:c>
      <x:c r="D1125" s="46" t="n">
        <x:v>4</x:v>
      </x:c>
      <x:c r="E1125" s="46" t="n">
        <x:v>0</x:v>
      </x:c>
      <x:c r="F1125" s="46" t="n">
        <x:v>4</x:v>
      </x:c>
      <x:c r="G1125" s="12" t="n">
        <x:v>0.3333333333333333</x:v>
      </x:c>
      <x:c r="H1125" s="12" t="n">
        <x:v>0.4444444444444444</x:v>
      </x:c>
      <x:c r="I1125" s="29" t="n">
        <x:f>'Assumptions'!$D$11+'Assumptions'!$D$12*(0.5-(G1125+H1125)/2)</x:f>
        <x:v>0.32222222222222224</x:v>
      </x:c>
      <x:c r="J1125" s="27" t="n">
        <x:f>'Assumptions'!$D$8*EXP(-'Assumptions'!$D$9*('Fleet Engine'!E198-10))*'Assumptions'!E55*'Assumptions'!I36</x:f>
        <x:v>9048.374180359595</x:v>
      </x:c>
      <x:c r="K1125" s="27" t="n">
        <x:f>'Source Data'!F221+LN('Assumptions'!D55)+LN('Assumptions'!I35)</x:f>
        <x:v>8.14856556744418</x:v>
      </x:c>
      <x:c r="L1125" s="27" t="n">
        <x:f>J1125*(1-I1125*(1-'Carrier Engine'!E96))</x:f>
        <x:v>6249.410433901693</x:v>
      </x:c>
      <x:c r="M1125" s="29" t="n">
        <x:f>NORM.S.DIST((LN(L1125)-K1125)/'Assumptions'!$D$10,TRUE)</x:f>
        <x:v>0.6468443793490292</x:v>
      </x:c>
      <x:c r="N1125" s="30" t="n">
        <x:f>MAX(0,H1125-MAX(G1125,M1125))</x:f>
        <x:v>0</x:v>
      </x:c>
      <x:c r="O1125" s="28" t="n">
        <x:f>J1125*I1125</x:f>
        <x:v>2915.5872358936476</x:v>
      </x:c>
      <x:c r="P1125" s="27" t="n">
        <x:f>(VLOOKUP(O1125,'Fee Data'!$C$6:$G$50,2,TRUE)+O1125*VLOOKUP(O1125,'Fee Data'!$C$6:$G$50,3,TRUE)+VLOOKUP(O1125,'Fee Data'!$I$6:$J$14,2,TRUE)+'Fee Data'!$J$20+'Fee Data'!$J$21)*'Assumptions'!I37</x:f>
        <x:v>820</x:v>
      </x:c>
      <x:c r="Q1125" s="27" t="n">
        <x:f>(VLOOKUP(O1125,'Fee Data'!$C$6:$G$50,4,TRUE)+O1125*VLOOKUP(O1125,'Fee Data'!$C$6:$G$50,5,TRUE)+VLOOKUP(O1125,'Fee Data'!$I$6:$J$14,2,TRUE)+'Fee Data'!$J$20+'Fee Data'!$J$21)*'Assumptions'!I37</x:f>
        <x:v>670</x:v>
      </x:c>
      <x:c r="R1125" s="27" t="n">
        <x:f>P1125*(1-'Assumptions'!$D$14)+Q1125*'Assumptions'!$D$14</x:f>
        <x:v>745</x:v>
      </x:c>
      <x:c r="S1125" s="27" t="n">
        <x:f>O1125*'Carrier Engine'!E96</x:f>
        <x:v>116.62348943574591</x:v>
      </x:c>
      <x:c r="T1125" s="28" t="n">
        <x:f>R1125+S1125</x:f>
        <x:v>861.6234894357459</x:v>
      </x:c>
      <x:c r="U1125" s="27" t="n">
        <x:f>N1125*'Fleet Engine'!K198</x:f>
        <x:v>0</x:v>
      </x:c>
      <x:c r="V1125" s="28" t="n">
        <x:f>U1125*T1125</x:f>
        <x:v>0</x:v>
      </x:c>
      <x:c r="W1125" s="28" t="n">
        <x:f>U1125*O1125</x:f>
        <x:v>0</x:v>
      </x:c>
    </x:row>
    <x:row r="1126" ht="19" customHeight="1">
      <x:c r="A1126" s="2"/>
      <x:c r="B1126" s="2"/>
      <x:c r="C1126" s="46" t="n">
        <x:v>5</x:v>
      </x:c>
      <x:c r="D1126" s="46" t="n">
        <x:v>4</x:v>
      </x:c>
      <x:c r="E1126" s="46" t="n">
        <x:v>0</x:v>
      </x:c>
      <x:c r="F1126" s="46" t="n">
        <x:v>4</x:v>
      </x:c>
      <x:c r="G1126" s="12" t="n">
        <x:v>0.4444444444444444</x:v>
      </x:c>
      <x:c r="H1126" s="12" t="n">
        <x:v>0.5555555555555556</x:v>
      </x:c>
      <x:c r="I1126" s="29" t="n">
        <x:f>'Assumptions'!$D$11+'Assumptions'!$D$12*(0.5-(G1126+H1126)/2)</x:f>
        <x:v>0.3</x:v>
      </x:c>
      <x:c r="J1126" s="27" t="n">
        <x:f>'Assumptions'!$D$8*EXP(-'Assumptions'!$D$9*('Fleet Engine'!E198-10))*'Assumptions'!E55*'Assumptions'!I36</x:f>
        <x:v>9048.374180359595</x:v>
      </x:c>
      <x:c r="K1126" s="27" t="n">
        <x:f>'Source Data'!F221+LN('Assumptions'!D55)+LN('Assumptions'!I35)</x:f>
        <x:v>8.14856556744418</x:v>
      </x:c>
      <x:c r="L1126" s="27" t="n">
        <x:f>J1126*(1-I1126*(1-'Carrier Engine'!E96))</x:f>
        <x:v>6442.442416416031</x:v>
      </x:c>
      <x:c r="M1126" s="29" t="n">
        <x:f>NORM.S.DIST((LN(L1126)-K1126)/'Assumptions'!$D$10,TRUE)</x:f>
        <x:v>0.654016988796613</x:v>
      </x:c>
      <x:c r="N1126" s="30" t="n">
        <x:f>MAX(0,H1126-MAX(G1126,M1126))</x:f>
        <x:v>0</x:v>
      </x:c>
      <x:c r="O1126" s="28" t="n">
        <x:f>J1126*I1126</x:f>
        <x:v>2714.5122541078786</x:v>
      </x:c>
      <x:c r="P1126" s="27" t="n">
        <x:f>(VLOOKUP(O1126,'Fee Data'!$C$6:$G$50,2,TRUE)+O1126*VLOOKUP(O1126,'Fee Data'!$C$6:$G$50,3,TRUE)+VLOOKUP(O1126,'Fee Data'!$I$6:$J$14,2,TRUE)+'Fee Data'!$J$20+'Fee Data'!$J$21)*'Assumptions'!I37</x:f>
        <x:v>820</x:v>
      </x:c>
      <x:c r="Q1126" s="27" t="n">
        <x:f>(VLOOKUP(O1126,'Fee Data'!$C$6:$G$50,4,TRUE)+O1126*VLOOKUP(O1126,'Fee Data'!$C$6:$G$50,5,TRUE)+VLOOKUP(O1126,'Fee Data'!$I$6:$J$14,2,TRUE)+'Fee Data'!$J$20+'Fee Data'!$J$21)*'Assumptions'!I37</x:f>
        <x:v>670</x:v>
      </x:c>
      <x:c r="R1126" s="27" t="n">
        <x:f>P1126*(1-'Assumptions'!$D$14)+Q1126*'Assumptions'!$D$14</x:f>
        <x:v>745</x:v>
      </x:c>
      <x:c r="S1126" s="27" t="n">
        <x:f>O1126*'Carrier Engine'!E96</x:f>
        <x:v>108.58049016431515</x:v>
      </x:c>
      <x:c r="T1126" s="28" t="n">
        <x:f>R1126+S1126</x:f>
        <x:v>853.5804901643152</x:v>
      </x:c>
      <x:c r="U1126" s="27" t="n">
        <x:f>N1126*'Fleet Engine'!K198</x:f>
        <x:v>0</x:v>
      </x:c>
      <x:c r="V1126" s="28" t="n">
        <x:f>U1126*T1126</x:f>
        <x:v>0</x:v>
      </x:c>
      <x:c r="W1126" s="28" t="n">
        <x:f>U1126*O1126</x:f>
        <x:v>0</x:v>
      </x:c>
    </x:row>
    <x:row r="1127" ht="19" customHeight="1">
      <x:c r="A1127" s="2"/>
      <x:c r="B1127" s="2"/>
      <x:c r="C1127" s="46" t="n">
        <x:v>5</x:v>
      </x:c>
      <x:c r="D1127" s="46" t="n">
        <x:v>4</x:v>
      </x:c>
      <x:c r="E1127" s="46" t="n">
        <x:v>0</x:v>
      </x:c>
      <x:c r="F1127" s="46" t="n">
        <x:v>4</x:v>
      </x:c>
      <x:c r="G1127" s="12" t="n">
        <x:v>0.5555555555555556</x:v>
      </x:c>
      <x:c r="H1127" s="12" t="n">
        <x:v>0.6666666666666666</x:v>
      </x:c>
      <x:c r="I1127" s="29" t="n">
        <x:f>'Assumptions'!$D$11+'Assumptions'!$D$12*(0.5-(G1127+H1127)/2)</x:f>
        <x:v>0.27777777777777773</x:v>
      </x:c>
      <x:c r="J1127" s="27" t="n">
        <x:f>'Assumptions'!$D$8*EXP(-'Assumptions'!$D$9*('Fleet Engine'!E198-10))*'Assumptions'!E55*'Assumptions'!I36</x:f>
        <x:v>9048.374180359595</x:v>
      </x:c>
      <x:c r="K1127" s="27" t="n">
        <x:f>'Source Data'!F221+LN('Assumptions'!D55)+LN('Assumptions'!I35)</x:f>
        <x:v>8.14856556744418</x:v>
      </x:c>
      <x:c r="L1127" s="27" t="n">
        <x:f>J1127*(1-I1127*(1-'Carrier Engine'!E96))</x:f>
        <x:v>6635.47439893037</x:v>
      </x:c>
      <x:c r="M1127" s="29" t="n">
        <x:f>NORM.S.DIST((LN(L1127)-K1127)/'Assumptions'!$D$10,TRUE)</x:f>
        <x:v>0.6609254137826943</x:v>
      </x:c>
      <x:c r="N1127" s="30" t="n">
        <x:f>MAX(0,H1127-MAX(G1127,M1127))</x:f>
        <x:v>0.005741252883972314</x:v>
      </x:c>
      <x:c r="O1127" s="28" t="n">
        <x:f>J1127*I1127</x:f>
        <x:v>2513.4372723221095</x:v>
      </x:c>
      <x:c r="P1127" s="27" t="n">
        <x:f>(VLOOKUP(O1127,'Fee Data'!$C$6:$G$50,2,TRUE)+O1127*VLOOKUP(O1127,'Fee Data'!$C$6:$G$50,3,TRUE)+VLOOKUP(O1127,'Fee Data'!$I$6:$J$14,2,TRUE)+'Fee Data'!$J$20+'Fee Data'!$J$21)*'Assumptions'!I37</x:f>
        <x:v>820</x:v>
      </x:c>
      <x:c r="Q1127" s="27" t="n">
        <x:f>(VLOOKUP(O1127,'Fee Data'!$C$6:$G$50,4,TRUE)+O1127*VLOOKUP(O1127,'Fee Data'!$C$6:$G$50,5,TRUE)+VLOOKUP(O1127,'Fee Data'!$I$6:$J$14,2,TRUE)+'Fee Data'!$J$20+'Fee Data'!$J$21)*'Assumptions'!I37</x:f>
        <x:v>670</x:v>
      </x:c>
      <x:c r="R1127" s="27" t="n">
        <x:f>P1127*(1-'Assumptions'!$D$14)+Q1127*'Assumptions'!$D$14</x:f>
        <x:v>745</x:v>
      </x:c>
      <x:c r="S1127" s="27" t="n">
        <x:f>O1127*'Carrier Engine'!E96</x:f>
        <x:v>100.53749089288438</x:v>
      </x:c>
      <x:c r="T1127" s="28" t="n">
        <x:f>R1127+S1127</x:f>
        <x:v>845.5374908928844</x:v>
      </x:c>
      <x:c r="U1127" s="27" t="n">
        <x:f>N1127*'Fleet Engine'!K198</x:f>
        <x:v>72.94582037061343</x:v>
      </x:c>
      <x:c r="V1127" s="28" t="n">
        <x:f>U1127*T1127</x:f>
        <x:v>61678.42592729154</x:v>
      </x:c>
      <x:c r="W1127" s="28" t="n">
        <x:f>U1127*O1127</x:f>
        <x:v>183344.7437796132</x:v>
      </x:c>
    </x:row>
    <x:row r="1128" ht="19" customHeight="1">
      <x:c r="A1128" s="2"/>
      <x:c r="B1128" s="2"/>
      <x:c r="C1128" s="46" t="n">
        <x:v>5</x:v>
      </x:c>
      <x:c r="D1128" s="46" t="n">
        <x:v>4</x:v>
      </x:c>
      <x:c r="E1128" s="46" t="n">
        <x:v>0</x:v>
      </x:c>
      <x:c r="F1128" s="46" t="n">
        <x:v>4</x:v>
      </x:c>
      <x:c r="G1128" s="12" t="n">
        <x:v>0.6666666666666666</x:v>
      </x:c>
      <x:c r="H1128" s="12" t="n">
        <x:v>0.7777777777777778</x:v>
      </x:c>
      <x:c r="I1128" s="29" t="n">
        <x:f>'Assumptions'!$D$11+'Assumptions'!$D$12*(0.5-(G1128+H1128)/2)</x:f>
        <x:v>0.25555555555555554</x:v>
      </x:c>
      <x:c r="J1128" s="27" t="n">
        <x:f>'Assumptions'!$D$8*EXP(-'Assumptions'!$D$9*('Fleet Engine'!E198-10))*'Assumptions'!E55*'Assumptions'!I36</x:f>
        <x:v>9048.374180359595</x:v>
      </x:c>
      <x:c r="K1128" s="27" t="n">
        <x:f>'Source Data'!F221+LN('Assumptions'!D55)+LN('Assumptions'!I35)</x:f>
        <x:v>8.14856556744418</x:v>
      </x:c>
      <x:c r="L1128" s="27" t="n">
        <x:f>J1128*(1-I1128*(1-'Carrier Engine'!E96))</x:f>
        <x:v>6828.506381444708</x:v>
      </x:c>
      <x:c r="M1128" s="29" t="n">
        <x:f>NORM.S.DIST((LN(L1128)-K1128)/'Assumptions'!$D$10,TRUE)</x:f>
        <x:v>0.6675843344367494</x:v>
      </x:c>
      <x:c r="N1128" s="30" t="n">
        <x:f>MAX(0,H1128-MAX(G1128,M1128))</x:f>
        <x:v>0.11019344334102843</x:v>
      </x:c>
      <x:c r="O1128" s="28" t="n">
        <x:f>J1128*I1128</x:f>
        <x:v>2312.362290536341</x:v>
      </x:c>
      <x:c r="P1128" s="27" t="n">
        <x:f>(VLOOKUP(O1128,'Fee Data'!$C$6:$G$50,2,TRUE)+O1128*VLOOKUP(O1128,'Fee Data'!$C$6:$G$50,3,TRUE)+VLOOKUP(O1128,'Fee Data'!$I$6:$J$14,2,TRUE)+'Fee Data'!$J$20+'Fee Data'!$J$21)*'Assumptions'!I37</x:f>
        <x:v>745</x:v>
      </x:c>
      <x:c r="Q1128" s="27" t="n">
        <x:f>(VLOOKUP(O1128,'Fee Data'!$C$6:$G$50,4,TRUE)+O1128*VLOOKUP(O1128,'Fee Data'!$C$6:$G$50,5,TRUE)+VLOOKUP(O1128,'Fee Data'!$I$6:$J$14,2,TRUE)+'Fee Data'!$J$20+'Fee Data'!$J$21)*'Assumptions'!I37</x:f>
        <x:v>600</x:v>
      </x:c>
      <x:c r="R1128" s="27" t="n">
        <x:f>P1128*(1-'Assumptions'!$D$14)+Q1128*'Assumptions'!$D$14</x:f>
        <x:v>672.5</x:v>
      </x:c>
      <x:c r="S1128" s="27" t="n">
        <x:f>O1128*'Carrier Engine'!E96</x:f>
        <x:v>92.49449162145363</x:v>
      </x:c>
      <x:c r="T1128" s="28" t="n">
        <x:f>R1128+S1128</x:f>
        <x:v>764.9944916214537</x:v>
      </x:c>
      <x:c r="U1128" s="27" t="n">
        <x:f>N1128*'Fleet Engine'!K198</x:f>
        <x:v>1400.069163721023</x:v>
      </x:c>
      <x:c r="V1128" s="28" t="n">
        <x:f>U1128*T1128</x:f>
        <x:v>1071045.1981356377</x:v>
      </x:c>
      <x:c r="W1128" s="28" t="n">
        <x:f>U1128*O1128</x:f>
        <x:v>3237467.138331244</x:v>
      </x:c>
    </x:row>
    <x:row r="1129" ht="19" customHeight="1">
      <x:c r="A1129" s="2"/>
      <x:c r="B1129" s="2"/>
      <x:c r="C1129" s="46" t="n">
        <x:v>5</x:v>
      </x:c>
      <x:c r="D1129" s="46" t="n">
        <x:v>4</x:v>
      </x:c>
      <x:c r="E1129" s="46" t="n">
        <x:v>0</x:v>
      </x:c>
      <x:c r="F1129" s="46" t="n">
        <x:v>4</x:v>
      </x:c>
      <x:c r="G1129" s="12" t="n">
        <x:v>0.7777777777777778</x:v>
      </x:c>
      <x:c r="H1129" s="12" t="n">
        <x:v>0.8888888888888888</x:v>
      </x:c>
      <x:c r="I1129" s="29" t="n">
        <x:f>'Assumptions'!$D$11+'Assumptions'!$D$12*(0.5-(G1129+H1129)/2)</x:f>
        <x:v>0.23333333333333334</x:v>
      </x:c>
      <x:c r="J1129" s="27" t="n">
        <x:f>'Assumptions'!$D$8*EXP(-'Assumptions'!$D$9*('Fleet Engine'!E198-10))*'Assumptions'!E55*'Assumptions'!I36</x:f>
        <x:v>9048.374180359595</x:v>
      </x:c>
      <x:c r="K1129" s="27" t="n">
        <x:f>'Source Data'!F221+LN('Assumptions'!D55)+LN('Assumptions'!I35)</x:f>
        <x:v>8.14856556744418</x:v>
      </x:c>
      <x:c r="L1129" s="27" t="n">
        <x:f>J1129*(1-I1129*(1-'Carrier Engine'!E96))</x:f>
        <x:v>7021.5383639590455</x:v>
      </x:c>
      <x:c r="M1129" s="29" t="n">
        <x:f>NORM.S.DIST((LN(L1129)-K1129)/'Assumptions'!$D$10,TRUE)</x:f>
        <x:v>0.6740073284704973</x:v>
      </x:c>
      <x:c r="N1129" s="30" t="n">
        <x:f>MAX(0,H1129-MAX(G1129,M1129))</x:f>
        <x:v>0.11111111111111105</x:v>
      </x:c>
      <x:c r="O1129" s="28" t="n">
        <x:f>J1129*I1129</x:f>
        <x:v>2111.2873087505723</x:v>
      </x:c>
      <x:c r="P1129" s="27" t="n">
        <x:f>(VLOOKUP(O1129,'Fee Data'!$C$6:$G$50,2,TRUE)+O1129*VLOOKUP(O1129,'Fee Data'!$C$6:$G$50,3,TRUE)+VLOOKUP(O1129,'Fee Data'!$I$6:$J$14,2,TRUE)+'Fee Data'!$J$20+'Fee Data'!$J$21)*'Assumptions'!I37</x:f>
        <x:v>745</x:v>
      </x:c>
      <x:c r="Q1129" s="27" t="n">
        <x:f>(VLOOKUP(O1129,'Fee Data'!$C$6:$G$50,4,TRUE)+O1129*VLOOKUP(O1129,'Fee Data'!$C$6:$G$50,5,TRUE)+VLOOKUP(O1129,'Fee Data'!$I$6:$J$14,2,TRUE)+'Fee Data'!$J$20+'Fee Data'!$J$21)*'Assumptions'!I37</x:f>
        <x:v>600</x:v>
      </x:c>
      <x:c r="R1129" s="27" t="n">
        <x:f>P1129*(1-'Assumptions'!$D$14)+Q1129*'Assumptions'!$D$14</x:f>
        <x:v>672.5</x:v>
      </x:c>
      <x:c r="S1129" s="27" t="n">
        <x:f>O1129*'Carrier Engine'!E96</x:f>
        <x:v>84.45149235002289</x:v>
      </x:c>
      <x:c r="T1129" s="28" t="n">
        <x:f>R1129+S1129</x:f>
        <x:v>756.9514923500229</x:v>
      </x:c>
      <x:c r="U1129" s="27" t="n">
        <x:f>N1129*'Fleet Engine'!K198</x:f>
        <x:v>1411.728644616425</x:v>
      </x:c>
      <x:c r="V1129" s="28" t="n">
        <x:f>U1129*T1129</x:f>
        <x:v>1068610.104335678</x:v>
      </x:c>
      <x:c r="W1129" s="28" t="n">
        <x:f>U1129*O1129</x:f>
        <x:v>2980564.7707783054</x:v>
      </x:c>
    </x:row>
    <x:row r="1130" ht="19" customHeight="1">
      <x:c r="A1130" s="2"/>
      <x:c r="B1130" s="2"/>
      <x:c r="C1130" s="46" t="n">
        <x:v>5</x:v>
      </x:c>
      <x:c r="D1130" s="46" t="n">
        <x:v>4</x:v>
      </x:c>
      <x:c r="E1130" s="46" t="n">
        <x:v>0</x:v>
      </x:c>
      <x:c r="F1130" s="46" t="n">
        <x:v>4</x:v>
      </x:c>
      <x:c r="G1130" s="12" t="n">
        <x:v>0.8888888888888888</x:v>
      </x:c>
      <x:c r="H1130" s="12" t="n">
        <x:v>1</x:v>
      </x:c>
      <x:c r="I1130" s="29" t="n">
        <x:f>'Assumptions'!$D$11+'Assumptions'!$D$12*(0.5-(G1130+H1130)/2)</x:f>
        <x:v>0.21111111111111108</x:v>
      </x:c>
      <x:c r="J1130" s="27" t="n">
        <x:f>'Assumptions'!$D$8*EXP(-'Assumptions'!$D$9*('Fleet Engine'!E198-10))*'Assumptions'!E55*'Assumptions'!I36</x:f>
        <x:v>9048.374180359595</x:v>
      </x:c>
      <x:c r="K1130" s="27" t="n">
        <x:f>'Source Data'!F221+LN('Assumptions'!D55)+LN('Assumptions'!I35)</x:f>
        <x:v>8.14856556744418</x:v>
      </x:c>
      <x:c r="L1130" s="27" t="n">
        <x:f>J1130*(1-I1130*(1-'Carrier Engine'!E96))</x:f>
        <x:v>7214.570346473383</x:v>
      </x:c>
      <x:c r="M1130" s="29" t="n">
        <x:f>NORM.S.DIST((LN(L1130)-K1130)/'Assumptions'!$D$10,TRUE)</x:f>
        <x:v>0.680206975523874</x:v>
      </x:c>
      <x:c r="N1130" s="30" t="n">
        <x:f>MAX(0,H1130-MAX(G1130,M1130))</x:f>
        <x:v>0.11111111111111116</x:v>
      </x:c>
      <x:c r="O1130" s="28" t="n">
        <x:f>J1130*I1130</x:f>
        <x:v>1910.2123269648032</x:v>
      </x:c>
      <x:c r="P1130" s="27" t="n">
        <x:f>(VLOOKUP(O1130,'Fee Data'!$C$6:$G$50,2,TRUE)+O1130*VLOOKUP(O1130,'Fee Data'!$C$6:$G$50,3,TRUE)+VLOOKUP(O1130,'Fee Data'!$I$6:$J$14,2,TRUE)+'Fee Data'!$J$20+'Fee Data'!$J$21)*'Assumptions'!I37</x:f>
        <x:v>705</x:v>
      </x:c>
      <x:c r="Q1130" s="27" t="n">
        <x:f>(VLOOKUP(O1130,'Fee Data'!$C$6:$G$50,4,TRUE)+O1130*VLOOKUP(O1130,'Fee Data'!$C$6:$G$50,5,TRUE)+VLOOKUP(O1130,'Fee Data'!$I$6:$J$14,2,TRUE)+'Fee Data'!$J$20+'Fee Data'!$J$21)*'Assumptions'!I37</x:f>
        <x:v>565</x:v>
      </x:c>
      <x:c r="R1130" s="27" t="n">
        <x:f>P1130*(1-'Assumptions'!$D$14)+Q1130*'Assumptions'!$D$14</x:f>
        <x:v>635</x:v>
      </x:c>
      <x:c r="S1130" s="27" t="n">
        <x:f>O1130*'Carrier Engine'!E96</x:f>
        <x:v>76.40849307859213</x:v>
      </x:c>
      <x:c r="T1130" s="28" t="n">
        <x:f>R1130+S1130</x:f>
        <x:v>711.4084930785921</x:v>
      </x:c>
      <x:c r="U1130" s="27" t="n">
        <x:f>N1130*'Fleet Engine'!K198</x:f>
        <x:v>1411.7286446164264</x:v>
      </x:c>
      <x:c r="V1130" s="28" t="n">
        <x:f>U1130*T1130</x:f>
        <x:v>1004315.7477024551</x:v>
      </x:c>
      <x:c r="W1130" s="28" t="n">
        <x:f>U1130*O1130</x:f>
        <x:v>2696701.4592756117</x:v>
      </x:c>
    </x:row>
    <x:row r="1131" ht="19" customHeight="1">
      <x:c r="A1131" s="2"/>
      <x:c r="B1131" s="2"/>
      <x:c r="C1131" s="46" t="n">
        <x:v>5</x:v>
      </x:c>
      <x:c r="D1131" s="46" t="n">
        <x:v>5</x:v>
      </x:c>
      <x:c r="E1131" s="46" t="n">
        <x:v>0</x:v>
      </x:c>
      <x:c r="F1131" s="46" t="n">
        <x:v>5</x:v>
      </x:c>
      <x:c r="G1131" s="12" t="n">
        <x:v>0</x:v>
      </x:c>
      <x:c r="H1131" s="12" t="n">
        <x:v>0.1111111111111111</x:v>
      </x:c>
      <x:c r="I1131" s="29" t="n">
        <x:f>'Assumptions'!$D$11+'Assumptions'!$D$12*(0.5-(G1131+H1131)/2)</x:f>
        <x:v>0.3888888888888889</x:v>
      </x:c>
      <x:c r="J1131" s="27" t="n">
        <x:f>'Assumptions'!$D$8*EXP(-'Assumptions'!$D$9*('Fleet Engine'!E199-10))*'Assumptions'!E55*'Assumptions'!I36</x:f>
        <x:v>4965.853037914095</x:v>
      </x:c>
      <x:c r="K1131" s="27" t="n">
        <x:f>'Source Data'!F222+LN('Assumptions'!D55)+LN('Assumptions'!I35)</x:f>
        <x:v>8.0496367177205</x:v>
      </x:c>
      <x:c r="L1131" s="27" t="n">
        <x:f>J1131*(1-I1131*(1-'Carrier Engine'!E96))</x:f>
        <x:v>3111.9345704261664</x:v>
      </x:c>
      <x:c r="M1131" s="29" t="n">
        <x:f>NORM.S.DIST((LN(L1131)-K1131)/'Assumptions'!$D$10,TRUE)</x:f>
        <x:v>0.4983137783845791</x:v>
      </x:c>
      <x:c r="N1131" s="30" t="n">
        <x:f>MAX(0,H1131-MAX(G1131,M1131))</x:f>
        <x:v>0</x:v>
      </x:c>
      <x:c r="O1131" s="28" t="n">
        <x:f>J1131*I1131</x:f>
        <x:v>1931.1650702999257</x:v>
      </x:c>
      <x:c r="P1131" s="27" t="n">
        <x:f>(VLOOKUP(O1131,'Fee Data'!$C$6:$G$50,2,TRUE)+O1131*VLOOKUP(O1131,'Fee Data'!$C$6:$G$50,3,TRUE)+VLOOKUP(O1131,'Fee Data'!$I$6:$J$14,2,TRUE)+'Fee Data'!$J$20+'Fee Data'!$J$21)*'Assumptions'!I37</x:f>
        <x:v>705</x:v>
      </x:c>
      <x:c r="Q1131" s="27" t="n">
        <x:f>(VLOOKUP(O1131,'Fee Data'!$C$6:$G$50,4,TRUE)+O1131*VLOOKUP(O1131,'Fee Data'!$C$6:$G$50,5,TRUE)+VLOOKUP(O1131,'Fee Data'!$I$6:$J$14,2,TRUE)+'Fee Data'!$J$20+'Fee Data'!$J$21)*'Assumptions'!I37</x:f>
        <x:v>565</x:v>
      </x:c>
      <x:c r="R1131" s="27" t="n">
        <x:f>P1131*(1-'Assumptions'!$D$14)+Q1131*'Assumptions'!$D$14</x:f>
        <x:v>635</x:v>
      </x:c>
      <x:c r="S1131" s="27" t="n">
        <x:f>O1131*'Carrier Engine'!E96</x:f>
        <x:v>77.24660281199702</x:v>
      </x:c>
      <x:c r="T1131" s="28" t="n">
        <x:f>R1131+S1131</x:f>
        <x:v>712.246602811997</x:v>
      </x:c>
      <x:c r="U1131" s="27" t="n">
        <x:f>N1131*'Fleet Engine'!K199</x:f>
        <x:v>0</x:v>
      </x:c>
      <x:c r="V1131" s="28" t="n">
        <x:f>U1131*T1131</x:f>
        <x:v>0</x:v>
      </x:c>
      <x:c r="W1131" s="28" t="n">
        <x:f>U1131*O1131</x:f>
        <x:v>0</x:v>
      </x:c>
    </x:row>
    <x:row r="1132" ht="19" customHeight="1">
      <x:c r="A1132" s="2"/>
      <x:c r="B1132" s="2"/>
      <x:c r="C1132" s="46" t="n">
        <x:v>5</x:v>
      </x:c>
      <x:c r="D1132" s="46" t="n">
        <x:v>5</x:v>
      </x:c>
      <x:c r="E1132" s="46" t="n">
        <x:v>0</x:v>
      </x:c>
      <x:c r="F1132" s="46" t="n">
        <x:v>5</x:v>
      </x:c>
      <x:c r="G1132" s="12" t="n">
        <x:v>0.1111111111111111</x:v>
      </x:c>
      <x:c r="H1132" s="12" t="n">
        <x:v>0.2222222222222222</x:v>
      </x:c>
      <x:c r="I1132" s="29" t="n">
        <x:f>'Assumptions'!$D$11+'Assumptions'!$D$12*(0.5-(G1132+H1132)/2)</x:f>
        <x:v>0.3666666666666667</x:v>
      </x:c>
      <x:c r="J1132" s="27" t="n">
        <x:f>'Assumptions'!$D$8*EXP(-'Assumptions'!$D$9*('Fleet Engine'!E199-10))*'Assumptions'!E55*'Assumptions'!I36</x:f>
        <x:v>4965.853037914095</x:v>
      </x:c>
      <x:c r="K1132" s="27" t="n">
        <x:f>'Source Data'!F222+LN('Assumptions'!D55)+LN('Assumptions'!I35)</x:f>
        <x:v>8.0496367177205</x:v>
      </x:c>
      <x:c r="L1132" s="27" t="n">
        <x:f>J1132*(1-I1132*(1-'Carrier Engine'!E96))</x:f>
        <x:v>3217.872768568333</x:v>
      </x:c>
      <x:c r="M1132" s="29" t="n">
        <x:f>NORM.S.DIST((LN(L1132)-K1132)/'Assumptions'!$D$10,TRUE)</x:f>
        <x:v>0.5068186718451688</x:v>
      </x:c>
      <x:c r="N1132" s="30" t="n">
        <x:f>MAX(0,H1132-MAX(G1132,M1132))</x:f>
        <x:v>0</x:v>
      </x:c>
      <x:c r="O1132" s="28" t="n">
        <x:f>J1132*I1132</x:f>
        <x:v>1820.8127805685015</x:v>
      </x:c>
      <x:c r="P1132" s="27" t="n">
        <x:f>(VLOOKUP(O1132,'Fee Data'!$C$6:$G$50,2,TRUE)+O1132*VLOOKUP(O1132,'Fee Data'!$C$6:$G$50,3,TRUE)+VLOOKUP(O1132,'Fee Data'!$I$6:$J$14,2,TRUE)+'Fee Data'!$J$20+'Fee Data'!$J$21)*'Assumptions'!I37</x:f>
        <x:v>705</x:v>
      </x:c>
      <x:c r="Q1132" s="27" t="n">
        <x:f>(VLOOKUP(O1132,'Fee Data'!$C$6:$G$50,4,TRUE)+O1132*VLOOKUP(O1132,'Fee Data'!$C$6:$G$50,5,TRUE)+VLOOKUP(O1132,'Fee Data'!$I$6:$J$14,2,TRUE)+'Fee Data'!$J$20+'Fee Data'!$J$21)*'Assumptions'!I37</x:f>
        <x:v>565</x:v>
      </x:c>
      <x:c r="R1132" s="27" t="n">
        <x:f>P1132*(1-'Assumptions'!$D$14)+Q1132*'Assumptions'!$D$14</x:f>
        <x:v>635</x:v>
      </x:c>
      <x:c r="S1132" s="27" t="n">
        <x:f>O1132*'Carrier Engine'!E96</x:f>
        <x:v>72.83251122274007</x:v>
      </x:c>
      <x:c r="T1132" s="28" t="n">
        <x:f>R1132+S1132</x:f>
        <x:v>707.8325112227401</x:v>
      </x:c>
      <x:c r="U1132" s="27" t="n">
        <x:f>N1132*'Fleet Engine'!K199</x:f>
        <x:v>0</x:v>
      </x:c>
      <x:c r="V1132" s="28" t="n">
        <x:f>U1132*T1132</x:f>
        <x:v>0</x:v>
      </x:c>
      <x:c r="W1132" s="28" t="n">
        <x:f>U1132*O1132</x:f>
        <x:v>0</x:v>
      </x:c>
    </x:row>
    <x:row r="1133" ht="19" customHeight="1">
      <x:c r="A1133" s="2"/>
      <x:c r="B1133" s="2"/>
      <x:c r="C1133" s="46" t="n">
        <x:v>5</x:v>
      </x:c>
      <x:c r="D1133" s="46" t="n">
        <x:v>5</x:v>
      </x:c>
      <x:c r="E1133" s="46" t="n">
        <x:v>0</x:v>
      </x:c>
      <x:c r="F1133" s="46" t="n">
        <x:v>5</x:v>
      </x:c>
      <x:c r="G1133" s="12" t="n">
        <x:v>0.2222222222222222</x:v>
      </x:c>
      <x:c r="H1133" s="12" t="n">
        <x:v>0.3333333333333333</x:v>
      </x:c>
      <x:c r="I1133" s="29" t="n">
        <x:f>'Assumptions'!$D$11+'Assumptions'!$D$12*(0.5-(G1133+H1133)/2)</x:f>
        <x:v>0.34444444444444444</x:v>
      </x:c>
      <x:c r="J1133" s="27" t="n">
        <x:f>'Assumptions'!$D$8*EXP(-'Assumptions'!$D$9*('Fleet Engine'!E199-10))*'Assumptions'!E55*'Assumptions'!I36</x:f>
        <x:v>4965.853037914095</x:v>
      </x:c>
      <x:c r="K1133" s="27" t="n">
        <x:f>'Source Data'!F222+LN('Assumptions'!D55)+LN('Assumptions'!I35)</x:f>
        <x:v>8.0496367177205</x:v>
      </x:c>
      <x:c r="L1133" s="27" t="n">
        <x:f>J1133*(1-I1133*(1-'Carrier Engine'!E96))</x:f>
        <x:v>3323.810966710501</x:v>
      </x:c>
      <x:c r="M1133" s="29" t="n">
        <x:f>NORM.S.DIST((LN(L1133)-K1133)/'Assumptions'!$D$10,TRUE)</x:f>
        <x:v>0.5150451442708714</x:v>
      </x:c>
      <x:c r="N1133" s="30" t="n">
        <x:f>MAX(0,H1133-MAX(G1133,M1133))</x:f>
        <x:v>0</x:v>
      </x:c>
      <x:c r="O1133" s="28" t="n">
        <x:f>J1133*I1133</x:f>
        <x:v>1710.460490837077</x:v>
      </x:c>
      <x:c r="P1133" s="27" t="n">
        <x:f>(VLOOKUP(O1133,'Fee Data'!$C$6:$G$50,2,TRUE)+O1133*VLOOKUP(O1133,'Fee Data'!$C$6:$G$50,3,TRUE)+VLOOKUP(O1133,'Fee Data'!$I$6:$J$14,2,TRUE)+'Fee Data'!$J$20+'Fee Data'!$J$21)*'Assumptions'!I37</x:f>
        <x:v>680</x:v>
      </x:c>
      <x:c r="Q1133" s="27" t="n">
        <x:f>(VLOOKUP(O1133,'Fee Data'!$C$6:$G$50,4,TRUE)+O1133*VLOOKUP(O1133,'Fee Data'!$C$6:$G$50,5,TRUE)+VLOOKUP(O1133,'Fee Data'!$I$6:$J$14,2,TRUE)+'Fee Data'!$J$20+'Fee Data'!$J$21)*'Assumptions'!I37</x:f>
        <x:v>545</x:v>
      </x:c>
      <x:c r="R1133" s="27" t="n">
        <x:f>P1133*(1-'Assumptions'!$D$14)+Q1133*'Assumptions'!$D$14</x:f>
        <x:v>612.5</x:v>
      </x:c>
      <x:c r="S1133" s="27" t="n">
        <x:f>O1133*'Carrier Engine'!E96</x:f>
        <x:v>68.41841963348308</x:v>
      </x:c>
      <x:c r="T1133" s="28" t="n">
        <x:f>R1133+S1133</x:f>
        <x:v>680.918419633483</x:v>
      </x:c>
      <x:c r="U1133" s="27" t="n">
        <x:f>N1133*'Fleet Engine'!K199</x:f>
        <x:v>0</x:v>
      </x:c>
      <x:c r="V1133" s="28" t="n">
        <x:f>U1133*T1133</x:f>
        <x:v>0</x:v>
      </x:c>
      <x:c r="W1133" s="28" t="n">
        <x:f>U1133*O1133</x:f>
        <x:v>0</x:v>
      </x:c>
    </x:row>
    <x:row r="1134" ht="19" customHeight="1">
      <x:c r="A1134" s="2"/>
      <x:c r="B1134" s="2"/>
      <x:c r="C1134" s="46" t="n">
        <x:v>5</x:v>
      </x:c>
      <x:c r="D1134" s="46" t="n">
        <x:v>5</x:v>
      </x:c>
      <x:c r="E1134" s="46" t="n">
        <x:v>0</x:v>
      </x:c>
      <x:c r="F1134" s="46" t="n">
        <x:v>5</x:v>
      </x:c>
      <x:c r="G1134" s="12" t="n">
        <x:v>0.3333333333333333</x:v>
      </x:c>
      <x:c r="H1134" s="12" t="n">
        <x:v>0.4444444444444444</x:v>
      </x:c>
      <x:c r="I1134" s="29" t="n">
        <x:f>'Assumptions'!$D$11+'Assumptions'!$D$12*(0.5-(G1134+H1134)/2)</x:f>
        <x:v>0.32222222222222224</x:v>
      </x:c>
      <x:c r="J1134" s="27" t="n">
        <x:f>'Assumptions'!$D$8*EXP(-'Assumptions'!$D$9*('Fleet Engine'!E199-10))*'Assumptions'!E55*'Assumptions'!I36</x:f>
        <x:v>4965.853037914095</x:v>
      </x:c>
      <x:c r="K1134" s="27" t="n">
        <x:f>'Source Data'!F222+LN('Assumptions'!D55)+LN('Assumptions'!I35)</x:f>
        <x:v>8.0496367177205</x:v>
      </x:c>
      <x:c r="L1134" s="27" t="n">
        <x:f>J1134*(1-I1134*(1-'Carrier Engine'!E96))</x:f>
        <x:v>3429.749164852668</x:v>
      </x:c>
      <x:c r="M1134" s="29" t="n">
        <x:f>NORM.S.DIST((LN(L1134)-K1134)/'Assumptions'!$D$10,TRUE)</x:f>
        <x:v>0.5230074223798904</x:v>
      </x:c>
      <x:c r="N1134" s="30" t="n">
        <x:f>MAX(0,H1134-MAX(G1134,M1134))</x:f>
        <x:v>0</x:v>
      </x:c>
      <x:c r="O1134" s="28" t="n">
        <x:f>J1134*I1134</x:f>
        <x:v>1600.1082011056528</x:v>
      </x:c>
      <x:c r="P1134" s="27" t="n">
        <x:f>(VLOOKUP(O1134,'Fee Data'!$C$6:$G$50,2,TRUE)+O1134*VLOOKUP(O1134,'Fee Data'!$C$6:$G$50,3,TRUE)+VLOOKUP(O1134,'Fee Data'!$I$6:$J$14,2,TRUE)+'Fee Data'!$J$20+'Fee Data'!$J$21)*'Assumptions'!I37</x:f>
        <x:v>660</x:v>
      </x:c>
      <x:c r="Q1134" s="27" t="n">
        <x:f>(VLOOKUP(O1134,'Fee Data'!$C$6:$G$50,4,TRUE)+O1134*VLOOKUP(O1134,'Fee Data'!$C$6:$G$50,5,TRUE)+VLOOKUP(O1134,'Fee Data'!$I$6:$J$14,2,TRUE)+'Fee Data'!$J$20+'Fee Data'!$J$21)*'Assumptions'!I37</x:f>
        <x:v>525</x:v>
      </x:c>
      <x:c r="R1134" s="27" t="n">
        <x:f>P1134*(1-'Assumptions'!$D$14)+Q1134*'Assumptions'!$D$14</x:f>
        <x:v>592.5</x:v>
      </x:c>
      <x:c r="S1134" s="27" t="n">
        <x:f>O1134*'Carrier Engine'!E96</x:f>
        <x:v>64.00432804422611</x:v>
      </x:c>
      <x:c r="T1134" s="28" t="n">
        <x:f>R1134+S1134</x:f>
        <x:v>656.5043280442261</x:v>
      </x:c>
      <x:c r="U1134" s="27" t="n">
        <x:f>N1134*'Fleet Engine'!K199</x:f>
        <x:v>0</x:v>
      </x:c>
      <x:c r="V1134" s="28" t="n">
        <x:f>U1134*T1134</x:f>
        <x:v>0</x:v>
      </x:c>
      <x:c r="W1134" s="28" t="n">
        <x:f>U1134*O1134</x:f>
        <x:v>0</x:v>
      </x:c>
    </x:row>
    <x:row r="1135" ht="19" customHeight="1">
      <x:c r="A1135" s="2"/>
      <x:c r="B1135" s="2"/>
      <x:c r="C1135" s="46" t="n">
        <x:v>5</x:v>
      </x:c>
      <x:c r="D1135" s="46" t="n">
        <x:v>5</x:v>
      </x:c>
      <x:c r="E1135" s="46" t="n">
        <x:v>0</x:v>
      </x:c>
      <x:c r="F1135" s="46" t="n">
        <x:v>5</x:v>
      </x:c>
      <x:c r="G1135" s="12" t="n">
        <x:v>0.4444444444444444</x:v>
      </x:c>
      <x:c r="H1135" s="12" t="n">
        <x:v>0.5555555555555556</x:v>
      </x:c>
      <x:c r="I1135" s="29" t="n">
        <x:f>'Assumptions'!$D$11+'Assumptions'!$D$12*(0.5-(G1135+H1135)/2)</x:f>
        <x:v>0.3</x:v>
      </x:c>
      <x:c r="J1135" s="27" t="n">
        <x:f>'Assumptions'!$D$8*EXP(-'Assumptions'!$D$9*('Fleet Engine'!E199-10))*'Assumptions'!E55*'Assumptions'!I36</x:f>
        <x:v>4965.853037914095</x:v>
      </x:c>
      <x:c r="K1135" s="27" t="n">
        <x:f>'Source Data'!F222+LN('Assumptions'!D55)+LN('Assumptions'!I35)</x:f>
        <x:v>8.0496367177205</x:v>
      </x:c>
      <x:c r="L1135" s="27" t="n">
        <x:f>J1135*(1-I1135*(1-'Carrier Engine'!E96))</x:f>
        <x:v>3535.6873629948354</x:v>
      </x:c>
      <x:c r="M1135" s="29" t="n">
        <x:f>NORM.S.DIST((LN(L1135)-K1135)/'Assumptions'!$D$10,TRUE)</x:f>
        <x:v>0.530718734175407</x:v>
      </x:c>
      <x:c r="N1135" s="30" t="n">
        <x:f>MAX(0,H1135-MAX(G1135,M1135))</x:f>
        <x:v>0.024836821380148533</x:v>
      </x:c>
      <x:c r="O1135" s="28" t="n">
        <x:f>J1135*I1135</x:f>
        <x:v>1489.7559113742284</x:v>
      </x:c>
      <x:c r="P1135" s="27" t="n">
        <x:f>(VLOOKUP(O1135,'Fee Data'!$C$6:$G$50,2,TRUE)+O1135*VLOOKUP(O1135,'Fee Data'!$C$6:$G$50,3,TRUE)+VLOOKUP(O1135,'Fee Data'!$I$6:$J$14,2,TRUE)+'Fee Data'!$J$20+'Fee Data'!$J$21)*'Assumptions'!I37</x:f>
        <x:v>615</x:v>
      </x:c>
      <x:c r="Q1135" s="27" t="n">
        <x:f>(VLOOKUP(O1135,'Fee Data'!$C$6:$G$50,4,TRUE)+O1135*VLOOKUP(O1135,'Fee Data'!$C$6:$G$50,5,TRUE)+VLOOKUP(O1135,'Fee Data'!$I$6:$J$14,2,TRUE)+'Fee Data'!$J$20+'Fee Data'!$J$21)*'Assumptions'!I37</x:f>
        <x:v>485</x:v>
      </x:c>
      <x:c r="R1135" s="27" t="n">
        <x:f>P1135*(1-'Assumptions'!$D$14)+Q1135*'Assumptions'!$D$14</x:f>
        <x:v>550</x:v>
      </x:c>
      <x:c r="S1135" s="27" t="n">
        <x:f>O1135*'Carrier Engine'!E96</x:f>
        <x:v>59.59023645496914</x:v>
      </x:c>
      <x:c r="T1135" s="28" t="n">
        <x:f>R1135+S1135</x:f>
        <x:v>609.5902364549692</x:v>
      </x:c>
      <x:c r="U1135" s="27" t="n">
        <x:f>N1135*'Fleet Engine'!K199</x:f>
        <x:v>449.08745888358345</x:v>
      </x:c>
      <x:c r="V1135" s="28" t="n">
        <x:f>U1135*T1135</x:f>
        <x:v>273759.3302498049</x:v>
      </x:c>
      <x:c r="W1135" s="28" t="n">
        <x:f>U1135*O1135</x:f>
        <x:v>669030.6965958492</x:v>
      </x:c>
    </x:row>
    <x:row r="1136" ht="19" customHeight="1">
      <x:c r="A1136" s="2"/>
      <x:c r="B1136" s="2"/>
      <x:c r="C1136" s="46" t="n">
        <x:v>5</x:v>
      </x:c>
      <x:c r="D1136" s="46" t="n">
        <x:v>5</x:v>
      </x:c>
      <x:c r="E1136" s="46" t="n">
        <x:v>0</x:v>
      </x:c>
      <x:c r="F1136" s="46" t="n">
        <x:v>5</x:v>
      </x:c>
      <x:c r="G1136" s="12" t="n">
        <x:v>0.5555555555555556</x:v>
      </x:c>
      <x:c r="H1136" s="12" t="n">
        <x:v>0.6666666666666666</x:v>
      </x:c>
      <x:c r="I1136" s="29" t="n">
        <x:f>'Assumptions'!$D$11+'Assumptions'!$D$12*(0.5-(G1136+H1136)/2)</x:f>
        <x:v>0.27777777777777773</x:v>
      </x:c>
      <x:c r="J1136" s="27" t="n">
        <x:f>'Assumptions'!$D$8*EXP(-'Assumptions'!$D$9*('Fleet Engine'!E199-10))*'Assumptions'!E55*'Assumptions'!I36</x:f>
        <x:v>4965.853037914095</x:v>
      </x:c>
      <x:c r="K1136" s="27" t="n">
        <x:f>'Source Data'!F222+LN('Assumptions'!D55)+LN('Assumptions'!I35)</x:f>
        <x:v>8.0496367177205</x:v>
      </x:c>
      <x:c r="L1136" s="27" t="n">
        <x:f>J1136*(1-I1136*(1-'Carrier Engine'!E96))</x:f>
        <x:v>3641.625561137003</x:v>
      </x:c>
      <x:c r="M1136" s="29" t="n">
        <x:f>NORM.S.DIST((LN(L1136)-K1136)/'Assumptions'!$D$10,TRUE)</x:f>
        <x:v>0.5381913977645012</x:v>
      </x:c>
      <x:c r="N1136" s="30" t="n">
        <x:f>MAX(0,H1136-MAX(G1136,M1136))</x:f>
        <x:v>0.11111111111111105</x:v>
      </x:c>
      <x:c r="O1136" s="28" t="n">
        <x:f>J1136*I1136</x:f>
        <x:v>1379.403621642804</x:v>
      </x:c>
      <x:c r="P1136" s="27" t="n">
        <x:f>(VLOOKUP(O1136,'Fee Data'!$C$6:$G$50,2,TRUE)+O1136*VLOOKUP(O1136,'Fee Data'!$C$6:$G$50,3,TRUE)+VLOOKUP(O1136,'Fee Data'!$I$6:$J$14,2,TRUE)+'Fee Data'!$J$20+'Fee Data'!$J$21)*'Assumptions'!I37</x:f>
        <x:v>595</x:v>
      </x:c>
      <x:c r="Q1136" s="27" t="n">
        <x:f>(VLOOKUP(O1136,'Fee Data'!$C$6:$G$50,4,TRUE)+O1136*VLOOKUP(O1136,'Fee Data'!$C$6:$G$50,5,TRUE)+VLOOKUP(O1136,'Fee Data'!$I$6:$J$14,2,TRUE)+'Fee Data'!$J$20+'Fee Data'!$J$21)*'Assumptions'!I37</x:f>
        <x:v>470</x:v>
      </x:c>
      <x:c r="R1136" s="27" t="n">
        <x:f>P1136*(1-'Assumptions'!$D$14)+Q1136*'Assumptions'!$D$14</x:f>
        <x:v>532.5</x:v>
      </x:c>
      <x:c r="S1136" s="27" t="n">
        <x:f>O1136*'Carrier Engine'!E96</x:f>
        <x:v>55.17614486571216</x:v>
      </x:c>
      <x:c r="T1136" s="28" t="n">
        <x:f>R1136+S1136</x:f>
        <x:v>587.6761448657121</x:v>
      </x:c>
      <x:c r="U1136" s="27" t="n">
        <x:f>N1136*'Fleet Engine'!K199</x:f>
        <x:v>2009.057672029767</x:v>
      </x:c>
      <x:c r="V1136" s="28" t="n">
        <x:f>U1136*T1136</x:f>
        <x:v>1180675.2675113357</x:v>
      </x:c>
      <x:c r="W1136" s="28" t="n">
        <x:f>U1136*O1136</x:f>
        <x:v>2771301.4288871214</x:v>
      </x:c>
    </x:row>
    <x:row r="1137" ht="19" customHeight="1">
      <x:c r="A1137" s="2"/>
      <x:c r="B1137" s="2"/>
      <x:c r="C1137" s="46" t="n">
        <x:v>5</x:v>
      </x:c>
      <x:c r="D1137" s="46" t="n">
        <x:v>5</x:v>
      </x:c>
      <x:c r="E1137" s="46" t="n">
        <x:v>0</x:v>
      </x:c>
      <x:c r="F1137" s="46" t="n">
        <x:v>5</x:v>
      </x:c>
      <x:c r="G1137" s="12" t="n">
        <x:v>0.6666666666666666</x:v>
      </x:c>
      <x:c r="H1137" s="12" t="n">
        <x:v>0.7777777777777778</x:v>
      </x:c>
      <x:c r="I1137" s="29" t="n">
        <x:f>'Assumptions'!$D$11+'Assumptions'!$D$12*(0.5-(G1137+H1137)/2)</x:f>
        <x:v>0.25555555555555554</x:v>
      </x:c>
      <x:c r="J1137" s="27" t="n">
        <x:f>'Assumptions'!$D$8*EXP(-'Assumptions'!$D$9*('Fleet Engine'!E199-10))*'Assumptions'!E55*'Assumptions'!I36</x:f>
        <x:v>4965.853037914095</x:v>
      </x:c>
      <x:c r="K1137" s="27" t="n">
        <x:f>'Source Data'!F222+LN('Assumptions'!D55)+LN('Assumptions'!I35)</x:f>
        <x:v>8.0496367177205</x:v>
      </x:c>
      <x:c r="L1137" s="27" t="n">
        <x:f>J1137*(1-I1137*(1-'Carrier Engine'!E96))</x:f>
        <x:v>3747.5637592791704</x:v>
      </x:c>
      <x:c r="M1137" s="29" t="n">
        <x:f>NORM.S.DIST((LN(L1137)-K1137)/'Assumptions'!$D$10,TRUE)</x:f>
        <x:v>0.5454369007114661</x:v>
      </x:c>
      <x:c r="N1137" s="30" t="n">
        <x:f>MAX(0,H1137-MAX(G1137,M1137))</x:f>
        <x:v>0.11111111111111116</x:v>
      </x:c>
      <x:c r="O1137" s="28" t="n">
        <x:f>J1137*I1137</x:f>
        <x:v>1269.0513319113797</x:v>
      </x:c>
      <x:c r="P1137" s="27" t="n">
        <x:f>(VLOOKUP(O1137,'Fee Data'!$C$6:$G$50,2,TRUE)+O1137*VLOOKUP(O1137,'Fee Data'!$C$6:$G$50,3,TRUE)+VLOOKUP(O1137,'Fee Data'!$I$6:$J$14,2,TRUE)+'Fee Data'!$J$20+'Fee Data'!$J$21)*'Assumptions'!I37</x:f>
        <x:v>580</x:v>
      </x:c>
      <x:c r="Q1137" s="27" t="n">
        <x:f>(VLOOKUP(O1137,'Fee Data'!$C$6:$G$50,4,TRUE)+O1137*VLOOKUP(O1137,'Fee Data'!$C$6:$G$50,5,TRUE)+VLOOKUP(O1137,'Fee Data'!$I$6:$J$14,2,TRUE)+'Fee Data'!$J$20+'Fee Data'!$J$21)*'Assumptions'!I37</x:f>
        <x:v>455</x:v>
      </x:c>
      <x:c r="R1137" s="27" t="n">
        <x:f>P1137*(1-'Assumptions'!$D$14)+Q1137*'Assumptions'!$D$14</x:f>
        <x:v>517.5</x:v>
      </x:c>
      <x:c r="S1137" s="27" t="n">
        <x:f>O1137*'Carrier Engine'!E96</x:f>
        <x:v>50.76205327645519</x:v>
      </x:c>
      <x:c r="T1137" s="28" t="n">
        <x:f>R1137+S1137</x:f>
        <x:v>568.2620532764552</x:v>
      </x:c>
      <x:c r="U1137" s="27" t="n">
        <x:f>N1137*'Fleet Engine'!K199</x:f>
        <x:v>2009.057672029769</x:v>
      </x:c>
      <x:c r="V1137" s="28" t="n">
        <x:f>U1137*T1137</x:f>
        <x:v>1141671.2378584517</x:v>
      </x:c>
      <x:c r="W1137" s="28" t="n">
        <x:f>U1137*O1137</x:f>
        <x:v>2549597.3145761546</x:v>
      </x:c>
    </x:row>
    <x:row r="1138" ht="19" customHeight="1">
      <x:c r="A1138" s="2"/>
      <x:c r="B1138" s="2"/>
      <x:c r="C1138" s="46" t="n">
        <x:v>5</x:v>
      </x:c>
      <x:c r="D1138" s="46" t="n">
        <x:v>5</x:v>
      </x:c>
      <x:c r="E1138" s="46" t="n">
        <x:v>0</x:v>
      </x:c>
      <x:c r="F1138" s="46" t="n">
        <x:v>5</x:v>
      </x:c>
      <x:c r="G1138" s="12" t="n">
        <x:v>0.7777777777777778</x:v>
      </x:c>
      <x:c r="H1138" s="12" t="n">
        <x:v>0.8888888888888888</x:v>
      </x:c>
      <x:c r="I1138" s="29" t="n">
        <x:f>'Assumptions'!$D$11+'Assumptions'!$D$12*(0.5-(G1138+H1138)/2)</x:f>
        <x:v>0.23333333333333334</x:v>
      </x:c>
      <x:c r="J1138" s="27" t="n">
        <x:f>'Assumptions'!$D$8*EXP(-'Assumptions'!$D$9*('Fleet Engine'!E199-10))*'Assumptions'!E55*'Assumptions'!I36</x:f>
        <x:v>4965.853037914095</x:v>
      </x:c>
      <x:c r="K1138" s="27" t="n">
        <x:f>'Source Data'!F222+LN('Assumptions'!D55)+LN('Assumptions'!I35)</x:f>
        <x:v>8.0496367177205</x:v>
      </x:c>
      <x:c r="L1138" s="27" t="n">
        <x:f>J1138*(1-I1138*(1-'Carrier Engine'!E96))</x:f>
        <x:v>3853.5019574213375</x:v>
      </x:c>
      <x:c r="M1138" s="29" t="n">
        <x:f>NORM.S.DIST((LN(L1138)-K1138)/'Assumptions'!$D$10,TRUE)</x:f>
        <x:v>0.5524659710850595</x:v>
      </x:c>
      <x:c r="N1138" s="30" t="n">
        <x:f>MAX(0,H1138-MAX(G1138,M1138))</x:f>
        <x:v>0.11111111111111105</x:v>
      </x:c>
      <x:c r="O1138" s="28" t="n">
        <x:f>J1138*I1138</x:f>
        <x:v>1158.6990421799555</x:v>
      </x:c>
      <x:c r="P1138" s="27" t="n">
        <x:f>(VLOOKUP(O1138,'Fee Data'!$C$6:$G$50,2,TRUE)+O1138*VLOOKUP(O1138,'Fee Data'!$C$6:$G$50,3,TRUE)+VLOOKUP(O1138,'Fee Data'!$I$6:$J$14,2,TRUE)+'Fee Data'!$J$20+'Fee Data'!$J$21)*'Assumptions'!I37</x:f>
        <x:v>560</x:v>
      </x:c>
      <x:c r="Q1138" s="27" t="n">
        <x:f>(VLOOKUP(O1138,'Fee Data'!$C$6:$G$50,4,TRUE)+O1138*VLOOKUP(O1138,'Fee Data'!$C$6:$G$50,5,TRUE)+VLOOKUP(O1138,'Fee Data'!$I$6:$J$14,2,TRUE)+'Fee Data'!$J$20+'Fee Data'!$J$21)*'Assumptions'!I37</x:f>
        <x:v>435</x:v>
      </x:c>
      <x:c r="R1138" s="27" t="n">
        <x:f>P1138*(1-'Assumptions'!$D$14)+Q1138*'Assumptions'!$D$14</x:f>
        <x:v>497.5</x:v>
      </x:c>
      <x:c r="S1138" s="27" t="n">
        <x:f>O1138*'Carrier Engine'!E96</x:f>
        <x:v>46.34796168719822</x:v>
      </x:c>
      <x:c r="T1138" s="28" t="n">
        <x:f>R1138+S1138</x:f>
        <x:v>543.8479616871982</x:v>
      </x:c>
      <x:c r="U1138" s="27" t="n">
        <x:f>N1138*'Fleet Engine'!K199</x:f>
        <x:v>2009.057672029767</x:v>
      </x:c>
      <x:c r="V1138" s="28" t="n">
        <x:f>U1138*T1138</x:f>
        <x:v>1092621.9198454164</x:v>
      </x:c>
      <x:c r="W1138" s="28" t="n">
        <x:f>U1138*O1138</x:f>
        <x:v>2327893.200265182</x:v>
      </x:c>
    </x:row>
    <x:row r="1139" ht="19" customHeight="1">
      <x:c r="A1139" s="2"/>
      <x:c r="B1139" s="2"/>
      <x:c r="C1139" s="46" t="n">
        <x:v>5</x:v>
      </x:c>
      <x:c r="D1139" s="46" t="n">
        <x:v>5</x:v>
      </x:c>
      <x:c r="E1139" s="46" t="n">
        <x:v>0</x:v>
      </x:c>
      <x:c r="F1139" s="46" t="n">
        <x:v>5</x:v>
      </x:c>
      <x:c r="G1139" s="12" t="n">
        <x:v>0.8888888888888888</x:v>
      </x:c>
      <x:c r="H1139" s="12" t="n">
        <x:v>1</x:v>
      </x:c>
      <x:c r="I1139" s="29" t="n">
        <x:f>'Assumptions'!$D$11+'Assumptions'!$D$12*(0.5-(G1139+H1139)/2)</x:f>
        <x:v>0.21111111111111108</x:v>
      </x:c>
      <x:c r="J1139" s="27" t="n">
        <x:f>'Assumptions'!$D$8*EXP(-'Assumptions'!$D$9*('Fleet Engine'!E199-10))*'Assumptions'!E55*'Assumptions'!I36</x:f>
        <x:v>4965.853037914095</x:v>
      </x:c>
      <x:c r="K1139" s="27" t="n">
        <x:f>'Source Data'!F222+LN('Assumptions'!D55)+LN('Assumptions'!I35)</x:f>
        <x:v>8.0496367177205</x:v>
      </x:c>
      <x:c r="L1139" s="27" t="n">
        <x:f>J1139*(1-I1139*(1-'Carrier Engine'!E96))</x:f>
        <x:v>3959.440155563505</x:v>
      </x:c>
      <x:c r="M1139" s="29" t="n">
        <x:f>NORM.S.DIST((LN(L1139)-K1139)/'Assumptions'!$D$10,TRUE)</x:f>
        <x:v>0.5592886412015461</x:v>
      </x:c>
      <x:c r="N1139" s="30" t="n">
        <x:f>MAX(0,H1139-MAX(G1139,M1139))</x:f>
        <x:v>0.11111111111111116</x:v>
      </x:c>
      <x:c r="O1139" s="28" t="n">
        <x:f>J1139*I1139</x:f>
        <x:v>1048.3467524485309</x:v>
      </x:c>
      <x:c r="P1139" s="27" t="n">
        <x:f>(VLOOKUP(O1139,'Fee Data'!$C$6:$G$50,2,TRUE)+O1139*VLOOKUP(O1139,'Fee Data'!$C$6:$G$50,3,TRUE)+VLOOKUP(O1139,'Fee Data'!$I$6:$J$14,2,TRUE)+'Fee Data'!$J$20+'Fee Data'!$J$21)*'Assumptions'!I37</x:f>
        <x:v>560</x:v>
      </x:c>
      <x:c r="Q1139" s="27" t="n">
        <x:f>(VLOOKUP(O1139,'Fee Data'!$C$6:$G$50,4,TRUE)+O1139*VLOOKUP(O1139,'Fee Data'!$C$6:$G$50,5,TRUE)+VLOOKUP(O1139,'Fee Data'!$I$6:$J$14,2,TRUE)+'Fee Data'!$J$20+'Fee Data'!$J$21)*'Assumptions'!I37</x:f>
        <x:v>435</x:v>
      </x:c>
      <x:c r="R1139" s="27" t="n">
        <x:f>P1139*(1-'Assumptions'!$D$14)+Q1139*'Assumptions'!$D$14</x:f>
        <x:v>497.5</x:v>
      </x:c>
      <x:c r="S1139" s="27" t="n">
        <x:f>O1139*'Carrier Engine'!E96</x:f>
        <x:v>41.93387009794124</x:v>
      </x:c>
      <x:c r="T1139" s="28" t="n">
        <x:f>R1139+S1139</x:f>
        <x:v>539.4338700979413</x:v>
      </x:c>
      <x:c r="U1139" s="27" t="n">
        <x:f>N1139*'Fleet Engine'!K199</x:f>
        <x:v>2009.057672029769</x:v>
      </x:c>
      <x:c r="V1139" s="28" t="n">
        <x:f>U1139*T1139</x:f>
        <x:v>1083753.7552729787</x:v>
      </x:c>
      <x:c r="W1139" s="28" t="n">
        <x:f>U1139*O1139</x:f>
        <x:v>2106189.085954214</x:v>
      </x:c>
    </x:row>
    <x:row r="1140" ht="19" customHeight="1">
      <x:c r="A1140" s="2"/>
      <x:c r="B1140" s="2"/>
      <x:c r="C1140" s="46" t="n">
        <x:v>5</x:v>
      </x:c>
      <x:c r="D1140" s="46" t="n">
        <x:v>6</x:v>
      </x:c>
      <x:c r="E1140" s="46" t="n">
        <x:v>1</x:v>
      </x:c>
      <x:c r="F1140" s="46" t="n">
        <x:v>0</x:v>
      </x:c>
      <x:c r="G1140" s="12" t="n">
        <x:v>0</x:v>
      </x:c>
      <x:c r="H1140" s="12" t="n">
        <x:v>0.1111111111111111</x:v>
      </x:c>
      <x:c r="I1140" s="29" t="n">
        <x:f>'Assumptions'!$D$11+'Assumptions'!$D$12*(0.5-(G1140+H1140)/2)</x:f>
        <x:v>0.3888888888888889</x:v>
      </x:c>
      <x:c r="J1140" s="27" t="n">
        <x:f>'Assumptions'!$D$8*EXP(-'Assumptions'!$D$9*('Fleet Engine'!E200-10))*'Assumptions'!E56*'Assumptions'!I36</x:f>
        <x:v>30662.21902501803</x:v>
      </x:c>
      <x:c r="K1140" s="27" t="n">
        <x:f>'Source Data'!F217+LN('Assumptions'!D56)+LN('Assumptions'!I35)</x:f>
        <x:v>8.031104662881733</x:v>
      </x:c>
      <x:c r="L1140" s="27" t="n">
        <x:f>J1140*(1-I1140*(1-'Carrier Engine'!E96))</x:f>
        <x:v>19214.9905890113</x:v>
      </x:c>
      <x:c r="M1140" s="29" t="n">
        <x:f>NORM.S.DIST((LN(L1140)-K1140)/'Assumptions'!$D$10,TRUE)</x:f>
        <x:v>0.8783833710855731</x:v>
      </x:c>
      <x:c r="N1140" s="30" t="n">
        <x:f>MAX(0,H1140-MAX(G1140,M1140))</x:f>
        <x:v>0</x:v>
      </x:c>
      <x:c r="O1140" s="28" t="n">
        <x:f>J1140*I1140</x:f>
        <x:v>11924.196287507011</x:v>
      </x:c>
      <x:c r="P1140" s="27" t="n">
        <x:f>(VLOOKUP(O1140,'Fee Data'!$C$6:$G$50,2,TRUE)+O1140*VLOOKUP(O1140,'Fee Data'!$C$6:$G$50,3,TRUE)+VLOOKUP(O1140,'Fee Data'!$I$6:$J$14,2,TRUE)+'Fee Data'!$J$20+'Fee Data'!$J$21)*'Assumptions'!I37</x:f>
        <x:v>1250</x:v>
      </x:c>
      <x:c r="Q1140" s="27" t="n">
        <x:f>(VLOOKUP(O1140,'Fee Data'!$C$6:$G$50,4,TRUE)+O1140*VLOOKUP(O1140,'Fee Data'!$C$6:$G$50,5,TRUE)+VLOOKUP(O1140,'Fee Data'!$I$6:$J$14,2,TRUE)+'Fee Data'!$J$20+'Fee Data'!$J$21)*'Assumptions'!I37</x:f>
        <x:v>1110</x:v>
      </x:c>
      <x:c r="R1140" s="27" t="n">
        <x:f>P1140*(1-'Assumptions'!$D$14)+Q1140*'Assumptions'!$D$14</x:f>
        <x:v>1180</x:v>
      </x:c>
      <x:c r="S1140" s="27" t="n">
        <x:f>O1140*'Carrier Engine'!E96</x:f>
        <x:v>476.96785150028046</x:v>
      </x:c>
      <x:c r="T1140" s="28" t="n">
        <x:f>R1140+S1140</x:f>
        <x:v>1656.9678515002804</x:v>
      </x:c>
      <x:c r="U1140" s="27" t="n">
        <x:f>N1140*'Fleet Engine'!K200</x:f>
        <x:v>0</x:v>
      </x:c>
      <x:c r="V1140" s="28" t="n">
        <x:f>U1140*T1140</x:f>
        <x:v>0</x:v>
      </x:c>
      <x:c r="W1140" s="28" t="n">
        <x:f>U1140*O1140</x:f>
        <x:v>0</x:v>
      </x:c>
    </x:row>
    <x:row r="1141" ht="19" customHeight="1">
      <x:c r="A1141" s="2"/>
      <x:c r="B1141" s="2"/>
      <x:c r="C1141" s="46" t="n">
        <x:v>5</x:v>
      </x:c>
      <x:c r="D1141" s="46" t="n">
        <x:v>6</x:v>
      </x:c>
      <x:c r="E1141" s="46" t="n">
        <x:v>1</x:v>
      </x:c>
      <x:c r="F1141" s="46" t="n">
        <x:v>0</x:v>
      </x:c>
      <x:c r="G1141" s="12" t="n">
        <x:v>0.1111111111111111</x:v>
      </x:c>
      <x:c r="H1141" s="12" t="n">
        <x:v>0.2222222222222222</x:v>
      </x:c>
      <x:c r="I1141" s="29" t="n">
        <x:f>'Assumptions'!$D$11+'Assumptions'!$D$12*(0.5-(G1141+H1141)/2)</x:f>
        <x:v>0.3666666666666667</x:v>
      </x:c>
      <x:c r="J1141" s="27" t="n">
        <x:f>'Assumptions'!$D$8*EXP(-'Assumptions'!$D$9*('Fleet Engine'!E200-10))*'Assumptions'!E56*'Assumptions'!I36</x:f>
        <x:v>30662.21902501803</x:v>
      </x:c>
      <x:c r="K1141" s="27" t="n">
        <x:f>'Source Data'!F217+LN('Assumptions'!D56)+LN('Assumptions'!I35)</x:f>
        <x:v>8.031104662881733</x:v>
      </x:c>
      <x:c r="L1141" s="27" t="n">
        <x:f>J1141*(1-I1141*(1-'Carrier Engine'!E96))</x:f>
        <x:v>19869.11792821168</x:v>
      </x:c>
      <x:c r="M1141" s="29" t="n">
        <x:f>NORM.S.DIST((LN(L1141)-K1141)/'Assumptions'!$D$10,TRUE)</x:f>
        <x:v>0.8826350510019572</x:v>
      </x:c>
      <x:c r="N1141" s="30" t="n">
        <x:f>MAX(0,H1141-MAX(G1141,M1141))</x:f>
        <x:v>0</x:v>
      </x:c>
      <x:c r="O1141" s="28" t="n">
        <x:f>J1141*I1141</x:f>
        <x:v>11242.813642506611</x:v>
      </x:c>
      <x:c r="P1141" s="27" t="n">
        <x:f>(VLOOKUP(O1141,'Fee Data'!$C$6:$G$50,2,TRUE)+O1141*VLOOKUP(O1141,'Fee Data'!$C$6:$G$50,3,TRUE)+VLOOKUP(O1141,'Fee Data'!$I$6:$J$14,2,TRUE)+'Fee Data'!$J$20+'Fee Data'!$J$21)*'Assumptions'!I37</x:f>
        <x:v>1250</x:v>
      </x:c>
      <x:c r="Q1141" s="27" t="n">
        <x:f>(VLOOKUP(O1141,'Fee Data'!$C$6:$G$50,4,TRUE)+O1141*VLOOKUP(O1141,'Fee Data'!$C$6:$G$50,5,TRUE)+VLOOKUP(O1141,'Fee Data'!$I$6:$J$14,2,TRUE)+'Fee Data'!$J$20+'Fee Data'!$J$21)*'Assumptions'!I37</x:f>
        <x:v>1100</x:v>
      </x:c>
      <x:c r="R1141" s="27" t="n">
        <x:f>P1141*(1-'Assumptions'!$D$14)+Q1141*'Assumptions'!$D$14</x:f>
        <x:v>1175</x:v>
      </x:c>
      <x:c r="S1141" s="27" t="n">
        <x:f>O1141*'Carrier Engine'!E96</x:f>
        <x:v>449.71254570026446</x:v>
      </x:c>
      <x:c r="T1141" s="28" t="n">
        <x:f>R1141+S1141</x:f>
        <x:v>1624.7125457002644</x:v>
      </x:c>
      <x:c r="U1141" s="27" t="n">
        <x:f>N1141*'Fleet Engine'!K200</x:f>
        <x:v>0</x:v>
      </x:c>
      <x:c r="V1141" s="28" t="n">
        <x:f>U1141*T1141</x:f>
        <x:v>0</x:v>
      </x:c>
      <x:c r="W1141" s="28" t="n">
        <x:f>U1141*O1141</x:f>
        <x:v>0</x:v>
      </x:c>
    </x:row>
    <x:row r="1142" ht="19" customHeight="1">
      <x:c r="A1142" s="2"/>
      <x:c r="B1142" s="2"/>
      <x:c r="C1142" s="46" t="n">
        <x:v>5</x:v>
      </x:c>
      <x:c r="D1142" s="46" t="n">
        <x:v>6</x:v>
      </x:c>
      <x:c r="E1142" s="46" t="n">
        <x:v>1</x:v>
      </x:c>
      <x:c r="F1142" s="46" t="n">
        <x:v>0</x:v>
      </x:c>
      <x:c r="G1142" s="12" t="n">
        <x:v>0.2222222222222222</x:v>
      </x:c>
      <x:c r="H1142" s="12" t="n">
        <x:v>0.3333333333333333</x:v>
      </x:c>
      <x:c r="I1142" s="29" t="n">
        <x:f>'Assumptions'!$D$11+'Assumptions'!$D$12*(0.5-(G1142+H1142)/2)</x:f>
        <x:v>0.34444444444444444</x:v>
      </x:c>
      <x:c r="J1142" s="27" t="n">
        <x:f>'Assumptions'!$D$8*EXP(-'Assumptions'!$D$9*('Fleet Engine'!E200-10))*'Assumptions'!E56*'Assumptions'!I36</x:f>
        <x:v>30662.21902501803</x:v>
      </x:c>
      <x:c r="K1142" s="27" t="n">
        <x:f>'Source Data'!F217+LN('Assumptions'!D56)+LN('Assumptions'!I35)</x:f>
        <x:v>8.031104662881733</x:v>
      </x:c>
      <x:c r="L1142" s="27" t="n">
        <x:f>J1142*(1-I1142*(1-'Carrier Engine'!E96))</x:f>
        <x:v>20523.24526741207</x:v>
      </x:c>
      <x:c r="M1142" s="29" t="n">
        <x:f>NORM.S.DIST((LN(L1142)-K1142)/'Assumptions'!$D$10,TRUE)</x:f>
        <x:v>0.8866477524669126</x:v>
      </x:c>
      <x:c r="N1142" s="30" t="n">
        <x:f>MAX(0,H1142-MAX(G1142,M1142))</x:f>
        <x:v>0</x:v>
      </x:c>
      <x:c r="O1142" s="28" t="n">
        <x:f>J1142*I1142</x:f>
        <x:v>10561.43099750621</x:v>
      </x:c>
      <x:c r="P1142" s="27" t="n">
        <x:f>(VLOOKUP(O1142,'Fee Data'!$C$6:$G$50,2,TRUE)+O1142*VLOOKUP(O1142,'Fee Data'!$C$6:$G$50,3,TRUE)+VLOOKUP(O1142,'Fee Data'!$I$6:$J$14,2,TRUE)+'Fee Data'!$J$20+'Fee Data'!$J$21)*'Assumptions'!I37</x:f>
        <x:v>1250</x:v>
      </x:c>
      <x:c r="Q1142" s="27" t="n">
        <x:f>(VLOOKUP(O1142,'Fee Data'!$C$6:$G$50,4,TRUE)+O1142*VLOOKUP(O1142,'Fee Data'!$C$6:$G$50,5,TRUE)+VLOOKUP(O1142,'Fee Data'!$I$6:$J$14,2,TRUE)+'Fee Data'!$J$20+'Fee Data'!$J$21)*'Assumptions'!I37</x:f>
        <x:v>1100</x:v>
      </x:c>
      <x:c r="R1142" s="27" t="n">
        <x:f>P1142*(1-'Assumptions'!$D$14)+Q1142*'Assumptions'!$D$14</x:f>
        <x:v>1175</x:v>
      </x:c>
      <x:c r="S1142" s="27" t="n">
        <x:f>O1142*'Carrier Engine'!E96</x:f>
        <x:v>422.4572399002484</x:v>
      </x:c>
      <x:c r="T1142" s="28" t="n">
        <x:f>R1142+S1142</x:f>
        <x:v>1597.4572399002484</x:v>
      </x:c>
      <x:c r="U1142" s="27" t="n">
        <x:f>N1142*'Fleet Engine'!K200</x:f>
        <x:v>0</x:v>
      </x:c>
      <x:c r="V1142" s="28" t="n">
        <x:f>U1142*T1142</x:f>
        <x:v>0</x:v>
      </x:c>
      <x:c r="W1142" s="28" t="n">
        <x:f>U1142*O1142</x:f>
        <x:v>0</x:v>
      </x:c>
    </x:row>
    <x:row r="1143" ht="19" customHeight="1">
      <x:c r="A1143" s="2"/>
      <x:c r="B1143" s="2"/>
      <x:c r="C1143" s="46" t="n">
        <x:v>5</x:v>
      </x:c>
      <x:c r="D1143" s="46" t="n">
        <x:v>6</x:v>
      </x:c>
      <x:c r="E1143" s="46" t="n">
        <x:v>1</x:v>
      </x:c>
      <x:c r="F1143" s="46" t="n">
        <x:v>0</x:v>
      </x:c>
      <x:c r="G1143" s="12" t="n">
        <x:v>0.3333333333333333</x:v>
      </x:c>
      <x:c r="H1143" s="12" t="n">
        <x:v>0.4444444444444444</x:v>
      </x:c>
      <x:c r="I1143" s="29" t="n">
        <x:f>'Assumptions'!$D$11+'Assumptions'!$D$12*(0.5-(G1143+H1143)/2)</x:f>
        <x:v>0.32222222222222224</x:v>
      </x:c>
      <x:c r="J1143" s="27" t="n">
        <x:f>'Assumptions'!$D$8*EXP(-'Assumptions'!$D$9*('Fleet Engine'!E200-10))*'Assumptions'!E56*'Assumptions'!I36</x:f>
        <x:v>30662.21902501803</x:v>
      </x:c>
      <x:c r="K1143" s="27" t="n">
        <x:f>'Source Data'!F217+LN('Assumptions'!D56)+LN('Assumptions'!I35)</x:f>
        <x:v>8.031104662881733</x:v>
      </x:c>
      <x:c r="L1143" s="27" t="n">
        <x:f>J1143*(1-I1143*(1-'Carrier Engine'!E96))</x:f>
        <x:v>21177.37260661245</x:v>
      </x:c>
      <x:c r="M1143" s="29" t="n">
        <x:f>NORM.S.DIST((LN(L1143)-K1143)/'Assumptions'!$D$10,TRUE)</x:f>
        <x:v>0.8904403113358262</x:v>
      </x:c>
      <x:c r="N1143" s="30" t="n">
        <x:f>MAX(0,H1143-MAX(G1143,M1143))</x:f>
        <x:v>0</x:v>
      </x:c>
      <x:c r="O1143" s="28" t="n">
        <x:f>J1143*I1143</x:f>
        <x:v>9880.04835250581</x:v>
      </x:c>
      <x:c r="P1143" s="27" t="n">
        <x:f>(VLOOKUP(O1143,'Fee Data'!$C$6:$G$50,2,TRUE)+O1143*VLOOKUP(O1143,'Fee Data'!$C$6:$G$50,3,TRUE)+VLOOKUP(O1143,'Fee Data'!$I$6:$J$14,2,TRUE)+'Fee Data'!$J$20+'Fee Data'!$J$21)*'Assumptions'!I37</x:f>
        <x:v>1195</x:v>
      </x:c>
      <x:c r="Q1143" s="27" t="n">
        <x:f>(VLOOKUP(O1143,'Fee Data'!$C$6:$G$50,4,TRUE)+O1143*VLOOKUP(O1143,'Fee Data'!$C$6:$G$50,5,TRUE)+VLOOKUP(O1143,'Fee Data'!$I$6:$J$14,2,TRUE)+'Fee Data'!$J$20+'Fee Data'!$J$21)*'Assumptions'!I37</x:f>
        <x:v>1070</x:v>
      </x:c>
      <x:c r="R1143" s="27" t="n">
        <x:f>P1143*(1-'Assumptions'!$D$14)+Q1143*'Assumptions'!$D$14</x:f>
        <x:v>1132.5</x:v>
      </x:c>
      <x:c r="S1143" s="27" t="n">
        <x:f>O1143*'Carrier Engine'!E96</x:f>
        <x:v>395.2019341002324</x:v>
      </x:c>
      <x:c r="T1143" s="28" t="n">
        <x:f>R1143+S1143</x:f>
        <x:v>1527.7019341002324</x:v>
      </x:c>
      <x:c r="U1143" s="27" t="n">
        <x:f>N1143*'Fleet Engine'!K200</x:f>
        <x:v>0</x:v>
      </x:c>
      <x:c r="V1143" s="28" t="n">
        <x:f>U1143*T1143</x:f>
        <x:v>0</x:v>
      </x:c>
      <x:c r="W1143" s="28" t="n">
        <x:f>U1143*O1143</x:f>
        <x:v>0</x:v>
      </x:c>
    </x:row>
    <x:row r="1144" ht="19" customHeight="1">
      <x:c r="A1144" s="2"/>
      <x:c r="B1144" s="2"/>
      <x:c r="C1144" s="46" t="n">
        <x:v>5</x:v>
      </x:c>
      <x:c r="D1144" s="46" t="n">
        <x:v>6</x:v>
      </x:c>
      <x:c r="E1144" s="46" t="n">
        <x:v>1</x:v>
      </x:c>
      <x:c r="F1144" s="46" t="n">
        <x:v>0</x:v>
      </x:c>
      <x:c r="G1144" s="12" t="n">
        <x:v>0.4444444444444444</x:v>
      </x:c>
      <x:c r="H1144" s="12" t="n">
        <x:v>0.5555555555555556</x:v>
      </x:c>
      <x:c r="I1144" s="29" t="n">
        <x:f>'Assumptions'!$D$11+'Assumptions'!$D$12*(0.5-(G1144+H1144)/2)</x:f>
        <x:v>0.3</x:v>
      </x:c>
      <x:c r="J1144" s="27" t="n">
        <x:f>'Assumptions'!$D$8*EXP(-'Assumptions'!$D$9*('Fleet Engine'!E200-10))*'Assumptions'!E56*'Assumptions'!I36</x:f>
        <x:v>30662.21902501803</x:v>
      </x:c>
      <x:c r="K1144" s="27" t="n">
        <x:f>'Source Data'!F217+LN('Assumptions'!D56)+LN('Assumptions'!I35)</x:f>
        <x:v>8.031104662881733</x:v>
      </x:c>
      <x:c r="L1144" s="27" t="n">
        <x:f>J1144*(1-I1144*(1-'Carrier Engine'!E96))</x:f>
        <x:v>21831.499945812837</x:v>
      </x:c>
      <x:c r="M1144" s="29" t="n">
        <x:f>NORM.S.DIST((LN(L1144)-K1144)/'Assumptions'!$D$10,TRUE)</x:f>
        <x:v>0.8940296485335917</x:v>
      </x:c>
      <x:c r="N1144" s="30" t="n">
        <x:f>MAX(0,H1144-MAX(G1144,M1144))</x:f>
        <x:v>0</x:v>
      </x:c>
      <x:c r="O1144" s="28" t="n">
        <x:f>J1144*I1144</x:f>
        <x:v>9198.665707505408</x:v>
      </x:c>
      <x:c r="P1144" s="27" t="n">
        <x:f>(VLOOKUP(O1144,'Fee Data'!$C$6:$G$50,2,TRUE)+O1144*VLOOKUP(O1144,'Fee Data'!$C$6:$G$50,3,TRUE)+VLOOKUP(O1144,'Fee Data'!$I$6:$J$14,2,TRUE)+'Fee Data'!$J$20+'Fee Data'!$J$21)*'Assumptions'!I37</x:f>
        <x:v>1195</x:v>
      </x:c>
      <x:c r="Q1144" s="27" t="n">
        <x:f>(VLOOKUP(O1144,'Fee Data'!$C$6:$G$50,4,TRUE)+O1144*VLOOKUP(O1144,'Fee Data'!$C$6:$G$50,5,TRUE)+VLOOKUP(O1144,'Fee Data'!$I$6:$J$14,2,TRUE)+'Fee Data'!$J$20+'Fee Data'!$J$21)*'Assumptions'!I37</x:f>
        <x:v>1070</x:v>
      </x:c>
      <x:c r="R1144" s="27" t="n">
        <x:f>P1144*(1-'Assumptions'!$D$14)+Q1144*'Assumptions'!$D$14</x:f>
        <x:v>1132.5</x:v>
      </x:c>
      <x:c r="S1144" s="27" t="n">
        <x:f>O1144*'Carrier Engine'!E96</x:f>
        <x:v>367.94662830021633</x:v>
      </x:c>
      <x:c r="T1144" s="28" t="n">
        <x:f>R1144+S1144</x:f>
        <x:v>1500.4466283002164</x:v>
      </x:c>
      <x:c r="U1144" s="27" t="n">
        <x:f>N1144*'Fleet Engine'!K200</x:f>
        <x:v>0</x:v>
      </x:c>
      <x:c r="V1144" s="28" t="n">
        <x:f>U1144*T1144</x:f>
        <x:v>0</x:v>
      </x:c>
      <x:c r="W1144" s="28" t="n">
        <x:f>U1144*O1144</x:f>
        <x:v>0</x:v>
      </x:c>
    </x:row>
    <x:row r="1145" ht="19" customHeight="1">
      <x:c r="A1145" s="2"/>
      <x:c r="B1145" s="2"/>
      <x:c r="C1145" s="46" t="n">
        <x:v>5</x:v>
      </x:c>
      <x:c r="D1145" s="46" t="n">
        <x:v>6</x:v>
      </x:c>
      <x:c r="E1145" s="46" t="n">
        <x:v>1</x:v>
      </x:c>
      <x:c r="F1145" s="46" t="n">
        <x:v>0</x:v>
      </x:c>
      <x:c r="G1145" s="12" t="n">
        <x:v>0.5555555555555556</x:v>
      </x:c>
      <x:c r="H1145" s="12" t="n">
        <x:v>0.6666666666666666</x:v>
      </x:c>
      <x:c r="I1145" s="29" t="n">
        <x:f>'Assumptions'!$D$11+'Assumptions'!$D$12*(0.5-(G1145+H1145)/2)</x:f>
        <x:v>0.27777777777777773</x:v>
      </x:c>
      <x:c r="J1145" s="27" t="n">
        <x:f>'Assumptions'!$D$8*EXP(-'Assumptions'!$D$9*('Fleet Engine'!E200-10))*'Assumptions'!E56*'Assumptions'!I36</x:f>
        <x:v>30662.21902501803</x:v>
      </x:c>
      <x:c r="K1145" s="27" t="n">
        <x:f>'Source Data'!F217+LN('Assumptions'!D56)+LN('Assumptions'!I35)</x:f>
        <x:v>8.031104662881733</x:v>
      </x:c>
      <x:c r="L1145" s="27" t="n">
        <x:f>J1145*(1-I1145*(1-'Carrier Engine'!E96))</x:f>
        <x:v>22485.627285013223</x:v>
      </x:c>
      <x:c r="M1145" s="29" t="n">
        <x:f>NORM.S.DIST((LN(L1145)-K1145)/'Assumptions'!$D$10,TRUE)</x:f>
        <x:v>0.8974310078578442</x:v>
      </x:c>
      <x:c r="N1145" s="30" t="n">
        <x:f>MAX(0,H1145-MAX(G1145,M1145))</x:f>
        <x:v>0</x:v>
      </x:c>
      <x:c r="O1145" s="28" t="n">
        <x:f>J1145*I1145</x:f>
        <x:v>8517.283062505006</x:v>
      </x:c>
      <x:c r="P1145" s="27" t="n">
        <x:f>(VLOOKUP(O1145,'Fee Data'!$C$6:$G$50,2,TRUE)+O1145*VLOOKUP(O1145,'Fee Data'!$C$6:$G$50,3,TRUE)+VLOOKUP(O1145,'Fee Data'!$I$6:$J$14,2,TRUE)+'Fee Data'!$J$20+'Fee Data'!$J$21)*'Assumptions'!I37</x:f>
        <x:v>1195</x:v>
      </x:c>
      <x:c r="Q1145" s="27" t="n">
        <x:f>(VLOOKUP(O1145,'Fee Data'!$C$6:$G$50,4,TRUE)+O1145*VLOOKUP(O1145,'Fee Data'!$C$6:$G$50,5,TRUE)+VLOOKUP(O1145,'Fee Data'!$I$6:$J$14,2,TRUE)+'Fee Data'!$J$20+'Fee Data'!$J$21)*'Assumptions'!I37</x:f>
        <x:v>1070</x:v>
      </x:c>
      <x:c r="R1145" s="27" t="n">
        <x:f>P1145*(1-'Assumptions'!$D$14)+Q1145*'Assumptions'!$D$14</x:f>
        <x:v>1132.5</x:v>
      </x:c>
      <x:c r="S1145" s="27" t="n">
        <x:f>O1145*'Carrier Engine'!E96</x:f>
        <x:v>340.6913225002003</x:v>
      </x:c>
      <x:c r="T1145" s="28" t="n">
        <x:f>R1145+S1145</x:f>
        <x:v>1473.1913225002004</x:v>
      </x:c>
      <x:c r="U1145" s="27" t="n">
        <x:f>N1145*'Fleet Engine'!K200</x:f>
        <x:v>0</x:v>
      </x:c>
      <x:c r="V1145" s="28" t="n">
        <x:f>U1145*T1145</x:f>
        <x:v>0</x:v>
      </x:c>
      <x:c r="W1145" s="28" t="n">
        <x:f>U1145*O1145</x:f>
        <x:v>0</x:v>
      </x:c>
    </x:row>
    <x:row r="1146" ht="19" customHeight="1">
      <x:c r="A1146" s="2"/>
      <x:c r="B1146" s="2"/>
      <x:c r="C1146" s="46" t="n">
        <x:v>5</x:v>
      </x:c>
      <x:c r="D1146" s="46" t="n">
        <x:v>6</x:v>
      </x:c>
      <x:c r="E1146" s="46" t="n">
        <x:v>1</x:v>
      </x:c>
      <x:c r="F1146" s="46" t="n">
        <x:v>0</x:v>
      </x:c>
      <x:c r="G1146" s="12" t="n">
        <x:v>0.6666666666666666</x:v>
      </x:c>
      <x:c r="H1146" s="12" t="n">
        <x:v>0.7777777777777778</x:v>
      </x:c>
      <x:c r="I1146" s="29" t="n">
        <x:f>'Assumptions'!$D$11+'Assumptions'!$D$12*(0.5-(G1146+H1146)/2)</x:f>
        <x:v>0.25555555555555554</x:v>
      </x:c>
      <x:c r="J1146" s="27" t="n">
        <x:f>'Assumptions'!$D$8*EXP(-'Assumptions'!$D$9*('Fleet Engine'!E200-10))*'Assumptions'!E56*'Assumptions'!I36</x:f>
        <x:v>30662.21902501803</x:v>
      </x:c>
      <x:c r="K1146" s="27" t="n">
        <x:f>'Source Data'!F217+LN('Assumptions'!D56)+LN('Assumptions'!I35)</x:f>
        <x:v>8.031104662881733</x:v>
      </x:c>
      <x:c r="L1146" s="27" t="n">
        <x:f>J1146*(1-I1146*(1-'Carrier Engine'!E96))</x:f>
        <x:v>23139.754624213605</x:v>
      </x:c>
      <x:c r="M1146" s="29" t="n">
        <x:f>NORM.S.DIST((LN(L1146)-K1146)/'Assumptions'!$D$10,TRUE)</x:f>
        <x:v>0.9006581590391973</x:v>
      </x:c>
      <x:c r="N1146" s="30" t="n">
        <x:f>MAX(0,H1146-MAX(G1146,M1146))</x:f>
        <x:v>0</x:v>
      </x:c>
      <x:c r="O1146" s="28" t="n">
        <x:f>J1146*I1146</x:f>
        <x:v>7835.900417504607</x:v>
      </x:c>
      <x:c r="P1146" s="27" t="n">
        <x:f>(VLOOKUP(O1146,'Fee Data'!$C$6:$G$50,2,TRUE)+O1146*VLOOKUP(O1146,'Fee Data'!$C$6:$G$50,3,TRUE)+VLOOKUP(O1146,'Fee Data'!$I$6:$J$14,2,TRUE)+'Fee Data'!$J$20+'Fee Data'!$J$21)*'Assumptions'!I37</x:f>
        <x:v>1135</x:v>
      </x:c>
      <x:c r="Q1146" s="27" t="n">
        <x:f>(VLOOKUP(O1146,'Fee Data'!$C$6:$G$50,4,TRUE)+O1146*VLOOKUP(O1146,'Fee Data'!$C$6:$G$50,5,TRUE)+VLOOKUP(O1146,'Fee Data'!$I$6:$J$14,2,TRUE)+'Fee Data'!$J$20+'Fee Data'!$J$21)*'Assumptions'!I37</x:f>
        <x:v>1010</x:v>
      </x:c>
      <x:c r="R1146" s="27" t="n">
        <x:f>P1146*(1-'Assumptions'!$D$14)+Q1146*'Assumptions'!$D$14</x:f>
        <x:v>1072.5</x:v>
      </x:c>
      <x:c r="S1146" s="27" t="n">
        <x:f>O1146*'Carrier Engine'!E96</x:f>
        <x:v>313.43601670018427</x:v>
      </x:c>
      <x:c r="T1146" s="28" t="n">
        <x:f>R1146+S1146</x:f>
        <x:v>1385.9360167001842</x:v>
      </x:c>
      <x:c r="U1146" s="27" t="n">
        <x:f>N1146*'Fleet Engine'!K200</x:f>
        <x:v>0</x:v>
      </x:c>
      <x:c r="V1146" s="28" t="n">
        <x:f>U1146*T1146</x:f>
        <x:v>0</x:v>
      </x:c>
      <x:c r="W1146" s="28" t="n">
        <x:f>U1146*O1146</x:f>
        <x:v>0</x:v>
      </x:c>
    </x:row>
    <x:row r="1147" ht="19" customHeight="1">
      <x:c r="A1147" s="2"/>
      <x:c r="B1147" s="2"/>
      <x:c r="C1147" s="46" t="n">
        <x:v>5</x:v>
      </x:c>
      <x:c r="D1147" s="46" t="n">
        <x:v>6</x:v>
      </x:c>
      <x:c r="E1147" s="46" t="n">
        <x:v>1</x:v>
      </x:c>
      <x:c r="F1147" s="46" t="n">
        <x:v>0</x:v>
      </x:c>
      <x:c r="G1147" s="12" t="n">
        <x:v>0.7777777777777778</x:v>
      </x:c>
      <x:c r="H1147" s="12" t="n">
        <x:v>0.8888888888888888</x:v>
      </x:c>
      <x:c r="I1147" s="29" t="n">
        <x:f>'Assumptions'!$D$11+'Assumptions'!$D$12*(0.5-(G1147+H1147)/2)</x:f>
        <x:v>0.23333333333333334</x:v>
      </x:c>
      <x:c r="J1147" s="27" t="n">
        <x:f>'Assumptions'!$D$8*EXP(-'Assumptions'!$D$9*('Fleet Engine'!E200-10))*'Assumptions'!E56*'Assumptions'!I36</x:f>
        <x:v>30662.21902501803</x:v>
      </x:c>
      <x:c r="K1147" s="27" t="n">
        <x:f>'Source Data'!F217+LN('Assumptions'!D56)+LN('Assumptions'!I35)</x:f>
        <x:v>8.031104662881733</x:v>
      </x:c>
      <x:c r="L1147" s="27" t="n">
        <x:f>J1147*(1-I1147*(1-'Carrier Engine'!E96))</x:f>
        <x:v>23793.88196341399</x:v>
      </x:c>
      <x:c r="M1147" s="29" t="n">
        <x:f>NORM.S.DIST((LN(L1147)-K1147)/'Assumptions'!$D$10,TRUE)</x:f>
        <x:v>0.9037235718702767</x:v>
      </x:c>
      <x:c r="N1147" s="30" t="n">
        <x:f>MAX(0,H1147-MAX(G1147,M1147))</x:f>
        <x:v>0</x:v>
      </x:c>
      <x:c r="O1147" s="28" t="n">
        <x:f>J1147*I1147</x:f>
        <x:v>7154.517772504207</x:v>
      </x:c>
      <x:c r="P1147" s="27" t="n">
        <x:f>(VLOOKUP(O1147,'Fee Data'!$C$6:$G$50,2,TRUE)+O1147*VLOOKUP(O1147,'Fee Data'!$C$6:$G$50,3,TRUE)+VLOOKUP(O1147,'Fee Data'!$I$6:$J$14,2,TRUE)+'Fee Data'!$J$20+'Fee Data'!$J$21)*'Assumptions'!I37</x:f>
        <x:v>1115</x:v>
      </x:c>
      <x:c r="Q1147" s="27" t="n">
        <x:f>(VLOOKUP(O1147,'Fee Data'!$C$6:$G$50,4,TRUE)+O1147*VLOOKUP(O1147,'Fee Data'!$C$6:$G$50,5,TRUE)+VLOOKUP(O1147,'Fee Data'!$I$6:$J$14,2,TRUE)+'Fee Data'!$J$20+'Fee Data'!$J$21)*'Assumptions'!I37</x:f>
        <x:v>990</x:v>
      </x:c>
      <x:c r="R1147" s="27" t="n">
        <x:f>P1147*(1-'Assumptions'!$D$14)+Q1147*'Assumptions'!$D$14</x:f>
        <x:v>1052.5</x:v>
      </x:c>
      <x:c r="S1147" s="27" t="n">
        <x:f>O1147*'Carrier Engine'!E96</x:f>
        <x:v>286.18071090016826</x:v>
      </x:c>
      <x:c r="T1147" s="28" t="n">
        <x:f>R1147+S1147</x:f>
        <x:v>1338.6807109001684</x:v>
      </x:c>
      <x:c r="U1147" s="27" t="n">
        <x:f>N1147*'Fleet Engine'!K200</x:f>
        <x:v>0</x:v>
      </x:c>
      <x:c r="V1147" s="28" t="n">
        <x:f>U1147*T1147</x:f>
        <x:v>0</x:v>
      </x:c>
      <x:c r="W1147" s="28" t="n">
        <x:f>U1147*O1147</x:f>
        <x:v>0</x:v>
      </x:c>
    </x:row>
    <x:row r="1148" ht="19" customHeight="1">
      <x:c r="A1148" s="2"/>
      <x:c r="B1148" s="2"/>
      <x:c r="C1148" s="46" t="n">
        <x:v>5</x:v>
      </x:c>
      <x:c r="D1148" s="46" t="n">
        <x:v>6</x:v>
      </x:c>
      <x:c r="E1148" s="46" t="n">
        <x:v>1</x:v>
      </x:c>
      <x:c r="F1148" s="46" t="n">
        <x:v>0</x:v>
      </x:c>
      <x:c r="G1148" s="12" t="n">
        <x:v>0.8888888888888888</x:v>
      </x:c>
      <x:c r="H1148" s="12" t="n">
        <x:v>1</x:v>
      </x:c>
      <x:c r="I1148" s="29" t="n">
        <x:f>'Assumptions'!$D$11+'Assumptions'!$D$12*(0.5-(G1148+H1148)/2)</x:f>
        <x:v>0.21111111111111108</x:v>
      </x:c>
      <x:c r="J1148" s="27" t="n">
        <x:f>'Assumptions'!$D$8*EXP(-'Assumptions'!$D$9*('Fleet Engine'!E200-10))*'Assumptions'!E56*'Assumptions'!I36</x:f>
        <x:v>30662.21902501803</x:v>
      </x:c>
      <x:c r="K1148" s="27" t="n">
        <x:f>'Source Data'!F217+LN('Assumptions'!D56)+LN('Assumptions'!I35)</x:f>
        <x:v>8.031104662881733</x:v>
      </x:c>
      <x:c r="L1148" s="27" t="n">
        <x:f>J1148*(1-I1148*(1-'Carrier Engine'!E96))</x:f>
        <x:v>24448.009302614373</x:v>
      </x:c>
      <x:c r="M1148" s="29" t="n">
        <x:f>NORM.S.DIST((LN(L1148)-K1148)/'Assumptions'!$D$10,TRUE)</x:f>
        <x:v>0.9066385661246656</x:v>
      </x:c>
      <x:c r="N1148" s="30" t="n">
        <x:f>MAX(0,H1148-MAX(G1148,M1148))</x:f>
        <x:v>0.09336143387533435</x:v>
      </x:c>
      <x:c r="O1148" s="28" t="n">
        <x:f>J1148*I1148</x:f>
        <x:v>6473.135127503805</x:v>
      </x:c>
      <x:c r="P1148" s="27" t="n">
        <x:f>(VLOOKUP(O1148,'Fee Data'!$C$6:$G$50,2,TRUE)+O1148*VLOOKUP(O1148,'Fee Data'!$C$6:$G$50,3,TRUE)+VLOOKUP(O1148,'Fee Data'!$I$6:$J$14,2,TRUE)+'Fee Data'!$J$20+'Fee Data'!$J$21)*'Assumptions'!I37</x:f>
        <x:v>1060</x:v>
      </x:c>
      <x:c r="Q1148" s="27" t="n">
        <x:f>(VLOOKUP(O1148,'Fee Data'!$C$6:$G$50,4,TRUE)+O1148*VLOOKUP(O1148,'Fee Data'!$C$6:$G$50,5,TRUE)+VLOOKUP(O1148,'Fee Data'!$I$6:$J$14,2,TRUE)+'Fee Data'!$J$20+'Fee Data'!$J$21)*'Assumptions'!I37</x:f>
        <x:v>935</x:v>
      </x:c>
      <x:c r="R1148" s="27" t="n">
        <x:f>P1148*(1-'Assumptions'!$D$14)+Q1148*'Assumptions'!$D$14</x:f>
        <x:v>997.5</x:v>
      </x:c>
      <x:c r="S1148" s="27" t="n">
        <x:f>O1148*'Carrier Engine'!E96</x:f>
        <x:v>258.9254051001522</x:v>
      </x:c>
      <x:c r="T1148" s="28" t="n">
        <x:f>R1148+S1148</x:f>
        <x:v>1256.4254051001521</x:v>
      </x:c>
      <x:c r="U1148" s="27" t="n">
        <x:f>N1148*'Fleet Engine'!K200</x:f>
        <x:v>442.3526289463109</x:v>
      </x:c>
      <x:c r="V1148" s="28" t="n">
        <x:f>U1148*T1148</x:f>
        <x:v>555783.081020986</x:v>
      </x:c>
      <x:c r="W1148" s="28" t="n">
        <x:f>U1148*O1148</x:f>
        <x:v>2863408.341176022</x:v>
      </x:c>
    </x:row>
    <x:row r="1149" ht="19" customHeight="1">
      <x:c r="A1149" s="2"/>
      <x:c r="B1149" s="2"/>
      <x:c r="C1149" s="46" t="n">
        <x:v>5</x:v>
      </x:c>
      <x:c r="D1149" s="46" t="n">
        <x:v>7</x:v>
      </x:c>
      <x:c r="E1149" s="46" t="n">
        <x:v>1</x:v>
      </x:c>
      <x:c r="F1149" s="46" t="n">
        <x:v>1</x:v>
      </x:c>
      <x:c r="G1149" s="12" t="n">
        <x:v>0</x:v>
      </x:c>
      <x:c r="H1149" s="12" t="n">
        <x:v>0.1111111111111111</x:v>
      </x:c>
      <x:c r="I1149" s="29" t="n">
        <x:f>'Assumptions'!$D$11+'Assumptions'!$D$12*(0.5-(G1149+H1149)/2)</x:f>
        <x:v>0.3888888888888889</x:v>
      </x:c>
      <x:c r="J1149" s="27" t="n">
        <x:f>'Assumptions'!$D$8*EXP(-'Assumptions'!$D$9*('Fleet Engine'!E201-10))*'Assumptions'!E56*'Assumptions'!I36</x:f>
        <x:v>25104.101673395035</x:v>
      </x:c>
      <x:c r="K1149" s="27" t="n">
        <x:f>'Source Data'!F218+LN('Assumptions'!D56)+LN('Assumptions'!I35)</x:f>
        <x:v>7.916663861337495</x:v>
      </x:c>
      <x:c r="L1149" s="27" t="n">
        <x:f>J1149*(1-I1149*(1-'Carrier Engine'!E96))</x:f>
        <x:v>15731.903715327557</x:v>
      </x:c>
      <x:c r="M1149" s="29" t="n">
        <x:f>NORM.S.DIST((LN(L1149)-K1149)/'Assumptions'!$D$10,TRUE)</x:f>
        <x:v>0.867028537246276</x:v>
      </x:c>
      <x:c r="N1149" s="30" t="n">
        <x:f>MAX(0,H1149-MAX(G1149,M1149))</x:f>
        <x:v>0</x:v>
      </x:c>
      <x:c r="O1149" s="28" t="n">
        <x:f>J1149*I1149</x:f>
        <x:v>9762.706206320292</x:v>
      </x:c>
      <x:c r="P1149" s="27" t="n">
        <x:f>(VLOOKUP(O1149,'Fee Data'!$C$6:$G$50,2,TRUE)+O1149*VLOOKUP(O1149,'Fee Data'!$C$6:$G$50,3,TRUE)+VLOOKUP(O1149,'Fee Data'!$I$6:$J$14,2,TRUE)+'Fee Data'!$J$20+'Fee Data'!$J$21)*'Assumptions'!I37</x:f>
        <x:v>1195</x:v>
      </x:c>
      <x:c r="Q1149" s="27" t="n">
        <x:f>(VLOOKUP(O1149,'Fee Data'!$C$6:$G$50,4,TRUE)+O1149*VLOOKUP(O1149,'Fee Data'!$C$6:$G$50,5,TRUE)+VLOOKUP(O1149,'Fee Data'!$I$6:$J$14,2,TRUE)+'Fee Data'!$J$20+'Fee Data'!$J$21)*'Assumptions'!I37</x:f>
        <x:v>1070</x:v>
      </x:c>
      <x:c r="R1149" s="27" t="n">
        <x:f>P1149*(1-'Assumptions'!$D$14)+Q1149*'Assumptions'!$D$14</x:f>
        <x:v>1132.5</x:v>
      </x:c>
      <x:c r="S1149" s="27" t="n">
        <x:f>O1149*'Carrier Engine'!E96</x:f>
        <x:v>390.5082482528117</x:v>
      </x:c>
      <x:c r="T1149" s="28" t="n">
        <x:f>R1149+S1149</x:f>
        <x:v>1523.0082482528117</x:v>
      </x:c>
      <x:c r="U1149" s="27" t="n">
        <x:f>N1149*'Fleet Engine'!K201</x:f>
        <x:v>0</x:v>
      </x:c>
      <x:c r="V1149" s="28" t="n">
        <x:f>U1149*T1149</x:f>
        <x:v>0</x:v>
      </x:c>
      <x:c r="W1149" s="28" t="n">
        <x:f>U1149*O1149</x:f>
        <x:v>0</x:v>
      </x:c>
    </x:row>
    <x:row r="1150" ht="19" customHeight="1">
      <x:c r="A1150" s="2"/>
      <x:c r="B1150" s="2"/>
      <x:c r="C1150" s="46" t="n">
        <x:v>5</x:v>
      </x:c>
      <x:c r="D1150" s="46" t="n">
        <x:v>7</x:v>
      </x:c>
      <x:c r="E1150" s="46" t="n">
        <x:v>1</x:v>
      </x:c>
      <x:c r="F1150" s="46" t="n">
        <x:v>1</x:v>
      </x:c>
      <x:c r="G1150" s="12" t="n">
        <x:v>0.1111111111111111</x:v>
      </x:c>
      <x:c r="H1150" s="12" t="n">
        <x:v>0.2222222222222222</x:v>
      </x:c>
      <x:c r="I1150" s="29" t="n">
        <x:f>'Assumptions'!$D$11+'Assumptions'!$D$12*(0.5-(G1150+H1150)/2)</x:f>
        <x:v>0.3666666666666667</x:v>
      </x:c>
      <x:c r="J1150" s="27" t="n">
        <x:f>'Assumptions'!$D$8*EXP(-'Assumptions'!$D$9*('Fleet Engine'!E201-10))*'Assumptions'!E56*'Assumptions'!I36</x:f>
        <x:v>25104.101673395035</x:v>
      </x:c>
      <x:c r="K1150" s="27" t="n">
        <x:f>'Source Data'!F218+LN('Assumptions'!D56)+LN('Assumptions'!I35)</x:f>
        <x:v>7.916663861337495</x:v>
      </x:c>
      <x:c r="L1150" s="27" t="n">
        <x:f>J1150*(1-I1150*(1-'Carrier Engine'!E96))</x:f>
        <x:v>16267.45788435998</x:v>
      </x:c>
      <x:c r="M1150" s="29" t="n">
        <x:f>NORM.S.DIST((LN(L1150)-K1150)/'Assumptions'!$D$10,TRUE)</x:f>
        <x:v>0.8715552402854367</x:v>
      </x:c>
      <x:c r="N1150" s="30" t="n">
        <x:f>MAX(0,H1150-MAX(G1150,M1150))</x:f>
        <x:v>0</x:v>
      </x:c>
      <x:c r="O1150" s="28" t="n">
        <x:f>J1150*I1150</x:f>
        <x:v>9204.837280244847</x:v>
      </x:c>
      <x:c r="P1150" s="27" t="n">
        <x:f>(VLOOKUP(O1150,'Fee Data'!$C$6:$G$50,2,TRUE)+O1150*VLOOKUP(O1150,'Fee Data'!$C$6:$G$50,3,TRUE)+VLOOKUP(O1150,'Fee Data'!$I$6:$J$14,2,TRUE)+'Fee Data'!$J$20+'Fee Data'!$J$21)*'Assumptions'!I37</x:f>
        <x:v>1195</x:v>
      </x:c>
      <x:c r="Q1150" s="27" t="n">
        <x:f>(VLOOKUP(O1150,'Fee Data'!$C$6:$G$50,4,TRUE)+O1150*VLOOKUP(O1150,'Fee Data'!$C$6:$G$50,5,TRUE)+VLOOKUP(O1150,'Fee Data'!$I$6:$J$14,2,TRUE)+'Fee Data'!$J$20+'Fee Data'!$J$21)*'Assumptions'!I37</x:f>
        <x:v>1070</x:v>
      </x:c>
      <x:c r="R1150" s="27" t="n">
        <x:f>P1150*(1-'Assumptions'!$D$14)+Q1150*'Assumptions'!$D$14</x:f>
        <x:v>1132.5</x:v>
      </x:c>
      <x:c r="S1150" s="27" t="n">
        <x:f>O1150*'Carrier Engine'!E96</x:f>
        <x:v>368.1934912097939</x:v>
      </x:c>
      <x:c r="T1150" s="28" t="n">
        <x:f>R1150+S1150</x:f>
        <x:v>1500.6934912097938</x:v>
      </x:c>
      <x:c r="U1150" s="27" t="n">
        <x:f>N1150*'Fleet Engine'!K201</x:f>
        <x:v>0</x:v>
      </x:c>
      <x:c r="V1150" s="28" t="n">
        <x:f>U1150*T1150</x:f>
        <x:v>0</x:v>
      </x:c>
      <x:c r="W1150" s="28" t="n">
        <x:f>U1150*O1150</x:f>
        <x:v>0</x:v>
      </x:c>
    </x:row>
    <x:row r="1151" ht="19" customHeight="1">
      <x:c r="A1151" s="2"/>
      <x:c r="B1151" s="2"/>
      <x:c r="C1151" s="46" t="n">
        <x:v>5</x:v>
      </x:c>
      <x:c r="D1151" s="46" t="n">
        <x:v>7</x:v>
      </x:c>
      <x:c r="E1151" s="46" t="n">
        <x:v>1</x:v>
      </x:c>
      <x:c r="F1151" s="46" t="n">
        <x:v>1</x:v>
      </x:c>
      <x:c r="G1151" s="12" t="n">
        <x:v>0.2222222222222222</x:v>
      </x:c>
      <x:c r="H1151" s="12" t="n">
        <x:v>0.3333333333333333</x:v>
      </x:c>
      <x:c r="I1151" s="29" t="n">
        <x:f>'Assumptions'!$D$11+'Assumptions'!$D$12*(0.5-(G1151+H1151)/2)</x:f>
        <x:v>0.34444444444444444</x:v>
      </x:c>
      <x:c r="J1151" s="27" t="n">
        <x:f>'Assumptions'!$D$8*EXP(-'Assumptions'!$D$9*('Fleet Engine'!E201-10))*'Assumptions'!E56*'Assumptions'!I36</x:f>
        <x:v>25104.101673395035</x:v>
      </x:c>
      <x:c r="K1151" s="27" t="n">
        <x:f>'Source Data'!F218+LN('Assumptions'!D56)+LN('Assumptions'!I35)</x:f>
        <x:v>7.916663861337495</x:v>
      </x:c>
      <x:c r="L1151" s="27" t="n">
        <x:f>J1151*(1-I1151*(1-'Carrier Engine'!E96))</x:f>
        <x:v>16803.01205339241</x:v>
      </x:c>
      <x:c r="M1151" s="29" t="n">
        <x:f>NORM.S.DIST((LN(L1151)-K1151)/'Assumptions'!$D$10,TRUE)</x:f>
        <x:v>0.8758323922514895</x:v>
      </x:c>
      <x:c r="N1151" s="30" t="n">
        <x:f>MAX(0,H1151-MAX(G1151,M1151))</x:f>
        <x:v>0</x:v>
      </x:c>
      <x:c r="O1151" s="28" t="n">
        <x:f>J1151*I1151</x:f>
        <x:v>8646.968354169401</x:v>
      </x:c>
      <x:c r="P1151" s="27" t="n">
        <x:f>(VLOOKUP(O1151,'Fee Data'!$C$6:$G$50,2,TRUE)+O1151*VLOOKUP(O1151,'Fee Data'!$C$6:$G$50,3,TRUE)+VLOOKUP(O1151,'Fee Data'!$I$6:$J$14,2,TRUE)+'Fee Data'!$J$20+'Fee Data'!$J$21)*'Assumptions'!I37</x:f>
        <x:v>1195</x:v>
      </x:c>
      <x:c r="Q1151" s="27" t="n">
        <x:f>(VLOOKUP(O1151,'Fee Data'!$C$6:$G$50,4,TRUE)+O1151*VLOOKUP(O1151,'Fee Data'!$C$6:$G$50,5,TRUE)+VLOOKUP(O1151,'Fee Data'!$I$6:$J$14,2,TRUE)+'Fee Data'!$J$20+'Fee Data'!$J$21)*'Assumptions'!I37</x:f>
        <x:v>1070</x:v>
      </x:c>
      <x:c r="R1151" s="27" t="n">
        <x:f>P1151*(1-'Assumptions'!$D$14)+Q1151*'Assumptions'!$D$14</x:f>
        <x:v>1132.5</x:v>
      </x:c>
      <x:c r="S1151" s="27" t="n">
        <x:f>O1151*'Carrier Engine'!E96</x:f>
        <x:v>345.87873416677604</x:v>
      </x:c>
      <x:c r="T1151" s="28" t="n">
        <x:f>R1151+S1151</x:f>
        <x:v>1478.378734166776</x:v>
      </x:c>
      <x:c r="U1151" s="27" t="n">
        <x:f>N1151*'Fleet Engine'!K201</x:f>
        <x:v>0</x:v>
      </x:c>
      <x:c r="V1151" s="28" t="n">
        <x:f>U1151*T1151</x:f>
        <x:v>0</x:v>
      </x:c>
      <x:c r="W1151" s="28" t="n">
        <x:f>U1151*O1151</x:f>
        <x:v>0</x:v>
      </x:c>
    </x:row>
    <x:row r="1152" ht="19" customHeight="1">
      <x:c r="A1152" s="2"/>
      <x:c r="B1152" s="2"/>
      <x:c r="C1152" s="46" t="n">
        <x:v>5</x:v>
      </x:c>
      <x:c r="D1152" s="46" t="n">
        <x:v>7</x:v>
      </x:c>
      <x:c r="E1152" s="46" t="n">
        <x:v>1</x:v>
      </x:c>
      <x:c r="F1152" s="46" t="n">
        <x:v>1</x:v>
      </x:c>
      <x:c r="G1152" s="12" t="n">
        <x:v>0.3333333333333333</x:v>
      </x:c>
      <x:c r="H1152" s="12" t="n">
        <x:v>0.4444444444444444</x:v>
      </x:c>
      <x:c r="I1152" s="29" t="n">
        <x:f>'Assumptions'!$D$11+'Assumptions'!$D$12*(0.5-(G1152+H1152)/2)</x:f>
        <x:v>0.32222222222222224</x:v>
      </x:c>
      <x:c r="J1152" s="27" t="n">
        <x:f>'Assumptions'!$D$8*EXP(-'Assumptions'!$D$9*('Fleet Engine'!E201-10))*'Assumptions'!E56*'Assumptions'!I36</x:f>
        <x:v>25104.101673395035</x:v>
      </x:c>
      <x:c r="K1152" s="27" t="n">
        <x:f>'Source Data'!F218+LN('Assumptions'!D56)+LN('Assumptions'!I35)</x:f>
        <x:v>7.916663861337495</x:v>
      </x:c>
      <x:c r="L1152" s="27" t="n">
        <x:f>J1152*(1-I1152*(1-'Carrier Engine'!E96))</x:f>
        <x:v>17338.566222424837</x:v>
      </x:c>
      <x:c r="M1152" s="29" t="n">
        <x:f>NORM.S.DIST((LN(L1152)-K1152)/'Assumptions'!$D$10,TRUE)</x:f>
        <x:v>0.8798793690489362</x:v>
      </x:c>
      <x:c r="N1152" s="30" t="n">
        <x:f>MAX(0,H1152-MAX(G1152,M1152))</x:f>
        <x:v>0</x:v>
      </x:c>
      <x:c r="O1152" s="28" t="n">
        <x:f>J1152*I1152</x:f>
        <x:v>8089.099428093956</x:v>
      </x:c>
      <x:c r="P1152" s="27" t="n">
        <x:f>(VLOOKUP(O1152,'Fee Data'!$C$6:$G$50,2,TRUE)+O1152*VLOOKUP(O1152,'Fee Data'!$C$6:$G$50,3,TRUE)+VLOOKUP(O1152,'Fee Data'!$I$6:$J$14,2,TRUE)+'Fee Data'!$J$20+'Fee Data'!$J$21)*'Assumptions'!I37</x:f>
        <x:v>1175</x:v>
      </x:c>
      <x:c r="Q1152" s="27" t="n">
        <x:f>(VLOOKUP(O1152,'Fee Data'!$C$6:$G$50,4,TRUE)+O1152*VLOOKUP(O1152,'Fee Data'!$C$6:$G$50,5,TRUE)+VLOOKUP(O1152,'Fee Data'!$I$6:$J$14,2,TRUE)+'Fee Data'!$J$20+'Fee Data'!$J$21)*'Assumptions'!I37</x:f>
        <x:v>1050</x:v>
      </x:c>
      <x:c r="R1152" s="27" t="n">
        <x:f>P1152*(1-'Assumptions'!$D$14)+Q1152*'Assumptions'!$D$14</x:f>
        <x:v>1112.5</x:v>
      </x:c>
      <x:c r="S1152" s="27" t="n">
        <x:f>O1152*'Carrier Engine'!E96</x:f>
        <x:v>323.56397712375826</x:v>
      </x:c>
      <x:c r="T1152" s="28" t="n">
        <x:f>R1152+S1152</x:f>
        <x:v>1436.0639771237584</x:v>
      </x:c>
      <x:c r="U1152" s="27" t="n">
        <x:f>N1152*'Fleet Engine'!K201</x:f>
        <x:v>0</x:v>
      </x:c>
      <x:c r="V1152" s="28" t="n">
        <x:f>U1152*T1152</x:f>
        <x:v>0</x:v>
      </x:c>
      <x:c r="W1152" s="28" t="n">
        <x:f>U1152*O1152</x:f>
        <x:v>0</x:v>
      </x:c>
    </x:row>
    <x:row r="1153" ht="19" customHeight="1">
      <x:c r="A1153" s="2"/>
      <x:c r="B1153" s="2"/>
      <x:c r="C1153" s="46" t="n">
        <x:v>5</x:v>
      </x:c>
      <x:c r="D1153" s="46" t="n">
        <x:v>7</x:v>
      </x:c>
      <x:c r="E1153" s="46" t="n">
        <x:v>1</x:v>
      </x:c>
      <x:c r="F1153" s="46" t="n">
        <x:v>1</x:v>
      </x:c>
      <x:c r="G1153" s="12" t="n">
        <x:v>0.4444444444444444</x:v>
      </x:c>
      <x:c r="H1153" s="12" t="n">
        <x:v>0.5555555555555556</x:v>
      </x:c>
      <x:c r="I1153" s="29" t="n">
        <x:f>'Assumptions'!$D$11+'Assumptions'!$D$12*(0.5-(G1153+H1153)/2)</x:f>
        <x:v>0.3</x:v>
      </x:c>
      <x:c r="J1153" s="27" t="n">
        <x:f>'Assumptions'!$D$8*EXP(-'Assumptions'!$D$9*('Fleet Engine'!E201-10))*'Assumptions'!E56*'Assumptions'!I36</x:f>
        <x:v>25104.101673395035</x:v>
      </x:c>
      <x:c r="K1153" s="27" t="n">
        <x:f>'Source Data'!F218+LN('Assumptions'!D56)+LN('Assumptions'!I35)</x:f>
        <x:v>7.916663861337495</x:v>
      </x:c>
      <x:c r="L1153" s="27" t="n">
        <x:f>J1153*(1-I1153*(1-'Carrier Engine'!E96))</x:f>
        <x:v>17874.120391457265</x:v>
      </x:c>
      <x:c r="M1153" s="29" t="n">
        <x:f>NORM.S.DIST((LN(L1153)-K1153)/'Assumptions'!$D$10,TRUE)</x:f>
        <x:v>0.883713600649329</x:v>
      </x:c>
      <x:c r="N1153" s="30" t="n">
        <x:f>MAX(0,H1153-MAX(G1153,M1153))</x:f>
        <x:v>0</x:v>
      </x:c>
      <x:c r="O1153" s="28" t="n">
        <x:f>J1153*I1153</x:f>
        <x:v>7531.23050201851</x:v>
      </x:c>
      <x:c r="P1153" s="27" t="n">
        <x:f>(VLOOKUP(O1153,'Fee Data'!$C$6:$G$50,2,TRUE)+O1153*VLOOKUP(O1153,'Fee Data'!$C$6:$G$50,3,TRUE)+VLOOKUP(O1153,'Fee Data'!$I$6:$J$14,2,TRUE)+'Fee Data'!$J$20+'Fee Data'!$J$21)*'Assumptions'!I37</x:f>
        <x:v>1135</x:v>
      </x:c>
      <x:c r="Q1153" s="27" t="n">
        <x:f>(VLOOKUP(O1153,'Fee Data'!$C$6:$G$50,4,TRUE)+O1153*VLOOKUP(O1153,'Fee Data'!$C$6:$G$50,5,TRUE)+VLOOKUP(O1153,'Fee Data'!$I$6:$J$14,2,TRUE)+'Fee Data'!$J$20+'Fee Data'!$J$21)*'Assumptions'!I37</x:f>
        <x:v>1010</x:v>
      </x:c>
      <x:c r="R1153" s="27" t="n">
        <x:f>P1153*(1-'Assumptions'!$D$14)+Q1153*'Assumptions'!$D$14</x:f>
        <x:v>1072.5</x:v>
      </x:c>
      <x:c r="S1153" s="27" t="n">
        <x:f>O1153*'Carrier Engine'!E96</x:f>
        <x:v>301.24922008074043</x:v>
      </x:c>
      <x:c r="T1153" s="28" t="n">
        <x:f>R1153+S1153</x:f>
        <x:v>1373.7492200807405</x:v>
      </x:c>
      <x:c r="U1153" s="27" t="n">
        <x:f>N1153*'Fleet Engine'!K201</x:f>
        <x:v>0</x:v>
      </x:c>
      <x:c r="V1153" s="28" t="n">
        <x:f>U1153*T1153</x:f>
        <x:v>0</x:v>
      </x:c>
      <x:c r="W1153" s="28" t="n">
        <x:f>U1153*O1153</x:f>
        <x:v>0</x:v>
      </x:c>
    </x:row>
    <x:row r="1154" ht="19" customHeight="1">
      <x:c r="A1154" s="2"/>
      <x:c r="B1154" s="2"/>
      <x:c r="C1154" s="46" t="n">
        <x:v>5</x:v>
      </x:c>
      <x:c r="D1154" s="46" t="n">
        <x:v>7</x:v>
      </x:c>
      <x:c r="E1154" s="46" t="n">
        <x:v>1</x:v>
      </x:c>
      <x:c r="F1154" s="46" t="n">
        <x:v>1</x:v>
      </x:c>
      <x:c r="G1154" s="12" t="n">
        <x:v>0.5555555555555556</x:v>
      </x:c>
      <x:c r="H1154" s="12" t="n">
        <x:v>0.6666666666666666</x:v>
      </x:c>
      <x:c r="I1154" s="29" t="n">
        <x:f>'Assumptions'!$D$11+'Assumptions'!$D$12*(0.5-(G1154+H1154)/2)</x:f>
        <x:v>0.27777777777777773</x:v>
      </x:c>
      <x:c r="J1154" s="27" t="n">
        <x:f>'Assumptions'!$D$8*EXP(-'Assumptions'!$D$9*('Fleet Engine'!E201-10))*'Assumptions'!E56*'Assumptions'!I36</x:f>
        <x:v>25104.101673395035</x:v>
      </x:c>
      <x:c r="K1154" s="27" t="n">
        <x:f>'Source Data'!F218+LN('Assumptions'!D56)+LN('Assumptions'!I35)</x:f>
        <x:v>7.916663861337495</x:v>
      </x:c>
      <x:c r="L1154" s="27" t="n">
        <x:f>J1154*(1-I1154*(1-'Carrier Engine'!E96))</x:f>
        <x:v>18409.674560489693</x:v>
      </x:c>
      <x:c r="M1154" s="29" t="n">
        <x:f>NORM.S.DIST((LN(L1154)-K1154)/'Assumptions'!$D$10,TRUE)</x:f>
        <x:v>0.8873508102719798</x:v>
      </x:c>
      <x:c r="N1154" s="30" t="n">
        <x:f>MAX(0,H1154-MAX(G1154,M1154))</x:f>
        <x:v>0</x:v>
      </x:c>
      <x:c r="O1154" s="28" t="n">
        <x:f>J1154*I1154</x:f>
        <x:v>6973.361575943064</x:v>
      </x:c>
      <x:c r="P1154" s="27" t="n">
        <x:f>(VLOOKUP(O1154,'Fee Data'!$C$6:$G$50,2,TRUE)+O1154*VLOOKUP(O1154,'Fee Data'!$C$6:$G$50,3,TRUE)+VLOOKUP(O1154,'Fee Data'!$I$6:$J$14,2,TRUE)+'Fee Data'!$J$20+'Fee Data'!$J$21)*'Assumptions'!I37</x:f>
        <x:v>1080</x:v>
      </x:c>
      <x:c r="Q1154" s="27" t="n">
        <x:f>(VLOOKUP(O1154,'Fee Data'!$C$6:$G$50,4,TRUE)+O1154*VLOOKUP(O1154,'Fee Data'!$C$6:$G$50,5,TRUE)+VLOOKUP(O1154,'Fee Data'!$I$6:$J$14,2,TRUE)+'Fee Data'!$J$20+'Fee Data'!$J$21)*'Assumptions'!I37</x:f>
        <x:v>955</x:v>
      </x:c>
      <x:c r="R1154" s="27" t="n">
        <x:f>P1154*(1-'Assumptions'!$D$14)+Q1154*'Assumptions'!$D$14</x:f>
        <x:v>1017.5</x:v>
      </x:c>
      <x:c r="S1154" s="27" t="n">
        <x:f>O1154*'Carrier Engine'!E96</x:f>
        <x:v>278.9344630377226</x:v>
      </x:c>
      <x:c r="T1154" s="28" t="n">
        <x:f>R1154+S1154</x:f>
        <x:v>1296.4344630377227</x:v>
      </x:c>
      <x:c r="U1154" s="27" t="n">
        <x:f>N1154*'Fleet Engine'!K201</x:f>
        <x:v>0</x:v>
      </x:c>
      <x:c r="V1154" s="28" t="n">
        <x:f>U1154*T1154</x:f>
        <x:v>0</x:v>
      </x:c>
      <x:c r="W1154" s="28" t="n">
        <x:f>U1154*O1154</x:f>
        <x:v>0</x:v>
      </x:c>
    </x:row>
    <x:row r="1155" ht="19" customHeight="1">
      <x:c r="A1155" s="2"/>
      <x:c r="B1155" s="2"/>
      <x:c r="C1155" s="46" t="n">
        <x:v>5</x:v>
      </x:c>
      <x:c r="D1155" s="46" t="n">
        <x:v>7</x:v>
      </x:c>
      <x:c r="E1155" s="46" t="n">
        <x:v>1</x:v>
      </x:c>
      <x:c r="F1155" s="46" t="n">
        <x:v>1</x:v>
      </x:c>
      <x:c r="G1155" s="12" t="n">
        <x:v>0.6666666666666666</x:v>
      </x:c>
      <x:c r="H1155" s="12" t="n">
        <x:v>0.7777777777777778</x:v>
      </x:c>
      <x:c r="I1155" s="29" t="n">
        <x:f>'Assumptions'!$D$11+'Assumptions'!$D$12*(0.5-(G1155+H1155)/2)</x:f>
        <x:v>0.25555555555555554</x:v>
      </x:c>
      <x:c r="J1155" s="27" t="n">
        <x:f>'Assumptions'!$D$8*EXP(-'Assumptions'!$D$9*('Fleet Engine'!E201-10))*'Assumptions'!E56*'Assumptions'!I36</x:f>
        <x:v>25104.101673395035</x:v>
      </x:c>
      <x:c r="K1155" s="27" t="n">
        <x:f>'Source Data'!F218+LN('Assumptions'!D56)+LN('Assumptions'!I35)</x:f>
        <x:v>7.916663861337495</x:v>
      </x:c>
      <x:c r="L1155" s="27" t="n">
        <x:f>J1155*(1-I1155*(1-'Carrier Engine'!E96))</x:f>
        <x:v>18945.22872952212</x:v>
      </x:c>
      <x:c r="M1155" s="29" t="n">
        <x:f>NORM.S.DIST((LN(L1155)-K1155)/'Assumptions'!$D$10,TRUE)</x:f>
        <x:v>0.8908052189301703</x:v>
      </x:c>
      <x:c r="N1155" s="30" t="n">
        <x:f>MAX(0,H1155-MAX(G1155,M1155))</x:f>
        <x:v>0</x:v>
      </x:c>
      <x:c r="O1155" s="28" t="n">
        <x:f>J1155*I1155</x:f>
        <x:v>6415.49264986762</x:v>
      </x:c>
      <x:c r="P1155" s="27" t="n">
        <x:f>(VLOOKUP(O1155,'Fee Data'!$C$6:$G$50,2,TRUE)+O1155*VLOOKUP(O1155,'Fee Data'!$C$6:$G$50,3,TRUE)+VLOOKUP(O1155,'Fee Data'!$I$6:$J$14,2,TRUE)+'Fee Data'!$J$20+'Fee Data'!$J$21)*'Assumptions'!I37</x:f>
        <x:v>1060</x:v>
      </x:c>
      <x:c r="Q1155" s="27" t="n">
        <x:f>(VLOOKUP(O1155,'Fee Data'!$C$6:$G$50,4,TRUE)+O1155*VLOOKUP(O1155,'Fee Data'!$C$6:$G$50,5,TRUE)+VLOOKUP(O1155,'Fee Data'!$I$6:$J$14,2,TRUE)+'Fee Data'!$J$20+'Fee Data'!$J$21)*'Assumptions'!I37</x:f>
        <x:v>935</x:v>
      </x:c>
      <x:c r="R1155" s="27" t="n">
        <x:f>P1155*(1-'Assumptions'!$D$14)+Q1155*'Assumptions'!$D$14</x:f>
        <x:v>997.5</x:v>
      </x:c>
      <x:c r="S1155" s="27" t="n">
        <x:f>O1155*'Carrier Engine'!E96</x:f>
        <x:v>256.61970599470476</x:v>
      </x:c>
      <x:c r="T1155" s="28" t="n">
        <x:f>R1155+S1155</x:f>
        <x:v>1254.1197059947049</x:v>
      </x:c>
      <x:c r="U1155" s="27" t="n">
        <x:f>N1155*'Fleet Engine'!K201</x:f>
        <x:v>0</x:v>
      </x:c>
      <x:c r="V1155" s="28" t="n">
        <x:f>U1155*T1155</x:f>
        <x:v>0</x:v>
      </x:c>
      <x:c r="W1155" s="28" t="n">
        <x:f>U1155*O1155</x:f>
        <x:v>0</x:v>
      </x:c>
    </x:row>
    <x:row r="1156" ht="19" customHeight="1">
      <x:c r="A1156" s="2"/>
      <x:c r="B1156" s="2"/>
      <x:c r="C1156" s="46" t="n">
        <x:v>5</x:v>
      </x:c>
      <x:c r="D1156" s="46" t="n">
        <x:v>7</x:v>
      </x:c>
      <x:c r="E1156" s="46" t="n">
        <x:v>1</x:v>
      </x:c>
      <x:c r="F1156" s="46" t="n">
        <x:v>1</x:v>
      </x:c>
      <x:c r="G1156" s="12" t="n">
        <x:v>0.7777777777777778</x:v>
      </x:c>
      <x:c r="H1156" s="12" t="n">
        <x:v>0.8888888888888888</x:v>
      </x:c>
      <x:c r="I1156" s="29" t="n">
        <x:f>'Assumptions'!$D$11+'Assumptions'!$D$12*(0.5-(G1156+H1156)/2)</x:f>
        <x:v>0.23333333333333334</x:v>
      </x:c>
      <x:c r="J1156" s="27" t="n">
        <x:f>'Assumptions'!$D$8*EXP(-'Assumptions'!$D$9*('Fleet Engine'!E201-10))*'Assumptions'!E56*'Assumptions'!I36</x:f>
        <x:v>25104.101673395035</x:v>
      </x:c>
      <x:c r="K1156" s="27" t="n">
        <x:f>'Source Data'!F218+LN('Assumptions'!D56)+LN('Assumptions'!I35)</x:f>
        <x:v>7.916663861337495</x:v>
      </x:c>
      <x:c r="L1156" s="27" t="n">
        <x:f>J1156*(1-I1156*(1-'Carrier Engine'!E96))</x:f>
        <x:v>19480.782898554546</x:v>
      </x:c>
      <x:c r="M1156" s="29" t="n">
        <x:f>NORM.S.DIST((LN(L1156)-K1156)/'Assumptions'!$D$10,TRUE)</x:f>
        <x:v>0.8940897210910779</x:v>
      </x:c>
      <x:c r="N1156" s="30" t="n">
        <x:f>MAX(0,H1156-MAX(G1156,M1156))</x:f>
        <x:v>0</x:v>
      </x:c>
      <x:c r="O1156" s="28" t="n">
        <x:f>J1156*I1156</x:f>
        <x:v>5857.623723792175</x:v>
      </x:c>
      <x:c r="P1156" s="27" t="n">
        <x:f>(VLOOKUP(O1156,'Fee Data'!$C$6:$G$50,2,TRUE)+O1156*VLOOKUP(O1156,'Fee Data'!$C$6:$G$50,3,TRUE)+VLOOKUP(O1156,'Fee Data'!$I$6:$J$14,2,TRUE)+'Fee Data'!$J$20+'Fee Data'!$J$21)*'Assumptions'!I37</x:f>
        <x:v>1020</x:v>
      </x:c>
      <x:c r="Q1156" s="27" t="n">
        <x:f>(VLOOKUP(O1156,'Fee Data'!$C$6:$G$50,4,TRUE)+O1156*VLOOKUP(O1156,'Fee Data'!$C$6:$G$50,5,TRUE)+VLOOKUP(O1156,'Fee Data'!$I$6:$J$14,2,TRUE)+'Fee Data'!$J$20+'Fee Data'!$J$21)*'Assumptions'!I37</x:f>
        <x:v>895</x:v>
      </x:c>
      <x:c r="R1156" s="27" t="n">
        <x:f>P1156*(1-'Assumptions'!$D$14)+Q1156*'Assumptions'!$D$14</x:f>
        <x:v>957.5</x:v>
      </x:c>
      <x:c r="S1156" s="27" t="n">
        <x:f>O1156*'Carrier Engine'!E96</x:f>
        <x:v>234.304948951687</x:v>
      </x:c>
      <x:c r="T1156" s="28" t="n">
        <x:f>R1156+S1156</x:f>
        <x:v>1191.804948951687</x:v>
      </x:c>
      <x:c r="U1156" s="27" t="n">
        <x:f>N1156*'Fleet Engine'!K201</x:f>
        <x:v>0</x:v>
      </x:c>
      <x:c r="V1156" s="28" t="n">
        <x:f>U1156*T1156</x:f>
        <x:v>0</x:v>
      </x:c>
      <x:c r="W1156" s="28" t="n">
        <x:f>U1156*O1156</x:f>
        <x:v>0</x:v>
      </x:c>
    </x:row>
    <x:row r="1157" ht="19" customHeight="1">
      <x:c r="A1157" s="2"/>
      <x:c r="B1157" s="2"/>
      <x:c r="C1157" s="46" t="n">
        <x:v>5</x:v>
      </x:c>
      <x:c r="D1157" s="46" t="n">
        <x:v>7</x:v>
      </x:c>
      <x:c r="E1157" s="46" t="n">
        <x:v>1</x:v>
      </x:c>
      <x:c r="F1157" s="46" t="n">
        <x:v>1</x:v>
      </x:c>
      <x:c r="G1157" s="12" t="n">
        <x:v>0.8888888888888888</x:v>
      </x:c>
      <x:c r="H1157" s="12" t="n">
        <x:v>1</x:v>
      </x:c>
      <x:c r="I1157" s="29" t="n">
        <x:f>'Assumptions'!$D$11+'Assumptions'!$D$12*(0.5-(G1157+H1157)/2)</x:f>
        <x:v>0.21111111111111108</x:v>
      </x:c>
      <x:c r="J1157" s="27" t="n">
        <x:f>'Assumptions'!$D$8*EXP(-'Assumptions'!$D$9*('Fleet Engine'!E201-10))*'Assumptions'!E56*'Assumptions'!I36</x:f>
        <x:v>25104.101673395035</x:v>
      </x:c>
      <x:c r="K1157" s="27" t="n">
        <x:f>'Source Data'!F218+LN('Assumptions'!D56)+LN('Assumptions'!I35)</x:f>
        <x:v>7.916663861337495</x:v>
      </x:c>
      <x:c r="L1157" s="27" t="n">
        <x:f>J1157*(1-I1157*(1-'Carrier Engine'!E96))</x:f>
        <x:v>20016.337067586974</x:v>
      </x:c>
      <x:c r="M1157" s="29" t="n">
        <x:f>NORM.S.DIST((LN(L1157)-K1157)/'Assumptions'!$D$10,TRUE)</x:f>
        <x:v>0.897216036126494</x:v>
      </x:c>
      <x:c r="N1157" s="30" t="n">
        <x:f>MAX(0,H1157-MAX(G1157,M1157))</x:f>
        <x:v>0.10278396387350597</x:v>
      </x:c>
      <x:c r="O1157" s="28" t="n">
        <x:f>J1157*I1157</x:f>
        <x:v>5299.754797716729</x:v>
      </x:c>
      <x:c r="P1157" s="27" t="n">
        <x:f>(VLOOKUP(O1157,'Fee Data'!$C$6:$G$50,2,TRUE)+O1157*VLOOKUP(O1157,'Fee Data'!$C$6:$G$50,3,TRUE)+VLOOKUP(O1157,'Fee Data'!$I$6:$J$14,2,TRUE)+'Fee Data'!$J$20+'Fee Data'!$J$21)*'Assumptions'!I37</x:f>
        <x:v>995</x:v>
      </x:c>
      <x:c r="Q1157" s="27" t="n">
        <x:f>(VLOOKUP(O1157,'Fee Data'!$C$6:$G$50,4,TRUE)+O1157*VLOOKUP(O1157,'Fee Data'!$C$6:$G$50,5,TRUE)+VLOOKUP(O1157,'Fee Data'!$I$6:$J$14,2,TRUE)+'Fee Data'!$J$20+'Fee Data'!$J$21)*'Assumptions'!I37</x:f>
        <x:v>870</x:v>
      </x:c>
      <x:c r="R1157" s="27" t="n">
        <x:f>P1157*(1-'Assumptions'!$D$14)+Q1157*'Assumptions'!$D$14</x:f>
        <x:v>932.5</x:v>
      </x:c>
      <x:c r="S1157" s="27" t="n">
        <x:f>O1157*'Carrier Engine'!E96</x:f>
        <x:v>211.99019190866915</x:v>
      </x:c>
      <x:c r="T1157" s="28" t="n">
        <x:f>R1157+S1157</x:f>
        <x:v>1144.4901919086692</x:v>
      </x:c>
      <x:c r="U1157" s="27" t="n">
        <x:f>N1157*'Fleet Engine'!K201</x:f>
        <x:v>2738.1027399117415</x:v>
      </x:c>
      <x:c r="V1157" s="28" t="n">
        <x:f>U1157*T1157</x:f>
        <x:v>3133731.730267242</x:v>
      </x:c>
      <x:c r="W1157" s="28" t="n">
        <x:f>U1157*O1157</x:f>
        <x:v>14511273.132488573</x:v>
      </x:c>
    </x:row>
    <x:row r="1158" ht="19" customHeight="1">
      <x:c r="A1158" s="2"/>
      <x:c r="B1158" s="2"/>
      <x:c r="C1158" s="46" t="n">
        <x:v>5</x:v>
      </x:c>
      <x:c r="D1158" s="46" t="n">
        <x:v>8</x:v>
      </x:c>
      <x:c r="E1158" s="46" t="n">
        <x:v>1</x:v>
      </x:c>
      <x:c r="F1158" s="46" t="n">
        <x:v>2</x:v>
      </x:c>
      <x:c r="G1158" s="12" t="n">
        <x:v>0</x:v>
      </x:c>
      <x:c r="H1158" s="12" t="n">
        <x:v>0.1111111111111111</x:v>
      </x:c>
      <x:c r="I1158" s="29" t="n">
        <x:f>'Assumptions'!$D$11+'Assumptions'!$D$12*(0.5-(G1158+H1158)/2)</x:f>
        <x:v>0.3888888888888889</x:v>
      </x:c>
      <x:c r="J1158" s="27" t="n">
        <x:f>'Assumptions'!$D$8*EXP(-'Assumptions'!$D$9*('Fleet Engine'!E202-10))*'Assumptions'!E56*'Assumptions'!I36</x:f>
        <x:v>18597.575933497446</x:v>
      </x:c>
      <x:c r="K1158" s="27" t="n">
        <x:f>'Source Data'!F219+LN('Assumptions'!D56)+LN('Assumptions'!I35)</x:f>
        <x:v>7.962345702623303</x:v>
      </x:c>
      <x:c r="L1158" s="27" t="n">
        <x:f>J1158*(1-I1158*(1-'Carrier Engine'!E96))</x:f>
        <x:v>11654.480918325067</x:v>
      </x:c>
      <x:c r="M1158" s="29" t="n">
        <x:f>NORM.S.DIST((LN(L1158)-K1158)/'Assumptions'!$D$10,TRUE)</x:f>
        <x:v>0.8138848687134156</x:v>
      </x:c>
      <x:c r="N1158" s="30" t="n">
        <x:f>MAX(0,H1158-MAX(G1158,M1158))</x:f>
        <x:v>0</x:v>
      </x:c>
      <x:c r="O1158" s="28" t="n">
        <x:f>J1158*I1158</x:f>
        <x:v>7232.390640804562</x:v>
      </x:c>
      <x:c r="P1158" s="27" t="n">
        <x:f>(VLOOKUP(O1158,'Fee Data'!$C$6:$G$50,2,TRUE)+O1158*VLOOKUP(O1158,'Fee Data'!$C$6:$G$50,3,TRUE)+VLOOKUP(O1158,'Fee Data'!$I$6:$J$14,2,TRUE)+'Fee Data'!$J$20+'Fee Data'!$J$21)*'Assumptions'!I37</x:f>
        <x:v>1115</x:v>
      </x:c>
      <x:c r="Q1158" s="27" t="n">
        <x:f>(VLOOKUP(O1158,'Fee Data'!$C$6:$G$50,4,TRUE)+O1158*VLOOKUP(O1158,'Fee Data'!$C$6:$G$50,5,TRUE)+VLOOKUP(O1158,'Fee Data'!$I$6:$J$14,2,TRUE)+'Fee Data'!$J$20+'Fee Data'!$J$21)*'Assumptions'!I37</x:f>
        <x:v>990</x:v>
      </x:c>
      <x:c r="R1158" s="27" t="n">
        <x:f>P1158*(1-'Assumptions'!$D$14)+Q1158*'Assumptions'!$D$14</x:f>
        <x:v>1052.5</x:v>
      </x:c>
      <x:c r="S1158" s="27" t="n">
        <x:f>O1158*'Carrier Engine'!E96</x:f>
        <x:v>289.2956256321825</x:v>
      </x:c>
      <x:c r="T1158" s="28" t="n">
        <x:f>R1158+S1158</x:f>
        <x:v>1341.7956256321825</x:v>
      </x:c>
      <x:c r="U1158" s="27" t="n">
        <x:f>N1158*'Fleet Engine'!K202</x:f>
        <x:v>0</x:v>
      </x:c>
      <x:c r="V1158" s="28" t="n">
        <x:f>U1158*T1158</x:f>
        <x:v>0</x:v>
      </x:c>
      <x:c r="W1158" s="28" t="n">
        <x:f>U1158*O1158</x:f>
        <x:v>0</x:v>
      </x:c>
    </x:row>
    <x:row r="1159" ht="19" customHeight="1">
      <x:c r="A1159" s="2"/>
      <x:c r="B1159" s="2"/>
      <x:c r="C1159" s="46" t="n">
        <x:v>5</x:v>
      </x:c>
      <x:c r="D1159" s="46" t="n">
        <x:v>8</x:v>
      </x:c>
      <x:c r="E1159" s="46" t="n">
        <x:v>1</x:v>
      </x:c>
      <x:c r="F1159" s="46" t="n">
        <x:v>2</x:v>
      </x:c>
      <x:c r="G1159" s="12" t="n">
        <x:v>0.1111111111111111</x:v>
      </x:c>
      <x:c r="H1159" s="12" t="n">
        <x:v>0.2222222222222222</x:v>
      </x:c>
      <x:c r="I1159" s="29" t="n">
        <x:f>'Assumptions'!$D$11+'Assumptions'!$D$12*(0.5-(G1159+H1159)/2)</x:f>
        <x:v>0.3666666666666667</x:v>
      </x:c>
      <x:c r="J1159" s="27" t="n">
        <x:f>'Assumptions'!$D$8*EXP(-'Assumptions'!$D$9*('Fleet Engine'!E202-10))*'Assumptions'!E56*'Assumptions'!I36</x:f>
        <x:v>18597.575933497446</x:v>
      </x:c>
      <x:c r="K1159" s="27" t="n">
        <x:f>'Source Data'!F219+LN('Assumptions'!D56)+LN('Assumptions'!I35)</x:f>
        <x:v>7.962345702623303</x:v>
      </x:c>
      <x:c r="L1159" s="27" t="n">
        <x:f>J1159*(1-I1159*(1-'Carrier Engine'!E96))</x:f>
        <x:v>12051.229204906344</x:v>
      </x:c>
      <x:c r="M1159" s="29" t="n">
        <x:f>NORM.S.DIST((LN(L1159)-K1159)/'Assumptions'!$D$10,TRUE)</x:f>
        <x:v>0.8195425068236845</x:v>
      </x:c>
      <x:c r="N1159" s="30" t="n">
        <x:f>MAX(0,H1159-MAX(G1159,M1159))</x:f>
        <x:v>0</x:v>
      </x:c>
      <x:c r="O1159" s="28" t="n">
        <x:f>J1159*I1159</x:f>
        <x:v>6819.111175615731</x:v>
      </x:c>
      <x:c r="P1159" s="27" t="n">
        <x:f>(VLOOKUP(O1159,'Fee Data'!$C$6:$G$50,2,TRUE)+O1159*VLOOKUP(O1159,'Fee Data'!$C$6:$G$50,3,TRUE)+VLOOKUP(O1159,'Fee Data'!$I$6:$J$14,2,TRUE)+'Fee Data'!$J$20+'Fee Data'!$J$21)*'Assumptions'!I37</x:f>
        <x:v>1080</x:v>
      </x:c>
      <x:c r="Q1159" s="27" t="n">
        <x:f>(VLOOKUP(O1159,'Fee Data'!$C$6:$G$50,4,TRUE)+O1159*VLOOKUP(O1159,'Fee Data'!$C$6:$G$50,5,TRUE)+VLOOKUP(O1159,'Fee Data'!$I$6:$J$14,2,TRUE)+'Fee Data'!$J$20+'Fee Data'!$J$21)*'Assumptions'!I37</x:f>
        <x:v>955</x:v>
      </x:c>
      <x:c r="R1159" s="27" t="n">
        <x:f>P1159*(1-'Assumptions'!$D$14)+Q1159*'Assumptions'!$D$14</x:f>
        <x:v>1017.5</x:v>
      </x:c>
      <x:c r="S1159" s="27" t="n">
        <x:f>O1159*'Carrier Engine'!E96</x:f>
        <x:v>272.76444702462925</x:v>
      </x:c>
      <x:c r="T1159" s="28" t="n">
        <x:f>R1159+S1159</x:f>
        <x:v>1290.2644470246291</x:v>
      </x:c>
      <x:c r="U1159" s="27" t="n">
        <x:f>N1159*'Fleet Engine'!K202</x:f>
        <x:v>0</x:v>
      </x:c>
      <x:c r="V1159" s="28" t="n">
        <x:f>U1159*T1159</x:f>
        <x:v>0</x:v>
      </x:c>
      <x:c r="W1159" s="28" t="n">
        <x:f>U1159*O1159</x:f>
        <x:v>0</x:v>
      </x:c>
    </x:row>
    <x:row r="1160" ht="19" customHeight="1">
      <x:c r="A1160" s="2"/>
      <x:c r="B1160" s="2"/>
      <x:c r="C1160" s="46" t="n">
        <x:v>5</x:v>
      </x:c>
      <x:c r="D1160" s="46" t="n">
        <x:v>8</x:v>
      </x:c>
      <x:c r="E1160" s="46" t="n">
        <x:v>1</x:v>
      </x:c>
      <x:c r="F1160" s="46" t="n">
        <x:v>2</x:v>
      </x:c>
      <x:c r="G1160" s="12" t="n">
        <x:v>0.2222222222222222</x:v>
      </x:c>
      <x:c r="H1160" s="12" t="n">
        <x:v>0.3333333333333333</x:v>
      </x:c>
      <x:c r="I1160" s="29" t="n">
        <x:f>'Assumptions'!$D$11+'Assumptions'!$D$12*(0.5-(G1160+H1160)/2)</x:f>
        <x:v>0.34444444444444444</x:v>
      </x:c>
      <x:c r="J1160" s="27" t="n">
        <x:f>'Assumptions'!$D$8*EXP(-'Assumptions'!$D$9*('Fleet Engine'!E202-10))*'Assumptions'!E56*'Assumptions'!I36</x:f>
        <x:v>18597.575933497446</x:v>
      </x:c>
      <x:c r="K1160" s="27" t="n">
        <x:f>'Source Data'!F219+LN('Assumptions'!D56)+LN('Assumptions'!I35)</x:f>
        <x:v>7.962345702623303</x:v>
      </x:c>
      <x:c r="L1160" s="27" t="n">
        <x:f>J1160*(1-I1160*(1-'Carrier Engine'!E96))</x:f>
        <x:v>12447.977491487623</x:v>
      </x:c>
      <x:c r="M1160" s="29" t="n">
        <x:f>NORM.S.DIST((LN(L1160)-K1160)/'Assumptions'!$D$10,TRUE)</x:f>
        <x:v>0.8249129898049964</x:v>
      </x:c>
      <x:c r="N1160" s="30" t="n">
        <x:f>MAX(0,H1160-MAX(G1160,M1160))</x:f>
        <x:v>0</x:v>
      </x:c>
      <x:c r="O1160" s="28" t="n">
        <x:f>J1160*I1160</x:f>
        <x:v>6405.831710426898</x:v>
      </x:c>
      <x:c r="P1160" s="27" t="n">
        <x:f>(VLOOKUP(O1160,'Fee Data'!$C$6:$G$50,2,TRUE)+O1160*VLOOKUP(O1160,'Fee Data'!$C$6:$G$50,3,TRUE)+VLOOKUP(O1160,'Fee Data'!$I$6:$J$14,2,TRUE)+'Fee Data'!$J$20+'Fee Data'!$J$21)*'Assumptions'!I37</x:f>
        <x:v>1060</x:v>
      </x:c>
      <x:c r="Q1160" s="27" t="n">
        <x:f>(VLOOKUP(O1160,'Fee Data'!$C$6:$G$50,4,TRUE)+O1160*VLOOKUP(O1160,'Fee Data'!$C$6:$G$50,5,TRUE)+VLOOKUP(O1160,'Fee Data'!$I$6:$J$14,2,TRUE)+'Fee Data'!$J$20+'Fee Data'!$J$21)*'Assumptions'!I37</x:f>
        <x:v>935</x:v>
      </x:c>
      <x:c r="R1160" s="27" t="n">
        <x:f>P1160*(1-'Assumptions'!$D$14)+Q1160*'Assumptions'!$D$14</x:f>
        <x:v>997.5</x:v>
      </x:c>
      <x:c r="S1160" s="27" t="n">
        <x:f>O1160*'Carrier Engine'!E96</x:f>
        <x:v>256.2332684170759</x:v>
      </x:c>
      <x:c r="T1160" s="28" t="n">
        <x:f>R1160+S1160</x:f>
        <x:v>1253.733268417076</x:v>
      </x:c>
      <x:c r="U1160" s="27" t="n">
        <x:f>N1160*'Fleet Engine'!K202</x:f>
        <x:v>0</x:v>
      </x:c>
      <x:c r="V1160" s="28" t="n">
        <x:f>U1160*T1160</x:f>
        <x:v>0</x:v>
      </x:c>
      <x:c r="W1160" s="28" t="n">
        <x:f>U1160*O1160</x:f>
        <x:v>0</x:v>
      </x:c>
    </x:row>
    <x:row r="1161" ht="19" customHeight="1">
      <x:c r="A1161" s="2"/>
      <x:c r="B1161" s="2"/>
      <x:c r="C1161" s="46" t="n">
        <x:v>5</x:v>
      </x:c>
      <x:c r="D1161" s="46" t="n">
        <x:v>8</x:v>
      </x:c>
      <x:c r="E1161" s="46" t="n">
        <x:v>1</x:v>
      </x:c>
      <x:c r="F1161" s="46" t="n">
        <x:v>2</x:v>
      </x:c>
      <x:c r="G1161" s="12" t="n">
        <x:v>0.3333333333333333</x:v>
      </x:c>
      <x:c r="H1161" s="12" t="n">
        <x:v>0.4444444444444444</x:v>
      </x:c>
      <x:c r="I1161" s="29" t="n">
        <x:f>'Assumptions'!$D$11+'Assumptions'!$D$12*(0.5-(G1161+H1161)/2)</x:f>
        <x:v>0.32222222222222224</x:v>
      </x:c>
      <x:c r="J1161" s="27" t="n">
        <x:f>'Assumptions'!$D$8*EXP(-'Assumptions'!$D$9*('Fleet Engine'!E202-10))*'Assumptions'!E56*'Assumptions'!I36</x:f>
        <x:v>18597.575933497446</x:v>
      </x:c>
      <x:c r="K1161" s="27" t="n">
        <x:f>'Source Data'!F219+LN('Assumptions'!D56)+LN('Assumptions'!I35)</x:f>
        <x:v>7.962345702623303</x:v>
      </x:c>
      <x:c r="L1161" s="27" t="n">
        <x:f>J1161*(1-I1161*(1-'Carrier Engine'!E96))</x:f>
        <x:v>12844.725778068903</x:v>
      </x:c>
      <x:c r="M1161" s="29" t="n">
        <x:f>NORM.S.DIST((LN(L1161)-K1161)/'Assumptions'!$D$10,TRUE)</x:f>
        <x:v>0.8300172277569353</x:v>
      </x:c>
      <x:c r="N1161" s="30" t="n">
        <x:f>MAX(0,H1161-MAX(G1161,M1161))</x:f>
        <x:v>0</x:v>
      </x:c>
      <x:c r="O1161" s="28" t="n">
        <x:f>J1161*I1161</x:f>
        <x:v>5992.5522452380665</x:v>
      </x:c>
      <x:c r="P1161" s="27" t="n">
        <x:f>(VLOOKUP(O1161,'Fee Data'!$C$6:$G$50,2,TRUE)+O1161*VLOOKUP(O1161,'Fee Data'!$C$6:$G$50,3,TRUE)+VLOOKUP(O1161,'Fee Data'!$I$6:$J$14,2,TRUE)+'Fee Data'!$J$20+'Fee Data'!$J$21)*'Assumptions'!I37</x:f>
        <x:v>1020</x:v>
      </x:c>
      <x:c r="Q1161" s="27" t="n">
        <x:f>(VLOOKUP(O1161,'Fee Data'!$C$6:$G$50,4,TRUE)+O1161*VLOOKUP(O1161,'Fee Data'!$C$6:$G$50,5,TRUE)+VLOOKUP(O1161,'Fee Data'!$I$6:$J$14,2,TRUE)+'Fee Data'!$J$20+'Fee Data'!$J$21)*'Assumptions'!I37</x:f>
        <x:v>895</x:v>
      </x:c>
      <x:c r="R1161" s="27" t="n">
        <x:f>P1161*(1-'Assumptions'!$D$14)+Q1161*'Assumptions'!$D$14</x:f>
        <x:v>957.5</x:v>
      </x:c>
      <x:c r="S1161" s="27" t="n">
        <x:f>O1161*'Carrier Engine'!E96</x:f>
        <x:v>239.70208980952268</x:v>
      </x:c>
      <x:c r="T1161" s="28" t="n">
        <x:f>R1161+S1161</x:f>
        <x:v>1197.2020898095227</x:v>
      </x:c>
      <x:c r="U1161" s="27" t="n">
        <x:f>N1161*'Fleet Engine'!K202</x:f>
        <x:v>0</x:v>
      </x:c>
      <x:c r="V1161" s="28" t="n">
        <x:f>U1161*T1161</x:f>
        <x:v>0</x:v>
      </x:c>
      <x:c r="W1161" s="28" t="n">
        <x:f>U1161*O1161</x:f>
        <x:v>0</x:v>
      </x:c>
    </x:row>
    <x:row r="1162" ht="19" customHeight="1">
      <x:c r="A1162" s="2"/>
      <x:c r="B1162" s="2"/>
      <x:c r="C1162" s="46" t="n">
        <x:v>5</x:v>
      </x:c>
      <x:c r="D1162" s="46" t="n">
        <x:v>8</x:v>
      </x:c>
      <x:c r="E1162" s="46" t="n">
        <x:v>1</x:v>
      </x:c>
      <x:c r="F1162" s="46" t="n">
        <x:v>2</x:v>
      </x:c>
      <x:c r="G1162" s="12" t="n">
        <x:v>0.4444444444444444</x:v>
      </x:c>
      <x:c r="H1162" s="12" t="n">
        <x:v>0.5555555555555556</x:v>
      </x:c>
      <x:c r="I1162" s="29" t="n">
        <x:f>'Assumptions'!$D$11+'Assumptions'!$D$12*(0.5-(G1162+H1162)/2)</x:f>
        <x:v>0.3</x:v>
      </x:c>
      <x:c r="J1162" s="27" t="n">
        <x:f>'Assumptions'!$D$8*EXP(-'Assumptions'!$D$9*('Fleet Engine'!E202-10))*'Assumptions'!E56*'Assumptions'!I36</x:f>
        <x:v>18597.575933497446</x:v>
      </x:c>
      <x:c r="K1162" s="27" t="n">
        <x:f>'Source Data'!F219+LN('Assumptions'!D56)+LN('Assumptions'!I35)</x:f>
        <x:v>7.962345702623303</x:v>
      </x:c>
      <x:c r="L1162" s="27" t="n">
        <x:f>J1162*(1-I1162*(1-'Carrier Engine'!E96))</x:f>
        <x:v>13241.474064650181</x:v>
      </x:c>
      <x:c r="M1162" s="29" t="n">
        <x:f>NORM.S.DIST((LN(L1162)-K1162)/'Assumptions'!$D$10,TRUE)</x:f>
        <x:v>0.8348741378031481</x:v>
      </x:c>
      <x:c r="N1162" s="30" t="n">
        <x:f>MAX(0,H1162-MAX(G1162,M1162))</x:f>
        <x:v>0</x:v>
      </x:c>
      <x:c r="O1162" s="28" t="n">
        <x:f>J1162*I1162</x:f>
        <x:v>5579.272780049234</x:v>
      </x:c>
      <x:c r="P1162" s="27" t="n">
        <x:f>(VLOOKUP(O1162,'Fee Data'!$C$6:$G$50,2,TRUE)+O1162*VLOOKUP(O1162,'Fee Data'!$C$6:$G$50,3,TRUE)+VLOOKUP(O1162,'Fee Data'!$I$6:$J$14,2,TRUE)+'Fee Data'!$J$20+'Fee Data'!$J$21)*'Assumptions'!I37</x:f>
        <x:v>1020</x:v>
      </x:c>
      <x:c r="Q1162" s="27" t="n">
        <x:f>(VLOOKUP(O1162,'Fee Data'!$C$6:$G$50,4,TRUE)+O1162*VLOOKUP(O1162,'Fee Data'!$C$6:$G$50,5,TRUE)+VLOOKUP(O1162,'Fee Data'!$I$6:$J$14,2,TRUE)+'Fee Data'!$J$20+'Fee Data'!$J$21)*'Assumptions'!I37</x:f>
        <x:v>895</x:v>
      </x:c>
      <x:c r="R1162" s="27" t="n">
        <x:f>P1162*(1-'Assumptions'!$D$14)+Q1162*'Assumptions'!$D$14</x:f>
        <x:v>957.5</x:v>
      </x:c>
      <x:c r="S1162" s="27" t="n">
        <x:f>O1162*'Carrier Engine'!E96</x:f>
        <x:v>223.17091120196937</x:v>
      </x:c>
      <x:c r="T1162" s="28" t="n">
        <x:f>R1162+S1162</x:f>
        <x:v>1180.6709112019694</x:v>
      </x:c>
      <x:c r="U1162" s="27" t="n">
        <x:f>N1162*'Fleet Engine'!K202</x:f>
        <x:v>0</x:v>
      </x:c>
      <x:c r="V1162" s="28" t="n">
        <x:f>U1162*T1162</x:f>
        <x:v>0</x:v>
      </x:c>
      <x:c r="W1162" s="28" t="n">
        <x:f>U1162*O1162</x:f>
        <x:v>0</x:v>
      </x:c>
    </x:row>
    <x:row r="1163" ht="19" customHeight="1">
      <x:c r="A1163" s="2"/>
      <x:c r="B1163" s="2"/>
      <x:c r="C1163" s="46" t="n">
        <x:v>5</x:v>
      </x:c>
      <x:c r="D1163" s="46" t="n">
        <x:v>8</x:v>
      </x:c>
      <x:c r="E1163" s="46" t="n">
        <x:v>1</x:v>
      </x:c>
      <x:c r="F1163" s="46" t="n">
        <x:v>2</x:v>
      </x:c>
      <x:c r="G1163" s="12" t="n">
        <x:v>0.5555555555555556</x:v>
      </x:c>
      <x:c r="H1163" s="12" t="n">
        <x:v>0.6666666666666666</x:v>
      </x:c>
      <x:c r="I1163" s="29" t="n">
        <x:f>'Assumptions'!$D$11+'Assumptions'!$D$12*(0.5-(G1163+H1163)/2)</x:f>
        <x:v>0.27777777777777773</x:v>
      </x:c>
      <x:c r="J1163" s="27" t="n">
        <x:f>'Assumptions'!$D$8*EXP(-'Assumptions'!$D$9*('Fleet Engine'!E202-10))*'Assumptions'!E56*'Assumptions'!I36</x:f>
        <x:v>18597.575933497446</x:v>
      </x:c>
      <x:c r="K1163" s="27" t="n">
        <x:f>'Source Data'!F219+LN('Assumptions'!D56)+LN('Assumptions'!I35)</x:f>
        <x:v>7.962345702623303</x:v>
      </x:c>
      <x:c r="L1163" s="27" t="n">
        <x:f>J1163*(1-I1163*(1-'Carrier Engine'!E96))</x:f>
        <x:v>13638.222351231461</x:v>
      </x:c>
      <x:c r="M1163" s="29" t="n">
        <x:f>NORM.S.DIST((LN(L1163)-K1163)/'Assumptions'!$D$10,TRUE)</x:f>
        <x:v>0.839500878443892</x:v>
      </x:c>
      <x:c r="N1163" s="30" t="n">
        <x:f>MAX(0,H1163-MAX(G1163,M1163))</x:f>
        <x:v>0</x:v>
      </x:c>
      <x:c r="O1163" s="28" t="n">
        <x:f>J1163*I1163</x:f>
        <x:v>5165.993314860401</x:v>
      </x:c>
      <x:c r="P1163" s="27" t="n">
        <x:f>(VLOOKUP(O1163,'Fee Data'!$C$6:$G$50,2,TRUE)+O1163*VLOOKUP(O1163,'Fee Data'!$C$6:$G$50,3,TRUE)+VLOOKUP(O1163,'Fee Data'!$I$6:$J$14,2,TRUE)+'Fee Data'!$J$20+'Fee Data'!$J$21)*'Assumptions'!I37</x:f>
        <x:v>995</x:v>
      </x:c>
      <x:c r="Q1163" s="27" t="n">
        <x:f>(VLOOKUP(O1163,'Fee Data'!$C$6:$G$50,4,TRUE)+O1163*VLOOKUP(O1163,'Fee Data'!$C$6:$G$50,5,TRUE)+VLOOKUP(O1163,'Fee Data'!$I$6:$J$14,2,TRUE)+'Fee Data'!$J$20+'Fee Data'!$J$21)*'Assumptions'!I37</x:f>
        <x:v>870</x:v>
      </x:c>
      <x:c r="R1163" s="27" t="n">
        <x:f>P1163*(1-'Assumptions'!$D$14)+Q1163*'Assumptions'!$D$14</x:f>
        <x:v>932.5</x:v>
      </x:c>
      <x:c r="S1163" s="27" t="n">
        <x:f>O1163*'Carrier Engine'!E96</x:f>
        <x:v>206.63973259441605</x:v>
      </x:c>
      <x:c r="T1163" s="28" t="n">
        <x:f>R1163+S1163</x:f>
        <x:v>1139.139732594416</x:v>
      </x:c>
      <x:c r="U1163" s="27" t="n">
        <x:f>N1163*'Fleet Engine'!K202</x:f>
        <x:v>0</x:v>
      </x:c>
      <x:c r="V1163" s="28" t="n">
        <x:f>U1163*T1163</x:f>
        <x:v>0</x:v>
      </x:c>
      <x:c r="W1163" s="28" t="n">
        <x:f>U1163*O1163</x:f>
        <x:v>0</x:v>
      </x:c>
    </x:row>
    <x:row r="1164" ht="19" customHeight="1">
      <x:c r="A1164" s="2"/>
      <x:c r="B1164" s="2"/>
      <x:c r="C1164" s="46" t="n">
        <x:v>5</x:v>
      </x:c>
      <x:c r="D1164" s="46" t="n">
        <x:v>8</x:v>
      </x:c>
      <x:c r="E1164" s="46" t="n">
        <x:v>1</x:v>
      </x:c>
      <x:c r="F1164" s="46" t="n">
        <x:v>2</x:v>
      </x:c>
      <x:c r="G1164" s="12" t="n">
        <x:v>0.6666666666666666</x:v>
      </x:c>
      <x:c r="H1164" s="12" t="n">
        <x:v>0.7777777777777778</x:v>
      </x:c>
      <x:c r="I1164" s="29" t="n">
        <x:f>'Assumptions'!$D$11+'Assumptions'!$D$12*(0.5-(G1164+H1164)/2)</x:f>
        <x:v>0.25555555555555554</x:v>
      </x:c>
      <x:c r="J1164" s="27" t="n">
        <x:f>'Assumptions'!$D$8*EXP(-'Assumptions'!$D$9*('Fleet Engine'!E202-10))*'Assumptions'!E56*'Assumptions'!I36</x:f>
        <x:v>18597.575933497446</x:v>
      </x:c>
      <x:c r="K1164" s="27" t="n">
        <x:f>'Source Data'!F219+LN('Assumptions'!D56)+LN('Assumptions'!I35)</x:f>
        <x:v>7.962345702623303</x:v>
      </x:c>
      <x:c r="L1164" s="27" t="n">
        <x:f>J1164*(1-I1164*(1-'Carrier Engine'!E96))</x:f>
        <x:v>14034.970637812741</x:v>
      </x:c>
      <x:c r="M1164" s="29" t="n">
        <x:f>NORM.S.DIST((LN(L1164)-K1164)/'Assumptions'!$D$10,TRUE)</x:f>
        <x:v>0.8439130512567272</x:v>
      </x:c>
      <x:c r="N1164" s="30" t="n">
        <x:f>MAX(0,H1164-MAX(G1164,M1164))</x:f>
        <x:v>0</x:v>
      </x:c>
      <x:c r="O1164" s="28" t="n">
        <x:f>J1164*I1164</x:f>
        <x:v>4752.713849671569</x:v>
      </x:c>
      <x:c r="P1164" s="27" t="n">
        <x:f>(VLOOKUP(O1164,'Fee Data'!$C$6:$G$50,2,TRUE)+O1164*VLOOKUP(O1164,'Fee Data'!$C$6:$G$50,3,TRUE)+VLOOKUP(O1164,'Fee Data'!$I$6:$J$14,2,TRUE)+'Fee Data'!$J$20+'Fee Data'!$J$21)*'Assumptions'!I37</x:f>
        <x:v>970</x:v>
      </x:c>
      <x:c r="Q1164" s="27" t="n">
        <x:f>(VLOOKUP(O1164,'Fee Data'!$C$6:$G$50,4,TRUE)+O1164*VLOOKUP(O1164,'Fee Data'!$C$6:$G$50,5,TRUE)+VLOOKUP(O1164,'Fee Data'!$I$6:$J$14,2,TRUE)+'Fee Data'!$J$20+'Fee Data'!$J$21)*'Assumptions'!I37</x:f>
        <x:v>845</x:v>
      </x:c>
      <x:c r="R1164" s="27" t="n">
        <x:f>P1164*(1-'Assumptions'!$D$14)+Q1164*'Assumptions'!$D$14</x:f>
        <x:v>907.5</x:v>
      </x:c>
      <x:c r="S1164" s="27" t="n">
        <x:f>O1164*'Carrier Engine'!E96</x:f>
        <x:v>190.10855398686274</x:v>
      </x:c>
      <x:c r="T1164" s="28" t="n">
        <x:f>R1164+S1164</x:f>
        <x:v>1097.6085539868627</x:v>
      </x:c>
      <x:c r="U1164" s="27" t="n">
        <x:f>N1164*'Fleet Engine'!K202</x:f>
        <x:v>0</x:v>
      </x:c>
      <x:c r="V1164" s="28" t="n">
        <x:f>U1164*T1164</x:f>
        <x:v>0</x:v>
      </x:c>
      <x:c r="W1164" s="28" t="n">
        <x:f>U1164*O1164</x:f>
        <x:v>0</x:v>
      </x:c>
    </x:row>
    <x:row r="1165" ht="19" customHeight="1">
      <x:c r="A1165" s="2"/>
      <x:c r="B1165" s="2"/>
      <x:c r="C1165" s="46" t="n">
        <x:v>5</x:v>
      </x:c>
      <x:c r="D1165" s="46" t="n">
        <x:v>8</x:v>
      </x:c>
      <x:c r="E1165" s="46" t="n">
        <x:v>1</x:v>
      </x:c>
      <x:c r="F1165" s="46" t="n">
        <x:v>2</x:v>
      </x:c>
      <x:c r="G1165" s="12" t="n">
        <x:v>0.7777777777777778</x:v>
      </x:c>
      <x:c r="H1165" s="12" t="n">
        <x:v>0.8888888888888888</x:v>
      </x:c>
      <x:c r="I1165" s="29" t="n">
        <x:f>'Assumptions'!$D$11+'Assumptions'!$D$12*(0.5-(G1165+H1165)/2)</x:f>
        <x:v>0.23333333333333334</x:v>
      </x:c>
      <x:c r="J1165" s="27" t="n">
        <x:f>'Assumptions'!$D$8*EXP(-'Assumptions'!$D$9*('Fleet Engine'!E202-10))*'Assumptions'!E56*'Assumptions'!I36</x:f>
        <x:v>18597.575933497446</x:v>
      </x:c>
      <x:c r="K1165" s="27" t="n">
        <x:f>'Source Data'!F219+LN('Assumptions'!D56)+LN('Assumptions'!I35)</x:f>
        <x:v>7.962345702623303</x:v>
      </x:c>
      <x:c r="L1165" s="27" t="n">
        <x:f>J1165*(1-I1165*(1-'Carrier Engine'!E96))</x:f>
        <x:v>14431.71892439402</x:v>
      </x:c>
      <x:c r="M1165" s="29" t="n">
        <x:f>NORM.S.DIST((LN(L1165)-K1165)/'Assumptions'!$D$10,TRUE)</x:f>
        <x:v>0.8481248751817181</x:v>
      </x:c>
      <x:c r="N1165" s="30" t="n">
        <x:f>MAX(0,H1165-MAX(G1165,M1165))</x:f>
        <x:v>0.040764013707170754</x:v>
      </x:c>
      <x:c r="O1165" s="28" t="n">
        <x:f>J1165*I1165</x:f>
        <x:v>4339.434384482737</x:v>
      </x:c>
      <x:c r="P1165" s="27" t="n">
        <x:f>(VLOOKUP(O1165,'Fee Data'!$C$6:$G$50,2,TRUE)+O1165*VLOOKUP(O1165,'Fee Data'!$C$6:$G$50,3,TRUE)+VLOOKUP(O1165,'Fee Data'!$I$6:$J$14,2,TRUE)+'Fee Data'!$J$20+'Fee Data'!$J$21)*'Assumptions'!I37</x:f>
        <x:v>945</x:v>
      </x:c>
      <x:c r="Q1165" s="27" t="n">
        <x:f>(VLOOKUP(O1165,'Fee Data'!$C$6:$G$50,4,TRUE)+O1165*VLOOKUP(O1165,'Fee Data'!$C$6:$G$50,5,TRUE)+VLOOKUP(O1165,'Fee Data'!$I$6:$J$14,2,TRUE)+'Fee Data'!$J$20+'Fee Data'!$J$21)*'Assumptions'!I37</x:f>
        <x:v>820</x:v>
      </x:c>
      <x:c r="R1165" s="27" t="n">
        <x:f>P1165*(1-'Assumptions'!$D$14)+Q1165*'Assumptions'!$D$14</x:f>
        <x:v>882.5</x:v>
      </x:c>
      <x:c r="S1165" s="27" t="n">
        <x:f>O1165*'Carrier Engine'!E96</x:f>
        <x:v>173.5773753793095</x:v>
      </x:c>
      <x:c r="T1165" s="28" t="n">
        <x:f>R1165+S1165</x:f>
        <x:v>1056.0773753793096</x:v>
      </x:c>
      <x:c r="U1165" s="27" t="n">
        <x:f>N1165*'Fleet Engine'!K202</x:f>
        <x:v>911.5915974142619</x:v>
      </x:c>
      <x:c r="V1165" s="28" t="n">
        <x:f>U1165*T1165</x:f>
        <x:v>962711.2616150859</x:v>
      </x:c>
      <x:c r="W1165" s="28" t="n">
        <x:f>U1165*O1165</x:f>
        <x:v>3955791.9224249925</x:v>
      </x:c>
    </x:row>
    <x:row r="1166" ht="19" customHeight="1">
      <x:c r="A1166" s="2"/>
      <x:c r="B1166" s="2"/>
      <x:c r="C1166" s="46" t="n">
        <x:v>5</x:v>
      </x:c>
      <x:c r="D1166" s="46" t="n">
        <x:v>8</x:v>
      </x:c>
      <x:c r="E1166" s="46" t="n">
        <x:v>1</x:v>
      </x:c>
      <x:c r="F1166" s="46" t="n">
        <x:v>2</x:v>
      </x:c>
      <x:c r="G1166" s="12" t="n">
        <x:v>0.8888888888888888</x:v>
      </x:c>
      <x:c r="H1166" s="12" t="n">
        <x:v>1</x:v>
      </x:c>
      <x:c r="I1166" s="29" t="n">
        <x:f>'Assumptions'!$D$11+'Assumptions'!$D$12*(0.5-(G1166+H1166)/2)</x:f>
        <x:v>0.21111111111111108</x:v>
      </x:c>
      <x:c r="J1166" s="27" t="n">
        <x:f>'Assumptions'!$D$8*EXP(-'Assumptions'!$D$9*('Fleet Engine'!E202-10))*'Assumptions'!E56*'Assumptions'!I36</x:f>
        <x:v>18597.575933497446</x:v>
      </x:c>
      <x:c r="K1166" s="27" t="n">
        <x:f>'Source Data'!F219+LN('Assumptions'!D56)+LN('Assumptions'!I35)</x:f>
        <x:v>7.962345702623303</x:v>
      </x:c>
      <x:c r="L1166" s="27" t="n">
        <x:f>J1166*(1-I1166*(1-'Carrier Engine'!E96))</x:f>
        <x:v>14828.467210975297</x:v>
      </x:c>
      <x:c r="M1166" s="29" t="n">
        <x:f>NORM.S.DIST((LN(L1166)-K1166)/'Assumptions'!$D$10,TRUE)</x:f>
        <x:v>0.8521493376815981</x:v>
      </x:c>
      <x:c r="N1166" s="30" t="n">
        <x:f>MAX(0,H1166-MAX(G1166,M1166))</x:f>
        <x:v>0.11111111111111116</x:v>
      </x:c>
      <x:c r="O1166" s="28" t="n">
        <x:f>J1166*I1166</x:f>
        <x:v>3926.1549192939046</x:v>
      </x:c>
      <x:c r="P1166" s="27" t="n">
        <x:f>(VLOOKUP(O1166,'Fee Data'!$C$6:$G$50,2,TRUE)+O1166*VLOOKUP(O1166,'Fee Data'!$C$6:$G$50,3,TRUE)+VLOOKUP(O1166,'Fee Data'!$I$6:$J$14,2,TRUE)+'Fee Data'!$J$20+'Fee Data'!$J$21)*'Assumptions'!I37</x:f>
        <x:v>915</x:v>
      </x:c>
      <x:c r="Q1166" s="27" t="n">
        <x:f>(VLOOKUP(O1166,'Fee Data'!$C$6:$G$50,4,TRUE)+O1166*VLOOKUP(O1166,'Fee Data'!$C$6:$G$50,5,TRUE)+VLOOKUP(O1166,'Fee Data'!$I$6:$J$14,2,TRUE)+'Fee Data'!$J$20+'Fee Data'!$J$21)*'Assumptions'!I37</x:f>
        <x:v>765</x:v>
      </x:c>
      <x:c r="R1166" s="27" t="n">
        <x:f>P1166*(1-'Assumptions'!$D$14)+Q1166*'Assumptions'!$D$14</x:f>
        <x:v>840</x:v>
      </x:c>
      <x:c r="S1166" s="27" t="n">
        <x:f>O1166*'Carrier Engine'!E96</x:f>
        <x:v>157.0461967717562</x:v>
      </x:c>
      <x:c r="T1166" s="28" t="n">
        <x:f>R1166+S1166</x:f>
        <x:v>997.0461967717562</x:v>
      </x:c>
      <x:c r="U1166" s="27" t="n">
        <x:f>N1166*'Fleet Engine'!K202</x:f>
        <x:v>2484.7395056790965</x:v>
      </x:c>
      <x:c r="V1166" s="28" t="n">
        <x:f>U1166*T1166</x:f>
        <x:v>2477400.0741058765</x:v>
      </x:c>
      <x:c r="W1166" s="28" t="n">
        <x:f>U1166*O1166</x:f>
        <x:v>9755472.233385889</x:v>
      </x:c>
    </x:row>
    <x:row r="1167" ht="19" customHeight="1">
      <x:c r="A1167" s="2"/>
      <x:c r="B1167" s="2"/>
      <x:c r="C1167" s="46" t="n">
        <x:v>5</x:v>
      </x:c>
      <x:c r="D1167" s="46" t="n">
        <x:v>9</x:v>
      </x:c>
      <x:c r="E1167" s="46" t="n">
        <x:v>1</x:v>
      </x:c>
      <x:c r="F1167" s="46" t="n">
        <x:v>3</x:v>
      </x:c>
      <x:c r="G1167" s="12" t="n">
        <x:v>0</x:v>
      </x:c>
      <x:c r="H1167" s="12" t="n">
        <x:v>0.1111111111111111</x:v>
      </x:c>
      <x:c r="I1167" s="29" t="n">
        <x:f>'Assumptions'!$D$11+'Assumptions'!$D$12*(0.5-(G1167+H1167)/2)</x:f>
        <x:v>0.3888888888888889</x:v>
      </x:c>
      <x:c r="J1167" s="27" t="n">
        <x:f>'Assumptions'!$D$8*EXP(-'Assumptions'!$D$9*('Fleet Engine'!E203-10))*'Assumptions'!E56*'Assumptions'!I36</x:f>
        <x:v>13777.423112046714</x:v>
      </x:c>
      <x:c r="K1167" s="27" t="n">
        <x:f>'Source Data'!F220+LN('Assumptions'!D56)+LN('Assumptions'!I35)</x:f>
        <x:v>8.069478273890956</x:v>
      </x:c>
      <x:c r="L1167" s="27" t="n">
        <x:f>J1167*(1-I1167*(1-'Carrier Engine'!E96))</x:f>
        <x:v>8633.851816882609</x:v>
      </x:c>
      <x:c r="M1167" s="29" t="n">
        <x:f>NORM.S.DIST((LN(L1167)-K1167)/'Assumptions'!$D$10,TRUE)</x:f>
        <x:v>0.7366388707689671</x:v>
      </x:c>
      <x:c r="N1167" s="30" t="n">
        <x:f>MAX(0,H1167-MAX(G1167,M1167))</x:f>
        <x:v>0</x:v>
      </x:c>
      <x:c r="O1167" s="28" t="n">
        <x:f>J1167*I1167</x:f>
        <x:v>5357.8867657959445</x:v>
      </x:c>
      <x:c r="P1167" s="27" t="n">
        <x:f>(VLOOKUP(O1167,'Fee Data'!$C$6:$G$50,2,TRUE)+O1167*VLOOKUP(O1167,'Fee Data'!$C$6:$G$50,3,TRUE)+VLOOKUP(O1167,'Fee Data'!$I$6:$J$14,2,TRUE)+'Fee Data'!$J$20+'Fee Data'!$J$21)*'Assumptions'!I37</x:f>
        <x:v>995</x:v>
      </x:c>
      <x:c r="Q1167" s="27" t="n">
        <x:f>(VLOOKUP(O1167,'Fee Data'!$C$6:$G$50,4,TRUE)+O1167*VLOOKUP(O1167,'Fee Data'!$C$6:$G$50,5,TRUE)+VLOOKUP(O1167,'Fee Data'!$I$6:$J$14,2,TRUE)+'Fee Data'!$J$20+'Fee Data'!$J$21)*'Assumptions'!I37</x:f>
        <x:v>870</x:v>
      </x:c>
      <x:c r="R1167" s="27" t="n">
        <x:f>P1167*(1-'Assumptions'!$D$14)+Q1167*'Assumptions'!$D$14</x:f>
        <x:v>932.5</x:v>
      </x:c>
      <x:c r="S1167" s="27" t="n">
        <x:f>O1167*'Carrier Engine'!E96</x:f>
        <x:v>214.3154706318378</x:v>
      </x:c>
      <x:c r="T1167" s="28" t="n">
        <x:f>R1167+S1167</x:f>
        <x:v>1146.8154706318378</x:v>
      </x:c>
      <x:c r="U1167" s="27" t="n">
        <x:f>N1167*'Fleet Engine'!K203</x:f>
        <x:v>0</x:v>
      </x:c>
      <x:c r="V1167" s="28" t="n">
        <x:f>U1167*T1167</x:f>
        <x:v>0</x:v>
      </x:c>
      <x:c r="W1167" s="28" t="n">
        <x:f>U1167*O1167</x:f>
        <x:v>0</x:v>
      </x:c>
    </x:row>
    <x:row r="1168" ht="19" customHeight="1">
      <x:c r="A1168" s="2"/>
      <x:c r="B1168" s="2"/>
      <x:c r="C1168" s="46" t="n">
        <x:v>5</x:v>
      </x:c>
      <x:c r="D1168" s="46" t="n">
        <x:v>9</x:v>
      </x:c>
      <x:c r="E1168" s="46" t="n">
        <x:v>1</x:v>
      </x:c>
      <x:c r="F1168" s="46" t="n">
        <x:v>3</x:v>
      </x:c>
      <x:c r="G1168" s="12" t="n">
        <x:v>0.1111111111111111</x:v>
      </x:c>
      <x:c r="H1168" s="12" t="n">
        <x:v>0.2222222222222222</x:v>
      </x:c>
      <x:c r="I1168" s="29" t="n">
        <x:f>'Assumptions'!$D$11+'Assumptions'!$D$12*(0.5-(G1168+H1168)/2)</x:f>
        <x:v>0.3666666666666667</x:v>
      </x:c>
      <x:c r="J1168" s="27" t="n">
        <x:f>'Assumptions'!$D$8*EXP(-'Assumptions'!$D$9*('Fleet Engine'!E203-10))*'Assumptions'!E56*'Assumptions'!I36</x:f>
        <x:v>13777.423112046714</x:v>
      </x:c>
      <x:c r="K1168" s="27" t="n">
        <x:f>'Source Data'!F220+LN('Assumptions'!D56)+LN('Assumptions'!I35)</x:f>
        <x:v>8.069478273890956</x:v>
      </x:c>
      <x:c r="L1168" s="27" t="n">
        <x:f>J1168*(1-I1168*(1-'Carrier Engine'!E96))</x:f>
        <x:v>8927.77017660627</x:v>
      </x:c>
      <x:c r="M1168" s="29" t="n">
        <x:f>NORM.S.DIST((LN(L1168)-K1168)/'Assumptions'!$D$10,TRUE)</x:f>
        <x:v>0.7435526063287266</x:v>
      </x:c>
      <x:c r="N1168" s="30" t="n">
        <x:f>MAX(0,H1168-MAX(G1168,M1168))</x:f>
        <x:v>0</x:v>
      </x:c>
      <x:c r="O1168" s="28" t="n">
        <x:f>J1168*I1168</x:f>
        <x:v>5051.721807750462</x:v>
      </x:c>
      <x:c r="P1168" s="27" t="n">
        <x:f>(VLOOKUP(O1168,'Fee Data'!$C$6:$G$50,2,TRUE)+O1168*VLOOKUP(O1168,'Fee Data'!$C$6:$G$50,3,TRUE)+VLOOKUP(O1168,'Fee Data'!$I$6:$J$14,2,TRUE)+'Fee Data'!$J$20+'Fee Data'!$J$21)*'Assumptions'!I37</x:f>
        <x:v>995</x:v>
      </x:c>
      <x:c r="Q1168" s="27" t="n">
        <x:f>(VLOOKUP(O1168,'Fee Data'!$C$6:$G$50,4,TRUE)+O1168*VLOOKUP(O1168,'Fee Data'!$C$6:$G$50,5,TRUE)+VLOOKUP(O1168,'Fee Data'!$I$6:$J$14,2,TRUE)+'Fee Data'!$J$20+'Fee Data'!$J$21)*'Assumptions'!I37</x:f>
        <x:v>870</x:v>
      </x:c>
      <x:c r="R1168" s="27" t="n">
        <x:f>P1168*(1-'Assumptions'!$D$14)+Q1168*'Assumptions'!$D$14</x:f>
        <x:v>932.5</x:v>
      </x:c>
      <x:c r="S1168" s="27" t="n">
        <x:f>O1168*'Carrier Engine'!E96</x:f>
        <x:v>202.0688723100185</x:v>
      </x:c>
      <x:c r="T1168" s="28" t="n">
        <x:f>R1168+S1168</x:f>
        <x:v>1134.5688723100184</x:v>
      </x:c>
      <x:c r="U1168" s="27" t="n">
        <x:f>N1168*'Fleet Engine'!K203</x:f>
        <x:v>0</x:v>
      </x:c>
      <x:c r="V1168" s="28" t="n">
        <x:f>U1168*T1168</x:f>
        <x:v>0</x:v>
      </x:c>
      <x:c r="W1168" s="28" t="n">
        <x:f>U1168*O1168</x:f>
        <x:v>0</x:v>
      </x:c>
    </x:row>
    <x:row r="1169" ht="19" customHeight="1">
      <x:c r="A1169" s="2"/>
      <x:c r="B1169" s="2"/>
      <x:c r="C1169" s="46" t="n">
        <x:v>5</x:v>
      </x:c>
      <x:c r="D1169" s="46" t="n">
        <x:v>9</x:v>
      </x:c>
      <x:c r="E1169" s="46" t="n">
        <x:v>1</x:v>
      </x:c>
      <x:c r="F1169" s="46" t="n">
        <x:v>3</x:v>
      </x:c>
      <x:c r="G1169" s="12" t="n">
        <x:v>0.2222222222222222</x:v>
      </x:c>
      <x:c r="H1169" s="12" t="n">
        <x:v>0.3333333333333333</x:v>
      </x:c>
      <x:c r="I1169" s="29" t="n">
        <x:f>'Assumptions'!$D$11+'Assumptions'!$D$12*(0.5-(G1169+H1169)/2)</x:f>
        <x:v>0.34444444444444444</x:v>
      </x:c>
      <x:c r="J1169" s="27" t="n">
        <x:f>'Assumptions'!$D$8*EXP(-'Assumptions'!$D$9*('Fleet Engine'!E203-10))*'Assumptions'!E56*'Assumptions'!I36</x:f>
        <x:v>13777.423112046714</x:v>
      </x:c>
      <x:c r="K1169" s="27" t="n">
        <x:f>'Source Data'!F220+LN('Assumptions'!D56)+LN('Assumptions'!I35)</x:f>
        <x:v>8.069478273890956</x:v>
      </x:c>
      <x:c r="L1169" s="27" t="n">
        <x:f>J1169*(1-I1169*(1-'Carrier Engine'!E96))</x:f>
        <x:v>9221.688536329933</x:v>
      </x:c>
      <x:c r="M1169" s="29" t="n">
        <x:f>NORM.S.DIST((LN(L1169)-K1169)/'Assumptions'!$D$10,TRUE)</x:f>
        <x:v>0.7501512229331906</x:v>
      </x:c>
      <x:c r="N1169" s="30" t="n">
        <x:f>MAX(0,H1169-MAX(G1169,M1169))</x:f>
        <x:v>0</x:v>
      </x:c>
      <x:c r="O1169" s="28" t="n">
        <x:f>J1169*I1169</x:f>
        <x:v>4745.556849704979</x:v>
      </x:c>
      <x:c r="P1169" s="27" t="n">
        <x:f>(VLOOKUP(O1169,'Fee Data'!$C$6:$G$50,2,TRUE)+O1169*VLOOKUP(O1169,'Fee Data'!$C$6:$G$50,3,TRUE)+VLOOKUP(O1169,'Fee Data'!$I$6:$J$14,2,TRUE)+'Fee Data'!$J$20+'Fee Data'!$J$21)*'Assumptions'!I37</x:f>
        <x:v>970</x:v>
      </x:c>
      <x:c r="Q1169" s="27" t="n">
        <x:f>(VLOOKUP(O1169,'Fee Data'!$C$6:$G$50,4,TRUE)+O1169*VLOOKUP(O1169,'Fee Data'!$C$6:$G$50,5,TRUE)+VLOOKUP(O1169,'Fee Data'!$I$6:$J$14,2,TRUE)+'Fee Data'!$J$20+'Fee Data'!$J$21)*'Assumptions'!I37</x:f>
        <x:v>845</x:v>
      </x:c>
      <x:c r="R1169" s="27" t="n">
        <x:f>P1169*(1-'Assumptions'!$D$14)+Q1169*'Assumptions'!$D$14</x:f>
        <x:v>907.5</x:v>
      </x:c>
      <x:c r="S1169" s="27" t="n">
        <x:f>O1169*'Carrier Engine'!E96</x:f>
        <x:v>189.82227398819916</x:v>
      </x:c>
      <x:c r="T1169" s="28" t="n">
        <x:f>R1169+S1169</x:f>
        <x:v>1097.3222739881992</x:v>
      </x:c>
      <x:c r="U1169" s="27" t="n">
        <x:f>N1169*'Fleet Engine'!K203</x:f>
        <x:v>0</x:v>
      </x:c>
      <x:c r="V1169" s="28" t="n">
        <x:f>U1169*T1169</x:f>
        <x:v>0</x:v>
      </x:c>
      <x:c r="W1169" s="28" t="n">
        <x:f>U1169*O1169</x:f>
        <x:v>0</x:v>
      </x:c>
    </x:row>
    <x:row r="1170" ht="19" customHeight="1">
      <x:c r="A1170" s="2"/>
      <x:c r="B1170" s="2"/>
      <x:c r="C1170" s="46" t="n">
        <x:v>5</x:v>
      </x:c>
      <x:c r="D1170" s="46" t="n">
        <x:v>9</x:v>
      </x:c>
      <x:c r="E1170" s="46" t="n">
        <x:v>1</x:v>
      </x:c>
      <x:c r="F1170" s="46" t="n">
        <x:v>3</x:v>
      </x:c>
      <x:c r="G1170" s="12" t="n">
        <x:v>0.3333333333333333</x:v>
      </x:c>
      <x:c r="H1170" s="12" t="n">
        <x:v>0.4444444444444444</x:v>
      </x:c>
      <x:c r="I1170" s="29" t="n">
        <x:f>'Assumptions'!$D$11+'Assumptions'!$D$12*(0.5-(G1170+H1170)/2)</x:f>
        <x:v>0.32222222222222224</x:v>
      </x:c>
      <x:c r="J1170" s="27" t="n">
        <x:f>'Assumptions'!$D$8*EXP(-'Assumptions'!$D$9*('Fleet Engine'!E203-10))*'Assumptions'!E56*'Assumptions'!I36</x:f>
        <x:v>13777.423112046714</x:v>
      </x:c>
      <x:c r="K1170" s="27" t="n">
        <x:f>'Source Data'!F220+LN('Assumptions'!D56)+LN('Assumptions'!I35)</x:f>
        <x:v>8.069478273890956</x:v>
      </x:c>
      <x:c r="L1170" s="27" t="n">
        <x:f>J1170*(1-I1170*(1-'Carrier Engine'!E96))</x:f>
        <x:v>9515.606896053598</x:v>
      </x:c>
      <x:c r="M1170" s="29" t="n">
        <x:f>NORM.S.DIST((LN(L1170)-K1170)/'Assumptions'!$D$10,TRUE)</x:f>
        <x:v>0.7564558162657599</x:v>
      </x:c>
      <x:c r="N1170" s="30" t="n">
        <x:f>MAX(0,H1170-MAX(G1170,M1170))</x:f>
        <x:v>0</x:v>
      </x:c>
      <x:c r="O1170" s="28" t="n">
        <x:f>J1170*I1170</x:f>
        <x:v>4439.391891659497</x:v>
      </x:c>
      <x:c r="P1170" s="27" t="n">
        <x:f>(VLOOKUP(O1170,'Fee Data'!$C$6:$G$50,2,TRUE)+O1170*VLOOKUP(O1170,'Fee Data'!$C$6:$G$50,3,TRUE)+VLOOKUP(O1170,'Fee Data'!$I$6:$J$14,2,TRUE)+'Fee Data'!$J$20+'Fee Data'!$J$21)*'Assumptions'!I37</x:f>
        <x:v>945</x:v>
      </x:c>
      <x:c r="Q1170" s="27" t="n">
        <x:f>(VLOOKUP(O1170,'Fee Data'!$C$6:$G$50,4,TRUE)+O1170*VLOOKUP(O1170,'Fee Data'!$C$6:$G$50,5,TRUE)+VLOOKUP(O1170,'Fee Data'!$I$6:$J$14,2,TRUE)+'Fee Data'!$J$20+'Fee Data'!$J$21)*'Assumptions'!I37</x:f>
        <x:v>820</x:v>
      </x:c>
      <x:c r="R1170" s="27" t="n">
        <x:f>P1170*(1-'Assumptions'!$D$14)+Q1170*'Assumptions'!$D$14</x:f>
        <x:v>882.5</x:v>
      </x:c>
      <x:c r="S1170" s="27" t="n">
        <x:f>O1170*'Carrier Engine'!E96</x:f>
        <x:v>177.57567566637988</x:v>
      </x:c>
      <x:c r="T1170" s="28" t="n">
        <x:f>R1170+S1170</x:f>
        <x:v>1060.07567566638</x:v>
      </x:c>
      <x:c r="U1170" s="27" t="n">
        <x:f>N1170*'Fleet Engine'!K203</x:f>
        <x:v>0</x:v>
      </x:c>
      <x:c r="V1170" s="28" t="n">
        <x:f>U1170*T1170</x:f>
        <x:v>0</x:v>
      </x:c>
      <x:c r="W1170" s="28" t="n">
        <x:f>U1170*O1170</x:f>
        <x:v>0</x:v>
      </x:c>
    </x:row>
    <x:row r="1171" ht="19" customHeight="1">
      <x:c r="A1171" s="2"/>
      <x:c r="B1171" s="2"/>
      <x:c r="C1171" s="46" t="n">
        <x:v>5</x:v>
      </x:c>
      <x:c r="D1171" s="46" t="n">
        <x:v>9</x:v>
      </x:c>
      <x:c r="E1171" s="46" t="n">
        <x:v>1</x:v>
      </x:c>
      <x:c r="F1171" s="46" t="n">
        <x:v>3</x:v>
      </x:c>
      <x:c r="G1171" s="12" t="n">
        <x:v>0.4444444444444444</x:v>
      </x:c>
      <x:c r="H1171" s="12" t="n">
        <x:v>0.5555555555555556</x:v>
      </x:c>
      <x:c r="I1171" s="29" t="n">
        <x:f>'Assumptions'!$D$11+'Assumptions'!$D$12*(0.5-(G1171+H1171)/2)</x:f>
        <x:v>0.3</x:v>
      </x:c>
      <x:c r="J1171" s="27" t="n">
        <x:f>'Assumptions'!$D$8*EXP(-'Assumptions'!$D$9*('Fleet Engine'!E203-10))*'Assumptions'!E56*'Assumptions'!I36</x:f>
        <x:v>13777.423112046714</x:v>
      </x:c>
      <x:c r="K1171" s="27" t="n">
        <x:f>'Source Data'!F220+LN('Assumptions'!D56)+LN('Assumptions'!I35)</x:f>
        <x:v>8.069478273890956</x:v>
      </x:c>
      <x:c r="L1171" s="27" t="n">
        <x:f>J1171*(1-I1171*(1-'Carrier Engine'!E96))</x:f>
        <x:v>9809.52525577726</x:v>
      </x:c>
      <x:c r="M1171" s="29" t="n">
        <x:f>NORM.S.DIST((LN(L1171)-K1171)/'Assumptions'!$D$10,TRUE)</x:f>
        <x:v>0.7624856059429846</x:v>
      </x:c>
      <x:c r="N1171" s="30" t="n">
        <x:f>MAX(0,H1171-MAX(G1171,M1171))</x:f>
        <x:v>0</x:v>
      </x:c>
      <x:c r="O1171" s="28" t="n">
        <x:f>J1171*I1171</x:f>
        <x:v>4133.226933614014</x:v>
      </x:c>
      <x:c r="P1171" s="27" t="n">
        <x:f>(VLOOKUP(O1171,'Fee Data'!$C$6:$G$50,2,TRUE)+O1171*VLOOKUP(O1171,'Fee Data'!$C$6:$G$50,3,TRUE)+VLOOKUP(O1171,'Fee Data'!$I$6:$J$14,2,TRUE)+'Fee Data'!$J$20+'Fee Data'!$J$21)*'Assumptions'!I37</x:f>
        <x:v>945</x:v>
      </x:c>
      <x:c r="Q1171" s="27" t="n">
        <x:f>(VLOOKUP(O1171,'Fee Data'!$C$6:$G$50,4,TRUE)+O1171*VLOOKUP(O1171,'Fee Data'!$C$6:$G$50,5,TRUE)+VLOOKUP(O1171,'Fee Data'!$I$6:$J$14,2,TRUE)+'Fee Data'!$J$20+'Fee Data'!$J$21)*'Assumptions'!I37</x:f>
        <x:v>820</x:v>
      </x:c>
      <x:c r="R1171" s="27" t="n">
        <x:f>P1171*(1-'Assumptions'!$D$14)+Q1171*'Assumptions'!$D$14</x:f>
        <x:v>882.5</x:v>
      </x:c>
      <x:c r="S1171" s="27" t="n">
        <x:f>O1171*'Carrier Engine'!E96</x:f>
        <x:v>165.32907734456057</x:v>
      </x:c>
      <x:c r="T1171" s="28" t="n">
        <x:f>R1171+S1171</x:f>
        <x:v>1047.8290773445606</x:v>
      </x:c>
      <x:c r="U1171" s="27" t="n">
        <x:f>N1171*'Fleet Engine'!K203</x:f>
        <x:v>0</x:v>
      </x:c>
      <x:c r="V1171" s="28" t="n">
        <x:f>U1171*T1171</x:f>
        <x:v>0</x:v>
      </x:c>
      <x:c r="W1171" s="28" t="n">
        <x:f>U1171*O1171</x:f>
        <x:v>0</x:v>
      </x:c>
    </x:row>
    <x:row r="1172" ht="19" customHeight="1">
      <x:c r="A1172" s="2"/>
      <x:c r="B1172" s="2"/>
      <x:c r="C1172" s="46" t="n">
        <x:v>5</x:v>
      </x:c>
      <x:c r="D1172" s="46" t="n">
        <x:v>9</x:v>
      </x:c>
      <x:c r="E1172" s="46" t="n">
        <x:v>1</x:v>
      </x:c>
      <x:c r="F1172" s="46" t="n">
        <x:v>3</x:v>
      </x:c>
      <x:c r="G1172" s="12" t="n">
        <x:v>0.5555555555555556</x:v>
      </x:c>
      <x:c r="H1172" s="12" t="n">
        <x:v>0.6666666666666666</x:v>
      </x:c>
      <x:c r="I1172" s="29" t="n">
        <x:f>'Assumptions'!$D$11+'Assumptions'!$D$12*(0.5-(G1172+H1172)/2)</x:f>
        <x:v>0.27777777777777773</x:v>
      </x:c>
      <x:c r="J1172" s="27" t="n">
        <x:f>'Assumptions'!$D$8*EXP(-'Assumptions'!$D$9*('Fleet Engine'!E203-10))*'Assumptions'!E56*'Assumptions'!I36</x:f>
        <x:v>13777.423112046714</x:v>
      </x:c>
      <x:c r="K1172" s="27" t="n">
        <x:f>'Source Data'!F220+LN('Assumptions'!D56)+LN('Assumptions'!I35)</x:f>
        <x:v>8.069478273890956</x:v>
      </x:c>
      <x:c r="L1172" s="27" t="n">
        <x:f>J1172*(1-I1172*(1-'Carrier Engine'!E96))</x:f>
        <x:v>10103.443615500924</x:v>
      </x:c>
      <x:c r="M1172" s="29" t="n">
        <x:f>NORM.S.DIST((LN(L1172)-K1172)/'Assumptions'!$D$10,TRUE)</x:f>
        <x:v>0.7682581433884235</x:v>
      </x:c>
      <x:c r="N1172" s="30" t="n">
        <x:f>MAX(0,H1172-MAX(G1172,M1172))</x:f>
        <x:v>0</x:v>
      </x:c>
      <x:c r="O1172" s="28" t="n">
        <x:f>J1172*I1172</x:f>
        <x:v>3827.061975568531</x:v>
      </x:c>
      <x:c r="P1172" s="27" t="n">
        <x:f>(VLOOKUP(O1172,'Fee Data'!$C$6:$G$50,2,TRUE)+O1172*VLOOKUP(O1172,'Fee Data'!$C$6:$G$50,3,TRUE)+VLOOKUP(O1172,'Fee Data'!$I$6:$J$14,2,TRUE)+'Fee Data'!$J$20+'Fee Data'!$J$21)*'Assumptions'!I37</x:f>
        <x:v>915</x:v>
      </x:c>
      <x:c r="Q1172" s="27" t="n">
        <x:f>(VLOOKUP(O1172,'Fee Data'!$C$6:$G$50,4,TRUE)+O1172*VLOOKUP(O1172,'Fee Data'!$C$6:$G$50,5,TRUE)+VLOOKUP(O1172,'Fee Data'!$I$6:$J$14,2,TRUE)+'Fee Data'!$J$20+'Fee Data'!$J$21)*'Assumptions'!I37</x:f>
        <x:v>765</x:v>
      </x:c>
      <x:c r="R1172" s="27" t="n">
        <x:f>P1172*(1-'Assumptions'!$D$14)+Q1172*'Assumptions'!$D$14</x:f>
        <x:v>840</x:v>
      </x:c>
      <x:c r="S1172" s="27" t="n">
        <x:f>O1172*'Carrier Engine'!E96</x:f>
        <x:v>153.08247902274124</x:v>
      </x:c>
      <x:c r="T1172" s="28" t="n">
        <x:f>R1172+S1172</x:f>
        <x:v>993.0824790227413</x:v>
      </x:c>
      <x:c r="U1172" s="27" t="n">
        <x:f>N1172*'Fleet Engine'!K203</x:f>
        <x:v>0</x:v>
      </x:c>
      <x:c r="V1172" s="28" t="n">
        <x:f>U1172*T1172</x:f>
        <x:v>0</x:v>
      </x:c>
      <x:c r="W1172" s="28" t="n">
        <x:f>U1172*O1172</x:f>
        <x:v>0</x:v>
      </x:c>
    </x:row>
    <x:row r="1173" ht="19" customHeight="1">
      <x:c r="A1173" s="2"/>
      <x:c r="B1173" s="2"/>
      <x:c r="C1173" s="46" t="n">
        <x:v>5</x:v>
      </x:c>
      <x:c r="D1173" s="46" t="n">
        <x:v>9</x:v>
      </x:c>
      <x:c r="E1173" s="46" t="n">
        <x:v>1</x:v>
      </x:c>
      <x:c r="F1173" s="46" t="n">
        <x:v>3</x:v>
      </x:c>
      <x:c r="G1173" s="12" t="n">
        <x:v>0.6666666666666666</x:v>
      </x:c>
      <x:c r="H1173" s="12" t="n">
        <x:v>0.7777777777777778</x:v>
      </x:c>
      <x:c r="I1173" s="29" t="n">
        <x:f>'Assumptions'!$D$11+'Assumptions'!$D$12*(0.5-(G1173+H1173)/2)</x:f>
        <x:v>0.25555555555555554</x:v>
      </x:c>
      <x:c r="J1173" s="27" t="n">
        <x:f>'Assumptions'!$D$8*EXP(-'Assumptions'!$D$9*('Fleet Engine'!E203-10))*'Assumptions'!E56*'Assumptions'!I36</x:f>
        <x:v>13777.423112046714</x:v>
      </x:c>
      <x:c r="K1173" s="27" t="n">
        <x:f>'Source Data'!F220+LN('Assumptions'!D56)+LN('Assumptions'!I35)</x:f>
        <x:v>8.069478273890956</x:v>
      </x:c>
      <x:c r="L1173" s="27" t="n">
        <x:f>J1173*(1-I1173*(1-'Carrier Engine'!E96))</x:f>
        <x:v>10397.361975224587</x:v>
      </x:c>
      <x:c r="M1173" s="29" t="n">
        <x:f>NORM.S.DIST((LN(L1173)-K1173)/'Assumptions'!$D$10,TRUE)</x:f>
        <x:v>0.7737894922279166</x:v>
      </x:c>
      <x:c r="N1173" s="30" t="n">
        <x:f>MAX(0,H1173-MAX(G1173,M1173))</x:f>
        <x:v>0.0039882855498611924</x:v>
      </x:c>
      <x:c r="O1173" s="28" t="n">
        <x:f>J1173*I1173</x:f>
        <x:v>3520.897017523049</x:v>
      </x:c>
      <x:c r="P1173" s="27" t="n">
        <x:f>(VLOOKUP(O1173,'Fee Data'!$C$6:$G$50,2,TRUE)+O1173*VLOOKUP(O1173,'Fee Data'!$C$6:$G$50,3,TRUE)+VLOOKUP(O1173,'Fee Data'!$I$6:$J$14,2,TRUE)+'Fee Data'!$J$20+'Fee Data'!$J$21)*'Assumptions'!I37</x:f>
        <x:v>915</x:v>
      </x:c>
      <x:c r="Q1173" s="27" t="n">
        <x:f>(VLOOKUP(O1173,'Fee Data'!$C$6:$G$50,4,TRUE)+O1173*VLOOKUP(O1173,'Fee Data'!$C$6:$G$50,5,TRUE)+VLOOKUP(O1173,'Fee Data'!$I$6:$J$14,2,TRUE)+'Fee Data'!$J$20+'Fee Data'!$J$21)*'Assumptions'!I37</x:f>
        <x:v>765</x:v>
      </x:c>
      <x:c r="R1173" s="27" t="n">
        <x:f>P1173*(1-'Assumptions'!$D$14)+Q1173*'Assumptions'!$D$14</x:f>
        <x:v>840</x:v>
      </x:c>
      <x:c r="S1173" s="27" t="n">
        <x:f>O1173*'Carrier Engine'!E96</x:f>
        <x:v>140.83588070092196</x:v>
      </x:c>
      <x:c r="T1173" s="28" t="n">
        <x:f>R1173+S1173</x:f>
        <x:v>980.835880700922</x:v>
      </x:c>
      <x:c r="U1173" s="27" t="n">
        <x:f>N1173*'Fleet Engine'!K203</x:f>
        <x:v>73.18369843379625</x:v>
      </x:c>
      <x:c r="V1173" s="28" t="n">
        <x:f>U1173*T1173</x:f>
        <x:v>71781.19730626323</x:v>
      </x:c>
      <x:c r="W1173" s="28" t="n">
        <x:f>U1173*O1173</x:f>
        <x:v>257672.26554685945</x:v>
      </x:c>
    </x:row>
    <x:row r="1174" ht="19" customHeight="1">
      <x:c r="A1174" s="2"/>
      <x:c r="B1174" s="2"/>
      <x:c r="C1174" s="46" t="n">
        <x:v>5</x:v>
      </x:c>
      <x:c r="D1174" s="46" t="n">
        <x:v>9</x:v>
      </x:c>
      <x:c r="E1174" s="46" t="n">
        <x:v>1</x:v>
      </x:c>
      <x:c r="F1174" s="46" t="n">
        <x:v>3</x:v>
      </x:c>
      <x:c r="G1174" s="12" t="n">
        <x:v>0.7777777777777778</x:v>
      </x:c>
      <x:c r="H1174" s="12" t="n">
        <x:v>0.8888888888888888</x:v>
      </x:c>
      <x:c r="I1174" s="29" t="n">
        <x:f>'Assumptions'!$D$11+'Assumptions'!$D$12*(0.5-(G1174+H1174)/2)</x:f>
        <x:v>0.23333333333333334</x:v>
      </x:c>
      <x:c r="J1174" s="27" t="n">
        <x:f>'Assumptions'!$D$8*EXP(-'Assumptions'!$D$9*('Fleet Engine'!E203-10))*'Assumptions'!E56*'Assumptions'!I36</x:f>
        <x:v>13777.423112046714</x:v>
      </x:c>
      <x:c r="K1174" s="27" t="n">
        <x:f>'Source Data'!F220+LN('Assumptions'!D56)+LN('Assumptions'!I35)</x:f>
        <x:v>8.069478273890956</x:v>
      </x:c>
      <x:c r="L1174" s="27" t="n">
        <x:f>J1174*(1-I1174*(1-'Carrier Engine'!E96))</x:f>
        <x:v>10691.280334948251</x:v>
      </x:c>
      <x:c r="M1174" s="29" t="n">
        <x:f>NORM.S.DIST((LN(L1174)-K1174)/'Assumptions'!$D$10,TRUE)</x:f>
        <x:v>0.7790943854078269</x:v>
      </x:c>
      <x:c r="N1174" s="30" t="n">
        <x:f>MAX(0,H1174-MAX(G1174,M1174))</x:f>
        <x:v>0.1097945034810619</x:v>
      </x:c>
      <x:c r="O1174" s="28" t="n">
        <x:f>J1174*I1174</x:f>
        <x:v>3214.7320594775665</x:v>
      </x:c>
      <x:c r="P1174" s="27" t="n">
        <x:f>(VLOOKUP(O1174,'Fee Data'!$C$6:$G$50,2,TRUE)+O1174*VLOOKUP(O1174,'Fee Data'!$C$6:$G$50,3,TRUE)+VLOOKUP(O1174,'Fee Data'!$I$6:$J$14,2,TRUE)+'Fee Data'!$J$20+'Fee Data'!$J$21)*'Assumptions'!I37</x:f>
        <x:v>865</x:v>
      </x:c>
      <x:c r="Q1174" s="27" t="n">
        <x:f>(VLOOKUP(O1174,'Fee Data'!$C$6:$G$50,4,TRUE)+O1174*VLOOKUP(O1174,'Fee Data'!$C$6:$G$50,5,TRUE)+VLOOKUP(O1174,'Fee Data'!$I$6:$J$14,2,TRUE)+'Fee Data'!$J$20+'Fee Data'!$J$21)*'Assumptions'!I37</x:f>
        <x:v>715</x:v>
      </x:c>
      <x:c r="R1174" s="27" t="n">
        <x:f>P1174*(1-'Assumptions'!$D$14)+Q1174*'Assumptions'!$D$14</x:f>
        <x:v>790</x:v>
      </x:c>
      <x:c r="S1174" s="27" t="n">
        <x:f>O1174*'Carrier Engine'!E96</x:f>
        <x:v>128.58928237910266</x:v>
      </x:c>
      <x:c r="T1174" s="28" t="n">
        <x:f>R1174+S1174</x:f>
        <x:v>918.5892823791027</x:v>
      </x:c>
      <x:c r="U1174" s="27" t="n">
        <x:f>N1174*'Fleet Engine'!K203</x:f>
        <x:v>2014.6922109742322</x:v>
      </x:c>
      <x:c r="V1174" s="28" t="n">
        <x:f>U1174*T1174</x:f>
        <x:v>1850674.6722935876</x:v>
      </x:c>
      <x:c r="W1174" s="28" t="n">
        <x:f>U1174*O1174</x:f>
        <x:v>6476695.640598605</x:v>
      </x:c>
    </x:row>
    <x:row r="1175" ht="19" customHeight="1">
      <x:c r="A1175" s="2"/>
      <x:c r="B1175" s="2"/>
      <x:c r="C1175" s="46" t="n">
        <x:v>5</x:v>
      </x:c>
      <x:c r="D1175" s="46" t="n">
        <x:v>9</x:v>
      </x:c>
      <x:c r="E1175" s="46" t="n">
        <x:v>1</x:v>
      </x:c>
      <x:c r="F1175" s="46" t="n">
        <x:v>3</x:v>
      </x:c>
      <x:c r="G1175" s="12" t="n">
        <x:v>0.8888888888888888</x:v>
      </x:c>
      <x:c r="H1175" s="12" t="n">
        <x:v>1</x:v>
      </x:c>
      <x:c r="I1175" s="29" t="n">
        <x:f>'Assumptions'!$D$11+'Assumptions'!$D$12*(0.5-(G1175+H1175)/2)</x:f>
        <x:v>0.21111111111111108</x:v>
      </x:c>
      <x:c r="J1175" s="27" t="n">
        <x:f>'Assumptions'!$D$8*EXP(-'Assumptions'!$D$9*('Fleet Engine'!E203-10))*'Assumptions'!E56*'Assumptions'!I36</x:f>
        <x:v>13777.423112046714</x:v>
      </x:c>
      <x:c r="K1175" s="27" t="n">
        <x:f>'Source Data'!F220+LN('Assumptions'!D56)+LN('Assumptions'!I35)</x:f>
        <x:v>8.069478273890956</x:v>
      </x:c>
      <x:c r="L1175" s="27" t="n">
        <x:f>J1175*(1-I1175*(1-'Carrier Engine'!E96))</x:f>
        <x:v>10985.198694671913</x:v>
      </x:c>
      <x:c r="M1175" s="29" t="n">
        <x:f>NORM.S.DIST((LN(L1175)-K1175)/'Assumptions'!$D$10,TRUE)</x:f>
        <x:v>0.7841863625115301</x:v>
      </x:c>
      <x:c r="N1175" s="30" t="n">
        <x:f>MAX(0,H1175-MAX(G1175,M1175))</x:f>
        <x:v>0.11111111111111116</x:v>
      </x:c>
      <x:c r="O1175" s="28" t="n">
        <x:f>J1175*I1175</x:f>
        <x:v>2908.5671014320837</x:v>
      </x:c>
      <x:c r="P1175" s="27" t="n">
        <x:f>(VLOOKUP(O1175,'Fee Data'!$C$6:$G$50,2,TRUE)+O1175*VLOOKUP(O1175,'Fee Data'!$C$6:$G$50,3,TRUE)+VLOOKUP(O1175,'Fee Data'!$I$6:$J$14,2,TRUE)+'Fee Data'!$J$20+'Fee Data'!$J$21)*'Assumptions'!I37</x:f>
        <x:v>820</x:v>
      </x:c>
      <x:c r="Q1175" s="27" t="n">
        <x:f>(VLOOKUP(O1175,'Fee Data'!$C$6:$G$50,4,TRUE)+O1175*VLOOKUP(O1175,'Fee Data'!$C$6:$G$50,5,TRUE)+VLOOKUP(O1175,'Fee Data'!$I$6:$J$14,2,TRUE)+'Fee Data'!$J$20+'Fee Data'!$J$21)*'Assumptions'!I37</x:f>
        <x:v>670</x:v>
      </x:c>
      <x:c r="R1175" s="27" t="n">
        <x:f>P1175*(1-'Assumptions'!$D$14)+Q1175*'Assumptions'!$D$14</x:f>
        <x:v>745</x:v>
      </x:c>
      <x:c r="S1175" s="27" t="n">
        <x:f>O1175*'Carrier Engine'!E96</x:f>
        <x:v>116.34268405728335</x:v>
      </x:c>
      <x:c r="T1175" s="28" t="n">
        <x:f>R1175+S1175</x:f>
        <x:v>861.3426840572833</x:v>
      </x:c>
      <x:c r="U1175" s="27" t="n">
        <x:f>N1175*'Fleet Engine'!K203</x:f>
        <x:v>2038.8515181623832</x:v>
      </x:c>
      <x:c r="V1175" s="28" t="n">
        <x:f>U1175*T1175</x:f>
        <x:v>1756149.839048254</x:v>
      </x:c>
      <x:c r="W1175" s="28" t="n">
        <x:f>U1175*O1175</x:f>
        <x:v>5930136.450431966</x:v>
      </x:c>
    </x:row>
    <x:row r="1176" ht="19" customHeight="1">
      <x:c r="A1176" s="2"/>
      <x:c r="B1176" s="2"/>
      <x:c r="C1176" s="46" t="n">
        <x:v>5</x:v>
      </x:c>
      <x:c r="D1176" s="46" t="n">
        <x:v>10</x:v>
      </x:c>
      <x:c r="E1176" s="46" t="n">
        <x:v>1</x:v>
      </x:c>
      <x:c r="F1176" s="46" t="n">
        <x:v>4</x:v>
      </x:c>
      <x:c r="G1176" s="12" t="n">
        <x:v>0</x:v>
      </x:c>
      <x:c r="H1176" s="12" t="n">
        <x:v>0.1111111111111111</x:v>
      </x:c>
      <x:c r="I1176" s="29" t="n">
        <x:f>'Assumptions'!$D$11+'Assumptions'!$D$12*(0.5-(G1176+H1176)/2)</x:f>
        <x:v>0.3888888888888889</x:v>
      </x:c>
      <x:c r="J1176" s="27" t="n">
        <x:f>'Assumptions'!$D$8*EXP(-'Assumptions'!$D$9*('Fleet Engine'!E204-10))*'Assumptions'!E56*'Assumptions'!I36</x:f>
        <x:v>10206.566075445622</x:v>
      </x:c>
      <x:c r="K1176" s="27" t="n">
        <x:f>'Source Data'!F221+LN('Assumptions'!D56)+LN('Assumptions'!I35)</x:f>
        <x:v>8.155326402806208</x:v>
      </x:c>
      <x:c r="L1176" s="27" t="n">
        <x:f>J1176*(1-I1176*(1-'Carrier Engine'!E96))</x:f>
        <x:v>6396.11474061259</x:v>
      </x:c>
      <x:c r="M1176" s="29" t="n">
        <x:f>NORM.S.DIST((LN(L1176)-K1176)/'Assumptions'!$D$10,TRUE)</x:f>
        <x:v>0.6507279511537387</x:v>
      </x:c>
      <x:c r="N1176" s="30" t="n">
        <x:f>MAX(0,H1176-MAX(G1176,M1176))</x:f>
        <x:v>0</x:v>
      </x:c>
      <x:c r="O1176" s="28" t="n">
        <x:f>J1176*I1176</x:f>
        <x:v>3969.220140451075</x:v>
      </x:c>
      <x:c r="P1176" s="27" t="n">
        <x:f>(VLOOKUP(O1176,'Fee Data'!$C$6:$G$50,2,TRUE)+O1176*VLOOKUP(O1176,'Fee Data'!$C$6:$G$50,3,TRUE)+VLOOKUP(O1176,'Fee Data'!$I$6:$J$14,2,TRUE)+'Fee Data'!$J$20+'Fee Data'!$J$21)*'Assumptions'!I37</x:f>
        <x:v>915</x:v>
      </x:c>
      <x:c r="Q1176" s="27" t="n">
        <x:f>(VLOOKUP(O1176,'Fee Data'!$C$6:$G$50,4,TRUE)+O1176*VLOOKUP(O1176,'Fee Data'!$C$6:$G$50,5,TRUE)+VLOOKUP(O1176,'Fee Data'!$I$6:$J$14,2,TRUE)+'Fee Data'!$J$20+'Fee Data'!$J$21)*'Assumptions'!I37</x:f>
        <x:v>765</x:v>
      </x:c>
      <x:c r="R1176" s="27" t="n">
        <x:f>P1176*(1-'Assumptions'!$D$14)+Q1176*'Assumptions'!$D$14</x:f>
        <x:v>840</x:v>
      </x:c>
      <x:c r="S1176" s="27" t="n">
        <x:f>O1176*'Carrier Engine'!E96</x:f>
        <x:v>158.76880561804302</x:v>
      </x:c>
      <x:c r="T1176" s="28" t="n">
        <x:f>R1176+S1176</x:f>
        <x:v>998.768805618043</x:v>
      </x:c>
      <x:c r="U1176" s="27" t="n">
        <x:f>N1176*'Fleet Engine'!K204</x:f>
        <x:v>0</x:v>
      </x:c>
      <x:c r="V1176" s="28" t="n">
        <x:f>U1176*T1176</x:f>
        <x:v>0</x:v>
      </x:c>
      <x:c r="W1176" s="28" t="n">
        <x:f>U1176*O1176</x:f>
        <x:v>0</x:v>
      </x:c>
    </x:row>
    <x:row r="1177" ht="19" customHeight="1">
      <x:c r="A1177" s="2"/>
      <x:c r="B1177" s="2"/>
      <x:c r="C1177" s="46" t="n">
        <x:v>5</x:v>
      </x:c>
      <x:c r="D1177" s="46" t="n">
        <x:v>10</x:v>
      </x:c>
      <x:c r="E1177" s="46" t="n">
        <x:v>1</x:v>
      </x:c>
      <x:c r="F1177" s="46" t="n">
        <x:v>4</x:v>
      </x:c>
      <x:c r="G1177" s="12" t="n">
        <x:v>0.1111111111111111</x:v>
      </x:c>
      <x:c r="H1177" s="12" t="n">
        <x:v>0.2222222222222222</x:v>
      </x:c>
      <x:c r="I1177" s="29" t="n">
        <x:f>'Assumptions'!$D$11+'Assumptions'!$D$12*(0.5-(G1177+H1177)/2)</x:f>
        <x:v>0.3666666666666667</x:v>
      </x:c>
      <x:c r="J1177" s="27" t="n">
        <x:f>'Assumptions'!$D$8*EXP(-'Assumptions'!$D$9*('Fleet Engine'!E204-10))*'Assumptions'!E56*'Assumptions'!I36</x:f>
        <x:v>10206.566075445622</x:v>
      </x:c>
      <x:c r="K1177" s="27" t="n">
        <x:f>'Source Data'!F221+LN('Assumptions'!D56)+LN('Assumptions'!I35)</x:f>
        <x:v>8.155326402806208</x:v>
      </x:c>
      <x:c r="L1177" s="27" t="n">
        <x:f>J1177*(1-I1177*(1-'Carrier Engine'!E96))</x:f>
        <x:v>6613.854816888762</x:v>
      </x:c>
      <x:c r="M1177" s="29" t="n">
        <x:f>NORM.S.DIST((LN(L1177)-K1177)/'Assumptions'!$D$10,TRUE)</x:f>
        <x:v>0.658585579143658</x:v>
      </x:c>
      <x:c r="N1177" s="30" t="n">
        <x:f>MAX(0,H1177-MAX(G1177,M1177))</x:f>
        <x:v>0</x:v>
      </x:c>
      <x:c r="O1177" s="28" t="n">
        <x:f>J1177*I1177</x:f>
        <x:v>3742.4075609967285</x:v>
      </x:c>
      <x:c r="P1177" s="27" t="n">
        <x:f>(VLOOKUP(O1177,'Fee Data'!$C$6:$G$50,2,TRUE)+O1177*VLOOKUP(O1177,'Fee Data'!$C$6:$G$50,3,TRUE)+VLOOKUP(O1177,'Fee Data'!$I$6:$J$14,2,TRUE)+'Fee Data'!$J$20+'Fee Data'!$J$21)*'Assumptions'!I37</x:f>
        <x:v>915</x:v>
      </x:c>
      <x:c r="Q1177" s="27" t="n">
        <x:f>(VLOOKUP(O1177,'Fee Data'!$C$6:$G$50,4,TRUE)+O1177*VLOOKUP(O1177,'Fee Data'!$C$6:$G$50,5,TRUE)+VLOOKUP(O1177,'Fee Data'!$I$6:$J$14,2,TRUE)+'Fee Data'!$J$20+'Fee Data'!$J$21)*'Assumptions'!I37</x:f>
        <x:v>765</x:v>
      </x:c>
      <x:c r="R1177" s="27" t="n">
        <x:f>P1177*(1-'Assumptions'!$D$14)+Q1177*'Assumptions'!$D$14</x:f>
        <x:v>840</x:v>
      </x:c>
      <x:c r="S1177" s="27" t="n">
        <x:f>O1177*'Carrier Engine'!E96</x:f>
        <x:v>149.69630243986916</x:v>
      </x:c>
      <x:c r="T1177" s="28" t="n">
        <x:f>R1177+S1177</x:f>
        <x:v>989.6963024398692</x:v>
      </x:c>
      <x:c r="U1177" s="27" t="n">
        <x:f>N1177*'Fleet Engine'!K204</x:f>
        <x:v>0</x:v>
      </x:c>
      <x:c r="V1177" s="28" t="n">
        <x:f>U1177*T1177</x:f>
        <x:v>0</x:v>
      </x:c>
      <x:c r="W1177" s="28" t="n">
        <x:f>U1177*O1177</x:f>
        <x:v>0</x:v>
      </x:c>
    </x:row>
    <x:row r="1178" ht="19" customHeight="1">
      <x:c r="A1178" s="2"/>
      <x:c r="B1178" s="2"/>
      <x:c r="C1178" s="46" t="n">
        <x:v>5</x:v>
      </x:c>
      <x:c r="D1178" s="46" t="n">
        <x:v>10</x:v>
      </x:c>
      <x:c r="E1178" s="46" t="n">
        <x:v>1</x:v>
      </x:c>
      <x:c r="F1178" s="46" t="n">
        <x:v>4</x:v>
      </x:c>
      <x:c r="G1178" s="12" t="n">
        <x:v>0.2222222222222222</x:v>
      </x:c>
      <x:c r="H1178" s="12" t="n">
        <x:v>0.3333333333333333</x:v>
      </x:c>
      <x:c r="I1178" s="29" t="n">
        <x:f>'Assumptions'!$D$11+'Assumptions'!$D$12*(0.5-(G1178+H1178)/2)</x:f>
        <x:v>0.34444444444444444</x:v>
      </x:c>
      <x:c r="J1178" s="27" t="n">
        <x:f>'Assumptions'!$D$8*EXP(-'Assumptions'!$D$9*('Fleet Engine'!E204-10))*'Assumptions'!E56*'Assumptions'!I36</x:f>
        <x:v>10206.566075445622</x:v>
      </x:c>
      <x:c r="K1178" s="27" t="n">
        <x:f>'Source Data'!F221+LN('Assumptions'!D56)+LN('Assumptions'!I35)</x:f>
        <x:v>8.155326402806208</x:v>
      </x:c>
      <x:c r="L1178" s="27" t="n">
        <x:f>J1178*(1-I1178*(1-'Carrier Engine'!E96))</x:f>
        <x:v>6831.594893164936</x:v>
      </x:c>
      <x:c r="M1178" s="29" t="n">
        <x:f>NORM.S.DIST((LN(L1178)-K1178)/'Assumptions'!$D$10,TRUE)</x:f>
        <x:v>0.6661238198441306</x:v>
      </x:c>
      <x:c r="N1178" s="30" t="n">
        <x:f>MAX(0,H1178-MAX(G1178,M1178))</x:f>
        <x:v>0</x:v>
      </x:c>
      <x:c r="O1178" s="28" t="n">
        <x:f>J1178*I1178</x:f>
        <x:v>3515.594981542381</x:v>
      </x:c>
      <x:c r="P1178" s="27" t="n">
        <x:f>(VLOOKUP(O1178,'Fee Data'!$C$6:$G$50,2,TRUE)+O1178*VLOOKUP(O1178,'Fee Data'!$C$6:$G$50,3,TRUE)+VLOOKUP(O1178,'Fee Data'!$I$6:$J$14,2,TRUE)+'Fee Data'!$J$20+'Fee Data'!$J$21)*'Assumptions'!I37</x:f>
        <x:v>915</x:v>
      </x:c>
      <x:c r="Q1178" s="27" t="n">
        <x:f>(VLOOKUP(O1178,'Fee Data'!$C$6:$G$50,4,TRUE)+O1178*VLOOKUP(O1178,'Fee Data'!$C$6:$G$50,5,TRUE)+VLOOKUP(O1178,'Fee Data'!$I$6:$J$14,2,TRUE)+'Fee Data'!$J$20+'Fee Data'!$J$21)*'Assumptions'!I37</x:f>
        <x:v>765</x:v>
      </x:c>
      <x:c r="R1178" s="27" t="n">
        <x:f>P1178*(1-'Assumptions'!$D$14)+Q1178*'Assumptions'!$D$14</x:f>
        <x:v>840</x:v>
      </x:c>
      <x:c r="S1178" s="27" t="n">
        <x:f>O1178*'Carrier Engine'!E96</x:f>
        <x:v>140.62379926169524</x:v>
      </x:c>
      <x:c r="T1178" s="28" t="n">
        <x:f>R1178+S1178</x:f>
        <x:v>980.6237992616952</x:v>
      </x:c>
      <x:c r="U1178" s="27" t="n">
        <x:f>N1178*'Fleet Engine'!K204</x:f>
        <x:v>0</x:v>
      </x:c>
      <x:c r="V1178" s="28" t="n">
        <x:f>U1178*T1178</x:f>
        <x:v>0</x:v>
      </x:c>
      <x:c r="W1178" s="28" t="n">
        <x:f>U1178*O1178</x:f>
        <x:v>0</x:v>
      </x:c>
    </x:row>
    <x:row r="1179" ht="19" customHeight="1">
      <x:c r="A1179" s="2"/>
      <x:c r="B1179" s="2"/>
      <x:c r="C1179" s="46" t="n">
        <x:v>5</x:v>
      </x:c>
      <x:c r="D1179" s="46" t="n">
        <x:v>10</x:v>
      </x:c>
      <x:c r="E1179" s="46" t="n">
        <x:v>1</x:v>
      </x:c>
      <x:c r="F1179" s="46" t="n">
        <x:v>4</x:v>
      </x:c>
      <x:c r="G1179" s="12" t="n">
        <x:v>0.3333333333333333</x:v>
      </x:c>
      <x:c r="H1179" s="12" t="n">
        <x:v>0.4444444444444444</x:v>
      </x:c>
      <x:c r="I1179" s="29" t="n">
        <x:f>'Assumptions'!$D$11+'Assumptions'!$D$12*(0.5-(G1179+H1179)/2)</x:f>
        <x:v>0.32222222222222224</x:v>
      </x:c>
      <x:c r="J1179" s="27" t="n">
        <x:f>'Assumptions'!$D$8*EXP(-'Assumptions'!$D$9*('Fleet Engine'!E204-10))*'Assumptions'!E56*'Assumptions'!I36</x:f>
        <x:v>10206.566075445622</x:v>
      </x:c>
      <x:c r="K1179" s="27" t="n">
        <x:f>'Source Data'!F221+LN('Assumptions'!D56)+LN('Assumptions'!I35)</x:f>
        <x:v>8.155326402806208</x:v>
      </x:c>
      <x:c r="L1179" s="27" t="n">
        <x:f>J1179*(1-I1179*(1-'Carrier Engine'!E96))</x:f>
        <x:v>7049.33496944111</x:v>
      </x:c>
      <x:c r="M1179" s="29" t="n">
        <x:f>NORM.S.DIST((LN(L1179)-K1179)/'Assumptions'!$D$10,TRUE)</x:f>
        <x:v>0.6733621968258094</x:v>
      </x:c>
      <x:c r="N1179" s="30" t="n">
        <x:f>MAX(0,H1179-MAX(G1179,M1179))</x:f>
        <x:v>0</x:v>
      </x:c>
      <x:c r="O1179" s="28" t="n">
        <x:f>J1179*I1179</x:f>
        <x:v>3288.782402088034</x:v>
      </x:c>
      <x:c r="P1179" s="27" t="n">
        <x:f>(VLOOKUP(O1179,'Fee Data'!$C$6:$G$50,2,TRUE)+O1179*VLOOKUP(O1179,'Fee Data'!$C$6:$G$50,3,TRUE)+VLOOKUP(O1179,'Fee Data'!$I$6:$J$14,2,TRUE)+'Fee Data'!$J$20+'Fee Data'!$J$21)*'Assumptions'!I37</x:f>
        <x:v>865</x:v>
      </x:c>
      <x:c r="Q1179" s="27" t="n">
        <x:f>(VLOOKUP(O1179,'Fee Data'!$C$6:$G$50,4,TRUE)+O1179*VLOOKUP(O1179,'Fee Data'!$C$6:$G$50,5,TRUE)+VLOOKUP(O1179,'Fee Data'!$I$6:$J$14,2,TRUE)+'Fee Data'!$J$20+'Fee Data'!$J$21)*'Assumptions'!I37</x:f>
        <x:v>715</x:v>
      </x:c>
      <x:c r="R1179" s="27" t="n">
        <x:f>P1179*(1-'Assumptions'!$D$14)+Q1179*'Assumptions'!$D$14</x:f>
        <x:v>790</x:v>
      </x:c>
      <x:c r="S1179" s="27" t="n">
        <x:f>O1179*'Carrier Engine'!E96</x:f>
        <x:v>131.55129608352135</x:v>
      </x:c>
      <x:c r="T1179" s="28" t="n">
        <x:f>R1179+S1179</x:f>
        <x:v>921.5512960835214</x:v>
      </x:c>
      <x:c r="U1179" s="27" t="n">
        <x:f>N1179*'Fleet Engine'!K204</x:f>
        <x:v>0</x:v>
      </x:c>
      <x:c r="V1179" s="28" t="n">
        <x:f>U1179*T1179</x:f>
        <x:v>0</x:v>
      </x:c>
      <x:c r="W1179" s="28" t="n">
        <x:f>U1179*O1179</x:f>
        <x:v>0</x:v>
      </x:c>
    </x:row>
    <x:row r="1180" ht="19" customHeight="1">
      <x:c r="A1180" s="2"/>
      <x:c r="B1180" s="2"/>
      <x:c r="C1180" s="46" t="n">
        <x:v>5</x:v>
      </x:c>
      <x:c r="D1180" s="46" t="n">
        <x:v>10</x:v>
      </x:c>
      <x:c r="E1180" s="46" t="n">
        <x:v>1</x:v>
      </x:c>
      <x:c r="F1180" s="46" t="n">
        <x:v>4</x:v>
      </x:c>
      <x:c r="G1180" s="12" t="n">
        <x:v>0.4444444444444444</x:v>
      </x:c>
      <x:c r="H1180" s="12" t="n">
        <x:v>0.5555555555555556</x:v>
      </x:c>
      <x:c r="I1180" s="29" t="n">
        <x:f>'Assumptions'!$D$11+'Assumptions'!$D$12*(0.5-(G1180+H1180)/2)</x:f>
        <x:v>0.3</x:v>
      </x:c>
      <x:c r="J1180" s="27" t="n">
        <x:f>'Assumptions'!$D$8*EXP(-'Assumptions'!$D$9*('Fleet Engine'!E204-10))*'Assumptions'!E56*'Assumptions'!I36</x:f>
        <x:v>10206.566075445622</x:v>
      </x:c>
      <x:c r="K1180" s="27" t="n">
        <x:f>'Source Data'!F221+LN('Assumptions'!D56)+LN('Assumptions'!I35)</x:f>
        <x:v>8.155326402806208</x:v>
      </x:c>
      <x:c r="L1180" s="27" t="n">
        <x:f>J1180*(1-I1180*(1-'Carrier Engine'!E96))</x:f>
        <x:v>7267.075045717283</x:v>
      </x:c>
      <x:c r="M1180" s="29" t="n">
        <x:f>NORM.S.DIST((LN(L1180)-K1180)/'Assumptions'!$D$10,TRUE)</x:f>
        <x:v>0.680318625246847</x:v>
      </x:c>
      <x:c r="N1180" s="30" t="n">
        <x:f>MAX(0,H1180-MAX(G1180,M1180))</x:f>
        <x:v>0</x:v>
      </x:c>
      <x:c r="O1180" s="28" t="n">
        <x:f>J1180*I1180</x:f>
        <x:v>3061.9698226336864</x:v>
      </x:c>
      <x:c r="P1180" s="27" t="n">
        <x:f>(VLOOKUP(O1180,'Fee Data'!$C$6:$G$50,2,TRUE)+O1180*VLOOKUP(O1180,'Fee Data'!$C$6:$G$50,3,TRUE)+VLOOKUP(O1180,'Fee Data'!$I$6:$J$14,2,TRUE)+'Fee Data'!$J$20+'Fee Data'!$J$21)*'Assumptions'!I37</x:f>
        <x:v>865</x:v>
      </x:c>
      <x:c r="Q1180" s="27" t="n">
        <x:f>(VLOOKUP(O1180,'Fee Data'!$C$6:$G$50,4,TRUE)+O1180*VLOOKUP(O1180,'Fee Data'!$C$6:$G$50,5,TRUE)+VLOOKUP(O1180,'Fee Data'!$I$6:$J$14,2,TRUE)+'Fee Data'!$J$20+'Fee Data'!$J$21)*'Assumptions'!I37</x:f>
        <x:v>715</x:v>
      </x:c>
      <x:c r="R1180" s="27" t="n">
        <x:f>P1180*(1-'Assumptions'!$D$14)+Q1180*'Assumptions'!$D$14</x:f>
        <x:v>790</x:v>
      </x:c>
      <x:c r="S1180" s="27" t="n">
        <x:f>O1180*'Carrier Engine'!E96</x:f>
        <x:v>122.47879290534746</x:v>
      </x:c>
      <x:c r="T1180" s="28" t="n">
        <x:f>R1180+S1180</x:f>
        <x:v>912.4787929053475</x:v>
      </x:c>
      <x:c r="U1180" s="27" t="n">
        <x:f>N1180*'Fleet Engine'!K204</x:f>
        <x:v>0</x:v>
      </x:c>
      <x:c r="V1180" s="28" t="n">
        <x:f>U1180*T1180</x:f>
        <x:v>0</x:v>
      </x:c>
      <x:c r="W1180" s="28" t="n">
        <x:f>U1180*O1180</x:f>
        <x:v>0</x:v>
      </x:c>
    </x:row>
    <x:row r="1181" ht="19" customHeight="1">
      <x:c r="A1181" s="2"/>
      <x:c r="B1181" s="2"/>
      <x:c r="C1181" s="46" t="n">
        <x:v>5</x:v>
      </x:c>
      <x:c r="D1181" s="46" t="n">
        <x:v>10</x:v>
      </x:c>
      <x:c r="E1181" s="46" t="n">
        <x:v>1</x:v>
      </x:c>
      <x:c r="F1181" s="46" t="n">
        <x:v>4</x:v>
      </x:c>
      <x:c r="G1181" s="12" t="n">
        <x:v>0.5555555555555556</x:v>
      </x:c>
      <x:c r="H1181" s="12" t="n">
        <x:v>0.6666666666666666</x:v>
      </x:c>
      <x:c r="I1181" s="29" t="n">
        <x:f>'Assumptions'!$D$11+'Assumptions'!$D$12*(0.5-(G1181+H1181)/2)</x:f>
        <x:v>0.27777777777777773</x:v>
      </x:c>
      <x:c r="J1181" s="27" t="n">
        <x:f>'Assumptions'!$D$8*EXP(-'Assumptions'!$D$9*('Fleet Engine'!E204-10))*'Assumptions'!E56*'Assumptions'!I36</x:f>
        <x:v>10206.566075445622</x:v>
      </x:c>
      <x:c r="K1181" s="27" t="n">
        <x:f>'Source Data'!F221+LN('Assumptions'!D56)+LN('Assumptions'!I35)</x:f>
        <x:v>8.155326402806208</x:v>
      </x:c>
      <x:c r="L1181" s="27" t="n">
        <x:f>J1181*(1-I1181*(1-'Carrier Engine'!E96))</x:f>
        <x:v>7484.815121993457</x:v>
      </x:c>
      <x:c r="M1181" s="29" t="n">
        <x:f>NORM.S.DIST((LN(L1181)-K1181)/'Assumptions'!$D$10,TRUE)</x:f>
        <x:v>0.687009578457402</x:v>
      </x:c>
      <x:c r="N1181" s="30" t="n">
        <x:f>MAX(0,H1181-MAX(G1181,M1181))</x:f>
        <x:v>0</x:v>
      </x:c>
      <x:c r="O1181" s="28" t="n">
        <x:f>J1181*I1181</x:f>
        <x:v>2835.157243179339</x:v>
      </x:c>
      <x:c r="P1181" s="27" t="n">
        <x:f>(VLOOKUP(O1181,'Fee Data'!$C$6:$G$50,2,TRUE)+O1181*VLOOKUP(O1181,'Fee Data'!$C$6:$G$50,3,TRUE)+VLOOKUP(O1181,'Fee Data'!$I$6:$J$14,2,TRUE)+'Fee Data'!$J$20+'Fee Data'!$J$21)*'Assumptions'!I37</x:f>
        <x:v>820</x:v>
      </x:c>
      <x:c r="Q1181" s="27" t="n">
        <x:f>(VLOOKUP(O1181,'Fee Data'!$C$6:$G$50,4,TRUE)+O1181*VLOOKUP(O1181,'Fee Data'!$C$6:$G$50,5,TRUE)+VLOOKUP(O1181,'Fee Data'!$I$6:$J$14,2,TRUE)+'Fee Data'!$J$20+'Fee Data'!$J$21)*'Assumptions'!I37</x:f>
        <x:v>670</x:v>
      </x:c>
      <x:c r="R1181" s="27" t="n">
        <x:f>P1181*(1-'Assumptions'!$D$14)+Q1181*'Assumptions'!$D$14</x:f>
        <x:v>745</x:v>
      </x:c>
      <x:c r="S1181" s="27" t="n">
        <x:f>O1181*'Carrier Engine'!E96</x:f>
        <x:v>113.40628972717356</x:v>
      </x:c>
      <x:c r="T1181" s="28" t="n">
        <x:f>R1181+S1181</x:f>
        <x:v>858.4062897271735</x:v>
      </x:c>
      <x:c r="U1181" s="27" t="n">
        <x:f>N1181*'Fleet Engine'!K204</x:f>
        <x:v>0</x:v>
      </x:c>
      <x:c r="V1181" s="28" t="n">
        <x:f>U1181*T1181</x:f>
        <x:v>0</x:v>
      </x:c>
      <x:c r="W1181" s="28" t="n">
        <x:f>U1181*O1181</x:f>
        <x:v>0</x:v>
      </x:c>
    </x:row>
    <x:row r="1182" ht="19" customHeight="1">
      <x:c r="A1182" s="2"/>
      <x:c r="B1182" s="2"/>
      <x:c r="C1182" s="46" t="n">
        <x:v>5</x:v>
      </x:c>
      <x:c r="D1182" s="46" t="n">
        <x:v>10</x:v>
      </x:c>
      <x:c r="E1182" s="46" t="n">
        <x:v>1</x:v>
      </x:c>
      <x:c r="F1182" s="46" t="n">
        <x:v>4</x:v>
      </x:c>
      <x:c r="G1182" s="12" t="n">
        <x:v>0.6666666666666666</x:v>
      </x:c>
      <x:c r="H1182" s="12" t="n">
        <x:v>0.7777777777777778</x:v>
      </x:c>
      <x:c r="I1182" s="29" t="n">
        <x:f>'Assumptions'!$D$11+'Assumptions'!$D$12*(0.5-(G1182+H1182)/2)</x:f>
        <x:v>0.25555555555555554</x:v>
      </x:c>
      <x:c r="J1182" s="27" t="n">
        <x:f>'Assumptions'!$D$8*EXP(-'Assumptions'!$D$9*('Fleet Engine'!E204-10))*'Assumptions'!E56*'Assumptions'!I36</x:f>
        <x:v>10206.566075445622</x:v>
      </x:c>
      <x:c r="K1182" s="27" t="n">
        <x:f>'Source Data'!F221+LN('Assumptions'!D56)+LN('Assumptions'!I35)</x:f>
        <x:v>8.155326402806208</x:v>
      </x:c>
      <x:c r="L1182" s="27" t="n">
        <x:f>J1182*(1-I1182*(1-'Carrier Engine'!E96))</x:f>
        <x:v>7702.55519826963</x:v>
      </x:c>
      <x:c r="M1182" s="29" t="n">
        <x:f>NORM.S.DIST((LN(L1182)-K1182)/'Assumptions'!$D$10,TRUE)</x:f>
        <x:v>0.6934502338952844</x:v>
      </x:c>
      <x:c r="N1182" s="30" t="n">
        <x:f>MAX(0,H1182-MAX(G1182,M1182))</x:f>
        <x:v>0.08432754388249342</x:v>
      </x:c>
      <x:c r="O1182" s="28" t="n">
        <x:f>J1182*I1182</x:f>
        <x:v>2608.344663724992</x:v>
      </x:c>
      <x:c r="P1182" s="27" t="n">
        <x:f>(VLOOKUP(O1182,'Fee Data'!$C$6:$G$50,2,TRUE)+O1182*VLOOKUP(O1182,'Fee Data'!$C$6:$G$50,3,TRUE)+VLOOKUP(O1182,'Fee Data'!$I$6:$J$14,2,TRUE)+'Fee Data'!$J$20+'Fee Data'!$J$21)*'Assumptions'!I37</x:f>
        <x:v>820</x:v>
      </x:c>
      <x:c r="Q1182" s="27" t="n">
        <x:f>(VLOOKUP(O1182,'Fee Data'!$C$6:$G$50,4,TRUE)+O1182*VLOOKUP(O1182,'Fee Data'!$C$6:$G$50,5,TRUE)+VLOOKUP(O1182,'Fee Data'!$I$6:$J$14,2,TRUE)+'Fee Data'!$J$20+'Fee Data'!$J$21)*'Assumptions'!I37</x:f>
        <x:v>670</x:v>
      </x:c>
      <x:c r="R1182" s="27" t="n">
        <x:f>P1182*(1-'Assumptions'!$D$14)+Q1182*'Assumptions'!$D$14</x:f>
        <x:v>745</x:v>
      </x:c>
      <x:c r="S1182" s="27" t="n">
        <x:f>O1182*'Carrier Engine'!E96</x:f>
        <x:v>104.33378654899968</x:v>
      </x:c>
      <x:c r="T1182" s="28" t="n">
        <x:f>R1182+S1182</x:f>
        <x:v>849.3337865489997</x:v>
      </x:c>
      <x:c r="U1182" s="27" t="n">
        <x:f>N1182*'Fleet Engine'!K204</x:f>
        <x:v>871.3888888567208</x:v>
      </x:c>
      <x:c r="V1182" s="28" t="n">
        <x:f>U1182*T1182</x:f>
        <x:v>740100.0245294041</x:v>
      </x:c>
      <x:c r="W1182" s="28" t="n">
        <x:f>U1182*O1182</x:f>
        <x:v>2272882.558278678</x:v>
      </x:c>
    </x:row>
    <x:row r="1183" ht="19" customHeight="1">
      <x:c r="A1183" s="2"/>
      <x:c r="B1183" s="2"/>
      <x:c r="C1183" s="46" t="n">
        <x:v>5</x:v>
      </x:c>
      <x:c r="D1183" s="46" t="n">
        <x:v>10</x:v>
      </x:c>
      <x:c r="E1183" s="46" t="n">
        <x:v>1</x:v>
      </x:c>
      <x:c r="F1183" s="46" t="n">
        <x:v>4</x:v>
      </x:c>
      <x:c r="G1183" s="12" t="n">
        <x:v>0.7777777777777778</x:v>
      </x:c>
      <x:c r="H1183" s="12" t="n">
        <x:v>0.8888888888888888</x:v>
      </x:c>
      <x:c r="I1183" s="29" t="n">
        <x:f>'Assumptions'!$D$11+'Assumptions'!$D$12*(0.5-(G1183+H1183)/2)</x:f>
        <x:v>0.23333333333333334</x:v>
      </x:c>
      <x:c r="J1183" s="27" t="n">
        <x:f>'Assumptions'!$D$8*EXP(-'Assumptions'!$D$9*('Fleet Engine'!E204-10))*'Assumptions'!E56*'Assumptions'!I36</x:f>
        <x:v>10206.566075445622</x:v>
      </x:c>
      <x:c r="K1183" s="27" t="n">
        <x:f>'Source Data'!F221+LN('Assumptions'!D56)+LN('Assumptions'!I35)</x:f>
        <x:v>8.155326402806208</x:v>
      </x:c>
      <x:c r="L1183" s="27" t="n">
        <x:f>J1183*(1-I1183*(1-'Carrier Engine'!E96))</x:f>
        <x:v>7920.295274545803</x:v>
      </x:c>
      <x:c r="M1183" s="29" t="n">
        <x:f>NORM.S.DIST((LN(L1183)-K1183)/'Assumptions'!$D$10,TRUE)</x:f>
        <x:v>0.699654601261197</x:v>
      </x:c>
      <x:c r="N1183" s="30" t="n">
        <x:f>MAX(0,H1183-MAX(G1183,M1183))</x:f>
        <x:v>0.11111111111111105</x:v>
      </x:c>
      <x:c r="O1183" s="28" t="n">
        <x:f>J1183*I1183</x:f>
        <x:v>2381.532084270645</x:v>
      </x:c>
      <x:c r="P1183" s="27" t="n">
        <x:f>(VLOOKUP(O1183,'Fee Data'!$C$6:$G$50,2,TRUE)+O1183*VLOOKUP(O1183,'Fee Data'!$C$6:$G$50,3,TRUE)+VLOOKUP(O1183,'Fee Data'!$I$6:$J$14,2,TRUE)+'Fee Data'!$J$20+'Fee Data'!$J$21)*'Assumptions'!I37</x:f>
        <x:v>745</x:v>
      </x:c>
      <x:c r="Q1183" s="27" t="n">
        <x:f>(VLOOKUP(O1183,'Fee Data'!$C$6:$G$50,4,TRUE)+O1183*VLOOKUP(O1183,'Fee Data'!$C$6:$G$50,5,TRUE)+VLOOKUP(O1183,'Fee Data'!$I$6:$J$14,2,TRUE)+'Fee Data'!$J$20+'Fee Data'!$J$21)*'Assumptions'!I37</x:f>
        <x:v>600</x:v>
      </x:c>
      <x:c r="R1183" s="27" t="n">
        <x:f>P1183*(1-'Assumptions'!$D$14)+Q1183*'Assumptions'!$D$14</x:f>
        <x:v>672.5</x:v>
      </x:c>
      <x:c r="S1183" s="27" t="n">
        <x:f>O1183*'Carrier Engine'!E96</x:f>
        <x:v>95.26128337082581</x:v>
      </x:c>
      <x:c r="T1183" s="28" t="n">
        <x:f>R1183+S1183</x:f>
        <x:v>767.7612833708258</x:v>
      </x:c>
      <x:c r="U1183" s="27" t="n">
        <x:f>N1183*'Fleet Engine'!K204</x:f>
        <x:v>1148.1537726945105</x:v>
      </x:c>
      <x:c r="V1183" s="28" t="n">
        <x:f>U1183*T1183</x:f>
        <x:v>881508.0140309929</x:v>
      </x:c>
      <x:c r="W1183" s="28" t="n">
        <x:f>U1183*O1183</x:f>
        <x:v>2734365.047348362</x:v>
      </x:c>
    </x:row>
    <x:row r="1184" ht="19" customHeight="1">
      <x:c r="A1184" s="2"/>
      <x:c r="B1184" s="2"/>
      <x:c r="C1184" s="46" t="n">
        <x:v>5</x:v>
      </x:c>
      <x:c r="D1184" s="46" t="n">
        <x:v>10</x:v>
      </x:c>
      <x:c r="E1184" s="46" t="n">
        <x:v>1</x:v>
      </x:c>
      <x:c r="F1184" s="46" t="n">
        <x:v>4</x:v>
      </x:c>
      <x:c r="G1184" s="12" t="n">
        <x:v>0.8888888888888888</x:v>
      </x:c>
      <x:c r="H1184" s="12" t="n">
        <x:v>1</x:v>
      </x:c>
      <x:c r="I1184" s="29" t="n">
        <x:f>'Assumptions'!$D$11+'Assumptions'!$D$12*(0.5-(G1184+H1184)/2)</x:f>
        <x:v>0.21111111111111108</x:v>
      </x:c>
      <x:c r="J1184" s="27" t="n">
        <x:f>'Assumptions'!$D$8*EXP(-'Assumptions'!$D$9*('Fleet Engine'!E204-10))*'Assumptions'!E56*'Assumptions'!I36</x:f>
        <x:v>10206.566075445622</x:v>
      </x:c>
      <x:c r="K1184" s="27" t="n">
        <x:f>'Source Data'!F221+LN('Assumptions'!D56)+LN('Assumptions'!I35)</x:f>
        <x:v>8.155326402806208</x:v>
      </x:c>
      <x:c r="L1184" s="27" t="n">
        <x:f>J1184*(1-I1184*(1-'Carrier Engine'!E96))</x:f>
        <x:v>8138.035350821976</x:v>
      </x:c>
      <x:c r="M1184" s="29" t="n">
        <x:f>NORM.S.DIST((LN(L1184)-K1184)/'Assumptions'!$D$10,TRUE)</x:f>
        <x:v>0.7056356354734394</x:v>
      </x:c>
      <x:c r="N1184" s="30" t="n">
        <x:f>MAX(0,H1184-MAX(G1184,M1184))</x:f>
        <x:v>0.11111111111111116</x:v>
      </x:c>
      <x:c r="O1184" s="28" t="n">
        <x:f>J1184*I1184</x:f>
        <x:v>2154.7195048162976</x:v>
      </x:c>
      <x:c r="P1184" s="27" t="n">
        <x:f>(VLOOKUP(O1184,'Fee Data'!$C$6:$G$50,2,TRUE)+O1184*VLOOKUP(O1184,'Fee Data'!$C$6:$G$50,3,TRUE)+VLOOKUP(O1184,'Fee Data'!$I$6:$J$14,2,TRUE)+'Fee Data'!$J$20+'Fee Data'!$J$21)*'Assumptions'!I37</x:f>
        <x:v>745</x:v>
      </x:c>
      <x:c r="Q1184" s="27" t="n">
        <x:f>(VLOOKUP(O1184,'Fee Data'!$C$6:$G$50,4,TRUE)+O1184*VLOOKUP(O1184,'Fee Data'!$C$6:$G$50,5,TRUE)+VLOOKUP(O1184,'Fee Data'!$I$6:$J$14,2,TRUE)+'Fee Data'!$J$20+'Fee Data'!$J$21)*'Assumptions'!I37</x:f>
        <x:v>600</x:v>
      </x:c>
      <x:c r="R1184" s="27" t="n">
        <x:f>P1184*(1-'Assumptions'!$D$14)+Q1184*'Assumptions'!$D$14</x:f>
        <x:v>672.5</x:v>
      </x:c>
      <x:c r="S1184" s="27" t="n">
        <x:f>O1184*'Carrier Engine'!E96</x:f>
        <x:v>86.1887801926519</x:v>
      </x:c>
      <x:c r="T1184" s="28" t="n">
        <x:f>R1184+S1184</x:f>
        <x:v>758.6887801926518</x:v>
      </x:c>
      <x:c r="U1184" s="27" t="n">
        <x:f>N1184*'Fleet Engine'!K204</x:f>
        <x:v>1148.1537726945116</x:v>
      </x:c>
      <x:c r="V1184" s="28" t="n">
        <x:f>U1184*T1184</x:f>
        <x:v>871091.3852791903</x:v>
      </x:c>
      <x:c r="W1184" s="28" t="n">
        <x:f>U1184*O1184</x:f>
        <x:v>2473949.328553282</x:v>
      </x:c>
    </x:row>
    <x:row r="1185" ht="19" customHeight="1">
      <x:c r="A1185" s="2"/>
      <x:c r="B1185" s="2"/>
      <x:c r="C1185" s="46" t="n">
        <x:v>5</x:v>
      </x:c>
      <x:c r="D1185" s="46" t="n">
        <x:v>11</x:v>
      </x:c>
      <x:c r="E1185" s="46" t="n">
        <x:v>1</x:v>
      </x:c>
      <x:c r="F1185" s="46" t="n">
        <x:v>5</x:v>
      </x:c>
      <x:c r="G1185" s="12" t="n">
        <x:v>0</x:v>
      </x:c>
      <x:c r="H1185" s="12" t="n">
        <x:v>0.1111111111111111</x:v>
      </x:c>
      <x:c r="I1185" s="29" t="n">
        <x:f>'Assumptions'!$D$11+'Assumptions'!$D$12*(0.5-(G1185+H1185)/2)</x:f>
        <x:v>0.3888888888888889</x:v>
      </x:c>
      <x:c r="J1185" s="27" t="n">
        <x:f>'Assumptions'!$D$8*EXP(-'Assumptions'!$D$9*('Fleet Engine'!E205-10))*'Assumptions'!E56*'Assumptions'!I36</x:f>
        <x:v>5601.482226767098</x:v>
      </x:c>
      <x:c r="K1185" s="27" t="n">
        <x:f>'Source Data'!F222+LN('Assumptions'!D56)+LN('Assumptions'!I35)</x:f>
        <x:v>8.056397553082528</x:v>
      </x:c>
      <x:c r="L1185" s="27" t="n">
        <x:f>J1185*(1-I1185*(1-'Carrier Engine'!E96))</x:f>
        <x:v>3510.262195440715</x:v>
      </x:c>
      <x:c r="M1185" s="29" t="n">
        <x:f>NORM.S.DIST((LN(L1185)-K1185)/'Assumptions'!$D$10,TRUE)</x:f>
        <x:v>0.5271767523756574</x:v>
      </x:c>
      <x:c r="N1185" s="30" t="n">
        <x:f>MAX(0,H1185-MAX(G1185,M1185))</x:f>
        <x:v>0</x:v>
      </x:c>
      <x:c r="O1185" s="28" t="n">
        <x:f>J1185*I1185</x:f>
        <x:v>2178.354199298316</x:v>
      </x:c>
      <x:c r="P1185" s="27" t="n">
        <x:f>(VLOOKUP(O1185,'Fee Data'!$C$6:$G$50,2,TRUE)+O1185*VLOOKUP(O1185,'Fee Data'!$C$6:$G$50,3,TRUE)+VLOOKUP(O1185,'Fee Data'!$I$6:$J$14,2,TRUE)+'Fee Data'!$J$20+'Fee Data'!$J$21)*'Assumptions'!I37</x:f>
        <x:v>745</x:v>
      </x:c>
      <x:c r="Q1185" s="27" t="n">
        <x:f>(VLOOKUP(O1185,'Fee Data'!$C$6:$G$50,4,TRUE)+O1185*VLOOKUP(O1185,'Fee Data'!$C$6:$G$50,5,TRUE)+VLOOKUP(O1185,'Fee Data'!$I$6:$J$14,2,TRUE)+'Fee Data'!$J$20+'Fee Data'!$J$21)*'Assumptions'!I37</x:f>
        <x:v>600</x:v>
      </x:c>
      <x:c r="R1185" s="27" t="n">
        <x:f>P1185*(1-'Assumptions'!$D$14)+Q1185*'Assumptions'!$D$14</x:f>
        <x:v>672.5</x:v>
      </x:c>
      <x:c r="S1185" s="27" t="n">
        <x:f>O1185*'Carrier Engine'!E96</x:f>
        <x:v>87.13416797193264</x:v>
      </x:c>
      <x:c r="T1185" s="28" t="n">
        <x:f>R1185+S1185</x:f>
        <x:v>759.6341679719326</x:v>
      </x:c>
      <x:c r="U1185" s="27" t="n">
        <x:f>N1185*'Fleet Engine'!K205</x:f>
        <x:v>0</x:v>
      </x:c>
      <x:c r="V1185" s="28" t="n">
        <x:f>U1185*T1185</x:f>
        <x:v>0</x:v>
      </x:c>
      <x:c r="W1185" s="28" t="n">
        <x:f>U1185*O1185</x:f>
        <x:v>0</x:v>
      </x:c>
    </x:row>
    <x:row r="1186" ht="19" customHeight="1">
      <x:c r="A1186" s="2"/>
      <x:c r="B1186" s="2"/>
      <x:c r="C1186" s="46" t="n">
        <x:v>5</x:v>
      </x:c>
      <x:c r="D1186" s="46" t="n">
        <x:v>11</x:v>
      </x:c>
      <x:c r="E1186" s="46" t="n">
        <x:v>1</x:v>
      </x:c>
      <x:c r="F1186" s="46" t="n">
        <x:v>5</x:v>
      </x:c>
      <x:c r="G1186" s="12" t="n">
        <x:v>0.1111111111111111</x:v>
      </x:c>
      <x:c r="H1186" s="12" t="n">
        <x:v>0.2222222222222222</x:v>
      </x:c>
      <x:c r="I1186" s="29" t="n">
        <x:f>'Assumptions'!$D$11+'Assumptions'!$D$12*(0.5-(G1186+H1186)/2)</x:f>
        <x:v>0.3666666666666667</x:v>
      </x:c>
      <x:c r="J1186" s="27" t="n">
        <x:f>'Assumptions'!$D$8*EXP(-'Assumptions'!$D$9*('Fleet Engine'!E205-10))*'Assumptions'!E56*'Assumptions'!I36</x:f>
        <x:v>5601.482226767098</x:v>
      </x:c>
      <x:c r="K1186" s="27" t="n">
        <x:f>'Source Data'!F222+LN('Assumptions'!D56)+LN('Assumptions'!I35)</x:f>
        <x:v>8.056397553082528</x:v>
      </x:c>
      <x:c r="L1186" s="27" t="n">
        <x:f>J1186*(1-I1186*(1-'Carrier Engine'!E96))</x:f>
        <x:v>3629.760482945079</x:v>
      </x:c>
      <x:c r="M1186" s="29" t="n">
        <x:f>NORM.S.DIST((LN(L1186)-K1186)/'Assumptions'!$D$10,TRUE)</x:f>
        <x:v>0.5356554348338565</x:v>
      </x:c>
      <x:c r="N1186" s="30" t="n">
        <x:f>MAX(0,H1186-MAX(G1186,M1186))</x:f>
        <x:v>0</x:v>
      </x:c>
      <x:c r="O1186" s="28" t="n">
        <x:f>J1186*I1186</x:f>
        <x:v>2053.8768164812695</x:v>
      </x:c>
      <x:c r="P1186" s="27" t="n">
        <x:f>(VLOOKUP(O1186,'Fee Data'!$C$6:$G$50,2,TRUE)+O1186*VLOOKUP(O1186,'Fee Data'!$C$6:$G$50,3,TRUE)+VLOOKUP(O1186,'Fee Data'!$I$6:$J$14,2,TRUE)+'Fee Data'!$J$20+'Fee Data'!$J$21)*'Assumptions'!I37</x:f>
        <x:v>745</x:v>
      </x:c>
      <x:c r="Q1186" s="27" t="n">
        <x:f>(VLOOKUP(O1186,'Fee Data'!$C$6:$G$50,4,TRUE)+O1186*VLOOKUP(O1186,'Fee Data'!$C$6:$G$50,5,TRUE)+VLOOKUP(O1186,'Fee Data'!$I$6:$J$14,2,TRUE)+'Fee Data'!$J$20+'Fee Data'!$J$21)*'Assumptions'!I37</x:f>
        <x:v>600</x:v>
      </x:c>
      <x:c r="R1186" s="27" t="n">
        <x:f>P1186*(1-'Assumptions'!$D$14)+Q1186*'Assumptions'!$D$14</x:f>
        <x:v>672.5</x:v>
      </x:c>
      <x:c r="S1186" s="27" t="n">
        <x:f>O1186*'Carrier Engine'!E96</x:f>
        <x:v>82.15507265925078</x:v>
      </x:c>
      <x:c r="T1186" s="28" t="n">
        <x:f>R1186+S1186</x:f>
        <x:v>754.6550726592508</x:v>
      </x:c>
      <x:c r="U1186" s="27" t="n">
        <x:f>N1186*'Fleet Engine'!K205</x:f>
        <x:v>0</x:v>
      </x:c>
      <x:c r="V1186" s="28" t="n">
        <x:f>U1186*T1186</x:f>
        <x:v>0</x:v>
      </x:c>
      <x:c r="W1186" s="28" t="n">
        <x:f>U1186*O1186</x:f>
        <x:v>0</x:v>
      </x:c>
    </x:row>
    <x:row r="1187" ht="19" customHeight="1">
      <x:c r="A1187" s="2"/>
      <x:c r="B1187" s="2"/>
      <x:c r="C1187" s="46" t="n">
        <x:v>5</x:v>
      </x:c>
      <x:c r="D1187" s="46" t="n">
        <x:v>11</x:v>
      </x:c>
      <x:c r="E1187" s="46" t="n">
        <x:v>1</x:v>
      </x:c>
      <x:c r="F1187" s="46" t="n">
        <x:v>5</x:v>
      </x:c>
      <x:c r="G1187" s="12" t="n">
        <x:v>0.2222222222222222</x:v>
      </x:c>
      <x:c r="H1187" s="12" t="n">
        <x:v>0.3333333333333333</x:v>
      </x:c>
      <x:c r="I1187" s="29" t="n">
        <x:f>'Assumptions'!$D$11+'Assumptions'!$D$12*(0.5-(G1187+H1187)/2)</x:f>
        <x:v>0.34444444444444444</x:v>
      </x:c>
      <x:c r="J1187" s="27" t="n">
        <x:f>'Assumptions'!$D$8*EXP(-'Assumptions'!$D$9*('Fleet Engine'!E205-10))*'Assumptions'!E56*'Assumptions'!I36</x:f>
        <x:v>5601.482226767098</x:v>
      </x:c>
      <x:c r="K1187" s="27" t="n">
        <x:f>'Source Data'!F222+LN('Assumptions'!D56)+LN('Assumptions'!I35)</x:f>
        <x:v>8.056397553082528</x:v>
      </x:c>
      <x:c r="L1187" s="27" t="n">
        <x:f>J1187*(1-I1187*(1-'Carrier Engine'!E96))</x:f>
        <x:v>3749.258770449444</x:v>
      </x:c>
      <x:c r="M1187" s="29" t="n">
        <x:f>NORM.S.DIST((LN(L1187)-K1187)/'Assumptions'!$D$10,TRUE)</x:f>
        <x:v>0.5438441102581311</x:v>
      </x:c>
      <x:c r="N1187" s="30" t="n">
        <x:f>MAX(0,H1187-MAX(G1187,M1187))</x:f>
        <x:v>0</x:v>
      </x:c>
      <x:c r="O1187" s="28" t="n">
        <x:f>J1187*I1187</x:f>
        <x:v>1929.3994336642227</x:v>
      </x:c>
      <x:c r="P1187" s="27" t="n">
        <x:f>(VLOOKUP(O1187,'Fee Data'!$C$6:$G$50,2,TRUE)+O1187*VLOOKUP(O1187,'Fee Data'!$C$6:$G$50,3,TRUE)+VLOOKUP(O1187,'Fee Data'!$I$6:$J$14,2,TRUE)+'Fee Data'!$J$20+'Fee Data'!$J$21)*'Assumptions'!I37</x:f>
        <x:v>705</x:v>
      </x:c>
      <x:c r="Q1187" s="27" t="n">
        <x:f>(VLOOKUP(O1187,'Fee Data'!$C$6:$G$50,4,TRUE)+O1187*VLOOKUP(O1187,'Fee Data'!$C$6:$G$50,5,TRUE)+VLOOKUP(O1187,'Fee Data'!$I$6:$J$14,2,TRUE)+'Fee Data'!$J$20+'Fee Data'!$J$21)*'Assumptions'!I37</x:f>
        <x:v>565</x:v>
      </x:c>
      <x:c r="R1187" s="27" t="n">
        <x:f>P1187*(1-'Assumptions'!$D$14)+Q1187*'Assumptions'!$D$14</x:f>
        <x:v>635</x:v>
      </x:c>
      <x:c r="S1187" s="27" t="n">
        <x:f>O1187*'Carrier Engine'!E96</x:f>
        <x:v>77.17597734656891</x:v>
      </x:c>
      <x:c r="T1187" s="28" t="n">
        <x:f>R1187+S1187</x:f>
        <x:v>712.175977346569</x:v>
      </x:c>
      <x:c r="U1187" s="27" t="n">
        <x:f>N1187*'Fleet Engine'!K205</x:f>
        <x:v>0</x:v>
      </x:c>
      <x:c r="V1187" s="28" t="n">
        <x:f>U1187*T1187</x:f>
        <x:v>0</x:v>
      </x:c>
      <x:c r="W1187" s="28" t="n">
        <x:f>U1187*O1187</x:f>
        <x:v>0</x:v>
      </x:c>
    </x:row>
    <x:row r="1188" ht="19" customHeight="1">
      <x:c r="A1188" s="2"/>
      <x:c r="B1188" s="2"/>
      <x:c r="C1188" s="46" t="n">
        <x:v>5</x:v>
      </x:c>
      <x:c r="D1188" s="46" t="n">
        <x:v>11</x:v>
      </x:c>
      <x:c r="E1188" s="46" t="n">
        <x:v>1</x:v>
      </x:c>
      <x:c r="F1188" s="46" t="n">
        <x:v>5</x:v>
      </x:c>
      <x:c r="G1188" s="12" t="n">
        <x:v>0.3333333333333333</x:v>
      </x:c>
      <x:c r="H1188" s="12" t="n">
        <x:v>0.4444444444444444</x:v>
      </x:c>
      <x:c r="I1188" s="29" t="n">
        <x:f>'Assumptions'!$D$11+'Assumptions'!$D$12*(0.5-(G1188+H1188)/2)</x:f>
        <x:v>0.32222222222222224</x:v>
      </x:c>
      <x:c r="J1188" s="27" t="n">
        <x:f>'Assumptions'!$D$8*EXP(-'Assumptions'!$D$9*('Fleet Engine'!E205-10))*'Assumptions'!E56*'Assumptions'!I36</x:f>
        <x:v>5601.482226767098</x:v>
      </x:c>
      <x:c r="K1188" s="27" t="n">
        <x:f>'Source Data'!F222+LN('Assumptions'!D56)+LN('Assumptions'!I35)</x:f>
        <x:v>8.056397553082528</x:v>
      </x:c>
      <x:c r="L1188" s="27" t="n">
        <x:f>J1188*(1-I1188*(1-'Carrier Engine'!E96))</x:f>
        <x:v>3868.7570579538087</x:v>
      </x:c>
      <x:c r="M1188" s="29" t="n">
        <x:f>NORM.S.DIST((LN(L1188)-K1188)/'Assumptions'!$D$10,TRUE)</x:f>
        <x:v>0.5517581623199981</x:v>
      </x:c>
      <x:c r="N1188" s="30" t="n">
        <x:f>MAX(0,H1188-MAX(G1188,M1188))</x:f>
        <x:v>0</x:v>
      </x:c>
      <x:c r="O1188" s="28" t="n">
        <x:f>J1188*I1188</x:f>
        <x:v>1804.922050847176</x:v>
      </x:c>
      <x:c r="P1188" s="27" t="n">
        <x:f>(VLOOKUP(O1188,'Fee Data'!$C$6:$G$50,2,TRUE)+O1188*VLOOKUP(O1188,'Fee Data'!$C$6:$G$50,3,TRUE)+VLOOKUP(O1188,'Fee Data'!$I$6:$J$14,2,TRUE)+'Fee Data'!$J$20+'Fee Data'!$J$21)*'Assumptions'!I37</x:f>
        <x:v>705</x:v>
      </x:c>
      <x:c r="Q1188" s="27" t="n">
        <x:f>(VLOOKUP(O1188,'Fee Data'!$C$6:$G$50,4,TRUE)+O1188*VLOOKUP(O1188,'Fee Data'!$C$6:$G$50,5,TRUE)+VLOOKUP(O1188,'Fee Data'!$I$6:$J$14,2,TRUE)+'Fee Data'!$J$20+'Fee Data'!$J$21)*'Assumptions'!I37</x:f>
        <x:v>565</x:v>
      </x:c>
      <x:c r="R1188" s="27" t="n">
        <x:f>P1188*(1-'Assumptions'!$D$14)+Q1188*'Assumptions'!$D$14</x:f>
        <x:v>635</x:v>
      </x:c>
      <x:c r="S1188" s="27" t="n">
        <x:f>O1188*'Carrier Engine'!E96</x:f>
        <x:v>72.19688203388704</x:v>
      </x:c>
      <x:c r="T1188" s="28" t="n">
        <x:f>R1188+S1188</x:f>
        <x:v>707.196882033887</x:v>
      </x:c>
      <x:c r="U1188" s="27" t="n">
        <x:f>N1188*'Fleet Engine'!K205</x:f>
        <x:v>0</x:v>
      </x:c>
      <x:c r="V1188" s="28" t="n">
        <x:f>U1188*T1188</x:f>
        <x:v>0</x:v>
      </x:c>
      <x:c r="W1188" s="28" t="n">
        <x:f>U1188*O1188</x:f>
        <x:v>0</x:v>
      </x:c>
    </x:row>
    <x:row r="1189" ht="19" customHeight="1">
      <x:c r="A1189" s="2"/>
      <x:c r="B1189" s="2"/>
      <x:c r="C1189" s="46" t="n">
        <x:v>5</x:v>
      </x:c>
      <x:c r="D1189" s="46" t="n">
        <x:v>11</x:v>
      </x:c>
      <x:c r="E1189" s="46" t="n">
        <x:v>1</x:v>
      </x:c>
      <x:c r="F1189" s="46" t="n">
        <x:v>5</x:v>
      </x:c>
      <x:c r="G1189" s="12" t="n">
        <x:v>0.4444444444444444</x:v>
      </x:c>
      <x:c r="H1189" s="12" t="n">
        <x:v>0.5555555555555556</x:v>
      </x:c>
      <x:c r="I1189" s="29" t="n">
        <x:f>'Assumptions'!$D$11+'Assumptions'!$D$12*(0.5-(G1189+H1189)/2)</x:f>
        <x:v>0.3</x:v>
      </x:c>
      <x:c r="J1189" s="27" t="n">
        <x:f>'Assumptions'!$D$8*EXP(-'Assumptions'!$D$9*('Fleet Engine'!E205-10))*'Assumptions'!E56*'Assumptions'!I36</x:f>
        <x:v>5601.482226767098</x:v>
      </x:c>
      <x:c r="K1189" s="27" t="n">
        <x:f>'Source Data'!F222+LN('Assumptions'!D56)+LN('Assumptions'!I35)</x:f>
        <x:v>8.056397553082528</x:v>
      </x:c>
      <x:c r="L1189" s="27" t="n">
        <x:f>J1189*(1-I1189*(1-'Carrier Engine'!E96))</x:f>
        <x:v>3988.2553454581735</x:v>
      </x:c>
      <x:c r="M1189" s="29" t="n">
        <x:f>NORM.S.DIST((LN(L1189)-K1189)/'Assumptions'!$D$10,TRUE)</x:f>
        <x:v>0.559411856481953</x:v>
      </x:c>
      <x:c r="N1189" s="30" t="n">
        <x:f>MAX(0,H1189-MAX(G1189,M1189))</x:f>
        <x:v>0</x:v>
      </x:c>
      <x:c r="O1189" s="28" t="n">
        <x:f>J1189*I1189</x:f>
        <x:v>1680.4446680301294</x:v>
      </x:c>
      <x:c r="P1189" s="27" t="n">
        <x:f>(VLOOKUP(O1189,'Fee Data'!$C$6:$G$50,2,TRUE)+O1189*VLOOKUP(O1189,'Fee Data'!$C$6:$G$50,3,TRUE)+VLOOKUP(O1189,'Fee Data'!$I$6:$J$14,2,TRUE)+'Fee Data'!$J$20+'Fee Data'!$J$21)*'Assumptions'!I37</x:f>
        <x:v>660</x:v>
      </x:c>
      <x:c r="Q1189" s="27" t="n">
        <x:f>(VLOOKUP(O1189,'Fee Data'!$C$6:$G$50,4,TRUE)+O1189*VLOOKUP(O1189,'Fee Data'!$C$6:$G$50,5,TRUE)+VLOOKUP(O1189,'Fee Data'!$I$6:$J$14,2,TRUE)+'Fee Data'!$J$20+'Fee Data'!$J$21)*'Assumptions'!I37</x:f>
        <x:v>525</x:v>
      </x:c>
      <x:c r="R1189" s="27" t="n">
        <x:f>P1189*(1-'Assumptions'!$D$14)+Q1189*'Assumptions'!$D$14</x:f>
        <x:v>592.5</x:v>
      </x:c>
      <x:c r="S1189" s="27" t="n">
        <x:f>O1189*'Carrier Engine'!E96</x:f>
        <x:v>67.21778672120517</x:v>
      </x:c>
      <x:c r="T1189" s="28" t="n">
        <x:f>R1189+S1189</x:f>
        <x:v>659.7177867212051</x:v>
      </x:c>
      <x:c r="U1189" s="27" t="n">
        <x:f>N1189*'Fleet Engine'!K205</x:f>
        <x:v>0</x:v>
      </x:c>
      <x:c r="V1189" s="28" t="n">
        <x:f>U1189*T1189</x:f>
        <x:v>0</x:v>
      </x:c>
      <x:c r="W1189" s="28" t="n">
        <x:f>U1189*O1189</x:f>
        <x:v>0</x:v>
      </x:c>
    </x:row>
    <x:row r="1190" ht="19" customHeight="1">
      <x:c r="A1190" s="2"/>
      <x:c r="B1190" s="2"/>
      <x:c r="C1190" s="46" t="n">
        <x:v>5</x:v>
      </x:c>
      <x:c r="D1190" s="46" t="n">
        <x:v>11</x:v>
      </x:c>
      <x:c r="E1190" s="46" t="n">
        <x:v>1</x:v>
      </x:c>
      <x:c r="F1190" s="46" t="n">
        <x:v>5</x:v>
      </x:c>
      <x:c r="G1190" s="12" t="n">
        <x:v>0.5555555555555556</x:v>
      </x:c>
      <x:c r="H1190" s="12" t="n">
        <x:v>0.6666666666666666</x:v>
      </x:c>
      <x:c r="I1190" s="29" t="n">
        <x:f>'Assumptions'!$D$11+'Assumptions'!$D$12*(0.5-(G1190+H1190)/2)</x:f>
        <x:v>0.27777777777777773</x:v>
      </x:c>
      <x:c r="J1190" s="27" t="n">
        <x:f>'Assumptions'!$D$8*EXP(-'Assumptions'!$D$9*('Fleet Engine'!E205-10))*'Assumptions'!E56*'Assumptions'!I36</x:f>
        <x:v>5601.482226767098</x:v>
      </x:c>
      <x:c r="K1190" s="27" t="n">
        <x:f>'Source Data'!F222+LN('Assumptions'!D56)+LN('Assumptions'!I35)</x:f>
        <x:v>8.056397553082528</x:v>
      </x:c>
      <x:c r="L1190" s="27" t="n">
        <x:f>J1190*(1-I1190*(1-'Carrier Engine'!E96))</x:f>
        <x:v>4107.753632962539</x:v>
      </x:c>
      <x:c r="M1190" s="29" t="n">
        <x:f>NORM.S.DIST((LN(L1190)-K1190)/'Assumptions'!$D$10,TRUE)</x:f>
        <x:v>0.5668184429915024</x:v>
      </x:c>
      <x:c r="N1190" s="30" t="n">
        <x:f>MAX(0,H1190-MAX(G1190,M1190))</x:f>
        <x:v>0.09984822367516422</x:v>
      </x:c>
      <x:c r="O1190" s="28" t="n">
        <x:f>J1190*I1190</x:f>
        <x:v>1555.9672852130825</x:v>
      </x:c>
      <x:c r="P1190" s="27" t="n">
        <x:f>(VLOOKUP(O1190,'Fee Data'!$C$6:$G$50,2,TRUE)+O1190*VLOOKUP(O1190,'Fee Data'!$C$6:$G$50,3,TRUE)+VLOOKUP(O1190,'Fee Data'!$I$6:$J$14,2,TRUE)+'Fee Data'!$J$20+'Fee Data'!$J$21)*'Assumptions'!I37</x:f>
        <x:v>640</x:v>
      </x:c>
      <x:c r="Q1190" s="27" t="n">
        <x:f>(VLOOKUP(O1190,'Fee Data'!$C$6:$G$50,4,TRUE)+O1190*VLOOKUP(O1190,'Fee Data'!$C$6:$G$50,5,TRUE)+VLOOKUP(O1190,'Fee Data'!$I$6:$J$14,2,TRUE)+'Fee Data'!$J$20+'Fee Data'!$J$21)*'Assumptions'!I37</x:f>
        <x:v>510</x:v>
      </x:c>
      <x:c r="R1190" s="27" t="n">
        <x:f>P1190*(1-'Assumptions'!$D$14)+Q1190*'Assumptions'!$D$14</x:f>
        <x:v>575</x:v>
      </x:c>
      <x:c r="S1190" s="27" t="n">
        <x:f>O1190*'Carrier Engine'!E96</x:f>
        <x:v>62.2386914085233</x:v>
      </x:c>
      <x:c r="T1190" s="28" t="n">
        <x:f>R1190+S1190</x:f>
        <x:v>637.2386914085233</x:v>
      </x:c>
      <x:c r="U1190" s="27" t="n">
        <x:f>N1190*'Fleet Engine'!K205</x:f>
        <x:v>1177.9913993203313</x:v>
      </x:c>
      <x:c r="V1190" s="28" t="n">
        <x:f>U1190*T1190</x:f>
        <x:v>750661.6977933832</x:v>
      </x:c>
      <x:c r="W1190" s="28" t="n">
        <x:f>U1190*O1190</x:f>
        <x:v>1832916.0796048162</x:v>
      </x:c>
    </x:row>
    <x:row r="1191" ht="19" customHeight="1">
      <x:c r="A1191" s="2"/>
      <x:c r="B1191" s="2"/>
      <x:c r="C1191" s="46" t="n">
        <x:v>5</x:v>
      </x:c>
      <x:c r="D1191" s="46" t="n">
        <x:v>11</x:v>
      </x:c>
      <x:c r="E1191" s="46" t="n">
        <x:v>1</x:v>
      </x:c>
      <x:c r="F1191" s="46" t="n">
        <x:v>5</x:v>
      </x:c>
      <x:c r="G1191" s="12" t="n">
        <x:v>0.6666666666666666</x:v>
      </x:c>
      <x:c r="H1191" s="12" t="n">
        <x:v>0.7777777777777778</x:v>
      </x:c>
      <x:c r="I1191" s="29" t="n">
        <x:f>'Assumptions'!$D$11+'Assumptions'!$D$12*(0.5-(G1191+H1191)/2)</x:f>
        <x:v>0.25555555555555554</x:v>
      </x:c>
      <x:c r="J1191" s="27" t="n">
        <x:f>'Assumptions'!$D$8*EXP(-'Assumptions'!$D$9*('Fleet Engine'!E205-10))*'Assumptions'!E56*'Assumptions'!I36</x:f>
        <x:v>5601.482226767098</x:v>
      </x:c>
      <x:c r="K1191" s="27" t="n">
        <x:f>'Source Data'!F222+LN('Assumptions'!D56)+LN('Assumptions'!I35)</x:f>
        <x:v>8.056397553082528</x:v>
      </x:c>
      <x:c r="L1191" s="27" t="n">
        <x:f>J1191*(1-I1191*(1-'Carrier Engine'!E96))</x:f>
        <x:v>4227.251920466903</x:v>
      </x:c>
      <x:c r="M1191" s="29" t="n">
        <x:f>NORM.S.DIST((LN(L1191)-K1191)/'Assumptions'!$D$10,TRUE)</x:f>
        <x:v>0.5739902484750252</x:v>
      </x:c>
      <x:c r="N1191" s="30" t="n">
        <x:f>MAX(0,H1191-MAX(G1191,M1191))</x:f>
        <x:v>0.11111111111111116</x:v>
      </x:c>
      <x:c r="O1191" s="28" t="n">
        <x:f>J1191*I1191</x:f>
        <x:v>1431.489902396036</x:v>
      </x:c>
      <x:c r="P1191" s="27" t="n">
        <x:f>(VLOOKUP(O1191,'Fee Data'!$C$6:$G$50,2,TRUE)+O1191*VLOOKUP(O1191,'Fee Data'!$C$6:$G$50,3,TRUE)+VLOOKUP(O1191,'Fee Data'!$I$6:$J$14,2,TRUE)+'Fee Data'!$J$20+'Fee Data'!$J$21)*'Assumptions'!I37</x:f>
        <x:v>615</x:v>
      </x:c>
      <x:c r="Q1191" s="27" t="n">
        <x:f>(VLOOKUP(O1191,'Fee Data'!$C$6:$G$50,4,TRUE)+O1191*VLOOKUP(O1191,'Fee Data'!$C$6:$G$50,5,TRUE)+VLOOKUP(O1191,'Fee Data'!$I$6:$J$14,2,TRUE)+'Fee Data'!$J$20+'Fee Data'!$J$21)*'Assumptions'!I37</x:f>
        <x:v>485</x:v>
      </x:c>
      <x:c r="R1191" s="27" t="n">
        <x:f>P1191*(1-'Assumptions'!$D$14)+Q1191*'Assumptions'!$D$14</x:f>
        <x:v>550</x:v>
      </x:c>
      <x:c r="S1191" s="27" t="n">
        <x:f>O1191*'Carrier Engine'!E96</x:f>
        <x:v>57.259596095841445</x:v>
      </x:c>
      <x:c r="T1191" s="28" t="n">
        <x:f>R1191+S1191</x:f>
        <x:v>607.2595960958414</x:v>
      </x:c>
      <x:c r="U1191" s="27" t="n">
        <x:f>N1191*'Fleet Engine'!K205</x:f>
        <x:v>1310.8689212502347</x:v>
      </x:c>
      <x:c r="V1191" s="28" t="n">
        <x:f>U1191*T1191</x:f>
        <x:v>796037.7316530088</x:v>
      </x:c>
      <x:c r="W1191" s="28" t="n">
        <x:f>U1191*O1191</x:f>
        <x:v>1876495.6241344956</x:v>
      </x:c>
    </x:row>
    <x:row r="1192" ht="19" customHeight="1">
      <x:c r="A1192" s="2"/>
      <x:c r="B1192" s="2"/>
      <x:c r="C1192" s="46" t="n">
        <x:v>5</x:v>
      </x:c>
      <x:c r="D1192" s="46" t="n">
        <x:v>11</x:v>
      </x:c>
      <x:c r="E1192" s="46" t="n">
        <x:v>1</x:v>
      </x:c>
      <x:c r="F1192" s="46" t="n">
        <x:v>5</x:v>
      </x:c>
      <x:c r="G1192" s="12" t="n">
        <x:v>0.7777777777777778</x:v>
      </x:c>
      <x:c r="H1192" s="12" t="n">
        <x:v>0.8888888888888888</x:v>
      </x:c>
      <x:c r="I1192" s="29" t="n">
        <x:f>'Assumptions'!$D$11+'Assumptions'!$D$12*(0.5-(G1192+H1192)/2)</x:f>
        <x:v>0.23333333333333334</x:v>
      </x:c>
      <x:c r="J1192" s="27" t="n">
        <x:f>'Assumptions'!$D$8*EXP(-'Assumptions'!$D$9*('Fleet Engine'!E205-10))*'Assumptions'!E56*'Assumptions'!I36</x:f>
        <x:v>5601.482226767098</x:v>
      </x:c>
      <x:c r="K1192" s="27" t="n">
        <x:f>'Source Data'!F222+LN('Assumptions'!D56)+LN('Assumptions'!I35)</x:f>
        <x:v>8.056397553082528</x:v>
      </x:c>
      <x:c r="L1192" s="27" t="n">
        <x:f>J1192*(1-I1192*(1-'Carrier Engine'!E96))</x:f>
        <x:v>4346.7502079712685</x:v>
      </x:c>
      <x:c r="M1192" s="29" t="n">
        <x:f>NORM.S.DIST((LN(L1192)-K1192)/'Assumptions'!$D$10,TRUE)</x:f>
        <x:v>0.5809387575906335</x:v>
      </x:c>
      <x:c r="N1192" s="30" t="n">
        <x:f>MAX(0,H1192-MAX(G1192,M1192))</x:f>
        <x:v>0.11111111111111105</x:v>
      </x:c>
      <x:c r="O1192" s="28" t="n">
        <x:f>J1192*I1192</x:f>
        <x:v>1307.0125195789894</x:v>
      </x:c>
      <x:c r="P1192" s="27" t="n">
        <x:f>(VLOOKUP(O1192,'Fee Data'!$C$6:$G$50,2,TRUE)+O1192*VLOOKUP(O1192,'Fee Data'!$C$6:$G$50,3,TRUE)+VLOOKUP(O1192,'Fee Data'!$I$6:$J$14,2,TRUE)+'Fee Data'!$J$20+'Fee Data'!$J$21)*'Assumptions'!I37</x:f>
        <x:v>595</x:v>
      </x:c>
      <x:c r="Q1192" s="27" t="n">
        <x:f>(VLOOKUP(O1192,'Fee Data'!$C$6:$G$50,4,TRUE)+O1192*VLOOKUP(O1192,'Fee Data'!$C$6:$G$50,5,TRUE)+VLOOKUP(O1192,'Fee Data'!$I$6:$J$14,2,TRUE)+'Fee Data'!$J$20+'Fee Data'!$J$21)*'Assumptions'!I37</x:f>
        <x:v>470</x:v>
      </x:c>
      <x:c r="R1192" s="27" t="n">
        <x:f>P1192*(1-'Assumptions'!$D$14)+Q1192*'Assumptions'!$D$14</x:f>
        <x:v>532.5</x:v>
      </x:c>
      <x:c r="S1192" s="27" t="n">
        <x:f>O1192*'Carrier Engine'!E96</x:f>
        <x:v>52.28050078315958</x:v>
      </x:c>
      <x:c r="T1192" s="28" t="n">
        <x:f>R1192+S1192</x:f>
        <x:v>584.7805007831596</x:v>
      </x:c>
      <x:c r="U1192" s="27" t="n">
        <x:f>N1192*'Fleet Engine'!K205</x:f>
        <x:v>1310.8689212502334</x:v>
      </x:c>
      <x:c r="V1192" s="28" t="n">
        <x:f>U1192*T1192</x:f>
        <x:v>766570.5842297917</x:v>
      </x:c>
      <x:c r="W1192" s="28" t="n">
        <x:f>U1192*O1192</x:f>
        <x:v>1713322.0916010593</x:v>
      </x:c>
    </x:row>
    <x:row r="1193" ht="19" customHeight="1">
      <x:c r="A1193" s="2"/>
      <x:c r="B1193" s="2"/>
      <x:c r="C1193" s="46" t="n">
        <x:v>5</x:v>
      </x:c>
      <x:c r="D1193" s="46" t="n">
        <x:v>11</x:v>
      </x:c>
      <x:c r="E1193" s="46" t="n">
        <x:v>1</x:v>
      </x:c>
      <x:c r="F1193" s="46" t="n">
        <x:v>5</x:v>
      </x:c>
      <x:c r="G1193" s="12" t="n">
        <x:v>0.8888888888888888</x:v>
      </x:c>
      <x:c r="H1193" s="12" t="n">
        <x:v>1</x:v>
      </x:c>
      <x:c r="I1193" s="29" t="n">
        <x:f>'Assumptions'!$D$11+'Assumptions'!$D$12*(0.5-(G1193+H1193)/2)</x:f>
        <x:v>0.21111111111111108</x:v>
      </x:c>
      <x:c r="J1193" s="27" t="n">
        <x:f>'Assumptions'!$D$8*EXP(-'Assumptions'!$D$9*('Fleet Engine'!E205-10))*'Assumptions'!E56*'Assumptions'!I36</x:f>
        <x:v>5601.482226767098</x:v>
      </x:c>
      <x:c r="K1193" s="27" t="n">
        <x:f>'Source Data'!F222+LN('Assumptions'!D56)+LN('Assumptions'!I35)</x:f>
        <x:v>8.056397553082528</x:v>
      </x:c>
      <x:c r="L1193" s="27" t="n">
        <x:f>J1193*(1-I1193*(1-'Carrier Engine'!E96))</x:f>
        <x:v>4466.248495475633</x:v>
      </x:c>
      <x:c r="M1193" s="29" t="n">
        <x:f>NORM.S.DIST((LN(L1193)-K1193)/'Assumptions'!$D$10,TRUE)</x:f>
        <x:v>0.5876746859896276</x:v>
      </x:c>
      <x:c r="N1193" s="30" t="n">
        <x:f>MAX(0,H1193-MAX(G1193,M1193))</x:f>
        <x:v>0.11111111111111116</x:v>
      </x:c>
      <x:c r="O1193" s="28" t="n">
        <x:f>J1193*I1193</x:f>
        <x:v>1182.5351367619428</x:v>
      </x:c>
      <x:c r="P1193" s="27" t="n">
        <x:f>(VLOOKUP(O1193,'Fee Data'!$C$6:$G$50,2,TRUE)+O1193*VLOOKUP(O1193,'Fee Data'!$C$6:$G$50,3,TRUE)+VLOOKUP(O1193,'Fee Data'!$I$6:$J$14,2,TRUE)+'Fee Data'!$J$20+'Fee Data'!$J$21)*'Assumptions'!I37</x:f>
        <x:v>560</x:v>
      </x:c>
      <x:c r="Q1193" s="27" t="n">
        <x:f>(VLOOKUP(O1193,'Fee Data'!$C$6:$G$50,4,TRUE)+O1193*VLOOKUP(O1193,'Fee Data'!$C$6:$G$50,5,TRUE)+VLOOKUP(O1193,'Fee Data'!$I$6:$J$14,2,TRUE)+'Fee Data'!$J$20+'Fee Data'!$J$21)*'Assumptions'!I37</x:f>
        <x:v>435</x:v>
      </x:c>
      <x:c r="R1193" s="27" t="n">
        <x:f>P1193*(1-'Assumptions'!$D$14)+Q1193*'Assumptions'!$D$14</x:f>
        <x:v>497.5</x:v>
      </x:c>
      <x:c r="S1193" s="27" t="n">
        <x:f>O1193*'Carrier Engine'!E96</x:f>
        <x:v>47.30140547047771</x:v>
      </x:c>
      <x:c r="T1193" s="28" t="n">
        <x:f>R1193+S1193</x:f>
        <x:v>544.8014054704777</x:v>
      </x:c>
      <x:c r="U1193" s="27" t="n">
        <x:f>N1193*'Fleet Engine'!K205</x:f>
        <x:v>1310.8689212502347</x:v>
      </x:c>
      <x:c r="V1193" s="28" t="n">
        <x:f>U1193*T1193</x:f>
        <x:v>714163.2306846968</x:v>
      </x:c>
      <x:c r="W1193" s="28" t="n">
        <x:f>U1193*O1193</x:f>
        <x:v>1550148.5590676267</x:v>
      </x:c>
    </x:row>
    <x:row r="1194" ht="19" customHeight="1">
      <x:c r="A1194" s="2"/>
      <x:c r="B1194" s="2"/>
      <x:c r="C1194" s="46" t="n">
        <x:v>5</x:v>
      </x:c>
      <x:c r="D1194" s="46" t="n">
        <x:v>12</x:v>
      </x:c>
      <x:c r="E1194" s="46" t="n">
        <x:v>2</x:v>
      </x:c>
      <x:c r="F1194" s="46" t="n">
        <x:v>0</x:v>
      </x:c>
      <x:c r="G1194" s="12" t="n">
        <x:v>0</x:v>
      </x:c>
      <x:c r="H1194" s="12" t="n">
        <x:v>0.1111111111111111</x:v>
      </x:c>
      <x:c r="I1194" s="29" t="n">
        <x:f>'Assumptions'!$D$11+'Assumptions'!$D$12*(0.5-(G1194+H1194)/2)</x:f>
        <x:v>0.3888888888888889</x:v>
      </x:c>
      <x:c r="J1194" s="27" t="n">
        <x:f>'Assumptions'!$D$8*EXP(-'Assumptions'!$D$9*('Fleet Engine'!E206-10))*'Assumptions'!E57*'Assumptions'!I36</x:f>
        <x:v>40583.94769889355</x:v>
      </x:c>
      <x:c r="K1194" s="27" t="n">
        <x:f>'Source Data'!F217+LN('Assumptions'!D57)+LN('Assumptions'!I35)</x:f>
        <x:v>8.2942644758604</x:v>
      </x:c>
      <x:c r="L1194" s="27" t="n">
        <x:f>J1194*(1-I1194*(1-'Carrier Engine'!E96))</x:f>
        <x:v>25432.60722463996</x:v>
      </x:c>
      <x:c r="M1194" s="29" t="n">
        <x:f>NORM.S.DIST((LN(L1194)-K1194)/'Assumptions'!$D$10,TRUE)</x:f>
        <x:v>0.8805788825170106</x:v>
      </x:c>
      <x:c r="N1194" s="30" t="n">
        <x:f>MAX(0,H1194-MAX(G1194,M1194))</x:f>
        <x:v>0</x:v>
      </x:c>
      <x:c r="O1194" s="28" t="n">
        <x:f>J1194*I1194</x:f>
        <x:v>15782.646327347491</x:v>
      </x:c>
      <x:c r="P1194" s="27" t="n">
        <x:f>(VLOOKUP(O1194,'Fee Data'!$C$6:$G$50,2,TRUE)+O1194*VLOOKUP(O1194,'Fee Data'!$C$6:$G$50,3,TRUE)+VLOOKUP(O1194,'Fee Data'!$I$6:$J$14,2,TRUE)+'Fee Data'!$J$20+'Fee Data'!$J$21)*'Assumptions'!I37</x:f>
        <x:v>1433.6984745510617</x:v>
      </x:c>
      <x:c r="Q1194" s="27" t="n">
        <x:f>(VLOOKUP(O1194,'Fee Data'!$C$6:$G$50,4,TRUE)+O1194*VLOOKUP(O1194,'Fee Data'!$C$6:$G$50,5,TRUE)+VLOOKUP(O1194,'Fee Data'!$I$6:$J$14,2,TRUE)+'Fee Data'!$J$20+'Fee Data'!$J$21)*'Assumptions'!I37</x:f>
        <x:v>1196.9587796408496</x:v>
      </x:c>
      <x:c r="R1194" s="27" t="n">
        <x:f>P1194*(1-'Assumptions'!$D$14)+Q1194*'Assumptions'!$D$14</x:f>
        <x:v>1315.3286270959557</x:v>
      </x:c>
      <x:c r="S1194" s="27" t="n">
        <x:f>O1194*'Carrier Engine'!E96</x:f>
        <x:v>631.3058530938996</x:v>
      </x:c>
      <x:c r="T1194" s="28" t="n">
        <x:f>R1194+S1194</x:f>
        <x:v>1946.6344801898554</x:v>
      </x:c>
      <x:c r="U1194" s="27" t="n">
        <x:f>N1194*'Fleet Engine'!K206</x:f>
        <x:v>0</x:v>
      </x:c>
      <x:c r="V1194" s="28" t="n">
        <x:f>U1194*T1194</x:f>
        <x:v>0</x:v>
      </x:c>
      <x:c r="W1194" s="28" t="n">
        <x:f>U1194*O1194</x:f>
        <x:v>0</x:v>
      </x:c>
    </x:row>
    <x:row r="1195" ht="19" customHeight="1">
      <x:c r="A1195" s="2"/>
      <x:c r="B1195" s="2"/>
      <x:c r="C1195" s="46" t="n">
        <x:v>5</x:v>
      </x:c>
      <x:c r="D1195" s="46" t="n">
        <x:v>12</x:v>
      </x:c>
      <x:c r="E1195" s="46" t="n">
        <x:v>2</x:v>
      </x:c>
      <x:c r="F1195" s="46" t="n">
        <x:v>0</x:v>
      </x:c>
      <x:c r="G1195" s="12" t="n">
        <x:v>0.1111111111111111</x:v>
      </x:c>
      <x:c r="H1195" s="12" t="n">
        <x:v>0.2222222222222222</x:v>
      </x:c>
      <x:c r="I1195" s="29" t="n">
        <x:f>'Assumptions'!$D$11+'Assumptions'!$D$12*(0.5-(G1195+H1195)/2)</x:f>
        <x:v>0.3666666666666667</x:v>
      </x:c>
      <x:c r="J1195" s="27" t="n">
        <x:f>'Assumptions'!$D$8*EXP(-'Assumptions'!$D$9*('Fleet Engine'!E206-10))*'Assumptions'!E57*'Assumptions'!I36</x:f>
        <x:v>40583.94769889355</x:v>
      </x:c>
      <x:c r="K1195" s="27" t="n">
        <x:f>'Source Data'!F217+LN('Assumptions'!D57)+LN('Assumptions'!I35)</x:f>
        <x:v>8.2942644758604</x:v>
      </x:c>
      <x:c r="L1195" s="27" t="n">
        <x:f>J1195*(1-I1195*(1-'Carrier Engine'!E96))</x:f>
        <x:v>26298.398108883015</x:v>
      </x:c>
      <x:c r="M1195" s="29" t="n">
        <x:f>NORM.S.DIST((LN(L1195)-K1195)/'Assumptions'!$D$10,TRUE)</x:f>
        <x:v>0.8847758792317063</x:v>
      </x:c>
      <x:c r="N1195" s="30" t="n">
        <x:f>MAX(0,H1195-MAX(G1195,M1195))</x:f>
        <x:v>0</x:v>
      </x:c>
      <x:c r="O1195" s="28" t="n">
        <x:f>J1195*I1195</x:f>
        <x:v>14880.780822927636</x:v>
      </x:c>
      <x:c r="P1195" s="27" t="n">
        <x:f>(VLOOKUP(O1195,'Fee Data'!$C$6:$G$50,2,TRUE)+O1195*VLOOKUP(O1195,'Fee Data'!$C$6:$G$50,3,TRUE)+VLOOKUP(O1195,'Fee Data'!$I$6:$J$14,2,TRUE)+'Fee Data'!$J$20+'Fee Data'!$J$21)*'Assumptions'!I37</x:f>
        <x:v>1250</x:v>
      </x:c>
      <x:c r="Q1195" s="27" t="n">
        <x:f>(VLOOKUP(O1195,'Fee Data'!$C$6:$G$50,4,TRUE)+O1195*VLOOKUP(O1195,'Fee Data'!$C$6:$G$50,5,TRUE)+VLOOKUP(O1195,'Fee Data'!$I$6:$J$14,2,TRUE)+'Fee Data'!$J$20+'Fee Data'!$J$21)*'Assumptions'!I37</x:f>
        <x:v>1140</x:v>
      </x:c>
      <x:c r="R1195" s="27" t="n">
        <x:f>P1195*(1-'Assumptions'!$D$14)+Q1195*'Assumptions'!$D$14</x:f>
        <x:v>1195</x:v>
      </x:c>
      <x:c r="S1195" s="27" t="n">
        <x:f>O1195*'Carrier Engine'!E96</x:f>
        <x:v>595.2312329171054</x:v>
      </x:c>
      <x:c r="T1195" s="28" t="n">
        <x:f>R1195+S1195</x:f>
        <x:v>1790.2312329171054</x:v>
      </x:c>
      <x:c r="U1195" s="27" t="n">
        <x:f>N1195*'Fleet Engine'!K206</x:f>
        <x:v>0</x:v>
      </x:c>
      <x:c r="V1195" s="28" t="n">
        <x:f>U1195*T1195</x:f>
        <x:v>0</x:v>
      </x:c>
      <x:c r="W1195" s="28" t="n">
        <x:f>U1195*O1195</x:f>
        <x:v>0</x:v>
      </x:c>
    </x:row>
    <x:row r="1196" ht="19" customHeight="1">
      <x:c r="A1196" s="2"/>
      <x:c r="B1196" s="2"/>
      <x:c r="C1196" s="46" t="n">
        <x:v>5</x:v>
      </x:c>
      <x:c r="D1196" s="46" t="n">
        <x:v>12</x:v>
      </x:c>
      <x:c r="E1196" s="46" t="n">
        <x:v>2</x:v>
      </x:c>
      <x:c r="F1196" s="46" t="n">
        <x:v>0</x:v>
      </x:c>
      <x:c r="G1196" s="12" t="n">
        <x:v>0.2222222222222222</x:v>
      </x:c>
      <x:c r="H1196" s="12" t="n">
        <x:v>0.3333333333333333</x:v>
      </x:c>
      <x:c r="I1196" s="29" t="n">
        <x:f>'Assumptions'!$D$11+'Assumptions'!$D$12*(0.5-(G1196+H1196)/2)</x:f>
        <x:v>0.34444444444444444</x:v>
      </x:c>
      <x:c r="J1196" s="27" t="n">
        <x:f>'Assumptions'!$D$8*EXP(-'Assumptions'!$D$9*('Fleet Engine'!E206-10))*'Assumptions'!E57*'Assumptions'!I36</x:f>
        <x:v>40583.94769889355</x:v>
      </x:c>
      <x:c r="K1196" s="27" t="n">
        <x:f>'Source Data'!F217+LN('Assumptions'!D57)+LN('Assumptions'!I35)</x:f>
        <x:v>8.2942644758604</x:v>
      </x:c>
      <x:c r="L1196" s="27" t="n">
        <x:f>J1196*(1-I1196*(1-'Carrier Engine'!E96))</x:f>
        <x:v>27164.18899312608</x:v>
      </x:c>
      <x:c r="M1196" s="29" t="n">
        <x:f>NORM.S.DIST((LN(L1196)-K1196)/'Assumptions'!$D$10,TRUE)</x:f>
        <x:v>0.888736062055902</x:v>
      </x:c>
      <x:c r="N1196" s="30" t="n">
        <x:f>MAX(0,H1196-MAX(G1196,M1196))</x:f>
        <x:v>0</x:v>
      </x:c>
      <x:c r="O1196" s="28" t="n">
        <x:f>J1196*I1196</x:f>
        <x:v>13978.915318507778</x:v>
      </x:c>
      <x:c r="P1196" s="27" t="n">
        <x:f>(VLOOKUP(O1196,'Fee Data'!$C$6:$G$50,2,TRUE)+O1196*VLOOKUP(O1196,'Fee Data'!$C$6:$G$50,3,TRUE)+VLOOKUP(O1196,'Fee Data'!$I$6:$J$14,2,TRUE)+'Fee Data'!$J$20+'Fee Data'!$J$21)*'Assumptions'!I37</x:f>
        <x:v>1250</x:v>
      </x:c>
      <x:c r="Q1196" s="27" t="n">
        <x:f>(VLOOKUP(O1196,'Fee Data'!$C$6:$G$50,4,TRUE)+O1196*VLOOKUP(O1196,'Fee Data'!$C$6:$G$50,5,TRUE)+VLOOKUP(O1196,'Fee Data'!$I$6:$J$14,2,TRUE)+'Fee Data'!$J$20+'Fee Data'!$J$21)*'Assumptions'!I37</x:f>
        <x:v>1140</x:v>
      </x:c>
      <x:c r="R1196" s="27" t="n">
        <x:f>P1196*(1-'Assumptions'!$D$14)+Q1196*'Assumptions'!$D$14</x:f>
        <x:v>1195</x:v>
      </x:c>
      <x:c r="S1196" s="27" t="n">
        <x:f>O1196*'Carrier Engine'!E96</x:f>
        <x:v>559.1566127403111</x:v>
      </x:c>
      <x:c r="T1196" s="28" t="n">
        <x:f>R1196+S1196</x:f>
        <x:v>1754.1566127403112</x:v>
      </x:c>
      <x:c r="U1196" s="27" t="n">
        <x:f>N1196*'Fleet Engine'!K206</x:f>
        <x:v>0</x:v>
      </x:c>
      <x:c r="V1196" s="28" t="n">
        <x:f>U1196*T1196</x:f>
        <x:v>0</x:v>
      </x:c>
      <x:c r="W1196" s="28" t="n">
        <x:f>U1196*O1196</x:f>
        <x:v>0</x:v>
      </x:c>
    </x:row>
    <x:row r="1197" ht="19" customHeight="1">
      <x:c r="A1197" s="2"/>
      <x:c r="B1197" s="2"/>
      <x:c r="C1197" s="46" t="n">
        <x:v>5</x:v>
      </x:c>
      <x:c r="D1197" s="46" t="n">
        <x:v>12</x:v>
      </x:c>
      <x:c r="E1197" s="46" t="n">
        <x:v>2</x:v>
      </x:c>
      <x:c r="F1197" s="46" t="n">
        <x:v>0</x:v>
      </x:c>
      <x:c r="G1197" s="12" t="n">
        <x:v>0.3333333333333333</x:v>
      </x:c>
      <x:c r="H1197" s="12" t="n">
        <x:v>0.4444444444444444</x:v>
      </x:c>
      <x:c r="I1197" s="29" t="n">
        <x:f>'Assumptions'!$D$11+'Assumptions'!$D$12*(0.5-(G1197+H1197)/2)</x:f>
        <x:v>0.32222222222222224</x:v>
      </x:c>
      <x:c r="J1197" s="27" t="n">
        <x:f>'Assumptions'!$D$8*EXP(-'Assumptions'!$D$9*('Fleet Engine'!E206-10))*'Assumptions'!E57*'Assumptions'!I36</x:f>
        <x:v>40583.94769889355</x:v>
      </x:c>
      <x:c r="K1197" s="27" t="n">
        <x:f>'Source Data'!F217+LN('Assumptions'!D57)+LN('Assumptions'!I35)</x:f>
        <x:v>8.2942644758604</x:v>
      </x:c>
      <x:c r="L1197" s="27" t="n">
        <x:f>J1197*(1-I1197*(1-'Carrier Engine'!E96))</x:f>
        <x:v>28029.979877369144</x:v>
      </x:c>
      <x:c r="M1197" s="29" t="n">
        <x:f>NORM.S.DIST((LN(L1197)-K1197)/'Assumptions'!$D$10,TRUE)</x:f>
        <x:v>0.8924781519277265</x:v>
      </x:c>
      <x:c r="N1197" s="30" t="n">
        <x:f>MAX(0,H1197-MAX(G1197,M1197))</x:f>
        <x:v>0</x:v>
      </x:c>
      <x:c r="O1197" s="28" t="n">
        <x:f>J1197*I1197</x:f>
        <x:v>13077.049814087923</x:v>
      </x:c>
      <x:c r="P1197" s="27" t="n">
        <x:f>(VLOOKUP(O1197,'Fee Data'!$C$6:$G$50,2,TRUE)+O1197*VLOOKUP(O1197,'Fee Data'!$C$6:$G$50,3,TRUE)+VLOOKUP(O1197,'Fee Data'!$I$6:$J$14,2,TRUE)+'Fee Data'!$J$20+'Fee Data'!$J$21)*'Assumptions'!I37</x:f>
        <x:v>1250</x:v>
      </x:c>
      <x:c r="Q1197" s="27" t="n">
        <x:f>(VLOOKUP(O1197,'Fee Data'!$C$6:$G$50,4,TRUE)+O1197*VLOOKUP(O1197,'Fee Data'!$C$6:$G$50,5,TRUE)+VLOOKUP(O1197,'Fee Data'!$I$6:$J$14,2,TRUE)+'Fee Data'!$J$20+'Fee Data'!$J$21)*'Assumptions'!I37</x:f>
        <x:v>1140</x:v>
      </x:c>
      <x:c r="R1197" s="27" t="n">
        <x:f>P1197*(1-'Assumptions'!$D$14)+Q1197*'Assumptions'!$D$14</x:f>
        <x:v>1195</x:v>
      </x:c>
      <x:c r="S1197" s="27" t="n">
        <x:f>O1197*'Carrier Engine'!E96</x:f>
        <x:v>523.0819925635169</x:v>
      </x:c>
      <x:c r="T1197" s="28" t="n">
        <x:f>R1197+S1197</x:f>
        <x:v>1718.081992563517</x:v>
      </x:c>
      <x:c r="U1197" s="27" t="n">
        <x:f>N1197*'Fleet Engine'!K206</x:f>
        <x:v>0</x:v>
      </x:c>
      <x:c r="V1197" s="28" t="n">
        <x:f>U1197*T1197</x:f>
        <x:v>0</x:v>
      </x:c>
      <x:c r="W1197" s="28" t="n">
        <x:f>U1197*O1197</x:f>
        <x:v>0</x:v>
      </x:c>
    </x:row>
    <x:row r="1198" ht="19" customHeight="1">
      <x:c r="A1198" s="2"/>
      <x:c r="B1198" s="2"/>
      <x:c r="C1198" s="46" t="n">
        <x:v>5</x:v>
      </x:c>
      <x:c r="D1198" s="46" t="n">
        <x:v>12</x:v>
      </x:c>
      <x:c r="E1198" s="46" t="n">
        <x:v>2</x:v>
      </x:c>
      <x:c r="F1198" s="46" t="n">
        <x:v>0</x:v>
      </x:c>
      <x:c r="G1198" s="12" t="n">
        <x:v>0.4444444444444444</x:v>
      </x:c>
      <x:c r="H1198" s="12" t="n">
        <x:v>0.5555555555555556</x:v>
      </x:c>
      <x:c r="I1198" s="29" t="n">
        <x:f>'Assumptions'!$D$11+'Assumptions'!$D$12*(0.5-(G1198+H1198)/2)</x:f>
        <x:v>0.3</x:v>
      </x:c>
      <x:c r="J1198" s="27" t="n">
        <x:f>'Assumptions'!$D$8*EXP(-'Assumptions'!$D$9*('Fleet Engine'!E206-10))*'Assumptions'!E57*'Assumptions'!I36</x:f>
        <x:v>40583.94769889355</x:v>
      </x:c>
      <x:c r="K1198" s="27" t="n">
        <x:f>'Source Data'!F217+LN('Assumptions'!D57)+LN('Assumptions'!I35)</x:f>
        <x:v>8.2942644758604</x:v>
      </x:c>
      <x:c r="L1198" s="27" t="n">
        <x:f>J1198*(1-I1198*(1-'Carrier Engine'!E96))</x:f>
        <x:v>28895.770761612206</x:v>
      </x:c>
      <x:c r="M1198" s="29" t="n">
        <x:f>NORM.S.DIST((LN(L1198)-K1198)/'Assumptions'!$D$10,TRUE)</x:f>
        <x:v>0.8960189619269877</x:v>
      </x:c>
      <x:c r="N1198" s="30" t="n">
        <x:f>MAX(0,H1198-MAX(G1198,M1198))</x:f>
        <x:v>0</x:v>
      </x:c>
      <x:c r="O1198" s="28" t="n">
        <x:f>J1198*I1198</x:f>
        <x:v>12175.184309668064</x:v>
      </x:c>
      <x:c r="P1198" s="27" t="n">
        <x:f>(VLOOKUP(O1198,'Fee Data'!$C$6:$G$50,2,TRUE)+O1198*VLOOKUP(O1198,'Fee Data'!$C$6:$G$50,3,TRUE)+VLOOKUP(O1198,'Fee Data'!$I$6:$J$14,2,TRUE)+'Fee Data'!$J$20+'Fee Data'!$J$21)*'Assumptions'!I37</x:f>
        <x:v>1250</x:v>
      </x:c>
      <x:c r="Q1198" s="27" t="n">
        <x:f>(VLOOKUP(O1198,'Fee Data'!$C$6:$G$50,4,TRUE)+O1198*VLOOKUP(O1198,'Fee Data'!$C$6:$G$50,5,TRUE)+VLOOKUP(O1198,'Fee Data'!$I$6:$J$14,2,TRUE)+'Fee Data'!$J$20+'Fee Data'!$J$21)*'Assumptions'!I37</x:f>
        <x:v>1125</x:v>
      </x:c>
      <x:c r="R1198" s="27" t="n">
        <x:f>P1198*(1-'Assumptions'!$D$14)+Q1198*'Assumptions'!$D$14</x:f>
        <x:v>1187.5</x:v>
      </x:c>
      <x:c r="S1198" s="27" t="n">
        <x:f>O1198*'Carrier Engine'!E96</x:f>
        <x:v>487.0073723867226</x:v>
      </x:c>
      <x:c r="T1198" s="28" t="n">
        <x:f>R1198+S1198</x:f>
        <x:v>1674.5073723867226</x:v>
      </x:c>
      <x:c r="U1198" s="27" t="n">
        <x:f>N1198*'Fleet Engine'!K206</x:f>
        <x:v>0</x:v>
      </x:c>
      <x:c r="V1198" s="28" t="n">
        <x:f>U1198*T1198</x:f>
        <x:v>0</x:v>
      </x:c>
      <x:c r="W1198" s="28" t="n">
        <x:f>U1198*O1198</x:f>
        <x:v>0</x:v>
      </x:c>
    </x:row>
    <x:row r="1199" ht="19" customHeight="1">
      <x:c r="A1199" s="2"/>
      <x:c r="B1199" s="2"/>
      <x:c r="C1199" s="46" t="n">
        <x:v>5</x:v>
      </x:c>
      <x:c r="D1199" s="46" t="n">
        <x:v>12</x:v>
      </x:c>
      <x:c r="E1199" s="46" t="n">
        <x:v>2</x:v>
      </x:c>
      <x:c r="F1199" s="46" t="n">
        <x:v>0</x:v>
      </x:c>
      <x:c r="G1199" s="12" t="n">
        <x:v>0.5555555555555556</x:v>
      </x:c>
      <x:c r="H1199" s="12" t="n">
        <x:v>0.6666666666666666</x:v>
      </x:c>
      <x:c r="I1199" s="29" t="n">
        <x:f>'Assumptions'!$D$11+'Assumptions'!$D$12*(0.5-(G1199+H1199)/2)</x:f>
        <x:v>0.27777777777777773</x:v>
      </x:c>
      <x:c r="J1199" s="27" t="n">
        <x:f>'Assumptions'!$D$8*EXP(-'Assumptions'!$D$9*('Fleet Engine'!E206-10))*'Assumptions'!E57*'Assumptions'!I36</x:f>
        <x:v>40583.94769889355</x:v>
      </x:c>
      <x:c r="K1199" s="27" t="n">
        <x:f>'Source Data'!F217+LN('Assumptions'!D57)+LN('Assumptions'!I35)</x:f>
        <x:v>8.2942644758604</x:v>
      </x:c>
      <x:c r="L1199" s="27" t="n">
        <x:f>J1199*(1-I1199*(1-'Carrier Engine'!E96))</x:f>
        <x:v>29761.561645855272</x:v>
      </x:c>
      <x:c r="M1199" s="29" t="n">
        <x:f>NORM.S.DIST((LN(L1199)-K1199)/'Assumptions'!$D$10,TRUE)</x:f>
        <x:v>0.899373634683205</x:v>
      </x:c>
      <x:c r="N1199" s="30" t="n">
        <x:f>MAX(0,H1199-MAX(G1199,M1199))</x:f>
        <x:v>0</x:v>
      </x:c>
      <x:c r="O1199" s="28" t="n">
        <x:f>J1199*I1199</x:f>
        <x:v>11273.318805248206</x:v>
      </x:c>
      <x:c r="P1199" s="27" t="n">
        <x:f>(VLOOKUP(O1199,'Fee Data'!$C$6:$G$50,2,TRUE)+O1199*VLOOKUP(O1199,'Fee Data'!$C$6:$G$50,3,TRUE)+VLOOKUP(O1199,'Fee Data'!$I$6:$J$14,2,TRUE)+'Fee Data'!$J$20+'Fee Data'!$J$21)*'Assumptions'!I37</x:f>
        <x:v>1250</x:v>
      </x:c>
      <x:c r="Q1199" s="27" t="n">
        <x:f>(VLOOKUP(O1199,'Fee Data'!$C$6:$G$50,4,TRUE)+O1199*VLOOKUP(O1199,'Fee Data'!$C$6:$G$50,5,TRUE)+VLOOKUP(O1199,'Fee Data'!$I$6:$J$14,2,TRUE)+'Fee Data'!$J$20+'Fee Data'!$J$21)*'Assumptions'!I37</x:f>
        <x:v>1100</x:v>
      </x:c>
      <x:c r="R1199" s="27" t="n">
        <x:f>P1199*(1-'Assumptions'!$D$14)+Q1199*'Assumptions'!$D$14</x:f>
        <x:v>1175</x:v>
      </x:c>
      <x:c r="S1199" s="27" t="n">
        <x:f>O1199*'Carrier Engine'!E96</x:f>
        <x:v>450.93275220992825</x:v>
      </x:c>
      <x:c r="T1199" s="28" t="n">
        <x:f>R1199+S1199</x:f>
        <x:v>1625.9327522099284</x:v>
      </x:c>
      <x:c r="U1199" s="27" t="n">
        <x:f>N1199*'Fleet Engine'!K206</x:f>
        <x:v>0</x:v>
      </x:c>
      <x:c r="V1199" s="28" t="n">
        <x:f>U1199*T1199</x:f>
        <x:v>0</x:v>
      </x:c>
      <x:c r="W1199" s="28" t="n">
        <x:f>U1199*O1199</x:f>
        <x:v>0</x:v>
      </x:c>
    </x:row>
    <x:row r="1200" ht="19" customHeight="1">
      <x:c r="A1200" s="2"/>
      <x:c r="B1200" s="2"/>
      <x:c r="C1200" s="46" t="n">
        <x:v>5</x:v>
      </x:c>
      <x:c r="D1200" s="46" t="n">
        <x:v>12</x:v>
      </x:c>
      <x:c r="E1200" s="46" t="n">
        <x:v>2</x:v>
      </x:c>
      <x:c r="F1200" s="46" t="n">
        <x:v>0</x:v>
      </x:c>
      <x:c r="G1200" s="12" t="n">
        <x:v>0.6666666666666666</x:v>
      </x:c>
      <x:c r="H1200" s="12" t="n">
        <x:v>0.7777777777777778</x:v>
      </x:c>
      <x:c r="I1200" s="29" t="n">
        <x:f>'Assumptions'!$D$11+'Assumptions'!$D$12*(0.5-(G1200+H1200)/2)</x:f>
        <x:v>0.25555555555555554</x:v>
      </x:c>
      <x:c r="J1200" s="27" t="n">
        <x:f>'Assumptions'!$D$8*EXP(-'Assumptions'!$D$9*('Fleet Engine'!E206-10))*'Assumptions'!E57*'Assumptions'!I36</x:f>
        <x:v>40583.94769889355</x:v>
      </x:c>
      <x:c r="K1200" s="27" t="n">
        <x:f>'Source Data'!F217+LN('Assumptions'!D57)+LN('Assumptions'!I35)</x:f>
        <x:v>8.2942644758604</x:v>
      </x:c>
      <x:c r="L1200" s="27" t="n">
        <x:f>J1200*(1-I1200*(1-'Carrier Engine'!E96))</x:f>
        <x:v>30627.352530098335</x:v>
      </x:c>
      <x:c r="M1200" s="29" t="n">
        <x:f>NORM.S.DIST((LN(L1200)-K1200)/'Assumptions'!$D$10,TRUE)</x:f>
        <x:v>0.9025558450372322</x:v>
      </x:c>
      <x:c r="N1200" s="30" t="n">
        <x:f>MAX(0,H1200-MAX(G1200,M1200))</x:f>
        <x:v>0</x:v>
      </x:c>
      <x:c r="O1200" s="28" t="n">
        <x:f>J1200*I1200</x:f>
        <x:v>10371.45330082835</x:v>
      </x:c>
      <x:c r="P1200" s="27" t="n">
        <x:f>(VLOOKUP(O1200,'Fee Data'!$C$6:$G$50,2,TRUE)+O1200*VLOOKUP(O1200,'Fee Data'!$C$6:$G$50,3,TRUE)+VLOOKUP(O1200,'Fee Data'!$I$6:$J$14,2,TRUE)+'Fee Data'!$J$20+'Fee Data'!$J$21)*'Assumptions'!I37</x:f>
        <x:v>1250</x:v>
      </x:c>
      <x:c r="Q1200" s="27" t="n">
        <x:f>(VLOOKUP(O1200,'Fee Data'!$C$6:$G$50,4,TRUE)+O1200*VLOOKUP(O1200,'Fee Data'!$C$6:$G$50,5,TRUE)+VLOOKUP(O1200,'Fee Data'!$I$6:$J$14,2,TRUE)+'Fee Data'!$J$20+'Fee Data'!$J$21)*'Assumptions'!I37</x:f>
        <x:v>1100</x:v>
      </x:c>
      <x:c r="R1200" s="27" t="n">
        <x:f>P1200*(1-'Assumptions'!$D$14)+Q1200*'Assumptions'!$D$14</x:f>
        <x:v>1175</x:v>
      </x:c>
      <x:c r="S1200" s="27" t="n">
        <x:f>O1200*'Carrier Engine'!E96</x:f>
        <x:v>414.85813203313404</x:v>
      </x:c>
      <x:c r="T1200" s="28" t="n">
        <x:f>R1200+S1200</x:f>
        <x:v>1589.858132033134</x:v>
      </x:c>
      <x:c r="U1200" s="27" t="n">
        <x:f>N1200*'Fleet Engine'!K206</x:f>
        <x:v>0</x:v>
      </x:c>
      <x:c r="V1200" s="28" t="n">
        <x:f>U1200*T1200</x:f>
        <x:v>0</x:v>
      </x:c>
      <x:c r="W1200" s="28" t="n">
        <x:f>U1200*O1200</x:f>
        <x:v>0</x:v>
      </x:c>
    </x:row>
    <x:row r="1201" ht="19" customHeight="1">
      <x:c r="A1201" s="2"/>
      <x:c r="B1201" s="2"/>
      <x:c r="C1201" s="46" t="n">
        <x:v>5</x:v>
      </x:c>
      <x:c r="D1201" s="46" t="n">
        <x:v>12</x:v>
      </x:c>
      <x:c r="E1201" s="46" t="n">
        <x:v>2</x:v>
      </x:c>
      <x:c r="F1201" s="46" t="n">
        <x:v>0</x:v>
      </x:c>
      <x:c r="G1201" s="12" t="n">
        <x:v>0.7777777777777778</x:v>
      </x:c>
      <x:c r="H1201" s="12" t="n">
        <x:v>0.8888888888888888</x:v>
      </x:c>
      <x:c r="I1201" s="29" t="n">
        <x:f>'Assumptions'!$D$11+'Assumptions'!$D$12*(0.5-(G1201+H1201)/2)</x:f>
        <x:v>0.23333333333333334</x:v>
      </x:c>
      <x:c r="J1201" s="27" t="n">
        <x:f>'Assumptions'!$D$8*EXP(-'Assumptions'!$D$9*('Fleet Engine'!E206-10))*'Assumptions'!E57*'Assumptions'!I36</x:f>
        <x:v>40583.94769889355</x:v>
      </x:c>
      <x:c r="K1201" s="27" t="n">
        <x:f>'Source Data'!F217+LN('Assumptions'!D57)+LN('Assumptions'!I35)</x:f>
        <x:v>8.2942644758604</x:v>
      </x:c>
      <x:c r="L1201" s="27" t="n">
        <x:f>J1201*(1-I1201*(1-'Carrier Engine'!E96))</x:f>
        <x:v>31493.143414341394</x:v>
      </x:c>
      <x:c r="M1201" s="29" t="n">
        <x:f>NORM.S.DIST((LN(L1201)-K1201)/'Assumptions'!$D$10,TRUE)</x:f>
        <x:v>0.9055779737778874</x:v>
      </x:c>
      <x:c r="N1201" s="30" t="n">
        <x:f>MAX(0,H1201-MAX(G1201,M1201))</x:f>
        <x:v>0</x:v>
      </x:c>
      <x:c r="O1201" s="28" t="n">
        <x:f>J1201*I1201</x:f>
        <x:v>9469.587796408496</x:v>
      </x:c>
      <x:c r="P1201" s="27" t="n">
        <x:f>(VLOOKUP(O1201,'Fee Data'!$C$6:$G$50,2,TRUE)+O1201*VLOOKUP(O1201,'Fee Data'!$C$6:$G$50,3,TRUE)+VLOOKUP(O1201,'Fee Data'!$I$6:$J$14,2,TRUE)+'Fee Data'!$J$20+'Fee Data'!$J$21)*'Assumptions'!I37</x:f>
        <x:v>1195</x:v>
      </x:c>
      <x:c r="Q1201" s="27" t="n">
        <x:f>(VLOOKUP(O1201,'Fee Data'!$C$6:$G$50,4,TRUE)+O1201*VLOOKUP(O1201,'Fee Data'!$C$6:$G$50,5,TRUE)+VLOOKUP(O1201,'Fee Data'!$I$6:$J$14,2,TRUE)+'Fee Data'!$J$20+'Fee Data'!$J$21)*'Assumptions'!I37</x:f>
        <x:v>1070</x:v>
      </x:c>
      <x:c r="R1201" s="27" t="n">
        <x:f>P1201*(1-'Assumptions'!$D$14)+Q1201*'Assumptions'!$D$14</x:f>
        <x:v>1132.5</x:v>
      </x:c>
      <x:c r="S1201" s="27" t="n">
        <x:f>O1201*'Carrier Engine'!E96</x:f>
        <x:v>378.7835118563398</x:v>
      </x:c>
      <x:c r="T1201" s="28" t="n">
        <x:f>R1201+S1201</x:f>
        <x:v>1511.2835118563398</x:v>
      </x:c>
      <x:c r="U1201" s="27" t="n">
        <x:f>N1201*'Fleet Engine'!K206</x:f>
        <x:v>0</x:v>
      </x:c>
      <x:c r="V1201" s="28" t="n">
        <x:f>U1201*T1201</x:f>
        <x:v>0</x:v>
      </x:c>
      <x:c r="W1201" s="28" t="n">
        <x:f>U1201*O1201</x:f>
        <x:v>0</x:v>
      </x:c>
    </x:row>
    <x:row r="1202" ht="19" customHeight="1">
      <x:c r="A1202" s="2"/>
      <x:c r="B1202" s="2"/>
      <x:c r="C1202" s="46" t="n">
        <x:v>5</x:v>
      </x:c>
      <x:c r="D1202" s="46" t="n">
        <x:v>12</x:v>
      </x:c>
      <x:c r="E1202" s="46" t="n">
        <x:v>2</x:v>
      </x:c>
      <x:c r="F1202" s="46" t="n">
        <x:v>0</x:v>
      </x:c>
      <x:c r="G1202" s="12" t="n">
        <x:v>0.8888888888888888</x:v>
      </x:c>
      <x:c r="H1202" s="12" t="n">
        <x:v>1</x:v>
      </x:c>
      <x:c r="I1202" s="29" t="n">
        <x:f>'Assumptions'!$D$11+'Assumptions'!$D$12*(0.5-(G1202+H1202)/2)</x:f>
        <x:v>0.21111111111111108</x:v>
      </x:c>
      <x:c r="J1202" s="27" t="n">
        <x:f>'Assumptions'!$D$8*EXP(-'Assumptions'!$D$9*('Fleet Engine'!E206-10))*'Assumptions'!E57*'Assumptions'!I36</x:f>
        <x:v>40583.94769889355</x:v>
      </x:c>
      <x:c r="K1202" s="27" t="n">
        <x:f>'Source Data'!F217+LN('Assumptions'!D57)+LN('Assumptions'!I35)</x:f>
        <x:v>8.2942644758604</x:v>
      </x:c>
      <x:c r="L1202" s="27" t="n">
        <x:f>J1202*(1-I1202*(1-'Carrier Engine'!E96))</x:f>
        <x:v>32358.934298584456</x:v>
      </x:c>
      <x:c r="M1202" s="29" t="n">
        <x:f>NORM.S.DIST((LN(L1202)-K1202)/'Assumptions'!$D$10,TRUE)</x:f>
        <x:v>0.9084512571809873</x:v>
      </x:c>
      <x:c r="N1202" s="30" t="n">
        <x:f>MAX(0,H1202-MAX(G1202,M1202))</x:f>
        <x:v>0.09154874281901271</x:v>
      </x:c>
      <x:c r="O1202" s="28" t="n">
        <x:f>J1202*I1202</x:f>
        <x:v>8567.722291988637</x:v>
      </x:c>
      <x:c r="P1202" s="27" t="n">
        <x:f>(VLOOKUP(O1202,'Fee Data'!$C$6:$G$50,2,TRUE)+O1202*VLOOKUP(O1202,'Fee Data'!$C$6:$G$50,3,TRUE)+VLOOKUP(O1202,'Fee Data'!$I$6:$J$14,2,TRUE)+'Fee Data'!$J$20+'Fee Data'!$J$21)*'Assumptions'!I37</x:f>
        <x:v>1195</x:v>
      </x:c>
      <x:c r="Q1202" s="27" t="n">
        <x:f>(VLOOKUP(O1202,'Fee Data'!$C$6:$G$50,4,TRUE)+O1202*VLOOKUP(O1202,'Fee Data'!$C$6:$G$50,5,TRUE)+VLOOKUP(O1202,'Fee Data'!$I$6:$J$14,2,TRUE)+'Fee Data'!$J$20+'Fee Data'!$J$21)*'Assumptions'!I37</x:f>
        <x:v>1070</x:v>
      </x:c>
      <x:c r="R1202" s="27" t="n">
        <x:f>P1202*(1-'Assumptions'!$D$14)+Q1202*'Assumptions'!$D$14</x:f>
        <x:v>1132.5</x:v>
      </x:c>
      <x:c r="S1202" s="27" t="n">
        <x:f>O1202*'Carrier Engine'!E96</x:f>
        <x:v>342.7088916795455</x:v>
      </x:c>
      <x:c r="T1202" s="28" t="n">
        <x:f>R1202+S1202</x:f>
        <x:v>1475.2088916795456</x:v>
      </x:c>
      <x:c r="U1202" s="27" t="n">
        <x:f>N1202*'Fleet Engine'!K206</x:f>
        <x:v>115.59969128148599</x:v>
      </x:c>
      <x:c r="V1202" s="28" t="n">
        <x:f>U1202*T1202</x:f>
        <x:v>170533.69245385856</x:v>
      </x:c>
      <x:c r="W1202" s="28" t="n">
        <x:f>U1202*O1202</x:f>
        <x:v>990426.051939392</x:v>
      </x:c>
    </x:row>
    <x:row r="1203" ht="19" customHeight="1">
      <x:c r="A1203" s="2"/>
      <x:c r="B1203" s="2"/>
      <x:c r="C1203" s="46" t="n">
        <x:v>5</x:v>
      </x:c>
      <x:c r="D1203" s="46" t="n">
        <x:v>13</x:v>
      </x:c>
      <x:c r="E1203" s="46" t="n">
        <x:v>2</x:v>
      </x:c>
      <x:c r="F1203" s="46" t="n">
        <x:v>1</x:v>
      </x:c>
      <x:c r="G1203" s="12" t="n">
        <x:v>0</x:v>
      </x:c>
      <x:c r="H1203" s="12" t="n">
        <x:v>0.1111111111111111</x:v>
      </x:c>
      <x:c r="I1203" s="29" t="n">
        <x:f>'Assumptions'!$D$11+'Assumptions'!$D$12*(0.5-(G1203+H1203)/2)</x:f>
        <x:v>0.3888888888888889</x:v>
      </x:c>
      <x:c r="J1203" s="27" t="n">
        <x:f>'Assumptions'!$D$8*EXP(-'Assumptions'!$D$9*('Fleet Engine'!E207-10))*'Assumptions'!E57*'Assumptions'!I36</x:f>
        <x:v>33227.326062392545</x:v>
      </x:c>
      <x:c r="K1203" s="27" t="n">
        <x:f>'Source Data'!F218+LN('Assumptions'!D57)+LN('Assumptions'!I35)</x:f>
        <x:v>8.179823674316163</x:v>
      </x:c>
      <x:c r="L1203" s="27" t="n">
        <x:f>J1203*(1-I1203*(1-'Carrier Engine'!E96))</x:f>
        <x:v>20822.457665765996</x:v>
      </x:c>
      <x:c r="M1203" s="29" t="n">
        <x:f>NORM.S.DIST((LN(L1203)-K1203)/'Assumptions'!$D$10,TRUE)</x:f>
        <x:v>0.8693654103038547</x:v>
      </x:c>
      <x:c r="N1203" s="30" t="n">
        <x:f>MAX(0,H1203-MAX(G1203,M1203))</x:f>
        <x:v>0</x:v>
      </x:c>
      <x:c r="O1203" s="28" t="n">
        <x:f>J1203*I1203</x:f>
        <x:v>12921.737913152656</x:v>
      </x:c>
      <x:c r="P1203" s="27" t="n">
        <x:f>(VLOOKUP(O1203,'Fee Data'!$C$6:$G$50,2,TRUE)+O1203*VLOOKUP(O1203,'Fee Data'!$C$6:$G$50,3,TRUE)+VLOOKUP(O1203,'Fee Data'!$I$6:$J$14,2,TRUE)+'Fee Data'!$J$20+'Fee Data'!$J$21)*'Assumptions'!I37</x:f>
        <x:v>1250</x:v>
      </x:c>
      <x:c r="Q1203" s="27" t="n">
        <x:f>(VLOOKUP(O1203,'Fee Data'!$C$6:$G$50,4,TRUE)+O1203*VLOOKUP(O1203,'Fee Data'!$C$6:$G$50,5,TRUE)+VLOOKUP(O1203,'Fee Data'!$I$6:$J$14,2,TRUE)+'Fee Data'!$J$20+'Fee Data'!$J$21)*'Assumptions'!I37</x:f>
        <x:v>1140</x:v>
      </x:c>
      <x:c r="R1203" s="27" t="n">
        <x:f>P1203*(1-'Assumptions'!$D$14)+Q1203*'Assumptions'!$D$14</x:f>
        <x:v>1195</x:v>
      </x:c>
      <x:c r="S1203" s="27" t="n">
        <x:f>O1203*'Carrier Engine'!E96</x:f>
        <x:v>516.8695165261063</x:v>
      </x:c>
      <x:c r="T1203" s="28" t="n">
        <x:f>R1203+S1203</x:f>
        <x:v>1711.8695165261063</x:v>
      </x:c>
      <x:c r="U1203" s="27" t="n">
        <x:f>N1203*'Fleet Engine'!K207</x:f>
        <x:v>0</x:v>
      </x:c>
      <x:c r="V1203" s="28" t="n">
        <x:f>U1203*T1203</x:f>
        <x:v>0</x:v>
      </x:c>
      <x:c r="W1203" s="28" t="n">
        <x:f>U1203*O1203</x:f>
        <x:v>0</x:v>
      </x:c>
    </x:row>
    <x:row r="1204" ht="19" customHeight="1">
      <x:c r="A1204" s="2"/>
      <x:c r="B1204" s="2"/>
      <x:c r="C1204" s="46" t="n">
        <x:v>5</x:v>
      </x:c>
      <x:c r="D1204" s="46" t="n">
        <x:v>13</x:v>
      </x:c>
      <x:c r="E1204" s="46" t="n">
        <x:v>2</x:v>
      </x:c>
      <x:c r="F1204" s="46" t="n">
        <x:v>1</x:v>
      </x:c>
      <x:c r="G1204" s="12" t="n">
        <x:v>0.1111111111111111</x:v>
      </x:c>
      <x:c r="H1204" s="12" t="n">
        <x:v>0.2222222222222222</x:v>
      </x:c>
      <x:c r="I1204" s="29" t="n">
        <x:f>'Assumptions'!$D$11+'Assumptions'!$D$12*(0.5-(G1204+H1204)/2)</x:f>
        <x:v>0.3666666666666667</x:v>
      </x:c>
      <x:c r="J1204" s="27" t="n">
        <x:f>'Assumptions'!$D$8*EXP(-'Assumptions'!$D$9*('Fleet Engine'!E207-10))*'Assumptions'!E57*'Assumptions'!I36</x:f>
        <x:v>33227.326062392545</x:v>
      </x:c>
      <x:c r="K1204" s="27" t="n">
        <x:f>'Source Data'!F218+LN('Assumptions'!D57)+LN('Assumptions'!I35)</x:f>
        <x:v>8.179823674316163</x:v>
      </x:c>
      <x:c r="L1204" s="27" t="n">
        <x:f>J1204*(1-I1204*(1-'Carrier Engine'!E96))</x:f>
        <x:v>21531.307288430366</x:v>
      </x:c>
      <x:c r="M1204" s="29" t="n">
        <x:f>NORM.S.DIST((LN(L1204)-K1204)/'Assumptions'!$D$10,TRUE)</x:f>
        <x:v>0.8738365578665881</x:v>
      </x:c>
      <x:c r="N1204" s="30" t="n">
        <x:f>MAX(0,H1204-MAX(G1204,M1204))</x:f>
        <x:v>0</x:v>
      </x:c>
      <x:c r="O1204" s="28" t="n">
        <x:f>J1204*I1204</x:f>
        <x:v>12183.352889543934</x:v>
      </x:c>
      <x:c r="P1204" s="27" t="n">
        <x:f>(VLOOKUP(O1204,'Fee Data'!$C$6:$G$50,2,TRUE)+O1204*VLOOKUP(O1204,'Fee Data'!$C$6:$G$50,3,TRUE)+VLOOKUP(O1204,'Fee Data'!$I$6:$J$14,2,TRUE)+'Fee Data'!$J$20+'Fee Data'!$J$21)*'Assumptions'!I37</x:f>
        <x:v>1250</x:v>
      </x:c>
      <x:c r="Q1204" s="27" t="n">
        <x:f>(VLOOKUP(O1204,'Fee Data'!$C$6:$G$50,4,TRUE)+O1204*VLOOKUP(O1204,'Fee Data'!$C$6:$G$50,5,TRUE)+VLOOKUP(O1204,'Fee Data'!$I$6:$J$14,2,TRUE)+'Fee Data'!$J$20+'Fee Data'!$J$21)*'Assumptions'!I37</x:f>
        <x:v>1125</x:v>
      </x:c>
      <x:c r="R1204" s="27" t="n">
        <x:f>P1204*(1-'Assumptions'!$D$14)+Q1204*'Assumptions'!$D$14</x:f>
        <x:v>1187.5</x:v>
      </x:c>
      <x:c r="S1204" s="27" t="n">
        <x:f>O1204*'Carrier Engine'!E96</x:f>
        <x:v>487.3341155817574</x:v>
      </x:c>
      <x:c r="T1204" s="28" t="n">
        <x:f>R1204+S1204</x:f>
        <x:v>1674.8341155817575</x:v>
      </x:c>
      <x:c r="U1204" s="27" t="n">
        <x:f>N1204*'Fleet Engine'!K207</x:f>
        <x:v>0</x:v>
      </x:c>
      <x:c r="V1204" s="28" t="n">
        <x:f>U1204*T1204</x:f>
        <x:v>0</x:v>
      </x:c>
      <x:c r="W1204" s="28" t="n">
        <x:f>U1204*O1204</x:f>
        <x:v>0</x:v>
      </x:c>
    </x:row>
    <x:row r="1205" ht="19" customHeight="1">
      <x:c r="A1205" s="2"/>
      <x:c r="B1205" s="2"/>
      <x:c r="C1205" s="46" t="n">
        <x:v>5</x:v>
      </x:c>
      <x:c r="D1205" s="46" t="n">
        <x:v>13</x:v>
      </x:c>
      <x:c r="E1205" s="46" t="n">
        <x:v>2</x:v>
      </x:c>
      <x:c r="F1205" s="46" t="n">
        <x:v>1</x:v>
      </x:c>
      <x:c r="G1205" s="12" t="n">
        <x:v>0.2222222222222222</x:v>
      </x:c>
      <x:c r="H1205" s="12" t="n">
        <x:v>0.3333333333333333</x:v>
      </x:c>
      <x:c r="I1205" s="29" t="n">
        <x:f>'Assumptions'!$D$11+'Assumptions'!$D$12*(0.5-(G1205+H1205)/2)</x:f>
        <x:v>0.34444444444444444</x:v>
      </x:c>
      <x:c r="J1205" s="27" t="n">
        <x:f>'Assumptions'!$D$8*EXP(-'Assumptions'!$D$9*('Fleet Engine'!E207-10))*'Assumptions'!E57*'Assumptions'!I36</x:f>
        <x:v>33227.326062392545</x:v>
      </x:c>
      <x:c r="K1205" s="27" t="n">
        <x:f>'Source Data'!F218+LN('Assumptions'!D57)+LN('Assumptions'!I35)</x:f>
        <x:v>8.179823674316163</x:v>
      </x:c>
      <x:c r="L1205" s="27" t="n">
        <x:f>J1205*(1-I1205*(1-'Carrier Engine'!E96))</x:f>
        <x:v>22240.156911094742</x:v>
      </x:c>
      <x:c r="M1205" s="29" t="n">
        <x:f>NORM.S.DIST((LN(L1205)-K1205)/'Assumptions'!$D$10,TRUE)</x:f>
        <x:v>0.8780602474996113</x:v>
      </x:c>
      <x:c r="N1205" s="30" t="n">
        <x:f>MAX(0,H1205-MAX(G1205,M1205))</x:f>
        <x:v>0</x:v>
      </x:c>
      <x:c r="O1205" s="28" t="n">
        <x:f>J1205*I1205</x:f>
        <x:v>11444.96786593521</x:v>
      </x:c>
      <x:c r="P1205" s="27" t="n">
        <x:f>(VLOOKUP(O1205,'Fee Data'!$C$6:$G$50,2,TRUE)+O1205*VLOOKUP(O1205,'Fee Data'!$C$6:$G$50,3,TRUE)+VLOOKUP(O1205,'Fee Data'!$I$6:$J$14,2,TRUE)+'Fee Data'!$J$20+'Fee Data'!$J$21)*'Assumptions'!I37</x:f>
        <x:v>1250</x:v>
      </x:c>
      <x:c r="Q1205" s="27" t="n">
        <x:f>(VLOOKUP(O1205,'Fee Data'!$C$6:$G$50,4,TRUE)+O1205*VLOOKUP(O1205,'Fee Data'!$C$6:$G$50,5,TRUE)+VLOOKUP(O1205,'Fee Data'!$I$6:$J$14,2,TRUE)+'Fee Data'!$J$20+'Fee Data'!$J$21)*'Assumptions'!I37</x:f>
        <x:v>1100</x:v>
      </x:c>
      <x:c r="R1205" s="27" t="n">
        <x:f>P1205*(1-'Assumptions'!$D$14)+Q1205*'Assumptions'!$D$14</x:f>
        <x:v>1175</x:v>
      </x:c>
      <x:c r="S1205" s="27" t="n">
        <x:f>O1205*'Carrier Engine'!E96</x:f>
        <x:v>457.7987146374084</x:v>
      </x:c>
      <x:c r="T1205" s="28" t="n">
        <x:f>R1205+S1205</x:f>
        <x:v>1632.7987146374085</x:v>
      </x:c>
      <x:c r="U1205" s="27" t="n">
        <x:f>N1205*'Fleet Engine'!K207</x:f>
        <x:v>0</x:v>
      </x:c>
      <x:c r="V1205" s="28" t="n">
        <x:f>U1205*T1205</x:f>
        <x:v>0</x:v>
      </x:c>
      <x:c r="W1205" s="28" t="n">
        <x:f>U1205*O1205</x:f>
        <x:v>0</x:v>
      </x:c>
    </x:row>
    <x:row r="1206" ht="19" customHeight="1">
      <x:c r="A1206" s="2"/>
      <x:c r="B1206" s="2"/>
      <x:c r="C1206" s="46" t="n">
        <x:v>5</x:v>
      </x:c>
      <x:c r="D1206" s="46" t="n">
        <x:v>13</x:v>
      </x:c>
      <x:c r="E1206" s="46" t="n">
        <x:v>2</x:v>
      </x:c>
      <x:c r="F1206" s="46" t="n">
        <x:v>1</x:v>
      </x:c>
      <x:c r="G1206" s="12" t="n">
        <x:v>0.3333333333333333</x:v>
      </x:c>
      <x:c r="H1206" s="12" t="n">
        <x:v>0.4444444444444444</x:v>
      </x:c>
      <x:c r="I1206" s="29" t="n">
        <x:f>'Assumptions'!$D$11+'Assumptions'!$D$12*(0.5-(G1206+H1206)/2)</x:f>
        <x:v>0.32222222222222224</x:v>
      </x:c>
      <x:c r="J1206" s="27" t="n">
        <x:f>'Assumptions'!$D$8*EXP(-'Assumptions'!$D$9*('Fleet Engine'!E207-10))*'Assumptions'!E57*'Assumptions'!I36</x:f>
        <x:v>33227.326062392545</x:v>
      </x:c>
      <x:c r="K1206" s="27" t="n">
        <x:f>'Source Data'!F218+LN('Assumptions'!D57)+LN('Assumptions'!I35)</x:f>
        <x:v>8.179823674316163</x:v>
      </x:c>
      <x:c r="L1206" s="27" t="n">
        <x:f>J1206*(1-I1206*(1-'Carrier Engine'!E96))</x:f>
        <x:v>22949.00653375912</x:v>
      </x:c>
      <x:c r="M1206" s="29" t="n">
        <x:f>NORM.S.DIST((LN(L1206)-K1206)/'Assumptions'!$D$10,TRUE)</x:f>
        <x:v>0.8820557511267051</x:v>
      </x:c>
      <x:c r="N1206" s="30" t="n">
        <x:f>MAX(0,H1206-MAX(G1206,M1206))</x:f>
        <x:v>0</x:v>
      </x:c>
      <x:c r="O1206" s="28" t="n">
        <x:f>J1206*I1206</x:f>
        <x:v>10706.582842326488</x:v>
      </x:c>
      <x:c r="P1206" s="27" t="n">
        <x:f>(VLOOKUP(O1206,'Fee Data'!$C$6:$G$50,2,TRUE)+O1206*VLOOKUP(O1206,'Fee Data'!$C$6:$G$50,3,TRUE)+VLOOKUP(O1206,'Fee Data'!$I$6:$J$14,2,TRUE)+'Fee Data'!$J$20+'Fee Data'!$J$21)*'Assumptions'!I37</x:f>
        <x:v>1250</x:v>
      </x:c>
      <x:c r="Q1206" s="27" t="n">
        <x:f>(VLOOKUP(O1206,'Fee Data'!$C$6:$G$50,4,TRUE)+O1206*VLOOKUP(O1206,'Fee Data'!$C$6:$G$50,5,TRUE)+VLOOKUP(O1206,'Fee Data'!$I$6:$J$14,2,TRUE)+'Fee Data'!$J$20+'Fee Data'!$J$21)*'Assumptions'!I37</x:f>
        <x:v>1100</x:v>
      </x:c>
      <x:c r="R1206" s="27" t="n">
        <x:f>P1206*(1-'Assumptions'!$D$14)+Q1206*'Assumptions'!$D$14</x:f>
        <x:v>1175</x:v>
      </x:c>
      <x:c r="S1206" s="27" t="n">
        <x:f>O1206*'Carrier Engine'!E96</x:f>
        <x:v>428.26331369305956</x:v>
      </x:c>
      <x:c r="T1206" s="28" t="n">
        <x:f>R1206+S1206</x:f>
        <x:v>1603.2633136930594</x:v>
      </x:c>
      <x:c r="U1206" s="27" t="n">
        <x:f>N1206*'Fleet Engine'!K207</x:f>
        <x:v>0</x:v>
      </x:c>
      <x:c r="V1206" s="28" t="n">
        <x:f>U1206*T1206</x:f>
        <x:v>0</x:v>
      </x:c>
      <x:c r="W1206" s="28" t="n">
        <x:f>U1206*O1206</x:f>
        <x:v>0</x:v>
      </x:c>
    </x:row>
    <x:row r="1207" ht="19" customHeight="1">
      <x:c r="A1207" s="2"/>
      <x:c r="B1207" s="2"/>
      <x:c r="C1207" s="46" t="n">
        <x:v>5</x:v>
      </x:c>
      <x:c r="D1207" s="46" t="n">
        <x:v>13</x:v>
      </x:c>
      <x:c r="E1207" s="46" t="n">
        <x:v>2</x:v>
      </x:c>
      <x:c r="F1207" s="46" t="n">
        <x:v>1</x:v>
      </x:c>
      <x:c r="G1207" s="12" t="n">
        <x:v>0.4444444444444444</x:v>
      </x:c>
      <x:c r="H1207" s="12" t="n">
        <x:v>0.5555555555555556</x:v>
      </x:c>
      <x:c r="I1207" s="29" t="n">
        <x:f>'Assumptions'!$D$11+'Assumptions'!$D$12*(0.5-(G1207+H1207)/2)</x:f>
        <x:v>0.3</x:v>
      </x:c>
      <x:c r="J1207" s="27" t="n">
        <x:f>'Assumptions'!$D$8*EXP(-'Assumptions'!$D$9*('Fleet Engine'!E207-10))*'Assumptions'!E57*'Assumptions'!I36</x:f>
        <x:v>33227.326062392545</x:v>
      </x:c>
      <x:c r="K1207" s="27" t="n">
        <x:f>'Source Data'!F218+LN('Assumptions'!D57)+LN('Assumptions'!I35)</x:f>
        <x:v>8.179823674316163</x:v>
      </x:c>
      <x:c r="L1207" s="27" t="n">
        <x:f>J1207*(1-I1207*(1-'Carrier Engine'!E96))</x:f>
        <x:v>23657.85615642349</x:v>
      </x:c>
      <x:c r="M1207" s="29" t="n">
        <x:f>NORM.S.DIST((LN(L1207)-K1207)/'Assumptions'!$D$10,TRUE)</x:f>
        <x:v>0.8858404003889359</x:v>
      </x:c>
      <x:c r="N1207" s="30" t="n">
        <x:f>MAX(0,H1207-MAX(G1207,M1207))</x:f>
        <x:v>0</x:v>
      </x:c>
      <x:c r="O1207" s="28" t="n">
        <x:f>J1207*I1207</x:f>
        <x:v>9968.197818717763</x:v>
      </x:c>
      <x:c r="P1207" s="27" t="n">
        <x:f>(VLOOKUP(O1207,'Fee Data'!$C$6:$G$50,2,TRUE)+O1207*VLOOKUP(O1207,'Fee Data'!$C$6:$G$50,3,TRUE)+VLOOKUP(O1207,'Fee Data'!$I$6:$J$14,2,TRUE)+'Fee Data'!$J$20+'Fee Data'!$J$21)*'Assumptions'!I37</x:f>
        <x:v>1195</x:v>
      </x:c>
      <x:c r="Q1207" s="27" t="n">
        <x:f>(VLOOKUP(O1207,'Fee Data'!$C$6:$G$50,4,TRUE)+O1207*VLOOKUP(O1207,'Fee Data'!$C$6:$G$50,5,TRUE)+VLOOKUP(O1207,'Fee Data'!$I$6:$J$14,2,TRUE)+'Fee Data'!$J$20+'Fee Data'!$J$21)*'Assumptions'!I37</x:f>
        <x:v>1070</x:v>
      </x:c>
      <x:c r="R1207" s="27" t="n">
        <x:f>P1207*(1-'Assumptions'!$D$14)+Q1207*'Assumptions'!$D$14</x:f>
        <x:v>1132.5</x:v>
      </x:c>
      <x:c r="S1207" s="27" t="n">
        <x:f>O1207*'Carrier Engine'!E96</x:f>
        <x:v>398.72791274871054</x:v>
      </x:c>
      <x:c r="T1207" s="28" t="n">
        <x:f>R1207+S1207</x:f>
        <x:v>1531.2279127487104</x:v>
      </x:c>
      <x:c r="U1207" s="27" t="n">
        <x:f>N1207*'Fleet Engine'!K207</x:f>
        <x:v>0</x:v>
      </x:c>
      <x:c r="V1207" s="28" t="n">
        <x:f>U1207*T1207</x:f>
        <x:v>0</x:v>
      </x:c>
      <x:c r="W1207" s="28" t="n">
        <x:f>U1207*O1207</x:f>
        <x:v>0</x:v>
      </x:c>
    </x:row>
    <x:row r="1208" ht="19" customHeight="1">
      <x:c r="A1208" s="2"/>
      <x:c r="B1208" s="2"/>
      <x:c r="C1208" s="46" t="n">
        <x:v>5</x:v>
      </x:c>
      <x:c r="D1208" s="46" t="n">
        <x:v>13</x:v>
      </x:c>
      <x:c r="E1208" s="46" t="n">
        <x:v>2</x:v>
      </x:c>
      <x:c r="F1208" s="46" t="n">
        <x:v>1</x:v>
      </x:c>
      <x:c r="G1208" s="12" t="n">
        <x:v>0.5555555555555556</x:v>
      </x:c>
      <x:c r="H1208" s="12" t="n">
        <x:v>0.6666666666666666</x:v>
      </x:c>
      <x:c r="I1208" s="29" t="n">
        <x:f>'Assumptions'!$D$11+'Assumptions'!$D$12*(0.5-(G1208+H1208)/2)</x:f>
        <x:v>0.27777777777777773</x:v>
      </x:c>
      <x:c r="J1208" s="27" t="n">
        <x:f>'Assumptions'!$D$8*EXP(-'Assumptions'!$D$9*('Fleet Engine'!E207-10))*'Assumptions'!E57*'Assumptions'!I36</x:f>
        <x:v>33227.326062392545</x:v>
      </x:c>
      <x:c r="K1208" s="27" t="n">
        <x:f>'Source Data'!F218+LN('Assumptions'!D57)+LN('Assumptions'!I35)</x:f>
        <x:v>8.179823674316163</x:v>
      </x:c>
      <x:c r="L1208" s="27" t="n">
        <x:f>J1208*(1-I1208*(1-'Carrier Engine'!E96))</x:f>
        <x:v>24366.705779087868</x:v>
      </x:c>
      <x:c r="M1208" s="29" t="n">
        <x:f>NORM.S.DIST((LN(L1208)-K1208)/'Assumptions'!$D$10,TRUE)</x:f>
        <x:v>0.8894298256285628</x:v>
      </x:c>
      <x:c r="N1208" s="30" t="n">
        <x:f>MAX(0,H1208-MAX(G1208,M1208))</x:f>
        <x:v>0</x:v>
      </x:c>
      <x:c r="O1208" s="28" t="n">
        <x:f>J1208*I1208</x:f>
        <x:v>9229.81279510904</x:v>
      </x:c>
      <x:c r="P1208" s="27" t="n">
        <x:f>(VLOOKUP(O1208,'Fee Data'!$C$6:$G$50,2,TRUE)+O1208*VLOOKUP(O1208,'Fee Data'!$C$6:$G$50,3,TRUE)+VLOOKUP(O1208,'Fee Data'!$I$6:$J$14,2,TRUE)+'Fee Data'!$J$20+'Fee Data'!$J$21)*'Assumptions'!I37</x:f>
        <x:v>1195</x:v>
      </x:c>
      <x:c r="Q1208" s="27" t="n">
        <x:f>(VLOOKUP(O1208,'Fee Data'!$C$6:$G$50,4,TRUE)+O1208*VLOOKUP(O1208,'Fee Data'!$C$6:$G$50,5,TRUE)+VLOOKUP(O1208,'Fee Data'!$I$6:$J$14,2,TRUE)+'Fee Data'!$J$20+'Fee Data'!$J$21)*'Assumptions'!I37</x:f>
        <x:v>1070</x:v>
      </x:c>
      <x:c r="R1208" s="27" t="n">
        <x:f>P1208*(1-'Assumptions'!$D$14)+Q1208*'Assumptions'!$D$14</x:f>
        <x:v>1132.5</x:v>
      </x:c>
      <x:c r="S1208" s="27" t="n">
        <x:f>O1208*'Carrier Engine'!E96</x:f>
        <x:v>369.1925118043616</x:v>
      </x:c>
      <x:c r="T1208" s="28" t="n">
        <x:f>R1208+S1208</x:f>
        <x:v>1501.6925118043616</x:v>
      </x:c>
      <x:c r="U1208" s="27" t="n">
        <x:f>N1208*'Fleet Engine'!K207</x:f>
        <x:v>0</x:v>
      </x:c>
      <x:c r="V1208" s="28" t="n">
        <x:f>U1208*T1208</x:f>
        <x:v>0</x:v>
      </x:c>
      <x:c r="W1208" s="28" t="n">
        <x:f>U1208*O1208</x:f>
        <x:v>0</x:v>
      </x:c>
    </x:row>
    <x:row r="1209" ht="19" customHeight="1">
      <x:c r="A1209" s="2"/>
      <x:c r="B1209" s="2"/>
      <x:c r="C1209" s="46" t="n">
        <x:v>5</x:v>
      </x:c>
      <x:c r="D1209" s="46" t="n">
        <x:v>13</x:v>
      </x:c>
      <x:c r="E1209" s="46" t="n">
        <x:v>2</x:v>
      </x:c>
      <x:c r="F1209" s="46" t="n">
        <x:v>1</x:v>
      </x:c>
      <x:c r="G1209" s="12" t="n">
        <x:v>0.6666666666666666</x:v>
      </x:c>
      <x:c r="H1209" s="12" t="n">
        <x:v>0.7777777777777778</x:v>
      </x:c>
      <x:c r="I1209" s="29" t="n">
        <x:f>'Assumptions'!$D$11+'Assumptions'!$D$12*(0.5-(G1209+H1209)/2)</x:f>
        <x:v>0.25555555555555554</x:v>
      </x:c>
      <x:c r="J1209" s="27" t="n">
        <x:f>'Assumptions'!$D$8*EXP(-'Assumptions'!$D$9*('Fleet Engine'!E207-10))*'Assumptions'!E57*'Assumptions'!I36</x:f>
        <x:v>33227.326062392545</x:v>
      </x:c>
      <x:c r="K1209" s="27" t="n">
        <x:f>'Source Data'!F218+LN('Assumptions'!D57)+LN('Assumptions'!I35)</x:f>
        <x:v>8.179823674316163</x:v>
      </x:c>
      <x:c r="L1209" s="27" t="n">
        <x:f>J1209*(1-I1209*(1-'Carrier Engine'!E96))</x:f>
        <x:v>25075.55540175224</x:v>
      </x:c>
      <x:c r="M1209" s="29" t="n">
        <x:f>NORM.S.DIST((LN(L1209)-K1209)/'Assumptions'!$D$10,TRUE)</x:f>
        <x:v>0.8928381602043821</x:v>
      </x:c>
      <x:c r="N1209" s="30" t="n">
        <x:f>MAX(0,H1209-MAX(G1209,M1209))</x:f>
        <x:v>0</x:v>
      </x:c>
      <x:c r="O1209" s="28" t="n">
        <x:f>J1209*I1209</x:f>
        <x:v>8491.427771500317</x:v>
      </x:c>
      <x:c r="P1209" s="27" t="n">
        <x:f>(VLOOKUP(O1209,'Fee Data'!$C$6:$G$50,2,TRUE)+O1209*VLOOKUP(O1209,'Fee Data'!$C$6:$G$50,3,TRUE)+VLOOKUP(O1209,'Fee Data'!$I$6:$J$14,2,TRUE)+'Fee Data'!$J$20+'Fee Data'!$J$21)*'Assumptions'!I37</x:f>
        <x:v>1175</x:v>
      </x:c>
      <x:c r="Q1209" s="27" t="n">
        <x:f>(VLOOKUP(O1209,'Fee Data'!$C$6:$G$50,4,TRUE)+O1209*VLOOKUP(O1209,'Fee Data'!$C$6:$G$50,5,TRUE)+VLOOKUP(O1209,'Fee Data'!$I$6:$J$14,2,TRUE)+'Fee Data'!$J$20+'Fee Data'!$J$21)*'Assumptions'!I37</x:f>
        <x:v>1050</x:v>
      </x:c>
      <x:c r="R1209" s="27" t="n">
        <x:f>P1209*(1-'Assumptions'!$D$14)+Q1209*'Assumptions'!$D$14</x:f>
        <x:v>1112.5</x:v>
      </x:c>
      <x:c r="S1209" s="27" t="n">
        <x:f>O1209*'Carrier Engine'!E96</x:f>
        <x:v>339.6571108600127</x:v>
      </x:c>
      <x:c r="T1209" s="28" t="n">
        <x:f>R1209+S1209</x:f>
        <x:v>1452.1571108600128</x:v>
      </x:c>
      <x:c r="U1209" s="27" t="n">
        <x:f>N1209*'Fleet Engine'!K207</x:f>
        <x:v>0</x:v>
      </x:c>
      <x:c r="V1209" s="28" t="n">
        <x:f>U1209*T1209</x:f>
        <x:v>0</x:v>
      </x:c>
      <x:c r="W1209" s="28" t="n">
        <x:f>U1209*O1209</x:f>
        <x:v>0</x:v>
      </x:c>
    </x:row>
    <x:row r="1210" ht="19" customHeight="1">
      <x:c r="A1210" s="2"/>
      <x:c r="B1210" s="2"/>
      <x:c r="C1210" s="46" t="n">
        <x:v>5</x:v>
      </x:c>
      <x:c r="D1210" s="46" t="n">
        <x:v>13</x:v>
      </x:c>
      <x:c r="E1210" s="46" t="n">
        <x:v>2</x:v>
      </x:c>
      <x:c r="F1210" s="46" t="n">
        <x:v>1</x:v>
      </x:c>
      <x:c r="G1210" s="12" t="n">
        <x:v>0.7777777777777778</x:v>
      </x:c>
      <x:c r="H1210" s="12" t="n">
        <x:v>0.8888888888888888</x:v>
      </x:c>
      <x:c r="I1210" s="29" t="n">
        <x:f>'Assumptions'!$D$11+'Assumptions'!$D$12*(0.5-(G1210+H1210)/2)</x:f>
        <x:v>0.23333333333333334</x:v>
      </x:c>
      <x:c r="J1210" s="27" t="n">
        <x:f>'Assumptions'!$D$8*EXP(-'Assumptions'!$D$9*('Fleet Engine'!E207-10))*'Assumptions'!E57*'Assumptions'!I36</x:f>
        <x:v>33227.326062392545</x:v>
      </x:c>
      <x:c r="K1210" s="27" t="n">
        <x:f>'Source Data'!F218+LN('Assumptions'!D57)+LN('Assumptions'!I35)</x:f>
        <x:v>8.179823674316163</x:v>
      </x:c>
      <x:c r="L1210" s="27" t="n">
        <x:f>J1210*(1-I1210*(1-'Carrier Engine'!E96))</x:f>
        <x:v>25784.405024416617</x:v>
      </x:c>
      <x:c r="M1210" s="29" t="n">
        <x:f>NORM.S.DIST((LN(L1210)-K1210)/'Assumptions'!$D$10,TRUE)</x:f>
        <x:v>0.8960782159015883</x:v>
      </x:c>
      <x:c r="N1210" s="30" t="n">
        <x:f>MAX(0,H1210-MAX(G1210,M1210))</x:f>
        <x:v>0</x:v>
      </x:c>
      <x:c r="O1210" s="28" t="n">
        <x:f>J1210*I1210</x:f>
        <x:v>7753.042747891594</x:v>
      </x:c>
      <x:c r="P1210" s="27" t="n">
        <x:f>(VLOOKUP(O1210,'Fee Data'!$C$6:$G$50,2,TRUE)+O1210*VLOOKUP(O1210,'Fee Data'!$C$6:$G$50,3,TRUE)+VLOOKUP(O1210,'Fee Data'!$I$6:$J$14,2,TRUE)+'Fee Data'!$J$20+'Fee Data'!$J$21)*'Assumptions'!I37</x:f>
        <x:v>1135</x:v>
      </x:c>
      <x:c r="Q1210" s="27" t="n">
        <x:f>(VLOOKUP(O1210,'Fee Data'!$C$6:$G$50,4,TRUE)+O1210*VLOOKUP(O1210,'Fee Data'!$C$6:$G$50,5,TRUE)+VLOOKUP(O1210,'Fee Data'!$I$6:$J$14,2,TRUE)+'Fee Data'!$J$20+'Fee Data'!$J$21)*'Assumptions'!I37</x:f>
        <x:v>1010</x:v>
      </x:c>
      <x:c r="R1210" s="27" t="n">
        <x:f>P1210*(1-'Assumptions'!$D$14)+Q1210*'Assumptions'!$D$14</x:f>
        <x:v>1072.5</x:v>
      </x:c>
      <x:c r="S1210" s="27" t="n">
        <x:f>O1210*'Carrier Engine'!E96</x:f>
        <x:v>310.12170991566376</x:v>
      </x:c>
      <x:c r="T1210" s="28" t="n">
        <x:f>R1210+S1210</x:f>
        <x:v>1382.6217099156638</x:v>
      </x:c>
      <x:c r="U1210" s="27" t="n">
        <x:f>N1210*'Fleet Engine'!K207</x:f>
        <x:v>0</x:v>
      </x:c>
      <x:c r="V1210" s="28" t="n">
        <x:f>U1210*T1210</x:f>
        <x:v>0</x:v>
      </x:c>
      <x:c r="W1210" s="28" t="n">
        <x:f>U1210*O1210</x:f>
        <x:v>0</x:v>
      </x:c>
    </x:row>
    <x:row r="1211" ht="19" customHeight="1">
      <x:c r="A1211" s="2"/>
      <x:c r="B1211" s="2"/>
      <x:c r="C1211" s="46" t="n">
        <x:v>5</x:v>
      </x:c>
      <x:c r="D1211" s="46" t="n">
        <x:v>13</x:v>
      </x:c>
      <x:c r="E1211" s="46" t="n">
        <x:v>2</x:v>
      </x:c>
      <x:c r="F1211" s="46" t="n">
        <x:v>1</x:v>
      </x:c>
      <x:c r="G1211" s="12" t="n">
        <x:v>0.8888888888888888</x:v>
      </x:c>
      <x:c r="H1211" s="12" t="n">
        <x:v>1</x:v>
      </x:c>
      <x:c r="I1211" s="29" t="n">
        <x:f>'Assumptions'!$D$11+'Assumptions'!$D$12*(0.5-(G1211+H1211)/2)</x:f>
        <x:v>0.21111111111111108</x:v>
      </x:c>
      <x:c r="J1211" s="27" t="n">
        <x:f>'Assumptions'!$D$8*EXP(-'Assumptions'!$D$9*('Fleet Engine'!E207-10))*'Assumptions'!E57*'Assumptions'!I36</x:f>
        <x:v>33227.326062392545</x:v>
      </x:c>
      <x:c r="K1211" s="27" t="n">
        <x:f>'Source Data'!F218+LN('Assumptions'!D57)+LN('Assumptions'!I35)</x:f>
        <x:v>8.179823674316163</x:v>
      </x:c>
      <x:c r="L1211" s="27" t="n">
        <x:f>J1211*(1-I1211*(1-'Carrier Engine'!E96))</x:f>
        <x:v>26493.25464708099</x:v>
      </x:c>
      <x:c r="M1211" s="29" t="n">
        <x:f>NORM.S.DIST((LN(L1211)-K1211)/'Assumptions'!$D$10,TRUE)</x:f>
        <x:v>0.8991616341237623</x:v>
      </x:c>
      <x:c r="N1211" s="30" t="n">
        <x:f>MAX(0,H1211-MAX(G1211,M1211))</x:f>
        <x:v>0.10083836587623773</x:v>
      </x:c>
      <x:c r="O1211" s="28" t="n">
        <x:f>J1211*I1211</x:f>
        <x:v>7014.65772428287</x:v>
      </x:c>
      <x:c r="P1211" s="27" t="n">
        <x:f>(VLOOKUP(O1211,'Fee Data'!$C$6:$G$50,2,TRUE)+O1211*VLOOKUP(O1211,'Fee Data'!$C$6:$G$50,3,TRUE)+VLOOKUP(O1211,'Fee Data'!$I$6:$J$14,2,TRUE)+'Fee Data'!$J$20+'Fee Data'!$J$21)*'Assumptions'!I37</x:f>
        <x:v>1115</x:v>
      </x:c>
      <x:c r="Q1211" s="27" t="n">
        <x:f>(VLOOKUP(O1211,'Fee Data'!$C$6:$G$50,4,TRUE)+O1211*VLOOKUP(O1211,'Fee Data'!$C$6:$G$50,5,TRUE)+VLOOKUP(O1211,'Fee Data'!$I$6:$J$14,2,TRUE)+'Fee Data'!$J$20+'Fee Data'!$J$21)*'Assumptions'!I37</x:f>
        <x:v>990</x:v>
      </x:c>
      <x:c r="R1211" s="27" t="n">
        <x:f>P1211*(1-'Assumptions'!$D$14)+Q1211*'Assumptions'!$D$14</x:f>
        <x:v>1052.5</x:v>
      </x:c>
      <x:c r="S1211" s="27" t="n">
        <x:f>O1211*'Carrier Engine'!E96</x:f>
        <x:v>280.5863089713148</x:v>
      </x:c>
      <x:c r="T1211" s="28" t="n">
        <x:f>R1211+S1211</x:f>
        <x:v>1333.0863089713148</x:v>
      </x:c>
      <x:c r="U1211" s="27" t="n">
        <x:f>N1211*'Fleet Engine'!K207</x:f>
        <x:v>715.9016553815223</x:v>
      </x:c>
      <x:c r="V1211" s="28" t="n">
        <x:f>U1211*T1211</x:f>
        <x:v>954358.6953590078</x:v>
      </x:c>
      <x:c r="W1211" s="28" t="n">
        <x:f>U1211*O1211</x:f>
        <x:v>5021805.076748889</x:v>
      </x:c>
    </x:row>
    <x:row r="1212" ht="19" customHeight="1">
      <x:c r="A1212" s="2"/>
      <x:c r="B1212" s="2"/>
      <x:c r="C1212" s="46" t="n">
        <x:v>5</x:v>
      </x:c>
      <x:c r="D1212" s="46" t="n">
        <x:v>14</x:v>
      </x:c>
      <x:c r="E1212" s="46" t="n">
        <x:v>2</x:v>
      </x:c>
      <x:c r="F1212" s="46" t="n">
        <x:v>2</x:v>
      </x:c>
      <x:c r="G1212" s="12" t="n">
        <x:v>0</x:v>
      </x:c>
      <x:c r="H1212" s="12" t="n">
        <x:v>0.1111111111111111</x:v>
      </x:c>
      <x:c r="I1212" s="29" t="n">
        <x:f>'Assumptions'!$D$11+'Assumptions'!$D$12*(0.5-(G1212+H1212)/2)</x:f>
        <x:v>0.3888888888888889</x:v>
      </x:c>
      <x:c r="J1212" s="27" t="n">
        <x:f>'Assumptions'!$D$8*EXP(-'Assumptions'!$D$9*('Fleet Engine'!E208-10))*'Assumptions'!E57*'Assumptions'!I36</x:f>
        <x:v>24615.408571552918</x:v>
      </x:c>
      <x:c r="K1212" s="27" t="n">
        <x:f>'Source Data'!F219+LN('Assumptions'!D57)+LN('Assumptions'!I35)</x:f>
        <x:v>8.22550551560197</x:v>
      </x:c>
      <x:c r="L1212" s="27" t="n">
        <x:f>J1212*(1-I1212*(1-'Carrier Engine'!E96))</x:f>
        <x:v>15425.656038173163</x:v>
      </x:c>
      <x:c r="M1212" s="29" t="n">
        <x:f>NORM.S.DIST((LN(L1212)-K1212)/'Assumptions'!$D$10,TRUE)</x:f>
        <x:v>0.8168022614945112</x:v>
      </x:c>
      <x:c r="N1212" s="30" t="n">
        <x:f>MAX(0,H1212-MAX(G1212,M1212))</x:f>
        <x:v>0</x:v>
      </x:c>
      <x:c r="O1212" s="28" t="n">
        <x:f>J1212*I1212</x:f>
        <x:v>9572.658888937247</x:v>
      </x:c>
      <x:c r="P1212" s="27" t="n">
        <x:f>(VLOOKUP(O1212,'Fee Data'!$C$6:$G$50,2,TRUE)+O1212*VLOOKUP(O1212,'Fee Data'!$C$6:$G$50,3,TRUE)+VLOOKUP(O1212,'Fee Data'!$I$6:$J$14,2,TRUE)+'Fee Data'!$J$20+'Fee Data'!$J$21)*'Assumptions'!I37</x:f>
        <x:v>1195</x:v>
      </x:c>
      <x:c r="Q1212" s="27" t="n">
        <x:f>(VLOOKUP(O1212,'Fee Data'!$C$6:$G$50,4,TRUE)+O1212*VLOOKUP(O1212,'Fee Data'!$C$6:$G$50,5,TRUE)+VLOOKUP(O1212,'Fee Data'!$I$6:$J$14,2,TRUE)+'Fee Data'!$J$20+'Fee Data'!$J$21)*'Assumptions'!I37</x:f>
        <x:v>1070</x:v>
      </x:c>
      <x:c r="R1212" s="27" t="n">
        <x:f>P1212*(1-'Assumptions'!$D$14)+Q1212*'Assumptions'!$D$14</x:f>
        <x:v>1132.5</x:v>
      </x:c>
      <x:c r="S1212" s="27" t="n">
        <x:f>O1212*'Carrier Engine'!E96</x:f>
        <x:v>382.90635555748986</x:v>
      </x:c>
      <x:c r="T1212" s="28" t="n">
        <x:f>R1212+S1212</x:f>
        <x:v>1515.4063555574899</x:v>
      </x:c>
      <x:c r="U1212" s="27" t="n">
        <x:f>N1212*'Fleet Engine'!K208</x:f>
        <x:v>0</x:v>
      </x:c>
      <x:c r="V1212" s="28" t="n">
        <x:f>U1212*T1212</x:f>
        <x:v>0</x:v>
      </x:c>
      <x:c r="W1212" s="28" t="n">
        <x:f>U1212*O1212</x:f>
        <x:v>0</x:v>
      </x:c>
    </x:row>
    <x:row r="1213" ht="19" customHeight="1">
      <x:c r="A1213" s="2"/>
      <x:c r="B1213" s="2"/>
      <x:c r="C1213" s="46" t="n">
        <x:v>5</x:v>
      </x:c>
      <x:c r="D1213" s="46" t="n">
        <x:v>14</x:v>
      </x:c>
      <x:c r="E1213" s="46" t="n">
        <x:v>2</x:v>
      </x:c>
      <x:c r="F1213" s="46" t="n">
        <x:v>2</x:v>
      </x:c>
      <x:c r="G1213" s="12" t="n">
        <x:v>0.1111111111111111</x:v>
      </x:c>
      <x:c r="H1213" s="12" t="n">
        <x:v>0.2222222222222222</x:v>
      </x:c>
      <x:c r="I1213" s="29" t="n">
        <x:f>'Assumptions'!$D$11+'Assumptions'!$D$12*(0.5-(G1213+H1213)/2)</x:f>
        <x:v>0.3666666666666667</x:v>
      </x:c>
      <x:c r="J1213" s="27" t="n">
        <x:f>'Assumptions'!$D$8*EXP(-'Assumptions'!$D$9*('Fleet Engine'!E208-10))*'Assumptions'!E57*'Assumptions'!I36</x:f>
        <x:v>24615.408571552918</x:v>
      </x:c>
      <x:c r="K1213" s="27" t="n">
        <x:f>'Source Data'!F219+LN('Assumptions'!D57)+LN('Assumptions'!I35)</x:f>
        <x:v>8.22550551560197</x:v>
      </x:c>
      <x:c r="L1213" s="27" t="n">
        <x:f>J1213*(1-I1213*(1-'Carrier Engine'!E96))</x:f>
        <x:v>15950.784754366288</x:v>
      </x:c>
      <x:c r="M1213" s="29" t="n">
        <x:f>NORM.S.DIST((LN(L1213)-K1213)/'Assumptions'!$D$10,TRUE)</x:f>
        <x:v>0.8224039417033224</x:v>
      </x:c>
      <x:c r="N1213" s="30" t="n">
        <x:f>MAX(0,H1213-MAX(G1213,M1213))</x:f>
        <x:v>0</x:v>
      </x:c>
      <x:c r="O1213" s="28" t="n">
        <x:f>J1213*I1213</x:f>
        <x:v>9025.649809569404</x:v>
      </x:c>
      <x:c r="P1213" s="27" t="n">
        <x:f>(VLOOKUP(O1213,'Fee Data'!$C$6:$G$50,2,TRUE)+O1213*VLOOKUP(O1213,'Fee Data'!$C$6:$G$50,3,TRUE)+VLOOKUP(O1213,'Fee Data'!$I$6:$J$14,2,TRUE)+'Fee Data'!$J$20+'Fee Data'!$J$21)*'Assumptions'!I37</x:f>
        <x:v>1195</x:v>
      </x:c>
      <x:c r="Q1213" s="27" t="n">
        <x:f>(VLOOKUP(O1213,'Fee Data'!$C$6:$G$50,4,TRUE)+O1213*VLOOKUP(O1213,'Fee Data'!$C$6:$G$50,5,TRUE)+VLOOKUP(O1213,'Fee Data'!$I$6:$J$14,2,TRUE)+'Fee Data'!$J$20+'Fee Data'!$J$21)*'Assumptions'!I37</x:f>
        <x:v>1070</x:v>
      </x:c>
      <x:c r="R1213" s="27" t="n">
        <x:f>P1213*(1-'Assumptions'!$D$14)+Q1213*'Assumptions'!$D$14</x:f>
        <x:v>1132.5</x:v>
      </x:c>
      <x:c r="S1213" s="27" t="n">
        <x:f>O1213*'Carrier Engine'!E96</x:f>
        <x:v>361.02599238277617</x:v>
      </x:c>
      <x:c r="T1213" s="28" t="n">
        <x:f>R1213+S1213</x:f>
        <x:v>1493.5259923827762</x:v>
      </x:c>
      <x:c r="U1213" s="27" t="n">
        <x:f>N1213*'Fleet Engine'!K208</x:f>
        <x:v>0</x:v>
      </x:c>
      <x:c r="V1213" s="28" t="n">
        <x:f>U1213*T1213</x:f>
        <x:v>0</x:v>
      </x:c>
      <x:c r="W1213" s="28" t="n">
        <x:f>U1213*O1213</x:f>
        <x:v>0</x:v>
      </x:c>
    </x:row>
    <x:row r="1214" ht="19" customHeight="1">
      <x:c r="A1214" s="2"/>
      <x:c r="B1214" s="2"/>
      <x:c r="C1214" s="46" t="n">
        <x:v>5</x:v>
      </x:c>
      <x:c r="D1214" s="46" t="n">
        <x:v>14</x:v>
      </x:c>
      <x:c r="E1214" s="46" t="n">
        <x:v>2</x:v>
      </x:c>
      <x:c r="F1214" s="46" t="n">
        <x:v>2</x:v>
      </x:c>
      <x:c r="G1214" s="12" t="n">
        <x:v>0.2222222222222222</x:v>
      </x:c>
      <x:c r="H1214" s="12" t="n">
        <x:v>0.3333333333333333</x:v>
      </x:c>
      <x:c r="I1214" s="29" t="n">
        <x:f>'Assumptions'!$D$11+'Assumptions'!$D$12*(0.5-(G1214+H1214)/2)</x:f>
        <x:v>0.34444444444444444</x:v>
      </x:c>
      <x:c r="J1214" s="27" t="n">
        <x:f>'Assumptions'!$D$8*EXP(-'Assumptions'!$D$9*('Fleet Engine'!E208-10))*'Assumptions'!E57*'Assumptions'!I36</x:f>
        <x:v>24615.408571552918</x:v>
      </x:c>
      <x:c r="K1214" s="27" t="n">
        <x:f>'Source Data'!F219+LN('Assumptions'!D57)+LN('Assumptions'!I35)</x:f>
        <x:v>8.22550551560197</x:v>
      </x:c>
      <x:c r="L1214" s="27" t="n">
        <x:f>J1214*(1-I1214*(1-'Carrier Engine'!E96))</x:f>
        <x:v>16475.91347055942</x:v>
      </x:c>
      <x:c r="M1214" s="29" t="n">
        <x:f>NORM.S.DIST((LN(L1214)-K1214)/'Assumptions'!$D$10,TRUE)</x:f>
        <x:v>0.8277200866436032</x:v>
      </x:c>
      <x:c r="N1214" s="30" t="n">
        <x:f>MAX(0,H1214-MAX(G1214,M1214))</x:f>
        <x:v>0</x:v>
      </x:c>
      <x:c r="O1214" s="28" t="n">
        <x:f>J1214*I1214</x:f>
        <x:v>8478.640730201561</x:v>
      </x:c>
      <x:c r="P1214" s="27" t="n">
        <x:f>(VLOOKUP(O1214,'Fee Data'!$C$6:$G$50,2,TRUE)+O1214*VLOOKUP(O1214,'Fee Data'!$C$6:$G$50,3,TRUE)+VLOOKUP(O1214,'Fee Data'!$I$6:$J$14,2,TRUE)+'Fee Data'!$J$20+'Fee Data'!$J$21)*'Assumptions'!I37</x:f>
        <x:v>1175</x:v>
      </x:c>
      <x:c r="Q1214" s="27" t="n">
        <x:f>(VLOOKUP(O1214,'Fee Data'!$C$6:$G$50,4,TRUE)+O1214*VLOOKUP(O1214,'Fee Data'!$C$6:$G$50,5,TRUE)+VLOOKUP(O1214,'Fee Data'!$I$6:$J$14,2,TRUE)+'Fee Data'!$J$20+'Fee Data'!$J$21)*'Assumptions'!I37</x:f>
        <x:v>1050</x:v>
      </x:c>
      <x:c r="R1214" s="27" t="n">
        <x:f>P1214*(1-'Assumptions'!$D$14)+Q1214*'Assumptions'!$D$14</x:f>
        <x:v>1112.5</x:v>
      </x:c>
      <x:c r="S1214" s="27" t="n">
        <x:f>O1214*'Carrier Engine'!E96</x:f>
        <x:v>339.1456292080625</x:v>
      </x:c>
      <x:c r="T1214" s="28" t="n">
        <x:f>R1214+S1214</x:f>
        <x:v>1451.6456292080625</x:v>
      </x:c>
      <x:c r="U1214" s="27" t="n">
        <x:f>N1214*'Fleet Engine'!K208</x:f>
        <x:v>0</x:v>
      </x:c>
      <x:c r="V1214" s="28" t="n">
        <x:f>U1214*T1214</x:f>
        <x:v>0</x:v>
      </x:c>
      <x:c r="W1214" s="28" t="n">
        <x:f>U1214*O1214</x:f>
        <x:v>0</x:v>
      </x:c>
    </x:row>
    <x:row r="1215" ht="19" customHeight="1">
      <x:c r="A1215" s="2"/>
      <x:c r="B1215" s="2"/>
      <x:c r="C1215" s="46" t="n">
        <x:v>5</x:v>
      </x:c>
      <x:c r="D1215" s="46" t="n">
        <x:v>14</x:v>
      </x:c>
      <x:c r="E1215" s="46" t="n">
        <x:v>2</x:v>
      </x:c>
      <x:c r="F1215" s="46" t="n">
        <x:v>2</x:v>
      </x:c>
      <x:c r="G1215" s="12" t="n">
        <x:v>0.3333333333333333</x:v>
      </x:c>
      <x:c r="H1215" s="12" t="n">
        <x:v>0.4444444444444444</x:v>
      </x:c>
      <x:c r="I1215" s="29" t="n">
        <x:f>'Assumptions'!$D$11+'Assumptions'!$D$12*(0.5-(G1215+H1215)/2)</x:f>
        <x:v>0.32222222222222224</x:v>
      </x:c>
      <x:c r="J1215" s="27" t="n">
        <x:f>'Assumptions'!$D$8*EXP(-'Assumptions'!$D$9*('Fleet Engine'!E208-10))*'Assumptions'!E57*'Assumptions'!I36</x:f>
        <x:v>24615.408571552918</x:v>
      </x:c>
      <x:c r="K1215" s="27" t="n">
        <x:f>'Source Data'!F219+LN('Assumptions'!D57)+LN('Assumptions'!I35)</x:f>
        <x:v>8.22550551560197</x:v>
      </x:c>
      <x:c r="L1215" s="27" t="n">
        <x:f>J1215*(1-I1215*(1-'Carrier Engine'!E96))</x:f>
        <x:v>17001.042186752547</x:v>
      </x:c>
      <x:c r="M1215" s="29" t="n">
        <x:f>NORM.S.DIST((LN(L1215)-K1215)/'Assumptions'!$D$10,TRUE)</x:f>
        <x:v>0.8327715578412461</x:v>
      </x:c>
      <x:c r="N1215" s="30" t="n">
        <x:f>MAX(0,H1215-MAX(G1215,M1215))</x:f>
        <x:v>0</x:v>
      </x:c>
      <x:c r="O1215" s="28" t="n">
        <x:f>J1215*I1215</x:f>
        <x:v>7931.631650833719</x:v>
      </x:c>
      <x:c r="P1215" s="27" t="n">
        <x:f>(VLOOKUP(O1215,'Fee Data'!$C$6:$G$50,2,TRUE)+O1215*VLOOKUP(O1215,'Fee Data'!$C$6:$G$50,3,TRUE)+VLOOKUP(O1215,'Fee Data'!$I$6:$J$14,2,TRUE)+'Fee Data'!$J$20+'Fee Data'!$J$21)*'Assumptions'!I37</x:f>
        <x:v>1135</x:v>
      </x:c>
      <x:c r="Q1215" s="27" t="n">
        <x:f>(VLOOKUP(O1215,'Fee Data'!$C$6:$G$50,4,TRUE)+O1215*VLOOKUP(O1215,'Fee Data'!$C$6:$G$50,5,TRUE)+VLOOKUP(O1215,'Fee Data'!$I$6:$J$14,2,TRUE)+'Fee Data'!$J$20+'Fee Data'!$J$21)*'Assumptions'!I37</x:f>
        <x:v>1010</x:v>
      </x:c>
      <x:c r="R1215" s="27" t="n">
        <x:f>P1215*(1-'Assumptions'!$D$14)+Q1215*'Assumptions'!$D$14</x:f>
        <x:v>1072.5</x:v>
      </x:c>
      <x:c r="S1215" s="27" t="n">
        <x:f>O1215*'Carrier Engine'!E96</x:f>
        <x:v>317.2652660333487</x:v>
      </x:c>
      <x:c r="T1215" s="28" t="n">
        <x:f>R1215+S1215</x:f>
        <x:v>1389.7652660333488</x:v>
      </x:c>
      <x:c r="U1215" s="27" t="n">
        <x:f>N1215*'Fleet Engine'!K208</x:f>
        <x:v>0</x:v>
      </x:c>
      <x:c r="V1215" s="28" t="n">
        <x:f>U1215*T1215</x:f>
        <x:v>0</x:v>
      </x:c>
      <x:c r="W1215" s="28" t="n">
        <x:f>U1215*O1215</x:f>
        <x:v>0</x:v>
      </x:c>
    </x:row>
    <x:row r="1216" ht="19" customHeight="1">
      <x:c r="A1216" s="2"/>
      <x:c r="B1216" s="2"/>
      <x:c r="C1216" s="46" t="n">
        <x:v>5</x:v>
      </x:c>
      <x:c r="D1216" s="46" t="n">
        <x:v>14</x:v>
      </x:c>
      <x:c r="E1216" s="46" t="n">
        <x:v>2</x:v>
      </x:c>
      <x:c r="F1216" s="46" t="n">
        <x:v>2</x:v>
      </x:c>
      <x:c r="G1216" s="12" t="n">
        <x:v>0.4444444444444444</x:v>
      </x:c>
      <x:c r="H1216" s="12" t="n">
        <x:v>0.5555555555555556</x:v>
      </x:c>
      <x:c r="I1216" s="29" t="n">
        <x:f>'Assumptions'!$D$11+'Assumptions'!$D$12*(0.5-(G1216+H1216)/2)</x:f>
        <x:v>0.3</x:v>
      </x:c>
      <x:c r="J1216" s="27" t="n">
        <x:f>'Assumptions'!$D$8*EXP(-'Assumptions'!$D$9*('Fleet Engine'!E208-10))*'Assumptions'!E57*'Assumptions'!I36</x:f>
        <x:v>24615.408571552918</x:v>
      </x:c>
      <x:c r="K1216" s="27" t="n">
        <x:f>'Source Data'!F219+LN('Assumptions'!D57)+LN('Assumptions'!I35)</x:f>
        <x:v>8.22550551560197</x:v>
      </x:c>
      <x:c r="L1216" s="27" t="n">
        <x:f>J1216*(1-I1216*(1-'Carrier Engine'!E96))</x:f>
        <x:v>17526.170902945676</x:v>
      </x:c>
      <x:c r="M1216" s="29" t="n">
        <x:f>NORM.S.DIST((LN(L1216)-K1216)/'Assumptions'!$D$10,TRUE)</x:f>
        <x:v>0.8375772230492653</x:v>
      </x:c>
      <x:c r="N1216" s="30" t="n">
        <x:f>MAX(0,H1216-MAX(G1216,M1216))</x:f>
        <x:v>0</x:v>
      </x:c>
      <x:c r="O1216" s="28" t="n">
        <x:f>J1216*I1216</x:f>
        <x:v>7384.622571465875</x:v>
      </x:c>
      <x:c r="P1216" s="27" t="n">
        <x:f>(VLOOKUP(O1216,'Fee Data'!$C$6:$G$50,2,TRUE)+O1216*VLOOKUP(O1216,'Fee Data'!$C$6:$G$50,3,TRUE)+VLOOKUP(O1216,'Fee Data'!$I$6:$J$14,2,TRUE)+'Fee Data'!$J$20+'Fee Data'!$J$21)*'Assumptions'!I37</x:f>
        <x:v>1115</x:v>
      </x:c>
      <x:c r="Q1216" s="27" t="n">
        <x:f>(VLOOKUP(O1216,'Fee Data'!$C$6:$G$50,4,TRUE)+O1216*VLOOKUP(O1216,'Fee Data'!$C$6:$G$50,5,TRUE)+VLOOKUP(O1216,'Fee Data'!$I$6:$J$14,2,TRUE)+'Fee Data'!$J$20+'Fee Data'!$J$21)*'Assumptions'!I37</x:f>
        <x:v>990</x:v>
      </x:c>
      <x:c r="R1216" s="27" t="n">
        <x:f>P1216*(1-'Assumptions'!$D$14)+Q1216*'Assumptions'!$D$14</x:f>
        <x:v>1052.5</x:v>
      </x:c>
      <x:c r="S1216" s="27" t="n">
        <x:f>O1216*'Carrier Engine'!E96</x:f>
        <x:v>295.38490285863503</x:v>
      </x:c>
      <x:c r="T1216" s="28" t="n">
        <x:f>R1216+S1216</x:f>
        <x:v>1347.884902858635</x:v>
      </x:c>
      <x:c r="U1216" s="27" t="n">
        <x:f>N1216*'Fleet Engine'!K208</x:f>
        <x:v>0</x:v>
      </x:c>
      <x:c r="V1216" s="28" t="n">
        <x:f>U1216*T1216</x:f>
        <x:v>0</x:v>
      </x:c>
      <x:c r="W1216" s="28" t="n">
        <x:f>U1216*O1216</x:f>
        <x:v>0</x:v>
      </x:c>
    </x:row>
    <x:row r="1217" ht="19" customHeight="1">
      <x:c r="A1217" s="2"/>
      <x:c r="B1217" s="2"/>
      <x:c r="C1217" s="46" t="n">
        <x:v>5</x:v>
      </x:c>
      <x:c r="D1217" s="46" t="n">
        <x:v>14</x:v>
      </x:c>
      <x:c r="E1217" s="46" t="n">
        <x:v>2</x:v>
      </x:c>
      <x:c r="F1217" s="46" t="n">
        <x:v>2</x:v>
      </x:c>
      <x:c r="G1217" s="12" t="n">
        <x:v>0.5555555555555556</x:v>
      </x:c>
      <x:c r="H1217" s="12" t="n">
        <x:v>0.6666666666666666</x:v>
      </x:c>
      <x:c r="I1217" s="29" t="n">
        <x:f>'Assumptions'!$D$11+'Assumptions'!$D$12*(0.5-(G1217+H1217)/2)</x:f>
        <x:v>0.27777777777777773</x:v>
      </x:c>
      <x:c r="J1217" s="27" t="n">
        <x:f>'Assumptions'!$D$8*EXP(-'Assumptions'!$D$9*('Fleet Engine'!E208-10))*'Assumptions'!E57*'Assumptions'!I36</x:f>
        <x:v>24615.408571552918</x:v>
      </x:c>
      <x:c r="K1217" s="27" t="n">
        <x:f>'Source Data'!F219+LN('Assumptions'!D57)+LN('Assumptions'!I35)</x:f>
        <x:v>8.22550551560197</x:v>
      </x:c>
      <x:c r="L1217" s="27" t="n">
        <x:f>J1217*(1-I1217*(1-'Carrier Engine'!E96))</x:f>
        <x:v>18051.29961913881</x:v>
      </x:c>
      <x:c r="M1217" s="29" t="n">
        <x:f>NORM.S.DIST((LN(L1217)-K1217)/'Assumptions'!$D$10,TRUE)</x:f>
        <x:v>0.8421541912379197</x:v>
      </x:c>
      <x:c r="N1217" s="30" t="n">
        <x:f>MAX(0,H1217-MAX(G1217,M1217))</x:f>
        <x:v>0</x:v>
      </x:c>
      <x:c r="O1217" s="28" t="n">
        <x:f>J1217*I1217</x:f>
        <x:v>6837.613492098032</x:v>
      </x:c>
      <x:c r="P1217" s="27" t="n">
        <x:f>(VLOOKUP(O1217,'Fee Data'!$C$6:$G$50,2,TRUE)+O1217*VLOOKUP(O1217,'Fee Data'!$C$6:$G$50,3,TRUE)+VLOOKUP(O1217,'Fee Data'!$I$6:$J$14,2,TRUE)+'Fee Data'!$J$20+'Fee Data'!$J$21)*'Assumptions'!I37</x:f>
        <x:v>1080</x:v>
      </x:c>
      <x:c r="Q1217" s="27" t="n">
        <x:f>(VLOOKUP(O1217,'Fee Data'!$C$6:$G$50,4,TRUE)+O1217*VLOOKUP(O1217,'Fee Data'!$C$6:$G$50,5,TRUE)+VLOOKUP(O1217,'Fee Data'!$I$6:$J$14,2,TRUE)+'Fee Data'!$J$20+'Fee Data'!$J$21)*'Assumptions'!I37</x:f>
        <x:v>955</x:v>
      </x:c>
      <x:c r="R1217" s="27" t="n">
        <x:f>P1217*(1-'Assumptions'!$D$14)+Q1217*'Assumptions'!$D$14</x:f>
        <x:v>1017.5</x:v>
      </x:c>
      <x:c r="S1217" s="27" t="n">
        <x:f>O1217*'Carrier Engine'!E96</x:f>
        <x:v>273.5045396839213</x:v>
      </x:c>
      <x:c r="T1217" s="28" t="n">
        <x:f>R1217+S1217</x:f>
        <x:v>1291.0045396839214</x:v>
      </x:c>
      <x:c r="U1217" s="27" t="n">
        <x:f>N1217*'Fleet Engine'!K208</x:f>
        <x:v>0</x:v>
      </x:c>
      <x:c r="V1217" s="28" t="n">
        <x:f>U1217*T1217</x:f>
        <x:v>0</x:v>
      </x:c>
      <x:c r="W1217" s="28" t="n">
        <x:f>U1217*O1217</x:f>
        <x:v>0</x:v>
      </x:c>
    </x:row>
    <x:row r="1218" ht="19" customHeight="1">
      <x:c r="A1218" s="2"/>
      <x:c r="B1218" s="2"/>
      <x:c r="C1218" s="46" t="n">
        <x:v>5</x:v>
      </x:c>
      <x:c r="D1218" s="46" t="n">
        <x:v>14</x:v>
      </x:c>
      <x:c r="E1218" s="46" t="n">
        <x:v>2</x:v>
      </x:c>
      <x:c r="F1218" s="46" t="n">
        <x:v>2</x:v>
      </x:c>
      <x:c r="G1218" s="12" t="n">
        <x:v>0.6666666666666666</x:v>
      </x:c>
      <x:c r="H1218" s="12" t="n">
        <x:v>0.7777777777777778</x:v>
      </x:c>
      <x:c r="I1218" s="29" t="n">
        <x:f>'Assumptions'!$D$11+'Assumptions'!$D$12*(0.5-(G1218+H1218)/2)</x:f>
        <x:v>0.25555555555555554</x:v>
      </x:c>
      <x:c r="J1218" s="27" t="n">
        <x:f>'Assumptions'!$D$8*EXP(-'Assumptions'!$D$9*('Fleet Engine'!E208-10))*'Assumptions'!E57*'Assumptions'!I36</x:f>
        <x:v>24615.408571552918</x:v>
      </x:c>
      <x:c r="K1218" s="27" t="n">
        <x:f>'Source Data'!F219+LN('Assumptions'!D57)+LN('Assumptions'!I35)</x:f>
        <x:v>8.22550551560197</x:v>
      </x:c>
      <x:c r="L1218" s="27" t="n">
        <x:f>J1218*(1-I1218*(1-'Carrier Engine'!E96))</x:f>
        <x:v>18576.428335331937</x:v>
      </x:c>
      <x:c r="M1218" s="29" t="n">
        <x:f>NORM.S.DIST((LN(L1218)-K1218)/'Assumptions'!$D$10,TRUE)</x:f>
        <x:v>0.8465180147776781</x:v>
      </x:c>
      <x:c r="N1218" s="30" t="n">
        <x:f>MAX(0,H1218-MAX(G1218,M1218))</x:f>
        <x:v>0</x:v>
      </x:c>
      <x:c r="O1218" s="28" t="n">
        <x:f>J1218*I1218</x:f>
        <x:v>6290.604412730189</x:v>
      </x:c>
      <x:c r="P1218" s="27" t="n">
        <x:f>(VLOOKUP(O1218,'Fee Data'!$C$6:$G$50,2,TRUE)+O1218*VLOOKUP(O1218,'Fee Data'!$C$6:$G$50,3,TRUE)+VLOOKUP(O1218,'Fee Data'!$I$6:$J$14,2,TRUE)+'Fee Data'!$J$20+'Fee Data'!$J$21)*'Assumptions'!I37</x:f>
        <x:v>1060</x:v>
      </x:c>
      <x:c r="Q1218" s="27" t="n">
        <x:f>(VLOOKUP(O1218,'Fee Data'!$C$6:$G$50,4,TRUE)+O1218*VLOOKUP(O1218,'Fee Data'!$C$6:$G$50,5,TRUE)+VLOOKUP(O1218,'Fee Data'!$I$6:$J$14,2,TRUE)+'Fee Data'!$J$20+'Fee Data'!$J$21)*'Assumptions'!I37</x:f>
        <x:v>935</x:v>
      </x:c>
      <x:c r="R1218" s="27" t="n">
        <x:f>P1218*(1-'Assumptions'!$D$14)+Q1218*'Assumptions'!$D$14</x:f>
        <x:v>997.5</x:v>
      </x:c>
      <x:c r="S1218" s="27" t="n">
        <x:f>O1218*'Carrier Engine'!E96</x:f>
        <x:v>251.6241765092076</x:v>
      </x:c>
      <x:c r="T1218" s="28" t="n">
        <x:f>R1218+S1218</x:f>
        <x:v>1249.1241765092077</x:v>
      </x:c>
      <x:c r="U1218" s="27" t="n">
        <x:f>N1218*'Fleet Engine'!K208</x:f>
        <x:v>0</x:v>
      </x:c>
      <x:c r="V1218" s="28" t="n">
        <x:f>U1218*T1218</x:f>
        <x:v>0</x:v>
      </x:c>
      <x:c r="W1218" s="28" t="n">
        <x:f>U1218*O1218</x:f>
        <x:v>0</x:v>
      </x:c>
    </x:row>
    <x:row r="1219" ht="19" customHeight="1">
      <x:c r="A1219" s="2"/>
      <x:c r="B1219" s="2"/>
      <x:c r="C1219" s="46" t="n">
        <x:v>5</x:v>
      </x:c>
      <x:c r="D1219" s="46" t="n">
        <x:v>14</x:v>
      </x:c>
      <x:c r="E1219" s="46" t="n">
        <x:v>2</x:v>
      </x:c>
      <x:c r="F1219" s="46" t="n">
        <x:v>2</x:v>
      </x:c>
      <x:c r="G1219" s="12" t="n">
        <x:v>0.7777777777777778</x:v>
      </x:c>
      <x:c r="H1219" s="12" t="n">
        <x:v>0.8888888888888888</x:v>
      </x:c>
      <x:c r="I1219" s="29" t="n">
        <x:f>'Assumptions'!$D$11+'Assumptions'!$D$12*(0.5-(G1219+H1219)/2)</x:f>
        <x:v>0.23333333333333334</x:v>
      </x:c>
      <x:c r="J1219" s="27" t="n">
        <x:f>'Assumptions'!$D$8*EXP(-'Assumptions'!$D$9*('Fleet Engine'!E208-10))*'Assumptions'!E57*'Assumptions'!I36</x:f>
        <x:v>24615.408571552918</x:v>
      </x:c>
      <x:c r="K1219" s="27" t="n">
        <x:f>'Source Data'!F219+LN('Assumptions'!D57)+LN('Assumptions'!I35)</x:f>
        <x:v>8.22550551560197</x:v>
      </x:c>
      <x:c r="L1219" s="27" t="n">
        <x:f>J1219*(1-I1219*(1-'Carrier Engine'!E96))</x:f>
        <x:v>19101.557051525066</x:v>
      </x:c>
      <x:c r="M1219" s="29" t="n">
        <x:f>NORM.S.DIST((LN(L1219)-K1219)/'Assumptions'!$D$10,TRUE)</x:f>
        <x:v>0.850682864085855</x:v>
      </x:c>
      <x:c r="N1219" s="30" t="n">
        <x:f>MAX(0,H1219-MAX(G1219,M1219))</x:f>
        <x:v>0.03820602480303381</x:v>
      </x:c>
      <x:c r="O1219" s="28" t="n">
        <x:f>J1219*I1219</x:f>
        <x:v>5743.595333362347</x:v>
      </x:c>
      <x:c r="P1219" s="27" t="n">
        <x:f>(VLOOKUP(O1219,'Fee Data'!$C$6:$G$50,2,TRUE)+O1219*VLOOKUP(O1219,'Fee Data'!$C$6:$G$50,3,TRUE)+VLOOKUP(O1219,'Fee Data'!$I$6:$J$14,2,TRUE)+'Fee Data'!$J$20+'Fee Data'!$J$21)*'Assumptions'!I37</x:f>
        <x:v>1020</x:v>
      </x:c>
      <x:c r="Q1219" s="27" t="n">
        <x:f>(VLOOKUP(O1219,'Fee Data'!$C$6:$G$50,4,TRUE)+O1219*VLOOKUP(O1219,'Fee Data'!$C$6:$G$50,5,TRUE)+VLOOKUP(O1219,'Fee Data'!$I$6:$J$14,2,TRUE)+'Fee Data'!$J$20+'Fee Data'!$J$21)*'Assumptions'!I37</x:f>
        <x:v>895</x:v>
      </x:c>
      <x:c r="R1219" s="27" t="n">
        <x:f>P1219*(1-'Assumptions'!$D$14)+Q1219*'Assumptions'!$D$14</x:f>
        <x:v>957.5</x:v>
      </x:c>
      <x:c r="S1219" s="27" t="n">
        <x:f>O1219*'Carrier Engine'!E96</x:f>
        <x:v>229.7438133344939</x:v>
      </x:c>
      <x:c r="T1219" s="28" t="n">
        <x:f>R1219+S1219</x:f>
        <x:v>1187.243813334494</x:v>
      </x:c>
      <x:c r="U1219" s="27" t="n">
        <x:f>N1219*'Fleet Engine'!K208</x:f>
        <x:v>227.6975814635097</x:v>
      </x:c>
      <x:c r="V1219" s="28" t="n">
        <x:f>U1219*T1219</x:f>
        <x:v>270332.5449037788</x:v>
      </x:c>
      <x:c r="W1219" s="28" t="n">
        <x:f>U1219*O1219</x:f>
        <x:v>1307802.7663117072</x:v>
      </x:c>
    </x:row>
    <x:row r="1220" ht="19" customHeight="1">
      <x:c r="A1220" s="2"/>
      <x:c r="B1220" s="2"/>
      <x:c r="C1220" s="46" t="n">
        <x:v>5</x:v>
      </x:c>
      <x:c r="D1220" s="46" t="n">
        <x:v>14</x:v>
      </x:c>
      <x:c r="E1220" s="46" t="n">
        <x:v>2</x:v>
      </x:c>
      <x:c r="F1220" s="46" t="n">
        <x:v>2</x:v>
      </x:c>
      <x:c r="G1220" s="12" t="n">
        <x:v>0.8888888888888888</x:v>
      </x:c>
      <x:c r="H1220" s="12" t="n">
        <x:v>1</x:v>
      </x:c>
      <x:c r="I1220" s="29" t="n">
        <x:f>'Assumptions'!$D$11+'Assumptions'!$D$12*(0.5-(G1220+H1220)/2)</x:f>
        <x:v>0.21111111111111108</x:v>
      </x:c>
      <x:c r="J1220" s="27" t="n">
        <x:f>'Assumptions'!$D$8*EXP(-'Assumptions'!$D$9*('Fleet Engine'!E208-10))*'Assumptions'!E57*'Assumptions'!I36</x:f>
        <x:v>24615.408571552918</x:v>
      </x:c>
      <x:c r="K1220" s="27" t="n">
        <x:f>'Source Data'!F219+LN('Assumptions'!D57)+LN('Assumptions'!I35)</x:f>
        <x:v>8.22550551560197</x:v>
      </x:c>
      <x:c r="L1220" s="27" t="n">
        <x:f>J1220*(1-I1220*(1-'Carrier Engine'!E96))</x:f>
        <x:v>19626.685767718194</x:v>
      </x:c>
      <x:c r="M1220" s="29" t="n">
        <x:f>NORM.S.DIST((LN(L1220)-K1220)/'Assumptions'!$D$10,TRUE)</x:f>
        <x:v>0.8546616790540353</x:v>
      </x:c>
      <x:c r="N1220" s="30" t="n">
        <x:f>MAX(0,H1220-MAX(G1220,M1220))</x:f>
        <x:v>0.11111111111111116</x:v>
      </x:c>
      <x:c r="O1220" s="28" t="n">
        <x:f>J1220*I1220</x:f>
        <x:v>5196.586253994505</x:v>
      </x:c>
      <x:c r="P1220" s="27" t="n">
        <x:f>(VLOOKUP(O1220,'Fee Data'!$C$6:$G$50,2,TRUE)+O1220*VLOOKUP(O1220,'Fee Data'!$C$6:$G$50,3,TRUE)+VLOOKUP(O1220,'Fee Data'!$I$6:$J$14,2,TRUE)+'Fee Data'!$J$20+'Fee Data'!$J$21)*'Assumptions'!I37</x:f>
        <x:v>995</x:v>
      </x:c>
      <x:c r="Q1220" s="27" t="n">
        <x:f>(VLOOKUP(O1220,'Fee Data'!$C$6:$G$50,4,TRUE)+O1220*VLOOKUP(O1220,'Fee Data'!$C$6:$G$50,5,TRUE)+VLOOKUP(O1220,'Fee Data'!$I$6:$J$14,2,TRUE)+'Fee Data'!$J$20+'Fee Data'!$J$21)*'Assumptions'!I37</x:f>
        <x:v>870</x:v>
      </x:c>
      <x:c r="R1220" s="27" t="n">
        <x:f>P1220*(1-'Assumptions'!$D$14)+Q1220*'Assumptions'!$D$14</x:f>
        <x:v>932.5</x:v>
      </x:c>
      <x:c r="S1220" s="27" t="n">
        <x:f>O1220*'Carrier Engine'!E96</x:f>
        <x:v>207.8634501597802</x:v>
      </x:c>
      <x:c r="T1220" s="28" t="n">
        <x:f>R1220+S1220</x:f>
        <x:v>1140.3634501597803</x:v>
      </x:c>
      <x:c r="U1220" s="27" t="n">
        <x:f>N1220*'Fleet Engine'!K208</x:f>
        <x:v>662.1921910000525</x:v>
      </x:c>
      <x:c r="V1220" s="28" t="n">
        <x:f>U1220*T1220</x:f>
        <x:v>755139.7715976841</x:v>
      </x:c>
      <x:c r="W1220" s="28" t="n">
        <x:f>U1220*O1220</x:f>
        <x:v>3441138.8372533764</x:v>
      </x:c>
    </x:row>
    <x:row r="1221" ht="19" customHeight="1">
      <x:c r="A1221" s="2"/>
      <x:c r="B1221" s="2"/>
      <x:c r="C1221" s="46" t="n">
        <x:v>5</x:v>
      </x:c>
      <x:c r="D1221" s="46" t="n">
        <x:v>15</x:v>
      </x:c>
      <x:c r="E1221" s="46" t="n">
        <x:v>2</x:v>
      </x:c>
      <x:c r="F1221" s="46" t="n">
        <x:v>3</x:v>
      </x:c>
      <x:c r="G1221" s="12" t="n">
        <x:v>0</x:v>
      </x:c>
      <x:c r="H1221" s="12" t="n">
        <x:v>0.1111111111111111</x:v>
      </x:c>
      <x:c r="I1221" s="29" t="n">
        <x:f>'Assumptions'!$D$11+'Assumptions'!$D$12*(0.5-(G1221+H1221)/2)</x:f>
        <x:v>0.3888888888888889</x:v>
      </x:c>
      <x:c r="J1221" s="27" t="n">
        <x:f>'Assumptions'!$D$8*EXP(-'Assumptions'!$D$9*('Fleet Engine'!E209-10))*'Assumptions'!E57*'Assumptions'!I36</x:f>
        <x:v>18235.543179331336</x:v>
      </x:c>
      <x:c r="K1221" s="27" t="n">
        <x:f>'Source Data'!F220+LN('Assumptions'!D57)+LN('Assumptions'!I35)</x:f>
        <x:v>8.332638086869624</x:v>
      </x:c>
      <x:c r="L1221" s="27" t="n">
        <x:f>J1221*(1-I1221*(1-'Carrier Engine'!E96))</x:f>
        <x:v>11427.607059047637</x:v>
      </x:c>
      <x:c r="M1221" s="29" t="n">
        <x:f>NORM.S.DIST((LN(L1221)-K1221)/'Assumptions'!$D$10,TRUE)</x:f>
        <x:v>0.7401992041625559</x:v>
      </x:c>
      <x:c r="N1221" s="30" t="n">
        <x:f>MAX(0,H1221-MAX(G1221,M1221))</x:f>
        <x:v>0</x:v>
      </x:c>
      <x:c r="O1221" s="28" t="n">
        <x:f>J1221*I1221</x:f>
        <x:v>7091.60012529552</x:v>
      </x:c>
      <x:c r="P1221" s="27" t="n">
        <x:f>(VLOOKUP(O1221,'Fee Data'!$C$6:$G$50,2,TRUE)+O1221*VLOOKUP(O1221,'Fee Data'!$C$6:$G$50,3,TRUE)+VLOOKUP(O1221,'Fee Data'!$I$6:$J$14,2,TRUE)+'Fee Data'!$J$20+'Fee Data'!$J$21)*'Assumptions'!I37</x:f>
        <x:v>1115</x:v>
      </x:c>
      <x:c r="Q1221" s="27" t="n">
        <x:f>(VLOOKUP(O1221,'Fee Data'!$C$6:$G$50,4,TRUE)+O1221*VLOOKUP(O1221,'Fee Data'!$C$6:$G$50,5,TRUE)+VLOOKUP(O1221,'Fee Data'!$I$6:$J$14,2,TRUE)+'Fee Data'!$J$20+'Fee Data'!$J$21)*'Assumptions'!I37</x:f>
        <x:v>990</x:v>
      </x:c>
      <x:c r="R1221" s="27" t="n">
        <x:f>P1221*(1-'Assumptions'!$D$14)+Q1221*'Assumptions'!$D$14</x:f>
        <x:v>1052.5</x:v>
      </x:c>
      <x:c r="S1221" s="27" t="n">
        <x:f>O1221*'Carrier Engine'!E96</x:f>
        <x:v>283.6640050118208</x:v>
      </x:c>
      <x:c r="T1221" s="28" t="n">
        <x:f>R1221+S1221</x:f>
        <x:v>1336.1640050118208</x:v>
      </x:c>
      <x:c r="U1221" s="27" t="n">
        <x:f>N1221*'Fleet Engine'!K209</x:f>
        <x:v>0</x:v>
      </x:c>
      <x:c r="V1221" s="28" t="n">
        <x:f>U1221*T1221</x:f>
        <x:v>0</x:v>
      </x:c>
      <x:c r="W1221" s="28" t="n">
        <x:f>U1221*O1221</x:f>
        <x:v>0</x:v>
      </x:c>
    </x:row>
    <x:row r="1222" ht="19" customHeight="1">
      <x:c r="A1222" s="2"/>
      <x:c r="B1222" s="2"/>
      <x:c r="C1222" s="46" t="n">
        <x:v>5</x:v>
      </x:c>
      <x:c r="D1222" s="46" t="n">
        <x:v>15</x:v>
      </x:c>
      <x:c r="E1222" s="46" t="n">
        <x:v>2</x:v>
      </x:c>
      <x:c r="F1222" s="46" t="n">
        <x:v>3</x:v>
      </x:c>
      <x:c r="G1222" s="12" t="n">
        <x:v>0.1111111111111111</x:v>
      </x:c>
      <x:c r="H1222" s="12" t="n">
        <x:v>0.2222222222222222</x:v>
      </x:c>
      <x:c r="I1222" s="29" t="n">
        <x:f>'Assumptions'!$D$11+'Assumptions'!$D$12*(0.5-(G1222+H1222)/2)</x:f>
        <x:v>0.3666666666666667</x:v>
      </x:c>
      <x:c r="J1222" s="27" t="n">
        <x:f>'Assumptions'!$D$8*EXP(-'Assumptions'!$D$9*('Fleet Engine'!E209-10))*'Assumptions'!E57*'Assumptions'!I36</x:f>
        <x:v>18235.543179331336</x:v>
      </x:c>
      <x:c r="K1222" s="27" t="n">
        <x:f>'Source Data'!F220+LN('Assumptions'!D57)+LN('Assumptions'!I35)</x:f>
        <x:v>8.332638086869624</x:v>
      </x:c>
      <x:c r="L1222" s="27" t="n">
        <x:f>J1222*(1-I1222*(1-'Carrier Engine'!E96))</x:f>
        <x:v>11816.631980206705</x:v>
      </x:c>
      <x:c r="M1222" s="29" t="n">
        <x:f>NORM.S.DIST((LN(L1222)-K1222)/'Assumptions'!$D$10,TRUE)</x:f>
        <x:v>0.7470640064168992</x:v>
      </x:c>
      <x:c r="N1222" s="30" t="n">
        <x:f>MAX(0,H1222-MAX(G1222,M1222))</x:f>
        <x:v>0</x:v>
      </x:c>
      <x:c r="O1222" s="28" t="n">
        <x:f>J1222*I1222</x:f>
        <x:v>6686.36583242149</x:v>
      </x:c>
      <x:c r="P1222" s="27" t="n">
        <x:f>(VLOOKUP(O1222,'Fee Data'!$C$6:$G$50,2,TRUE)+O1222*VLOOKUP(O1222,'Fee Data'!$C$6:$G$50,3,TRUE)+VLOOKUP(O1222,'Fee Data'!$I$6:$J$14,2,TRUE)+'Fee Data'!$J$20+'Fee Data'!$J$21)*'Assumptions'!I37</x:f>
        <x:v>1080</x:v>
      </x:c>
      <x:c r="Q1222" s="27" t="n">
        <x:f>(VLOOKUP(O1222,'Fee Data'!$C$6:$G$50,4,TRUE)+O1222*VLOOKUP(O1222,'Fee Data'!$C$6:$G$50,5,TRUE)+VLOOKUP(O1222,'Fee Data'!$I$6:$J$14,2,TRUE)+'Fee Data'!$J$20+'Fee Data'!$J$21)*'Assumptions'!I37</x:f>
        <x:v>955</x:v>
      </x:c>
      <x:c r="R1222" s="27" t="n">
        <x:f>P1222*(1-'Assumptions'!$D$14)+Q1222*'Assumptions'!$D$14</x:f>
        <x:v>1017.5</x:v>
      </x:c>
      <x:c r="S1222" s="27" t="n">
        <x:f>O1222*'Carrier Engine'!E96</x:f>
        <x:v>267.45463329685964</x:v>
      </x:c>
      <x:c r="T1222" s="28" t="n">
        <x:f>R1222+S1222</x:f>
        <x:v>1284.9546332968596</x:v>
      </x:c>
      <x:c r="U1222" s="27" t="n">
        <x:f>N1222*'Fleet Engine'!K209</x:f>
        <x:v>0</x:v>
      </x:c>
      <x:c r="V1222" s="28" t="n">
        <x:f>U1222*T1222</x:f>
        <x:v>0</x:v>
      </x:c>
      <x:c r="W1222" s="28" t="n">
        <x:f>U1222*O1222</x:f>
        <x:v>0</x:v>
      </x:c>
    </x:row>
    <x:row r="1223" ht="19" customHeight="1">
      <x:c r="A1223" s="2"/>
      <x:c r="B1223" s="2"/>
      <x:c r="C1223" s="46" t="n">
        <x:v>5</x:v>
      </x:c>
      <x:c r="D1223" s="46" t="n">
        <x:v>15</x:v>
      </x:c>
      <x:c r="E1223" s="46" t="n">
        <x:v>2</x:v>
      </x:c>
      <x:c r="F1223" s="46" t="n">
        <x:v>3</x:v>
      </x:c>
      <x:c r="G1223" s="12" t="n">
        <x:v>0.2222222222222222</x:v>
      </x:c>
      <x:c r="H1223" s="12" t="n">
        <x:v>0.3333333333333333</x:v>
      </x:c>
      <x:c r="I1223" s="29" t="n">
        <x:f>'Assumptions'!$D$11+'Assumptions'!$D$12*(0.5-(G1223+H1223)/2)</x:f>
        <x:v>0.34444444444444444</x:v>
      </x:c>
      <x:c r="J1223" s="27" t="n">
        <x:f>'Assumptions'!$D$8*EXP(-'Assumptions'!$D$9*('Fleet Engine'!E209-10))*'Assumptions'!E57*'Assumptions'!I36</x:f>
        <x:v>18235.543179331336</x:v>
      </x:c>
      <x:c r="K1223" s="27" t="n">
        <x:f>'Source Data'!F220+LN('Assumptions'!D57)+LN('Assumptions'!I35)</x:f>
        <x:v>8.332638086869624</x:v>
      </x:c>
      <x:c r="L1223" s="27" t="n">
        <x:f>J1223*(1-I1223*(1-'Carrier Engine'!E96))</x:f>
        <x:v>12205.656901365775</x:v>
      </x:c>
      <x:c r="M1223" s="29" t="n">
        <x:f>NORM.S.DIST((LN(L1223)-K1223)/'Assumptions'!$D$10,TRUE)</x:f>
        <x:v>0.7536144164560518</x:v>
      </x:c>
      <x:c r="N1223" s="30" t="n">
        <x:f>MAX(0,H1223-MAX(G1223,M1223))</x:f>
        <x:v>0</x:v>
      </x:c>
      <x:c r="O1223" s="28" t="n">
        <x:f>J1223*I1223</x:f>
        <x:v>6281.13153954746</x:v>
      </x:c>
      <x:c r="P1223" s="27" t="n">
        <x:f>(VLOOKUP(O1223,'Fee Data'!$C$6:$G$50,2,TRUE)+O1223*VLOOKUP(O1223,'Fee Data'!$C$6:$G$50,3,TRUE)+VLOOKUP(O1223,'Fee Data'!$I$6:$J$14,2,TRUE)+'Fee Data'!$J$20+'Fee Data'!$J$21)*'Assumptions'!I37</x:f>
        <x:v>1060</x:v>
      </x:c>
      <x:c r="Q1223" s="27" t="n">
        <x:f>(VLOOKUP(O1223,'Fee Data'!$C$6:$G$50,4,TRUE)+O1223*VLOOKUP(O1223,'Fee Data'!$C$6:$G$50,5,TRUE)+VLOOKUP(O1223,'Fee Data'!$I$6:$J$14,2,TRUE)+'Fee Data'!$J$20+'Fee Data'!$J$21)*'Assumptions'!I37</x:f>
        <x:v>935</x:v>
      </x:c>
      <x:c r="R1223" s="27" t="n">
        <x:f>P1223*(1-'Assumptions'!$D$14)+Q1223*'Assumptions'!$D$14</x:f>
        <x:v>997.5</x:v>
      </x:c>
      <x:c r="S1223" s="27" t="n">
        <x:f>O1223*'Carrier Engine'!E96</x:f>
        <x:v>251.2452615818984</x:v>
      </x:c>
      <x:c r="T1223" s="28" t="n">
        <x:f>R1223+S1223</x:f>
        <x:v>1248.7452615818984</x:v>
      </x:c>
      <x:c r="U1223" s="27" t="n">
        <x:f>N1223*'Fleet Engine'!K209</x:f>
        <x:v>0</x:v>
      </x:c>
      <x:c r="V1223" s="28" t="n">
        <x:f>U1223*T1223</x:f>
        <x:v>0</x:v>
      </x:c>
      <x:c r="W1223" s="28" t="n">
        <x:f>U1223*O1223</x:f>
        <x:v>0</x:v>
      </x:c>
    </x:row>
    <x:row r="1224" ht="19" customHeight="1">
      <x:c r="A1224" s="2"/>
      <x:c r="B1224" s="2"/>
      <x:c r="C1224" s="46" t="n">
        <x:v>5</x:v>
      </x:c>
      <x:c r="D1224" s="46" t="n">
        <x:v>15</x:v>
      </x:c>
      <x:c r="E1224" s="46" t="n">
        <x:v>2</x:v>
      </x:c>
      <x:c r="F1224" s="46" t="n">
        <x:v>3</x:v>
      </x:c>
      <x:c r="G1224" s="12" t="n">
        <x:v>0.3333333333333333</x:v>
      </x:c>
      <x:c r="H1224" s="12" t="n">
        <x:v>0.4444444444444444</x:v>
      </x:c>
      <x:c r="I1224" s="29" t="n">
        <x:f>'Assumptions'!$D$11+'Assumptions'!$D$12*(0.5-(G1224+H1224)/2)</x:f>
        <x:v>0.32222222222222224</x:v>
      </x:c>
      <x:c r="J1224" s="27" t="n">
        <x:f>'Assumptions'!$D$8*EXP(-'Assumptions'!$D$9*('Fleet Engine'!E209-10))*'Assumptions'!E57*'Assumptions'!I36</x:f>
        <x:v>18235.543179331336</x:v>
      </x:c>
      <x:c r="K1224" s="27" t="n">
        <x:f>'Source Data'!F220+LN('Assumptions'!D57)+LN('Assumptions'!I35)</x:f>
        <x:v>8.332638086869624</x:v>
      </x:c>
      <x:c r="L1224" s="27" t="n">
        <x:f>J1224*(1-I1224*(1-'Carrier Engine'!E96))</x:f>
        <x:v>12594.681822524843</x:v>
      </x:c>
      <x:c r="M1224" s="29" t="n">
        <x:f>NORM.S.DIST((LN(L1224)-K1224)/'Assumptions'!$D$10,TRUE)</x:f>
        <x:v>0.7598715607815303</x:v>
      </x:c>
      <x:c r="N1224" s="30" t="n">
        <x:f>MAX(0,H1224-MAX(G1224,M1224))</x:f>
        <x:v>0</x:v>
      </x:c>
      <x:c r="O1224" s="28" t="n">
        <x:f>J1224*I1224</x:f>
        <x:v>5875.897246673431</x:v>
      </x:c>
      <x:c r="P1224" s="27" t="n">
        <x:f>(VLOOKUP(O1224,'Fee Data'!$C$6:$G$50,2,TRUE)+O1224*VLOOKUP(O1224,'Fee Data'!$C$6:$G$50,3,TRUE)+VLOOKUP(O1224,'Fee Data'!$I$6:$J$14,2,TRUE)+'Fee Data'!$J$20+'Fee Data'!$J$21)*'Assumptions'!I37</x:f>
        <x:v>1020</x:v>
      </x:c>
      <x:c r="Q1224" s="27" t="n">
        <x:f>(VLOOKUP(O1224,'Fee Data'!$C$6:$G$50,4,TRUE)+O1224*VLOOKUP(O1224,'Fee Data'!$C$6:$G$50,5,TRUE)+VLOOKUP(O1224,'Fee Data'!$I$6:$J$14,2,TRUE)+'Fee Data'!$J$20+'Fee Data'!$J$21)*'Assumptions'!I37</x:f>
        <x:v>895</x:v>
      </x:c>
      <x:c r="R1224" s="27" t="n">
        <x:f>P1224*(1-'Assumptions'!$D$14)+Q1224*'Assumptions'!$D$14</x:f>
        <x:v>957.5</x:v>
      </x:c>
      <x:c r="S1224" s="27" t="n">
        <x:f>O1224*'Carrier Engine'!E96</x:f>
        <x:v>235.03588986693725</x:v>
      </x:c>
      <x:c r="T1224" s="28" t="n">
        <x:f>R1224+S1224</x:f>
        <x:v>1192.5358898669372</x:v>
      </x:c>
      <x:c r="U1224" s="27" t="n">
        <x:f>N1224*'Fleet Engine'!K209</x:f>
        <x:v>0</x:v>
      </x:c>
      <x:c r="V1224" s="28" t="n">
        <x:f>U1224*T1224</x:f>
        <x:v>0</x:v>
      </x:c>
      <x:c r="W1224" s="28" t="n">
        <x:f>U1224*O1224</x:f>
        <x:v>0</x:v>
      </x:c>
    </x:row>
    <x:row r="1225" ht="19" customHeight="1">
      <x:c r="A1225" s="2"/>
      <x:c r="B1225" s="2"/>
      <x:c r="C1225" s="46" t="n">
        <x:v>5</x:v>
      </x:c>
      <x:c r="D1225" s="46" t="n">
        <x:v>15</x:v>
      </x:c>
      <x:c r="E1225" s="46" t="n">
        <x:v>2</x:v>
      </x:c>
      <x:c r="F1225" s="46" t="n">
        <x:v>3</x:v>
      </x:c>
      <x:c r="G1225" s="12" t="n">
        <x:v>0.4444444444444444</x:v>
      </x:c>
      <x:c r="H1225" s="12" t="n">
        <x:v>0.5555555555555556</x:v>
      </x:c>
      <x:c r="I1225" s="29" t="n">
        <x:f>'Assumptions'!$D$11+'Assumptions'!$D$12*(0.5-(G1225+H1225)/2)</x:f>
        <x:v>0.3</x:v>
      </x:c>
      <x:c r="J1225" s="27" t="n">
        <x:f>'Assumptions'!$D$8*EXP(-'Assumptions'!$D$9*('Fleet Engine'!E209-10))*'Assumptions'!E57*'Assumptions'!I36</x:f>
        <x:v>18235.543179331336</x:v>
      </x:c>
      <x:c r="K1225" s="27" t="n">
        <x:f>'Source Data'!F220+LN('Assumptions'!D57)+LN('Assumptions'!I35)</x:f>
        <x:v>8.332638086869624</x:v>
      </x:c>
      <x:c r="L1225" s="27" t="n">
        <x:f>J1225*(1-I1225*(1-'Carrier Engine'!E96))</x:f>
        <x:v>12983.706743683912</x:v>
      </x:c>
      <x:c r="M1225" s="29" t="n">
        <x:f>NORM.S.DIST((LN(L1225)-K1225)/'Assumptions'!$D$10,TRUE)</x:f>
        <x:v>0.7658546811979431</x:v>
      </x:c>
      <x:c r="N1225" s="30" t="n">
        <x:f>MAX(0,H1225-MAX(G1225,M1225))</x:f>
        <x:v>0</x:v>
      </x:c>
      <x:c r="O1225" s="28" t="n">
        <x:f>J1225*I1225</x:f>
        <x:v>5470.6629537994</x:v>
      </x:c>
      <x:c r="P1225" s="27" t="n">
        <x:f>(VLOOKUP(O1225,'Fee Data'!$C$6:$G$50,2,TRUE)+O1225*VLOOKUP(O1225,'Fee Data'!$C$6:$G$50,3,TRUE)+VLOOKUP(O1225,'Fee Data'!$I$6:$J$14,2,TRUE)+'Fee Data'!$J$20+'Fee Data'!$J$21)*'Assumptions'!I37</x:f>
        <x:v>995</x:v>
      </x:c>
      <x:c r="Q1225" s="27" t="n">
        <x:f>(VLOOKUP(O1225,'Fee Data'!$C$6:$G$50,4,TRUE)+O1225*VLOOKUP(O1225,'Fee Data'!$C$6:$G$50,5,TRUE)+VLOOKUP(O1225,'Fee Data'!$I$6:$J$14,2,TRUE)+'Fee Data'!$J$20+'Fee Data'!$J$21)*'Assumptions'!I37</x:f>
        <x:v>870</x:v>
      </x:c>
      <x:c r="R1225" s="27" t="n">
        <x:f>P1225*(1-'Assumptions'!$D$14)+Q1225*'Assumptions'!$D$14</x:f>
        <x:v>932.5</x:v>
      </x:c>
      <x:c r="S1225" s="27" t="n">
        <x:f>O1225*'Carrier Engine'!E96</x:f>
        <x:v>218.82651815197602</x:v>
      </x:c>
      <x:c r="T1225" s="28" t="n">
        <x:f>R1225+S1225</x:f>
        <x:v>1151.326518151976</x:v>
      </x:c>
      <x:c r="U1225" s="27" t="n">
        <x:f>N1225*'Fleet Engine'!K209</x:f>
        <x:v>0</x:v>
      </x:c>
      <x:c r="V1225" s="28" t="n">
        <x:f>U1225*T1225</x:f>
        <x:v>0</x:v>
      </x:c>
      <x:c r="W1225" s="28" t="n">
        <x:f>U1225*O1225</x:f>
        <x:v>0</x:v>
      </x:c>
    </x:row>
    <x:row r="1226" ht="19" customHeight="1">
      <x:c r="A1226" s="2"/>
      <x:c r="B1226" s="2"/>
      <x:c r="C1226" s="46" t="n">
        <x:v>5</x:v>
      </x:c>
      <x:c r="D1226" s="46" t="n">
        <x:v>15</x:v>
      </x:c>
      <x:c r="E1226" s="46" t="n">
        <x:v>2</x:v>
      </x:c>
      <x:c r="F1226" s="46" t="n">
        <x:v>3</x:v>
      </x:c>
      <x:c r="G1226" s="12" t="n">
        <x:v>0.5555555555555556</x:v>
      </x:c>
      <x:c r="H1226" s="12" t="n">
        <x:v>0.6666666666666666</x:v>
      </x:c>
      <x:c r="I1226" s="29" t="n">
        <x:f>'Assumptions'!$D$11+'Assumptions'!$D$12*(0.5-(G1226+H1226)/2)</x:f>
        <x:v>0.27777777777777773</x:v>
      </x:c>
      <x:c r="J1226" s="27" t="n">
        <x:f>'Assumptions'!$D$8*EXP(-'Assumptions'!$D$9*('Fleet Engine'!E209-10))*'Assumptions'!E57*'Assumptions'!I36</x:f>
        <x:v>18235.543179331336</x:v>
      </x:c>
      <x:c r="K1226" s="27" t="n">
        <x:f>'Source Data'!F220+LN('Assumptions'!D57)+LN('Assumptions'!I35)</x:f>
        <x:v>8.332638086869624</x:v>
      </x:c>
      <x:c r="L1226" s="27" t="n">
        <x:f>J1226*(1-I1226*(1-'Carrier Engine'!E96))</x:f>
        <x:v>13372.73166484298</x:v>
      </x:c>
      <x:c r="M1226" s="29" t="n">
        <x:f>NORM.S.DIST((LN(L1226)-K1226)/'Assumptions'!$D$10,TRUE)</x:f>
        <x:v>0.7715813442101519</x:v>
      </x:c>
      <x:c r="N1226" s="30" t="n">
        <x:f>MAX(0,H1226-MAX(G1226,M1226))</x:f>
        <x:v>0</x:v>
      </x:c>
      <x:c r="O1226" s="28" t="n">
        <x:f>J1226*I1226</x:f>
        <x:v>5065.42866092537</x:v>
      </x:c>
      <x:c r="P1226" s="27" t="n">
        <x:f>(VLOOKUP(O1226,'Fee Data'!$C$6:$G$50,2,TRUE)+O1226*VLOOKUP(O1226,'Fee Data'!$C$6:$G$50,3,TRUE)+VLOOKUP(O1226,'Fee Data'!$I$6:$J$14,2,TRUE)+'Fee Data'!$J$20+'Fee Data'!$J$21)*'Assumptions'!I37</x:f>
        <x:v>995</x:v>
      </x:c>
      <x:c r="Q1226" s="27" t="n">
        <x:f>(VLOOKUP(O1226,'Fee Data'!$C$6:$G$50,4,TRUE)+O1226*VLOOKUP(O1226,'Fee Data'!$C$6:$G$50,5,TRUE)+VLOOKUP(O1226,'Fee Data'!$I$6:$J$14,2,TRUE)+'Fee Data'!$J$20+'Fee Data'!$J$21)*'Assumptions'!I37</x:f>
        <x:v>870</x:v>
      </x:c>
      <x:c r="R1226" s="27" t="n">
        <x:f>P1226*(1-'Assumptions'!$D$14)+Q1226*'Assumptions'!$D$14</x:f>
        <x:v>932.5</x:v>
      </x:c>
      <x:c r="S1226" s="27" t="n">
        <x:f>O1226*'Carrier Engine'!E96</x:f>
        <x:v>202.6171464370148</x:v>
      </x:c>
      <x:c r="T1226" s="28" t="n">
        <x:f>R1226+S1226</x:f>
        <x:v>1135.1171464370148</x:v>
      </x:c>
      <x:c r="U1226" s="27" t="n">
        <x:f>N1226*'Fleet Engine'!K209</x:f>
        <x:v>0</x:v>
      </x:c>
      <x:c r="V1226" s="28" t="n">
        <x:f>U1226*T1226</x:f>
        <x:v>0</x:v>
      </x:c>
      <x:c r="W1226" s="28" t="n">
        <x:f>U1226*O1226</x:f>
        <x:v>0</x:v>
      </x:c>
    </x:row>
    <x:row r="1227" ht="19" customHeight="1">
      <x:c r="A1227" s="2"/>
      <x:c r="B1227" s="2"/>
      <x:c r="C1227" s="46" t="n">
        <x:v>5</x:v>
      </x:c>
      <x:c r="D1227" s="46" t="n">
        <x:v>15</x:v>
      </x:c>
      <x:c r="E1227" s="46" t="n">
        <x:v>2</x:v>
      </x:c>
      <x:c r="F1227" s="46" t="n">
        <x:v>3</x:v>
      </x:c>
      <x:c r="G1227" s="12" t="n">
        <x:v>0.6666666666666666</x:v>
      </x:c>
      <x:c r="H1227" s="12" t="n">
        <x:v>0.7777777777777778</x:v>
      </x:c>
      <x:c r="I1227" s="29" t="n">
        <x:f>'Assumptions'!$D$11+'Assumptions'!$D$12*(0.5-(G1227+H1227)/2)</x:f>
        <x:v>0.25555555555555554</x:v>
      </x:c>
      <x:c r="J1227" s="27" t="n">
        <x:f>'Assumptions'!$D$8*EXP(-'Assumptions'!$D$9*('Fleet Engine'!E209-10))*'Assumptions'!E57*'Assumptions'!I36</x:f>
        <x:v>18235.543179331336</x:v>
      </x:c>
      <x:c r="K1227" s="27" t="n">
        <x:f>'Source Data'!F220+LN('Assumptions'!D57)+LN('Assumptions'!I35)</x:f>
        <x:v>8.332638086869624</x:v>
      </x:c>
      <x:c r="L1227" s="27" t="n">
        <x:f>J1227*(1-I1227*(1-'Carrier Engine'!E96))</x:f>
        <x:v>13761.75658600205</x:v>
      </x:c>
      <x:c r="M1227" s="29" t="n">
        <x:f>NORM.S.DIST((LN(L1227)-K1227)/'Assumptions'!$D$10,TRUE)</x:f>
        <x:v>0.7770676226732032</x:v>
      </x:c>
      <x:c r="N1227" s="30" t="n">
        <x:f>MAX(0,H1227-MAX(G1227,M1227))</x:f>
        <x:v>0.0007101551045746168</x:v>
      </x:c>
      <x:c r="O1227" s="28" t="n">
        <x:f>J1227*I1227</x:f>
        <x:v>4660.194368051341</x:v>
      </x:c>
      <x:c r="P1227" s="27" t="n">
        <x:f>(VLOOKUP(O1227,'Fee Data'!$C$6:$G$50,2,TRUE)+O1227*VLOOKUP(O1227,'Fee Data'!$C$6:$G$50,3,TRUE)+VLOOKUP(O1227,'Fee Data'!$I$6:$J$14,2,TRUE)+'Fee Data'!$J$20+'Fee Data'!$J$21)*'Assumptions'!I37</x:f>
        <x:v>970</x:v>
      </x:c>
      <x:c r="Q1227" s="27" t="n">
        <x:f>(VLOOKUP(O1227,'Fee Data'!$C$6:$G$50,4,TRUE)+O1227*VLOOKUP(O1227,'Fee Data'!$C$6:$G$50,5,TRUE)+VLOOKUP(O1227,'Fee Data'!$I$6:$J$14,2,TRUE)+'Fee Data'!$J$20+'Fee Data'!$J$21)*'Assumptions'!I37</x:f>
        <x:v>845</x:v>
      </x:c>
      <x:c r="R1227" s="27" t="n">
        <x:f>P1227*(1-'Assumptions'!$D$14)+Q1227*'Assumptions'!$D$14</x:f>
        <x:v>907.5</x:v>
      </x:c>
      <x:c r="S1227" s="27" t="n">
        <x:f>O1227*'Carrier Engine'!E96</x:f>
        <x:v>186.40777472205366</x:v>
      </x:c>
      <x:c r="T1227" s="28" t="n">
        <x:f>R1227+S1227</x:f>
        <x:v>1093.9077747220535</x:v>
      </x:c>
      <x:c r="U1227" s="27" t="n">
        <x:f>N1227*'Fleet Engine'!K209</x:f>
        <x:v>3.4728378915500273</x:v>
      </x:c>
      <x:c r="V1227" s="28" t="n">
        <x:f>U1227*T1227</x:f>
        <x:v>3798.9643699159187</x:v>
      </x:c>
      <x:c r="W1227" s="28" t="n">
        <x:f>U1227*O1227</x:f>
        <x:v>16184.099583356732</x:v>
      </x:c>
    </x:row>
    <x:row r="1228" ht="19" customHeight="1">
      <x:c r="A1228" s="2"/>
      <x:c r="B1228" s="2"/>
      <x:c r="C1228" s="46" t="n">
        <x:v>5</x:v>
      </x:c>
      <x:c r="D1228" s="46" t="n">
        <x:v>15</x:v>
      </x:c>
      <x:c r="E1228" s="46" t="n">
        <x:v>2</x:v>
      </x:c>
      <x:c r="F1228" s="46" t="n">
        <x:v>3</x:v>
      </x:c>
      <x:c r="G1228" s="12" t="n">
        <x:v>0.7777777777777778</x:v>
      </x:c>
      <x:c r="H1228" s="12" t="n">
        <x:v>0.8888888888888888</x:v>
      </x:c>
      <x:c r="I1228" s="29" t="n">
        <x:f>'Assumptions'!$D$11+'Assumptions'!$D$12*(0.5-(G1228+H1228)/2)</x:f>
        <x:v>0.23333333333333334</x:v>
      </x:c>
      <x:c r="J1228" s="27" t="n">
        <x:f>'Assumptions'!$D$8*EXP(-'Assumptions'!$D$9*('Fleet Engine'!E209-10))*'Assumptions'!E57*'Assumptions'!I36</x:f>
        <x:v>18235.543179331336</x:v>
      </x:c>
      <x:c r="K1228" s="27" t="n">
        <x:f>'Source Data'!F220+LN('Assumptions'!D57)+LN('Assumptions'!I35)</x:f>
        <x:v>8.332638086869624</x:v>
      </x:c>
      <x:c r="L1228" s="27" t="n">
        <x:f>J1228*(1-I1228*(1-'Carrier Engine'!E96))</x:f>
        <x:v>14150.781507161117</x:v>
      </x:c>
      <x:c r="M1228" s="29" t="n">
        <x:f>NORM.S.DIST((LN(L1228)-K1228)/'Assumptions'!$D$10,TRUE)</x:f>
        <x:v>0.7823282539471316</x:v>
      </x:c>
      <x:c r="N1228" s="30" t="n">
        <x:f>MAX(0,H1228-MAX(G1228,M1228))</x:f>
        <x:v>0.10656063494175727</x:v>
      </x:c>
      <x:c r="O1228" s="28" t="n">
        <x:f>J1228*I1228</x:f>
        <x:v>4254.960075177312</x:v>
      </x:c>
      <x:c r="P1228" s="27" t="n">
        <x:f>(VLOOKUP(O1228,'Fee Data'!$C$6:$G$50,2,TRUE)+O1228*VLOOKUP(O1228,'Fee Data'!$C$6:$G$50,3,TRUE)+VLOOKUP(O1228,'Fee Data'!$I$6:$J$14,2,TRUE)+'Fee Data'!$J$20+'Fee Data'!$J$21)*'Assumptions'!I37</x:f>
        <x:v>945</x:v>
      </x:c>
      <x:c r="Q1228" s="27" t="n">
        <x:f>(VLOOKUP(O1228,'Fee Data'!$C$6:$G$50,4,TRUE)+O1228*VLOOKUP(O1228,'Fee Data'!$C$6:$G$50,5,TRUE)+VLOOKUP(O1228,'Fee Data'!$I$6:$J$14,2,TRUE)+'Fee Data'!$J$20+'Fee Data'!$J$21)*'Assumptions'!I37</x:f>
        <x:v>820</x:v>
      </x:c>
      <x:c r="R1228" s="27" t="n">
        <x:f>P1228*(1-'Assumptions'!$D$14)+Q1228*'Assumptions'!$D$14</x:f>
        <x:v>882.5</x:v>
      </x:c>
      <x:c r="S1228" s="27" t="n">
        <x:f>O1228*'Carrier Engine'!E96</x:f>
        <x:v>170.1984030070925</x:v>
      </x:c>
      <x:c r="T1228" s="28" t="n">
        <x:f>R1228+S1228</x:f>
        <x:v>1052.6984030070926</x:v>
      </x:c>
      <x:c r="U1228" s="27" t="n">
        <x:f>N1228*'Fleet Engine'!K209</x:f>
        <x:v>521.1084288340577</x:v>
      </x:c>
      <x:c r="V1228" s="28" t="n">
        <x:f>U1228*T1228</x:f>
        <x:v>548570.0108271476</x:v>
      </x:c>
      <x:c r="W1228" s="28" t="n">
        <x:f>U1228*O1228</x:f>
        <x:v>2217295.5595272933</x:v>
      </x:c>
    </x:row>
    <x:row r="1229" ht="19" customHeight="1">
      <x:c r="A1229" s="2"/>
      <x:c r="B1229" s="2"/>
      <x:c r="C1229" s="46" t="n">
        <x:v>5</x:v>
      </x:c>
      <x:c r="D1229" s="46" t="n">
        <x:v>15</x:v>
      </x:c>
      <x:c r="E1229" s="46" t="n">
        <x:v>2</x:v>
      </x:c>
      <x:c r="F1229" s="46" t="n">
        <x:v>3</x:v>
      </x:c>
      <x:c r="G1229" s="12" t="n">
        <x:v>0.8888888888888888</x:v>
      </x:c>
      <x:c r="H1229" s="12" t="n">
        <x:v>1</x:v>
      </x:c>
      <x:c r="I1229" s="29" t="n">
        <x:f>'Assumptions'!$D$11+'Assumptions'!$D$12*(0.5-(G1229+H1229)/2)</x:f>
        <x:v>0.21111111111111108</x:v>
      </x:c>
      <x:c r="J1229" s="27" t="n">
        <x:f>'Assumptions'!$D$8*EXP(-'Assumptions'!$D$9*('Fleet Engine'!E209-10))*'Assumptions'!E57*'Assumptions'!I36</x:f>
        <x:v>18235.543179331336</x:v>
      </x:c>
      <x:c r="K1229" s="27" t="n">
        <x:f>'Source Data'!F220+LN('Assumptions'!D57)+LN('Assumptions'!I35)</x:f>
        <x:v>8.332638086869624</x:v>
      </x:c>
      <x:c r="L1229" s="27" t="n">
        <x:f>J1229*(1-I1229*(1-'Carrier Engine'!E96))</x:f>
        <x:v>14539.806428320186</x:v>
      </x:c>
      <x:c r="M1229" s="29" t="n">
        <x:f>NORM.S.DIST((LN(L1229)-K1229)/'Assumptions'!$D$10,TRUE)</x:f>
        <x:v>0.7873767780721864</x:v>
      </x:c>
      <x:c r="N1229" s="30" t="n">
        <x:f>MAX(0,H1229-MAX(G1229,M1229))</x:f>
        <x:v>0.11111111111111116</x:v>
      </x:c>
      <x:c r="O1229" s="28" t="n">
        <x:f>J1229*I1229</x:f>
        <x:v>3849.7257823032814</x:v>
      </x:c>
      <x:c r="P1229" s="27" t="n">
        <x:f>(VLOOKUP(O1229,'Fee Data'!$C$6:$G$50,2,TRUE)+O1229*VLOOKUP(O1229,'Fee Data'!$C$6:$G$50,3,TRUE)+VLOOKUP(O1229,'Fee Data'!$I$6:$J$14,2,TRUE)+'Fee Data'!$J$20+'Fee Data'!$J$21)*'Assumptions'!I37</x:f>
        <x:v>915</x:v>
      </x:c>
      <x:c r="Q1229" s="27" t="n">
        <x:f>(VLOOKUP(O1229,'Fee Data'!$C$6:$G$50,4,TRUE)+O1229*VLOOKUP(O1229,'Fee Data'!$C$6:$G$50,5,TRUE)+VLOOKUP(O1229,'Fee Data'!$I$6:$J$14,2,TRUE)+'Fee Data'!$J$20+'Fee Data'!$J$21)*'Assumptions'!I37</x:f>
        <x:v>765</x:v>
      </x:c>
      <x:c r="R1229" s="27" t="n">
        <x:f>P1229*(1-'Assumptions'!$D$14)+Q1229*'Assumptions'!$D$14</x:f>
        <x:v>840</x:v>
      </x:c>
      <x:c r="S1229" s="27" t="n">
        <x:f>O1229*'Carrier Engine'!E96</x:f>
        <x:v>153.98903129213127</x:v>
      </x:c>
      <x:c r="T1229" s="28" t="n">
        <x:f>R1229+S1229</x:f>
        <x:v>993.9890312921312</x:v>
      </x:c>
      <x:c r="U1229" s="27" t="n">
        <x:f>N1229*'Fleet Engine'!K209</x:f>
        <x:v>543.3614070408307</x:v>
      </x:c>
      <x:c r="V1229" s="28" t="n">
        <x:f>U1229*T1229</x:f>
        <x:v>540095.2786260447</x:v>
      </x:c>
      <x:c r="W1229" s="28" t="n">
        <x:f>U1229*O1229</x:f>
        <x:v>2091792.4177936737</x:v>
      </x:c>
    </x:row>
    <x:row r="1230" ht="19" customHeight="1">
      <x:c r="A1230" s="2"/>
      <x:c r="B1230" s="2"/>
      <x:c r="C1230" s="46" t="n">
        <x:v>5</x:v>
      </x:c>
      <x:c r="D1230" s="46" t="n">
        <x:v>16</x:v>
      </x:c>
      <x:c r="E1230" s="46" t="n">
        <x:v>2</x:v>
      </x:c>
      <x:c r="F1230" s="46" t="n">
        <x:v>4</x:v>
      </x:c>
      <x:c r="G1230" s="12" t="n">
        <x:v>0</x:v>
      </x:c>
      <x:c r="H1230" s="12" t="n">
        <x:v>0.1111111111111111</x:v>
      </x:c>
      <x:c r="I1230" s="29" t="n">
        <x:f>'Assumptions'!$D$11+'Assumptions'!$D$12*(0.5-(G1230+H1230)/2)</x:f>
        <x:v>0.3888888888888889</x:v>
      </x:c>
      <x:c r="J1230" s="27" t="n">
        <x:f>'Assumptions'!$D$8*EXP(-'Assumptions'!$D$9*('Fleet Engine'!E210-10))*'Assumptions'!E57*'Assumptions'!I36</x:f>
        <x:v>13509.222651276876</x:v>
      </x:c>
      <x:c r="K1230" s="27" t="n">
        <x:f>'Source Data'!F221+LN('Assumptions'!D57)+LN('Assumptions'!I35)</x:f>
        <x:v>8.418486215784876</x:v>
      </x:c>
      <x:c r="L1230" s="27" t="n">
        <x:f>J1230*(1-I1230*(1-'Carrier Engine'!E96))</x:f>
        <x:v>8465.77952813351</x:v>
      </x:c>
      <x:c r="M1230" s="29" t="n">
        <x:f>NORM.S.DIST((LN(L1230)-K1230)/'Assumptions'!$D$10,TRUE)</x:f>
        <x:v>0.6547692149183624</x:v>
      </x:c>
      <x:c r="N1230" s="30" t="n">
        <x:f>MAX(0,H1230-MAX(G1230,M1230))</x:f>
        <x:v>0</x:v>
      </x:c>
      <x:c r="O1230" s="28" t="n">
        <x:f>J1230*I1230</x:f>
        <x:v>5253.586586607674</x:v>
      </x:c>
      <x:c r="P1230" s="27" t="n">
        <x:f>(VLOOKUP(O1230,'Fee Data'!$C$6:$G$50,2,TRUE)+O1230*VLOOKUP(O1230,'Fee Data'!$C$6:$G$50,3,TRUE)+VLOOKUP(O1230,'Fee Data'!$I$6:$J$14,2,TRUE)+'Fee Data'!$J$20+'Fee Data'!$J$21)*'Assumptions'!I37</x:f>
        <x:v>995</x:v>
      </x:c>
      <x:c r="Q1230" s="27" t="n">
        <x:f>(VLOOKUP(O1230,'Fee Data'!$C$6:$G$50,4,TRUE)+O1230*VLOOKUP(O1230,'Fee Data'!$C$6:$G$50,5,TRUE)+VLOOKUP(O1230,'Fee Data'!$I$6:$J$14,2,TRUE)+'Fee Data'!$J$20+'Fee Data'!$J$21)*'Assumptions'!I37</x:f>
        <x:v>870</x:v>
      </x:c>
      <x:c r="R1230" s="27" t="n">
        <x:f>P1230*(1-'Assumptions'!$D$14)+Q1230*'Assumptions'!$D$14</x:f>
        <x:v>932.5</x:v>
      </x:c>
      <x:c r="S1230" s="27" t="n">
        <x:f>O1230*'Carrier Engine'!E96</x:f>
        <x:v>210.14346346430696</x:v>
      </x:c>
      <x:c r="T1230" s="28" t="n">
        <x:f>R1230+S1230</x:f>
        <x:v>1142.643463464307</x:v>
      </x:c>
      <x:c r="U1230" s="27" t="n">
        <x:f>N1230*'Fleet Engine'!K210</x:f>
        <x:v>0</x:v>
      </x:c>
      <x:c r="V1230" s="28" t="n">
        <x:f>U1230*T1230</x:f>
        <x:v>0</x:v>
      </x:c>
      <x:c r="W1230" s="28" t="n">
        <x:f>U1230*O1230</x:f>
        <x:v>0</x:v>
      </x:c>
    </x:row>
    <x:row r="1231" ht="19" customHeight="1">
      <x:c r="A1231" s="2"/>
      <x:c r="B1231" s="2"/>
      <x:c r="C1231" s="46" t="n">
        <x:v>5</x:v>
      </x:c>
      <x:c r="D1231" s="46" t="n">
        <x:v>16</x:v>
      </x:c>
      <x:c r="E1231" s="46" t="n">
        <x:v>2</x:v>
      </x:c>
      <x:c r="F1231" s="46" t="n">
        <x:v>4</x:v>
      </x:c>
      <x:c r="G1231" s="12" t="n">
        <x:v>0.1111111111111111</x:v>
      </x:c>
      <x:c r="H1231" s="12" t="n">
        <x:v>0.2222222222222222</x:v>
      </x:c>
      <x:c r="I1231" s="29" t="n">
        <x:f>'Assumptions'!$D$11+'Assumptions'!$D$12*(0.5-(G1231+H1231)/2)</x:f>
        <x:v>0.3666666666666667</x:v>
      </x:c>
      <x:c r="J1231" s="27" t="n">
        <x:f>'Assumptions'!$D$8*EXP(-'Assumptions'!$D$9*('Fleet Engine'!E210-10))*'Assumptions'!E57*'Assumptions'!I36</x:f>
        <x:v>13509.222651276876</x:v>
      </x:c>
      <x:c r="K1231" s="27" t="n">
        <x:f>'Source Data'!F221+LN('Assumptions'!D57)+LN('Assumptions'!I35)</x:f>
        <x:v>8.418486215784876</x:v>
      </x:c>
      <x:c r="L1231" s="27" t="n">
        <x:f>J1231*(1-I1231*(1-'Carrier Engine'!E96))</x:f>
        <x:v>8753.976278027414</x:v>
      </x:c>
      <x:c r="M1231" s="29" t="n">
        <x:f>NORM.S.DIST((LN(L1231)-K1231)/'Assumptions'!$D$10,TRUE)</x:f>
        <x:v>0.6625922348502294</x:v>
      </x:c>
      <x:c r="N1231" s="30" t="n">
        <x:f>MAX(0,H1231-MAX(G1231,M1231))</x:f>
        <x:v>0</x:v>
      </x:c>
      <x:c r="O1231" s="28" t="n">
        <x:f>J1231*I1231</x:f>
        <x:v>4953.381638801521</x:v>
      </x:c>
      <x:c r="P1231" s="27" t="n">
        <x:f>(VLOOKUP(O1231,'Fee Data'!$C$6:$G$50,2,TRUE)+O1231*VLOOKUP(O1231,'Fee Data'!$C$6:$G$50,3,TRUE)+VLOOKUP(O1231,'Fee Data'!$I$6:$J$14,2,TRUE)+'Fee Data'!$J$20+'Fee Data'!$J$21)*'Assumptions'!I37</x:f>
        <x:v>970</x:v>
      </x:c>
      <x:c r="Q1231" s="27" t="n">
        <x:f>(VLOOKUP(O1231,'Fee Data'!$C$6:$G$50,4,TRUE)+O1231*VLOOKUP(O1231,'Fee Data'!$C$6:$G$50,5,TRUE)+VLOOKUP(O1231,'Fee Data'!$I$6:$J$14,2,TRUE)+'Fee Data'!$J$20+'Fee Data'!$J$21)*'Assumptions'!I37</x:f>
        <x:v>845</x:v>
      </x:c>
      <x:c r="R1231" s="27" t="n">
        <x:f>P1231*(1-'Assumptions'!$D$14)+Q1231*'Assumptions'!$D$14</x:f>
        <x:v>907.5</x:v>
      </x:c>
      <x:c r="S1231" s="27" t="n">
        <x:f>O1231*'Carrier Engine'!E96</x:f>
        <x:v>198.13526555206084</x:v>
      </x:c>
      <x:c r="T1231" s="28" t="n">
        <x:f>R1231+S1231</x:f>
        <x:v>1105.635265552061</x:v>
      </x:c>
      <x:c r="U1231" s="27" t="n">
        <x:f>N1231*'Fleet Engine'!K210</x:f>
        <x:v>0</x:v>
      </x:c>
      <x:c r="V1231" s="28" t="n">
        <x:f>U1231*T1231</x:f>
        <x:v>0</x:v>
      </x:c>
      <x:c r="W1231" s="28" t="n">
        <x:f>U1231*O1231</x:f>
        <x:v>0</x:v>
      </x:c>
    </x:row>
    <x:row r="1232" ht="19" customHeight="1">
      <x:c r="A1232" s="2"/>
      <x:c r="B1232" s="2"/>
      <x:c r="C1232" s="46" t="n">
        <x:v>5</x:v>
      </x:c>
      <x:c r="D1232" s="46" t="n">
        <x:v>16</x:v>
      </x:c>
      <x:c r="E1232" s="46" t="n">
        <x:v>2</x:v>
      </x:c>
      <x:c r="F1232" s="46" t="n">
        <x:v>4</x:v>
      </x:c>
      <x:c r="G1232" s="12" t="n">
        <x:v>0.2222222222222222</x:v>
      </x:c>
      <x:c r="H1232" s="12" t="n">
        <x:v>0.3333333333333333</x:v>
      </x:c>
      <x:c r="I1232" s="29" t="n">
        <x:f>'Assumptions'!$D$11+'Assumptions'!$D$12*(0.5-(G1232+H1232)/2)</x:f>
        <x:v>0.34444444444444444</x:v>
      </x:c>
      <x:c r="J1232" s="27" t="n">
        <x:f>'Assumptions'!$D$8*EXP(-'Assumptions'!$D$9*('Fleet Engine'!E210-10))*'Assumptions'!E57*'Assumptions'!I36</x:f>
        <x:v>13509.222651276876</x:v>
      </x:c>
      <x:c r="K1232" s="27" t="n">
        <x:f>'Source Data'!F221+LN('Assumptions'!D57)+LN('Assumptions'!I35)</x:f>
        <x:v>8.418486215784876</x:v>
      </x:c>
      <x:c r="L1232" s="27" t="n">
        <x:f>J1232*(1-I1232*(1-'Carrier Engine'!E96))</x:f>
        <x:v>9042.173027921323</x:v>
      </x:c>
      <x:c r="M1232" s="29" t="n">
        <x:f>NORM.S.DIST((LN(L1232)-K1232)/'Assumptions'!$D$10,TRUE)</x:f>
        <x:v>0.6700955519426168</x:v>
      </x:c>
      <x:c r="N1232" s="30" t="n">
        <x:f>MAX(0,H1232-MAX(G1232,M1232))</x:f>
        <x:v>0</x:v>
      </x:c>
      <x:c r="O1232" s="28" t="n">
        <x:f>J1232*I1232</x:f>
        <x:v>4653.1766909953685</x:v>
      </x:c>
      <x:c r="P1232" s="27" t="n">
        <x:f>(VLOOKUP(O1232,'Fee Data'!$C$6:$G$50,2,TRUE)+O1232*VLOOKUP(O1232,'Fee Data'!$C$6:$G$50,3,TRUE)+VLOOKUP(O1232,'Fee Data'!$I$6:$J$14,2,TRUE)+'Fee Data'!$J$20+'Fee Data'!$J$21)*'Assumptions'!I37</x:f>
        <x:v>970</x:v>
      </x:c>
      <x:c r="Q1232" s="27" t="n">
        <x:f>(VLOOKUP(O1232,'Fee Data'!$C$6:$G$50,4,TRUE)+O1232*VLOOKUP(O1232,'Fee Data'!$C$6:$G$50,5,TRUE)+VLOOKUP(O1232,'Fee Data'!$I$6:$J$14,2,TRUE)+'Fee Data'!$J$20+'Fee Data'!$J$21)*'Assumptions'!I37</x:f>
        <x:v>845</x:v>
      </x:c>
      <x:c r="R1232" s="27" t="n">
        <x:f>P1232*(1-'Assumptions'!$D$14)+Q1232*'Assumptions'!$D$14</x:f>
        <x:v>907.5</x:v>
      </x:c>
      <x:c r="S1232" s="27" t="n">
        <x:f>O1232*'Carrier Engine'!E96</x:f>
        <x:v>186.12706763981475</x:v>
      </x:c>
      <x:c r="T1232" s="28" t="n">
        <x:f>R1232+S1232</x:f>
        <x:v>1093.6270676398149</x:v>
      </x:c>
      <x:c r="U1232" s="27" t="n">
        <x:f>N1232*'Fleet Engine'!K210</x:f>
        <x:v>0</x:v>
      </x:c>
      <x:c r="V1232" s="28" t="n">
        <x:f>U1232*T1232</x:f>
        <x:v>0</x:v>
      </x:c>
      <x:c r="W1232" s="28" t="n">
        <x:f>U1232*O1232</x:f>
        <x:v>0</x:v>
      </x:c>
    </x:row>
    <x:row r="1233" ht="19" customHeight="1">
      <x:c r="A1233" s="2"/>
      <x:c r="B1233" s="2"/>
      <x:c r="C1233" s="46" t="n">
        <x:v>5</x:v>
      </x:c>
      <x:c r="D1233" s="46" t="n">
        <x:v>16</x:v>
      </x:c>
      <x:c r="E1233" s="46" t="n">
        <x:v>2</x:v>
      </x:c>
      <x:c r="F1233" s="46" t="n">
        <x:v>4</x:v>
      </x:c>
      <x:c r="G1233" s="12" t="n">
        <x:v>0.3333333333333333</x:v>
      </x:c>
      <x:c r="H1233" s="12" t="n">
        <x:v>0.4444444444444444</x:v>
      </x:c>
      <x:c r="I1233" s="29" t="n">
        <x:f>'Assumptions'!$D$11+'Assumptions'!$D$12*(0.5-(G1233+H1233)/2)</x:f>
        <x:v>0.32222222222222224</x:v>
      </x:c>
      <x:c r="J1233" s="27" t="n">
        <x:f>'Assumptions'!$D$8*EXP(-'Assumptions'!$D$9*('Fleet Engine'!E210-10))*'Assumptions'!E57*'Assumptions'!I36</x:f>
        <x:v>13509.222651276876</x:v>
      </x:c>
      <x:c r="K1233" s="27" t="n">
        <x:f>'Source Data'!F221+LN('Assumptions'!D57)+LN('Assumptions'!I35)</x:f>
        <x:v>8.418486215784876</x:v>
      </x:c>
      <x:c r="L1233" s="27" t="n">
        <x:f>J1233*(1-I1233*(1-'Carrier Engine'!E96))</x:f>
        <x:v>9330.36977781523</x:v>
      </x:c>
      <x:c r="M1233" s="29" t="n">
        <x:f>NORM.S.DIST((LN(L1233)-K1233)/'Assumptions'!$D$10,TRUE)</x:f>
        <x:v>0.6772987939004849</x:v>
      </x:c>
      <x:c r="N1233" s="30" t="n">
        <x:f>MAX(0,H1233-MAX(G1233,M1233))</x:f>
        <x:v>0</x:v>
      </x:c>
      <x:c r="O1233" s="28" t="n">
        <x:f>J1233*I1233</x:f>
        <x:v>4352.971743189216</x:v>
      </x:c>
      <x:c r="P1233" s="27" t="n">
        <x:f>(VLOOKUP(O1233,'Fee Data'!$C$6:$G$50,2,TRUE)+O1233*VLOOKUP(O1233,'Fee Data'!$C$6:$G$50,3,TRUE)+VLOOKUP(O1233,'Fee Data'!$I$6:$J$14,2,TRUE)+'Fee Data'!$J$20+'Fee Data'!$J$21)*'Assumptions'!I37</x:f>
        <x:v>945</x:v>
      </x:c>
      <x:c r="Q1233" s="27" t="n">
        <x:f>(VLOOKUP(O1233,'Fee Data'!$C$6:$G$50,4,TRUE)+O1233*VLOOKUP(O1233,'Fee Data'!$C$6:$G$50,5,TRUE)+VLOOKUP(O1233,'Fee Data'!$I$6:$J$14,2,TRUE)+'Fee Data'!$J$20+'Fee Data'!$J$21)*'Assumptions'!I37</x:f>
        <x:v>820</x:v>
      </x:c>
      <x:c r="R1233" s="27" t="n">
        <x:f>P1233*(1-'Assumptions'!$D$14)+Q1233*'Assumptions'!$D$14</x:f>
        <x:v>882.5</x:v>
      </x:c>
      <x:c r="S1233" s="27" t="n">
        <x:f>O1233*'Carrier Engine'!E96</x:f>
        <x:v>174.11886972756864</x:v>
      </x:c>
      <x:c r="T1233" s="28" t="n">
        <x:f>R1233+S1233</x:f>
        <x:v>1056.6188697275686</x:v>
      </x:c>
      <x:c r="U1233" s="27" t="n">
        <x:f>N1233*'Fleet Engine'!K210</x:f>
        <x:v>0</x:v>
      </x:c>
      <x:c r="V1233" s="28" t="n">
        <x:f>U1233*T1233</x:f>
        <x:v>0</x:v>
      </x:c>
      <x:c r="W1233" s="28" t="n">
        <x:f>U1233*O1233</x:f>
        <x:v>0</x:v>
      </x:c>
    </x:row>
    <x:row r="1234" ht="19" customHeight="1">
      <x:c r="A1234" s="2"/>
      <x:c r="B1234" s="2"/>
      <x:c r="C1234" s="46" t="n">
        <x:v>5</x:v>
      </x:c>
      <x:c r="D1234" s="46" t="n">
        <x:v>16</x:v>
      </x:c>
      <x:c r="E1234" s="46" t="n">
        <x:v>2</x:v>
      </x:c>
      <x:c r="F1234" s="46" t="n">
        <x:v>4</x:v>
      </x:c>
      <x:c r="G1234" s="12" t="n">
        <x:v>0.4444444444444444</x:v>
      </x:c>
      <x:c r="H1234" s="12" t="n">
        <x:v>0.5555555555555556</x:v>
      </x:c>
      <x:c r="I1234" s="29" t="n">
        <x:f>'Assumptions'!$D$11+'Assumptions'!$D$12*(0.5-(G1234+H1234)/2)</x:f>
        <x:v>0.3</x:v>
      </x:c>
      <x:c r="J1234" s="27" t="n">
        <x:f>'Assumptions'!$D$8*EXP(-'Assumptions'!$D$9*('Fleet Engine'!E210-10))*'Assumptions'!E57*'Assumptions'!I36</x:f>
        <x:v>13509.222651276876</x:v>
      </x:c>
      <x:c r="K1234" s="27" t="n">
        <x:f>'Source Data'!F221+LN('Assumptions'!D57)+LN('Assumptions'!I35)</x:f>
        <x:v>8.418486215784876</x:v>
      </x:c>
      <x:c r="L1234" s="27" t="n">
        <x:f>J1234*(1-I1234*(1-'Carrier Engine'!E96))</x:f>
        <x:v>9618.566527709136</x:v>
      </x:c>
      <x:c r="M1234" s="29" t="n">
        <x:f>NORM.S.DIST((LN(L1234)-K1234)/'Assumptions'!$D$10,TRUE)</x:f>
        <x:v>0.6842199654494845</x:v>
      </x:c>
      <x:c r="N1234" s="30" t="n">
        <x:f>MAX(0,H1234-MAX(G1234,M1234))</x:f>
        <x:v>0</x:v>
      </x:c>
      <x:c r="O1234" s="28" t="n">
        <x:f>J1234*I1234</x:f>
        <x:v>4052.7667953830623</x:v>
      </x:c>
      <x:c r="P1234" s="27" t="n">
        <x:f>(VLOOKUP(O1234,'Fee Data'!$C$6:$G$50,2,TRUE)+O1234*VLOOKUP(O1234,'Fee Data'!$C$6:$G$50,3,TRUE)+VLOOKUP(O1234,'Fee Data'!$I$6:$J$14,2,TRUE)+'Fee Data'!$J$20+'Fee Data'!$J$21)*'Assumptions'!I37</x:f>
        <x:v>945</x:v>
      </x:c>
      <x:c r="Q1234" s="27" t="n">
        <x:f>(VLOOKUP(O1234,'Fee Data'!$C$6:$G$50,4,TRUE)+O1234*VLOOKUP(O1234,'Fee Data'!$C$6:$G$50,5,TRUE)+VLOOKUP(O1234,'Fee Data'!$I$6:$J$14,2,TRUE)+'Fee Data'!$J$20+'Fee Data'!$J$21)*'Assumptions'!I37</x:f>
        <x:v>820</x:v>
      </x:c>
      <x:c r="R1234" s="27" t="n">
        <x:f>P1234*(1-'Assumptions'!$D$14)+Q1234*'Assumptions'!$D$14</x:f>
        <x:v>882.5</x:v>
      </x:c>
      <x:c r="S1234" s="27" t="n">
        <x:f>O1234*'Carrier Engine'!E96</x:f>
        <x:v>162.1106718153225</x:v>
      </x:c>
      <x:c r="T1234" s="28" t="n">
        <x:f>R1234+S1234</x:f>
        <x:v>1044.6106718153226</x:v>
      </x:c>
      <x:c r="U1234" s="27" t="n">
        <x:f>N1234*'Fleet Engine'!K210</x:f>
        <x:v>0</x:v>
      </x:c>
      <x:c r="V1234" s="28" t="n">
        <x:f>U1234*T1234</x:f>
        <x:v>0</x:v>
      </x:c>
      <x:c r="W1234" s="28" t="n">
        <x:f>U1234*O1234</x:f>
        <x:v>0</x:v>
      </x:c>
    </x:row>
    <x:row r="1235" ht="19" customHeight="1">
      <x:c r="A1235" s="2"/>
      <x:c r="B1235" s="2"/>
      <x:c r="C1235" s="46" t="n">
        <x:v>5</x:v>
      </x:c>
      <x:c r="D1235" s="46" t="n">
        <x:v>16</x:v>
      </x:c>
      <x:c r="E1235" s="46" t="n">
        <x:v>2</x:v>
      </x:c>
      <x:c r="F1235" s="46" t="n">
        <x:v>4</x:v>
      </x:c>
      <x:c r="G1235" s="12" t="n">
        <x:v>0.5555555555555556</x:v>
      </x:c>
      <x:c r="H1235" s="12" t="n">
        <x:v>0.6666666666666666</x:v>
      </x:c>
      <x:c r="I1235" s="29" t="n">
        <x:f>'Assumptions'!$D$11+'Assumptions'!$D$12*(0.5-(G1235+H1235)/2)</x:f>
        <x:v>0.27777777777777773</x:v>
      </x:c>
      <x:c r="J1235" s="27" t="n">
        <x:f>'Assumptions'!$D$8*EXP(-'Assumptions'!$D$9*('Fleet Engine'!E210-10))*'Assumptions'!E57*'Assumptions'!I36</x:f>
        <x:v>13509.222651276876</x:v>
      </x:c>
      <x:c r="K1235" s="27" t="n">
        <x:f>'Source Data'!F221+LN('Assumptions'!D57)+LN('Assumptions'!I35)</x:f>
        <x:v>8.418486215784876</x:v>
      </x:c>
      <x:c r="L1235" s="27" t="n">
        <x:f>J1235*(1-I1235*(1-'Carrier Engine'!E96))</x:f>
        <x:v>9906.763277603042</x:v>
      </x:c>
      <x:c r="M1235" s="29" t="n">
        <x:f>NORM.S.DIST((LN(L1235)-K1235)/'Assumptions'!$D$10,TRUE)</x:f>
        <x:v>0.6908756170073835</x:v>
      </x:c>
      <x:c r="N1235" s="30" t="n">
        <x:f>MAX(0,H1235-MAX(G1235,M1235))</x:f>
        <x:v>0</x:v>
      </x:c>
      <x:c r="O1235" s="28" t="n">
        <x:f>J1235*I1235</x:f>
        <x:v>3752.5618475769093</x:v>
      </x:c>
      <x:c r="P1235" s="27" t="n">
        <x:f>(VLOOKUP(O1235,'Fee Data'!$C$6:$G$50,2,TRUE)+O1235*VLOOKUP(O1235,'Fee Data'!$C$6:$G$50,3,TRUE)+VLOOKUP(O1235,'Fee Data'!$I$6:$J$14,2,TRUE)+'Fee Data'!$J$20+'Fee Data'!$J$21)*'Assumptions'!I37</x:f>
        <x:v>915</x:v>
      </x:c>
      <x:c r="Q1235" s="27" t="n">
        <x:f>(VLOOKUP(O1235,'Fee Data'!$C$6:$G$50,4,TRUE)+O1235*VLOOKUP(O1235,'Fee Data'!$C$6:$G$50,5,TRUE)+VLOOKUP(O1235,'Fee Data'!$I$6:$J$14,2,TRUE)+'Fee Data'!$J$20+'Fee Data'!$J$21)*'Assumptions'!I37</x:f>
        <x:v>765</x:v>
      </x:c>
      <x:c r="R1235" s="27" t="n">
        <x:f>P1235*(1-'Assumptions'!$D$14)+Q1235*'Assumptions'!$D$14</x:f>
        <x:v>840</x:v>
      </x:c>
      <x:c r="S1235" s="27" t="n">
        <x:f>O1235*'Carrier Engine'!E96</x:f>
        <x:v>150.10247390307637</x:v>
      </x:c>
      <x:c r="T1235" s="28" t="n">
        <x:f>R1235+S1235</x:f>
        <x:v>990.1024739030763</x:v>
      </x:c>
      <x:c r="U1235" s="27" t="n">
        <x:f>N1235*'Fleet Engine'!K210</x:f>
        <x:v>0</x:v>
      </x:c>
      <x:c r="V1235" s="28" t="n">
        <x:f>U1235*T1235</x:f>
        <x:v>0</x:v>
      </x:c>
      <x:c r="W1235" s="28" t="n">
        <x:f>U1235*O1235</x:f>
        <x:v>0</x:v>
      </x:c>
    </x:row>
    <x:row r="1236" ht="19" customHeight="1">
      <x:c r="A1236" s="2"/>
      <x:c r="B1236" s="2"/>
      <x:c r="C1236" s="46" t="n">
        <x:v>5</x:v>
      </x:c>
      <x:c r="D1236" s="46" t="n">
        <x:v>16</x:v>
      </x:c>
      <x:c r="E1236" s="46" t="n">
        <x:v>2</x:v>
      </x:c>
      <x:c r="F1236" s="46" t="n">
        <x:v>4</x:v>
      </x:c>
      <x:c r="G1236" s="12" t="n">
        <x:v>0.6666666666666666</x:v>
      </x:c>
      <x:c r="H1236" s="12" t="n">
        <x:v>0.7777777777777778</x:v>
      </x:c>
      <x:c r="I1236" s="29" t="n">
        <x:f>'Assumptions'!$D$11+'Assumptions'!$D$12*(0.5-(G1236+H1236)/2)</x:f>
        <x:v>0.25555555555555554</x:v>
      </x:c>
      <x:c r="J1236" s="27" t="n">
        <x:f>'Assumptions'!$D$8*EXP(-'Assumptions'!$D$9*('Fleet Engine'!E210-10))*'Assumptions'!E57*'Assumptions'!I36</x:f>
        <x:v>13509.222651276876</x:v>
      </x:c>
      <x:c r="K1236" s="27" t="n">
        <x:f>'Source Data'!F221+LN('Assumptions'!D57)+LN('Assumptions'!I35)</x:f>
        <x:v>8.418486215784876</x:v>
      </x:c>
      <x:c r="L1236" s="27" t="n">
        <x:f>J1236*(1-I1236*(1-'Carrier Engine'!E96))</x:f>
        <x:v>10194.960027496949</x:v>
      </x:c>
      <x:c r="M1236" s="29" t="n">
        <x:f>NORM.S.DIST((LN(L1236)-K1236)/'Assumptions'!$D$10,TRUE)</x:f>
        <x:v>0.697280992324818</x:v>
      </x:c>
      <x:c r="N1236" s="30" t="n">
        <x:f>MAX(0,H1236-MAX(G1236,M1236))</x:f>
        <x:v>0.0804967854529598</x:v>
      </x:c>
      <x:c r="O1236" s="28" t="n">
        <x:f>J1236*I1236</x:f>
        <x:v>3452.356899770757</x:v>
      </x:c>
      <x:c r="P1236" s="27" t="n">
        <x:f>(VLOOKUP(O1236,'Fee Data'!$C$6:$G$50,2,TRUE)+O1236*VLOOKUP(O1236,'Fee Data'!$C$6:$G$50,3,TRUE)+VLOOKUP(O1236,'Fee Data'!$I$6:$J$14,2,TRUE)+'Fee Data'!$J$20+'Fee Data'!$J$21)*'Assumptions'!I37</x:f>
        <x:v>865</x:v>
      </x:c>
      <x:c r="Q1236" s="27" t="n">
        <x:f>(VLOOKUP(O1236,'Fee Data'!$C$6:$G$50,4,TRUE)+O1236*VLOOKUP(O1236,'Fee Data'!$C$6:$G$50,5,TRUE)+VLOOKUP(O1236,'Fee Data'!$I$6:$J$14,2,TRUE)+'Fee Data'!$J$20+'Fee Data'!$J$21)*'Assumptions'!I37</x:f>
        <x:v>715</x:v>
      </x:c>
      <x:c r="R1236" s="27" t="n">
        <x:f>P1236*(1-'Assumptions'!$D$14)+Q1236*'Assumptions'!$D$14</x:f>
        <x:v>790</x:v>
      </x:c>
      <x:c r="S1236" s="27" t="n">
        <x:f>O1236*'Carrier Engine'!E96</x:f>
        <x:v>138.09427599083028</x:v>
      </x:c>
      <x:c r="T1236" s="28" t="n">
        <x:f>R1236+S1236</x:f>
        <x:v>928.0942759908303</x:v>
      </x:c>
      <x:c r="U1236" s="27" t="n">
        <x:f>N1236*'Fleet Engine'!K210</x:f>
        <x:v>221.67886757298797</x:v>
      </x:c>
      <x:c r="V1236" s="28" t="n">
        <x:f>U1236*T1236</x:f>
        <x:v>205738.8881026194</x:v>
      </x:c>
      <x:c r="W1236" s="28" t="n">
        <x:f>U1236*O1236</x:f>
        <x:v>765314.567998973</x:v>
      </x:c>
    </x:row>
    <x:row r="1237" ht="19" customHeight="1">
      <x:c r="A1237" s="2"/>
      <x:c r="B1237" s="2"/>
      <x:c r="C1237" s="46" t="n">
        <x:v>5</x:v>
      </x:c>
      <x:c r="D1237" s="46" t="n">
        <x:v>16</x:v>
      </x:c>
      <x:c r="E1237" s="46" t="n">
        <x:v>2</x:v>
      </x:c>
      <x:c r="F1237" s="46" t="n">
        <x:v>4</x:v>
      </x:c>
      <x:c r="G1237" s="12" t="n">
        <x:v>0.7777777777777778</x:v>
      </x:c>
      <x:c r="H1237" s="12" t="n">
        <x:v>0.8888888888888888</x:v>
      </x:c>
      <x:c r="I1237" s="29" t="n">
        <x:f>'Assumptions'!$D$11+'Assumptions'!$D$12*(0.5-(G1237+H1237)/2)</x:f>
        <x:v>0.23333333333333334</x:v>
      </x:c>
      <x:c r="J1237" s="27" t="n">
        <x:f>'Assumptions'!$D$8*EXP(-'Assumptions'!$D$9*('Fleet Engine'!E210-10))*'Assumptions'!E57*'Assumptions'!I36</x:f>
        <x:v>13509.222651276876</x:v>
      </x:c>
      <x:c r="K1237" s="27" t="n">
        <x:f>'Source Data'!F221+LN('Assumptions'!D57)+LN('Assumptions'!I35)</x:f>
        <x:v>8.418486215784876</x:v>
      </x:c>
      <x:c r="L1237" s="27" t="n">
        <x:f>J1237*(1-I1237*(1-'Carrier Engine'!E96))</x:f>
        <x:v>10483.156777390855</x:v>
      </x:c>
      <x:c r="M1237" s="29" t="n">
        <x:f>NORM.S.DIST((LN(L1237)-K1237)/'Assumptions'!$D$10,TRUE)</x:f>
        <x:v>0.7034501581393012</x:v>
      </x:c>
      <x:c r="N1237" s="30" t="n">
        <x:f>MAX(0,H1237-MAX(G1237,M1237))</x:f>
        <x:v>0.11111111111111105</x:v>
      </x:c>
      <x:c r="O1237" s="28" t="n">
        <x:f>J1237*I1237</x:f>
        <x:v>3152.1519519646045</x:v>
      </x:c>
      <x:c r="P1237" s="27" t="n">
        <x:f>(VLOOKUP(O1237,'Fee Data'!$C$6:$G$50,2,TRUE)+O1237*VLOOKUP(O1237,'Fee Data'!$C$6:$G$50,3,TRUE)+VLOOKUP(O1237,'Fee Data'!$I$6:$J$14,2,TRUE)+'Fee Data'!$J$20+'Fee Data'!$J$21)*'Assumptions'!I37</x:f>
        <x:v>865</x:v>
      </x:c>
      <x:c r="Q1237" s="27" t="n">
        <x:f>(VLOOKUP(O1237,'Fee Data'!$C$6:$G$50,4,TRUE)+O1237*VLOOKUP(O1237,'Fee Data'!$C$6:$G$50,5,TRUE)+VLOOKUP(O1237,'Fee Data'!$I$6:$J$14,2,TRUE)+'Fee Data'!$J$20+'Fee Data'!$J$21)*'Assumptions'!I37</x:f>
        <x:v>715</x:v>
      </x:c>
      <x:c r="R1237" s="27" t="n">
        <x:f>P1237*(1-'Assumptions'!$D$14)+Q1237*'Assumptions'!$D$14</x:f>
        <x:v>790</x:v>
      </x:c>
      <x:c r="S1237" s="27" t="n">
        <x:f>O1237*'Carrier Engine'!E96</x:f>
        <x:v>126.08607807858418</x:v>
      </x:c>
      <x:c r="T1237" s="28" t="n">
        <x:f>R1237+S1237</x:f>
        <x:v>916.0860780785841</x:v>
      </x:c>
      <x:c r="U1237" s="27" t="n">
        <x:f>N1237*'Fleet Engine'!K210</x:f>
        <x:v>305.98719125599416</x:v>
      </x:c>
      <x:c r="V1237" s="28" t="n">
        <x:f>U1237*T1237</x:f>
        <x:v>280310.6059799853</x:v>
      </x:c>
      <x:c r="W1237" s="28" t="n">
        <x:f>U1237*O1237</x:f>
        <x:v>964518.1221937487</x:v>
      </x:c>
    </x:row>
    <x:row r="1238" ht="19" customHeight="1">
      <x:c r="A1238" s="2"/>
      <x:c r="B1238" s="2"/>
      <x:c r="C1238" s="46" t="n">
        <x:v>5</x:v>
      </x:c>
      <x:c r="D1238" s="46" t="n">
        <x:v>16</x:v>
      </x:c>
      <x:c r="E1238" s="46" t="n">
        <x:v>2</x:v>
      </x:c>
      <x:c r="F1238" s="46" t="n">
        <x:v>4</x:v>
      </x:c>
      <x:c r="G1238" s="12" t="n">
        <x:v>0.8888888888888888</x:v>
      </x:c>
      <x:c r="H1238" s="12" t="n">
        <x:v>1</x:v>
      </x:c>
      <x:c r="I1238" s="29" t="n">
        <x:f>'Assumptions'!$D$11+'Assumptions'!$D$12*(0.5-(G1238+H1238)/2)</x:f>
        <x:v>0.21111111111111108</x:v>
      </x:c>
      <x:c r="J1238" s="27" t="n">
        <x:f>'Assumptions'!$D$8*EXP(-'Assumptions'!$D$9*('Fleet Engine'!E210-10))*'Assumptions'!E57*'Assumptions'!I36</x:f>
        <x:v>13509.222651276876</x:v>
      </x:c>
      <x:c r="K1238" s="27" t="n">
        <x:f>'Source Data'!F221+LN('Assumptions'!D57)+LN('Assumptions'!I35)</x:f>
        <x:v>8.418486215784876</x:v>
      </x:c>
      <x:c r="L1238" s="27" t="n">
        <x:f>J1238*(1-I1238*(1-'Carrier Engine'!E96))</x:f>
        <x:v>10771.353527284762</x:v>
      </x:c>
      <x:c r="M1238" s="29" t="n">
        <x:f>NORM.S.DIST((LN(L1238)-K1238)/'Assumptions'!$D$10,TRUE)</x:f>
        <x:v>0.7093961183873236</x:v>
      </x:c>
      <x:c r="N1238" s="30" t="n">
        <x:f>MAX(0,H1238-MAX(G1238,M1238))</x:f>
        <x:v>0.11111111111111116</x:v>
      </x:c>
      <x:c r="O1238" s="28" t="n">
        <x:f>J1238*I1238</x:f>
        <x:v>2851.9470041584514</x:v>
      </x:c>
      <x:c r="P1238" s="27" t="n">
        <x:f>(VLOOKUP(O1238,'Fee Data'!$C$6:$G$50,2,TRUE)+O1238*VLOOKUP(O1238,'Fee Data'!$C$6:$G$50,3,TRUE)+VLOOKUP(O1238,'Fee Data'!$I$6:$J$14,2,TRUE)+'Fee Data'!$J$20+'Fee Data'!$J$21)*'Assumptions'!I37</x:f>
        <x:v>820</x:v>
      </x:c>
      <x:c r="Q1238" s="27" t="n">
        <x:f>(VLOOKUP(O1238,'Fee Data'!$C$6:$G$50,4,TRUE)+O1238*VLOOKUP(O1238,'Fee Data'!$C$6:$G$50,5,TRUE)+VLOOKUP(O1238,'Fee Data'!$I$6:$J$14,2,TRUE)+'Fee Data'!$J$20+'Fee Data'!$J$21)*'Assumptions'!I37</x:f>
        <x:v>670</x:v>
      </x:c>
      <x:c r="R1238" s="27" t="n">
        <x:f>P1238*(1-'Assumptions'!$D$14)+Q1238*'Assumptions'!$D$14</x:f>
        <x:v>745</x:v>
      </x:c>
      <x:c r="S1238" s="27" t="n">
        <x:f>O1238*'Carrier Engine'!E96</x:f>
        <x:v>114.07788016633806</x:v>
      </x:c>
      <x:c r="T1238" s="28" t="n">
        <x:f>R1238+S1238</x:f>
        <x:v>859.0778801663381</x:v>
      </x:c>
      <x:c r="U1238" s="27" t="n">
        <x:f>N1238*'Fleet Engine'!K210</x:f>
        <x:v>305.98719125599445</x:v>
      </x:c>
      <x:c r="V1238" s="28" t="n">
        <x:f>U1238*T1238</x:f>
        <x:v>262866.8276222516</x:v>
      </x:c>
      <x:c r="W1238" s="28" t="n">
        <x:f>U1238*O1238</x:f>
        <x:v>872659.2534133925</x:v>
      </x:c>
    </x:row>
    <x:row r="1239" ht="19" customHeight="1">
      <x:c r="A1239" s="2"/>
      <x:c r="B1239" s="2"/>
      <x:c r="C1239" s="46" t="n">
        <x:v>5</x:v>
      </x:c>
      <x:c r="D1239" s="46" t="n">
        <x:v>17</x:v>
      </x:c>
      <x:c r="E1239" s="46" t="n">
        <x:v>2</x:v>
      </x:c>
      <x:c r="F1239" s="46" t="n">
        <x:v>5</x:v>
      </x:c>
      <x:c r="G1239" s="12" t="n">
        <x:v>0</x:v>
      </x:c>
      <x:c r="H1239" s="12" t="n">
        <x:v>0.1111111111111111</x:v>
      </x:c>
      <x:c r="I1239" s="29" t="n">
        <x:f>'Assumptions'!$D$11+'Assumptions'!$D$12*(0.5-(G1239+H1239)/2)</x:f>
        <x:v>0.3888888888888889</x:v>
      </x:c>
      <x:c r="J1239" s="27" t="n">
        <x:f>'Assumptions'!$D$8*EXP(-'Assumptions'!$D$9*('Fleet Engine'!E211-10))*'Assumptions'!E57*'Assumptions'!I36</x:f>
        <x:v>7414.018585605744</x:v>
      </x:c>
      <x:c r="K1239" s="27" t="n">
        <x:f>'Source Data'!F222+LN('Assumptions'!D57)+LN('Assumptions'!I35)</x:f>
        <x:v>8.319557366061195</x:v>
      </x:c>
      <x:c r="L1239" s="27" t="n">
        <x:f>J1239*(1-I1239*(1-'Carrier Engine'!E96))</x:f>
        <x:v>4646.118313646267</x:v>
      </x:c>
      <x:c r="M1239" s="29" t="n">
        <x:f>NORM.S.DIST((LN(L1239)-K1239)/'Assumptions'!$D$10,TRUE)</x:f>
        <x:v>0.5315302263315647</x:v>
      </x:c>
      <x:c r="N1239" s="30" t="n">
        <x:f>MAX(0,H1239-MAX(G1239,M1239))</x:f>
        <x:v>0</x:v>
      </x:c>
      <x:c r="O1239" s="28" t="n">
        <x:f>J1239*I1239</x:f>
        <x:v>2883.2294499577893</x:v>
      </x:c>
      <x:c r="P1239" s="27" t="n">
        <x:f>(VLOOKUP(O1239,'Fee Data'!$C$6:$G$50,2,TRUE)+O1239*VLOOKUP(O1239,'Fee Data'!$C$6:$G$50,3,TRUE)+VLOOKUP(O1239,'Fee Data'!$I$6:$J$14,2,TRUE)+'Fee Data'!$J$20+'Fee Data'!$J$21)*'Assumptions'!I37</x:f>
        <x:v>820</x:v>
      </x:c>
      <x:c r="Q1239" s="27" t="n">
        <x:f>(VLOOKUP(O1239,'Fee Data'!$C$6:$G$50,4,TRUE)+O1239*VLOOKUP(O1239,'Fee Data'!$C$6:$G$50,5,TRUE)+VLOOKUP(O1239,'Fee Data'!$I$6:$J$14,2,TRUE)+'Fee Data'!$J$20+'Fee Data'!$J$21)*'Assumptions'!I37</x:f>
        <x:v>670</x:v>
      </x:c>
      <x:c r="R1239" s="27" t="n">
        <x:f>P1239*(1-'Assumptions'!$D$14)+Q1239*'Assumptions'!$D$14</x:f>
        <x:v>745</x:v>
      </x:c>
      <x:c r="S1239" s="27" t="n">
        <x:f>O1239*'Carrier Engine'!E96</x:f>
        <x:v>115.32917799831158</x:v>
      </x:c>
      <x:c r="T1239" s="28" t="n">
        <x:f>R1239+S1239</x:f>
        <x:v>860.3291779983116</x:v>
      </x:c>
      <x:c r="U1239" s="27" t="n">
        <x:f>N1239*'Fleet Engine'!K211</x:f>
        <x:v>0</x:v>
      </x:c>
      <x:c r="V1239" s="28" t="n">
        <x:f>U1239*T1239</x:f>
        <x:v>0</x:v>
      </x:c>
      <x:c r="W1239" s="28" t="n">
        <x:f>U1239*O1239</x:f>
        <x:v>0</x:v>
      </x:c>
    </x:row>
    <x:row r="1240" ht="19" customHeight="1">
      <x:c r="A1240" s="2"/>
      <x:c r="B1240" s="2"/>
      <x:c r="C1240" s="46" t="n">
        <x:v>5</x:v>
      </x:c>
      <x:c r="D1240" s="46" t="n">
        <x:v>17</x:v>
      </x:c>
      <x:c r="E1240" s="46" t="n">
        <x:v>2</x:v>
      </x:c>
      <x:c r="F1240" s="46" t="n">
        <x:v>5</x:v>
      </x:c>
      <x:c r="G1240" s="12" t="n">
        <x:v>0.1111111111111111</x:v>
      </x:c>
      <x:c r="H1240" s="12" t="n">
        <x:v>0.2222222222222222</x:v>
      </x:c>
      <x:c r="I1240" s="29" t="n">
        <x:f>'Assumptions'!$D$11+'Assumptions'!$D$12*(0.5-(G1240+H1240)/2)</x:f>
        <x:v>0.3666666666666667</x:v>
      </x:c>
      <x:c r="J1240" s="27" t="n">
        <x:f>'Assumptions'!$D$8*EXP(-'Assumptions'!$D$9*('Fleet Engine'!E211-10))*'Assumptions'!E57*'Assumptions'!I36</x:f>
        <x:v>7414.018585605744</x:v>
      </x:c>
      <x:c r="K1240" s="27" t="n">
        <x:f>'Source Data'!F222+LN('Assumptions'!D57)+LN('Assumptions'!I35)</x:f>
        <x:v>8.319557366061195</x:v>
      </x:c>
      <x:c r="L1240" s="27" t="n">
        <x:f>J1240*(1-I1240*(1-'Carrier Engine'!E96))</x:f>
        <x:v>4804.284043472521</x:v>
      </x:c>
      <x:c r="M1240" s="29" t="n">
        <x:f>NORM.S.DIST((LN(L1240)-K1240)/'Assumptions'!$D$10,TRUE)</x:f>
        <x:v>0.5400010911799831</x:v>
      </x:c>
      <x:c r="N1240" s="30" t="n">
        <x:f>MAX(0,H1240-MAX(G1240,M1240))</x:f>
        <x:v>0</x:v>
      </x:c>
      <x:c r="O1240" s="28" t="n">
        <x:f>J1240*I1240</x:f>
        <x:v>2718.473481388773</x:v>
      </x:c>
      <x:c r="P1240" s="27" t="n">
        <x:f>(VLOOKUP(O1240,'Fee Data'!$C$6:$G$50,2,TRUE)+O1240*VLOOKUP(O1240,'Fee Data'!$C$6:$G$50,3,TRUE)+VLOOKUP(O1240,'Fee Data'!$I$6:$J$14,2,TRUE)+'Fee Data'!$J$20+'Fee Data'!$J$21)*'Assumptions'!I37</x:f>
        <x:v>820</x:v>
      </x:c>
      <x:c r="Q1240" s="27" t="n">
        <x:f>(VLOOKUP(O1240,'Fee Data'!$C$6:$G$50,4,TRUE)+O1240*VLOOKUP(O1240,'Fee Data'!$C$6:$G$50,5,TRUE)+VLOOKUP(O1240,'Fee Data'!$I$6:$J$14,2,TRUE)+'Fee Data'!$J$20+'Fee Data'!$J$21)*'Assumptions'!I37</x:f>
        <x:v>670</x:v>
      </x:c>
      <x:c r="R1240" s="27" t="n">
        <x:f>P1240*(1-'Assumptions'!$D$14)+Q1240*'Assumptions'!$D$14</x:f>
        <x:v>745</x:v>
      </x:c>
      <x:c r="S1240" s="27" t="n">
        <x:f>O1240*'Carrier Engine'!E96</x:f>
        <x:v>108.73893925555092</x:v>
      </x:c>
      <x:c r="T1240" s="28" t="n">
        <x:f>R1240+S1240</x:f>
        <x:v>853.7389392555509</x:v>
      </x:c>
      <x:c r="U1240" s="27" t="n">
        <x:f>N1240*'Fleet Engine'!K211</x:f>
        <x:v>0</x:v>
      </x:c>
      <x:c r="V1240" s="28" t="n">
        <x:f>U1240*T1240</x:f>
        <x:v>0</x:v>
      </x:c>
      <x:c r="W1240" s="28" t="n">
        <x:f>U1240*O1240</x:f>
        <x:v>0</x:v>
      </x:c>
    </x:row>
    <x:row r="1241" ht="19" customHeight="1">
      <x:c r="A1241" s="2"/>
      <x:c r="B1241" s="2"/>
      <x:c r="C1241" s="46" t="n">
        <x:v>5</x:v>
      </x:c>
      <x:c r="D1241" s="46" t="n">
        <x:v>17</x:v>
      </x:c>
      <x:c r="E1241" s="46" t="n">
        <x:v>2</x:v>
      </x:c>
      <x:c r="F1241" s="46" t="n">
        <x:v>5</x:v>
      </x:c>
      <x:c r="G1241" s="12" t="n">
        <x:v>0.2222222222222222</x:v>
      </x:c>
      <x:c r="H1241" s="12" t="n">
        <x:v>0.3333333333333333</x:v>
      </x:c>
      <x:c r="I1241" s="29" t="n">
        <x:f>'Assumptions'!$D$11+'Assumptions'!$D$12*(0.5-(G1241+H1241)/2)</x:f>
        <x:v>0.34444444444444444</x:v>
      </x:c>
      <x:c r="J1241" s="27" t="n">
        <x:f>'Assumptions'!$D$8*EXP(-'Assumptions'!$D$9*('Fleet Engine'!E211-10))*'Assumptions'!E57*'Assumptions'!I36</x:f>
        <x:v>7414.018585605744</x:v>
      </x:c>
      <x:c r="K1241" s="27" t="n">
        <x:f>'Source Data'!F222+LN('Assumptions'!D57)+LN('Assumptions'!I35)</x:f>
        <x:v>8.319557366061195</x:v>
      </x:c>
      <x:c r="L1241" s="27" t="n">
        <x:f>J1241*(1-I1241*(1-'Carrier Engine'!E96))</x:f>
        <x:v>4962.449773298778</x:v>
      </x:c>
      <x:c r="M1241" s="29" t="n">
        <x:f>NORM.S.DIST((LN(L1241)-K1241)/'Assumptions'!$D$10,TRUE)</x:f>
        <x:v>0.5481803390545841</x:v>
      </x:c>
      <x:c r="N1241" s="30" t="n">
        <x:f>MAX(0,H1241-MAX(G1241,M1241))</x:f>
        <x:v>0</x:v>
      </x:c>
      <x:c r="O1241" s="28" t="n">
        <x:f>J1241*I1241</x:f>
        <x:v>2553.7175128197564</x:v>
      </x:c>
      <x:c r="P1241" s="27" t="n">
        <x:f>(VLOOKUP(O1241,'Fee Data'!$C$6:$G$50,2,TRUE)+O1241*VLOOKUP(O1241,'Fee Data'!$C$6:$G$50,3,TRUE)+VLOOKUP(O1241,'Fee Data'!$I$6:$J$14,2,TRUE)+'Fee Data'!$J$20+'Fee Data'!$J$21)*'Assumptions'!I37</x:f>
        <x:v>820</x:v>
      </x:c>
      <x:c r="Q1241" s="27" t="n">
        <x:f>(VLOOKUP(O1241,'Fee Data'!$C$6:$G$50,4,TRUE)+O1241*VLOOKUP(O1241,'Fee Data'!$C$6:$G$50,5,TRUE)+VLOOKUP(O1241,'Fee Data'!$I$6:$J$14,2,TRUE)+'Fee Data'!$J$20+'Fee Data'!$J$21)*'Assumptions'!I37</x:f>
        <x:v>670</x:v>
      </x:c>
      <x:c r="R1241" s="27" t="n">
        <x:f>P1241*(1-'Assumptions'!$D$14)+Q1241*'Assumptions'!$D$14</x:f>
        <x:v>745</x:v>
      </x:c>
      <x:c r="S1241" s="27" t="n">
        <x:f>O1241*'Carrier Engine'!E96</x:f>
        <x:v>102.14870051279026</x:v>
      </x:c>
      <x:c r="T1241" s="28" t="n">
        <x:f>R1241+S1241</x:f>
        <x:v>847.1487005127902</x:v>
      </x:c>
      <x:c r="U1241" s="27" t="n">
        <x:f>N1241*'Fleet Engine'!K211</x:f>
        <x:v>0</x:v>
      </x:c>
      <x:c r="V1241" s="28" t="n">
        <x:f>U1241*T1241</x:f>
        <x:v>0</x:v>
      </x:c>
      <x:c r="W1241" s="28" t="n">
        <x:f>U1241*O1241</x:f>
        <x:v>0</x:v>
      </x:c>
    </x:row>
    <x:row r="1242" ht="19" customHeight="1">
      <x:c r="A1242" s="2"/>
      <x:c r="B1242" s="2"/>
      <x:c r="C1242" s="46" t="n">
        <x:v>5</x:v>
      </x:c>
      <x:c r="D1242" s="46" t="n">
        <x:v>17</x:v>
      </x:c>
      <x:c r="E1242" s="46" t="n">
        <x:v>2</x:v>
      </x:c>
      <x:c r="F1242" s="46" t="n">
        <x:v>5</x:v>
      </x:c>
      <x:c r="G1242" s="12" t="n">
        <x:v>0.3333333333333333</x:v>
      </x:c>
      <x:c r="H1242" s="12" t="n">
        <x:v>0.4444444444444444</x:v>
      </x:c>
      <x:c r="I1242" s="29" t="n">
        <x:f>'Assumptions'!$D$11+'Assumptions'!$D$12*(0.5-(G1242+H1242)/2)</x:f>
        <x:v>0.32222222222222224</x:v>
      </x:c>
      <x:c r="J1242" s="27" t="n">
        <x:f>'Assumptions'!$D$8*EXP(-'Assumptions'!$D$9*('Fleet Engine'!E211-10))*'Assumptions'!E57*'Assumptions'!I36</x:f>
        <x:v>7414.018585605744</x:v>
      </x:c>
      <x:c r="K1242" s="27" t="n">
        <x:f>'Source Data'!F222+LN('Assumptions'!D57)+LN('Assumptions'!I35)</x:f>
        <x:v>8.319557366061195</x:v>
      </x:c>
      <x:c r="L1242" s="27" t="n">
        <x:f>J1242*(1-I1242*(1-'Carrier Engine'!E96))</x:f>
        <x:v>5120.615503125034</x:v>
      </x:c>
      <x:c r="M1242" s="29" t="n">
        <x:f>NORM.S.DIST((LN(L1242)-K1242)/'Assumptions'!$D$10,TRUE)</x:f>
        <x:v>0.5560835236213721</x:v>
      </x:c>
      <x:c r="N1242" s="30" t="n">
        <x:f>MAX(0,H1242-MAX(G1242,M1242))</x:f>
        <x:v>0</x:v>
      </x:c>
      <x:c r="O1242" s="28" t="n">
        <x:f>J1242*I1242</x:f>
        <x:v>2388.9615442507397</x:v>
      </x:c>
      <x:c r="P1242" s="27" t="n">
        <x:f>(VLOOKUP(O1242,'Fee Data'!$C$6:$G$50,2,TRUE)+O1242*VLOOKUP(O1242,'Fee Data'!$C$6:$G$50,3,TRUE)+VLOOKUP(O1242,'Fee Data'!$I$6:$J$14,2,TRUE)+'Fee Data'!$J$20+'Fee Data'!$J$21)*'Assumptions'!I37</x:f>
        <x:v>745</x:v>
      </x:c>
      <x:c r="Q1242" s="27" t="n">
        <x:f>(VLOOKUP(O1242,'Fee Data'!$C$6:$G$50,4,TRUE)+O1242*VLOOKUP(O1242,'Fee Data'!$C$6:$G$50,5,TRUE)+VLOOKUP(O1242,'Fee Data'!$I$6:$J$14,2,TRUE)+'Fee Data'!$J$20+'Fee Data'!$J$21)*'Assumptions'!I37</x:f>
        <x:v>600</x:v>
      </x:c>
      <x:c r="R1242" s="27" t="n">
        <x:f>P1242*(1-'Assumptions'!$D$14)+Q1242*'Assumptions'!$D$14</x:f>
        <x:v>672.5</x:v>
      </x:c>
      <x:c r="S1242" s="27" t="n">
        <x:f>O1242*'Carrier Engine'!E96</x:f>
        <x:v>95.5584617700296</x:v>
      </x:c>
      <x:c r="T1242" s="28" t="n">
        <x:f>R1242+S1242</x:f>
        <x:v>768.0584617700296</x:v>
      </x:c>
      <x:c r="U1242" s="27" t="n">
        <x:f>N1242*'Fleet Engine'!K211</x:f>
        <x:v>0</x:v>
      </x:c>
      <x:c r="V1242" s="28" t="n">
        <x:f>U1242*T1242</x:f>
        <x:v>0</x:v>
      </x:c>
      <x:c r="W1242" s="28" t="n">
        <x:f>U1242*O1242</x:f>
        <x:v>0</x:v>
      </x:c>
    </x:row>
    <x:row r="1243" ht="19" customHeight="1">
      <x:c r="A1243" s="2"/>
      <x:c r="B1243" s="2"/>
      <x:c r="C1243" s="46" t="n">
        <x:v>5</x:v>
      </x:c>
      <x:c r="D1243" s="46" t="n">
        <x:v>17</x:v>
      </x:c>
      <x:c r="E1243" s="46" t="n">
        <x:v>2</x:v>
      </x:c>
      <x:c r="F1243" s="46" t="n">
        <x:v>5</x:v>
      </x:c>
      <x:c r="G1243" s="12" t="n">
        <x:v>0.4444444444444444</x:v>
      </x:c>
      <x:c r="H1243" s="12" t="n">
        <x:v>0.5555555555555556</x:v>
      </x:c>
      <x:c r="I1243" s="29" t="n">
        <x:f>'Assumptions'!$D$11+'Assumptions'!$D$12*(0.5-(G1243+H1243)/2)</x:f>
        <x:v>0.3</x:v>
      </x:c>
      <x:c r="J1243" s="27" t="n">
        <x:f>'Assumptions'!$D$8*EXP(-'Assumptions'!$D$9*('Fleet Engine'!E211-10))*'Assumptions'!E57*'Assumptions'!I36</x:f>
        <x:v>7414.018585605744</x:v>
      </x:c>
      <x:c r="K1243" s="27" t="n">
        <x:f>'Source Data'!F222+LN('Assumptions'!D57)+LN('Assumptions'!I35)</x:f>
        <x:v>8.319557366061195</x:v>
      </x:c>
      <x:c r="L1243" s="27" t="n">
        <x:f>J1243*(1-I1243*(1-'Carrier Engine'!E96))</x:f>
        <x:v>5278.78123295129</x:v>
      </x:c>
      <x:c r="M1243" s="29" t="n">
        <x:f>NORM.S.DIST((LN(L1243)-K1243)/'Assumptions'!$D$10,TRUE)</x:f>
        <x:v>0.5637250623121128</x:v>
      </x:c>
      <x:c r="N1243" s="30" t="n">
        <x:f>MAX(0,H1243-MAX(G1243,M1243))</x:f>
        <x:v>0</x:v>
      </x:c>
      <x:c r="O1243" s="28" t="n">
        <x:f>J1243*I1243</x:f>
        <x:v>2224.205575681723</x:v>
      </x:c>
      <x:c r="P1243" s="27" t="n">
        <x:f>(VLOOKUP(O1243,'Fee Data'!$C$6:$G$50,2,TRUE)+O1243*VLOOKUP(O1243,'Fee Data'!$C$6:$G$50,3,TRUE)+VLOOKUP(O1243,'Fee Data'!$I$6:$J$14,2,TRUE)+'Fee Data'!$J$20+'Fee Data'!$J$21)*'Assumptions'!I37</x:f>
        <x:v>745</x:v>
      </x:c>
      <x:c r="Q1243" s="27" t="n">
        <x:f>(VLOOKUP(O1243,'Fee Data'!$C$6:$G$50,4,TRUE)+O1243*VLOOKUP(O1243,'Fee Data'!$C$6:$G$50,5,TRUE)+VLOOKUP(O1243,'Fee Data'!$I$6:$J$14,2,TRUE)+'Fee Data'!$J$20+'Fee Data'!$J$21)*'Assumptions'!I37</x:f>
        <x:v>600</x:v>
      </x:c>
      <x:c r="R1243" s="27" t="n">
        <x:f>P1243*(1-'Assumptions'!$D$14)+Q1243*'Assumptions'!$D$14</x:f>
        <x:v>672.5</x:v>
      </x:c>
      <x:c r="S1243" s="27" t="n">
        <x:f>O1243*'Carrier Engine'!E96</x:f>
        <x:v>88.96822302726892</x:v>
      </x:c>
      <x:c r="T1243" s="28" t="n">
        <x:f>R1243+S1243</x:f>
        <x:v>761.4682230272689</x:v>
      </x:c>
      <x:c r="U1243" s="27" t="n">
        <x:f>N1243*'Fleet Engine'!K211</x:f>
        <x:v>0</x:v>
      </x:c>
      <x:c r="V1243" s="28" t="n">
        <x:f>U1243*T1243</x:f>
        <x:v>0</x:v>
      </x:c>
      <x:c r="W1243" s="28" t="n">
        <x:f>U1243*O1243</x:f>
        <x:v>0</x:v>
      </x:c>
    </x:row>
    <x:row r="1244" ht="19" customHeight="1">
      <x:c r="A1244" s="2"/>
      <x:c r="B1244" s="2"/>
      <x:c r="C1244" s="46" t="n">
        <x:v>5</x:v>
      </x:c>
      <x:c r="D1244" s="46" t="n">
        <x:v>17</x:v>
      </x:c>
      <x:c r="E1244" s="46" t="n">
        <x:v>2</x:v>
      </x:c>
      <x:c r="F1244" s="46" t="n">
        <x:v>5</x:v>
      </x:c>
      <x:c r="G1244" s="12" t="n">
        <x:v>0.5555555555555556</x:v>
      </x:c>
      <x:c r="H1244" s="12" t="n">
        <x:v>0.6666666666666666</x:v>
      </x:c>
      <x:c r="I1244" s="29" t="n">
        <x:f>'Assumptions'!$D$11+'Assumptions'!$D$12*(0.5-(G1244+H1244)/2)</x:f>
        <x:v>0.27777777777777773</x:v>
      </x:c>
      <x:c r="J1244" s="27" t="n">
        <x:f>'Assumptions'!$D$8*EXP(-'Assumptions'!$D$9*('Fleet Engine'!E211-10))*'Assumptions'!E57*'Assumptions'!I36</x:f>
        <x:v>7414.018585605744</x:v>
      </x:c>
      <x:c r="K1244" s="27" t="n">
        <x:f>'Source Data'!F222+LN('Assumptions'!D57)+LN('Assumptions'!I35)</x:f>
        <x:v>8.319557366061195</x:v>
      </x:c>
      <x:c r="L1244" s="27" t="n">
        <x:f>J1244*(1-I1244*(1-'Carrier Engine'!E96))</x:f>
        <x:v>5436.946962777546</x:v>
      </x:c>
      <x:c r="M1244" s="29" t="n">
        <x:f>NORM.S.DIST((LN(L1244)-K1244)/'Assumptions'!$D$10,TRUE)</x:f>
        <x:v>0.5711183414959459</x:v>
      </x:c>
      <x:c r="N1244" s="30" t="n">
        <x:f>MAX(0,H1244-MAX(G1244,M1244))</x:f>
        <x:v>0.09554832517072076</x:v>
      </x:c>
      <x:c r="O1244" s="28" t="n">
        <x:f>J1244*I1244</x:f>
        <x:v>2059.4496071127064</x:v>
      </x:c>
      <x:c r="P1244" s="27" t="n">
        <x:f>(VLOOKUP(O1244,'Fee Data'!$C$6:$G$50,2,TRUE)+O1244*VLOOKUP(O1244,'Fee Data'!$C$6:$G$50,3,TRUE)+VLOOKUP(O1244,'Fee Data'!$I$6:$J$14,2,TRUE)+'Fee Data'!$J$20+'Fee Data'!$J$21)*'Assumptions'!I37</x:f>
        <x:v>745</x:v>
      </x:c>
      <x:c r="Q1244" s="27" t="n">
        <x:f>(VLOOKUP(O1244,'Fee Data'!$C$6:$G$50,4,TRUE)+O1244*VLOOKUP(O1244,'Fee Data'!$C$6:$G$50,5,TRUE)+VLOOKUP(O1244,'Fee Data'!$I$6:$J$14,2,TRUE)+'Fee Data'!$J$20+'Fee Data'!$J$21)*'Assumptions'!I37</x:f>
        <x:v>600</x:v>
      </x:c>
      <x:c r="R1244" s="27" t="n">
        <x:f>P1244*(1-'Assumptions'!$D$14)+Q1244*'Assumptions'!$D$14</x:f>
        <x:v>672.5</x:v>
      </x:c>
      <x:c r="S1244" s="27" t="n">
        <x:f>O1244*'Carrier Engine'!E96</x:f>
        <x:v>82.37798428450826</x:v>
      </x:c>
      <x:c r="T1244" s="28" t="n">
        <x:f>R1244+S1244</x:f>
        <x:v>754.8779842845082</x:v>
      </x:c>
      <x:c r="U1244" s="27" t="n">
        <x:f>N1244*'Fleet Engine'!K211</x:f>
        <x:v>300.4194490828286</x:v>
      </x:c>
      <x:c r="V1244" s="28" t="n">
        <x:f>U1244*T1244</x:f>
        <x:v>226780.02816350808</x:v>
      </x:c>
      <x:c r="W1244" s="28" t="n">
        <x:f>U1244*O1244</x:f>
        <x:v>618698.716382647</x:v>
      </x:c>
    </x:row>
    <x:row r="1245" ht="19" customHeight="1">
      <x:c r="A1245" s="2"/>
      <x:c r="B1245" s="2"/>
      <x:c r="C1245" s="46" t="n">
        <x:v>5</x:v>
      </x:c>
      <x:c r="D1245" s="46" t="n">
        <x:v>17</x:v>
      </x:c>
      <x:c r="E1245" s="46" t="n">
        <x:v>2</x:v>
      </x:c>
      <x:c r="F1245" s="46" t="n">
        <x:v>5</x:v>
      </x:c>
      <x:c r="G1245" s="12" t="n">
        <x:v>0.6666666666666666</x:v>
      </x:c>
      <x:c r="H1245" s="12" t="n">
        <x:v>0.7777777777777778</x:v>
      </x:c>
      <x:c r="I1245" s="29" t="n">
        <x:f>'Assumptions'!$D$11+'Assumptions'!$D$12*(0.5-(G1245+H1245)/2)</x:f>
        <x:v>0.25555555555555554</x:v>
      </x:c>
      <x:c r="J1245" s="27" t="n">
        <x:f>'Assumptions'!$D$8*EXP(-'Assumptions'!$D$9*('Fleet Engine'!E211-10))*'Assumptions'!E57*'Assumptions'!I36</x:f>
        <x:v>7414.018585605744</x:v>
      </x:c>
      <x:c r="K1245" s="27" t="n">
        <x:f>'Source Data'!F222+LN('Assumptions'!D57)+LN('Assumptions'!I35)</x:f>
        <x:v>8.319557366061195</x:v>
      </x:c>
      <x:c r="L1245" s="27" t="n">
        <x:f>J1245*(1-I1245*(1-'Carrier Engine'!E96))</x:f>
        <x:v>5595.112692603802</x:v>
      </x:c>
      <x:c r="M1245" s="29" t="n">
        <x:f>NORM.S.DIST((LN(L1245)-K1245)/'Assumptions'!$D$10,TRUE)</x:f>
        <x:v>0.5782758099492802</x:v>
      </x:c>
      <x:c r="N1245" s="30" t="n">
        <x:f>MAX(0,H1245-MAX(G1245,M1245))</x:f>
        <x:v>0.11111111111111116</x:v>
      </x:c>
      <x:c r="O1245" s="28" t="n">
        <x:f>J1245*I1245</x:f>
        <x:v>1894.69363854369</x:v>
      </x:c>
      <x:c r="P1245" s="27" t="n">
        <x:f>(VLOOKUP(O1245,'Fee Data'!$C$6:$G$50,2,TRUE)+O1245*VLOOKUP(O1245,'Fee Data'!$C$6:$G$50,3,TRUE)+VLOOKUP(O1245,'Fee Data'!$I$6:$J$14,2,TRUE)+'Fee Data'!$J$20+'Fee Data'!$J$21)*'Assumptions'!I37</x:f>
        <x:v>705</x:v>
      </x:c>
      <x:c r="Q1245" s="27" t="n">
        <x:f>(VLOOKUP(O1245,'Fee Data'!$C$6:$G$50,4,TRUE)+O1245*VLOOKUP(O1245,'Fee Data'!$C$6:$G$50,5,TRUE)+VLOOKUP(O1245,'Fee Data'!$I$6:$J$14,2,TRUE)+'Fee Data'!$J$20+'Fee Data'!$J$21)*'Assumptions'!I37</x:f>
        <x:v>565</x:v>
      </x:c>
      <x:c r="R1245" s="27" t="n">
        <x:f>P1245*(1-'Assumptions'!$D$14)+Q1245*'Assumptions'!$D$14</x:f>
        <x:v>635</x:v>
      </x:c>
      <x:c r="S1245" s="27" t="n">
        <x:f>O1245*'Carrier Engine'!E96</x:f>
        <x:v>75.7877455417476</x:v>
      </x:c>
      <x:c r="T1245" s="28" t="n">
        <x:f>R1245+S1245</x:f>
        <x:v>710.7877455417477</x:v>
      </x:c>
      <x:c r="U1245" s="27" t="n">
        <x:f>N1245*'Fleet Engine'!K211</x:f>
        <x:v>349.3513751009182</x:v>
      </x:c>
      <x:c r="V1245" s="28" t="n">
        <x:f>U1245*T1245</x:f>
        <x:v>248314.67630989107</x:v>
      </x:c>
      <x:c r="W1245" s="28" t="n">
        <x:f>U1245*O1245</x:f>
        <x:v>661913.8280202001</x:v>
      </x:c>
    </x:row>
    <x:row r="1246" ht="19" customHeight="1">
      <x:c r="A1246" s="2"/>
      <x:c r="B1246" s="2"/>
      <x:c r="C1246" s="46" t="n">
        <x:v>5</x:v>
      </x:c>
      <x:c r="D1246" s="46" t="n">
        <x:v>17</x:v>
      </x:c>
      <x:c r="E1246" s="46" t="n">
        <x:v>2</x:v>
      </x:c>
      <x:c r="F1246" s="46" t="n">
        <x:v>5</x:v>
      </x:c>
      <x:c r="G1246" s="12" t="n">
        <x:v>0.7777777777777778</x:v>
      </x:c>
      <x:c r="H1246" s="12" t="n">
        <x:v>0.8888888888888888</x:v>
      </x:c>
      <x:c r="I1246" s="29" t="n">
        <x:f>'Assumptions'!$D$11+'Assumptions'!$D$12*(0.5-(G1246+H1246)/2)</x:f>
        <x:v>0.23333333333333334</x:v>
      </x:c>
      <x:c r="J1246" s="27" t="n">
        <x:f>'Assumptions'!$D$8*EXP(-'Assumptions'!$D$9*('Fleet Engine'!E211-10))*'Assumptions'!E57*'Assumptions'!I36</x:f>
        <x:v>7414.018585605744</x:v>
      </x:c>
      <x:c r="K1246" s="27" t="n">
        <x:f>'Source Data'!F222+LN('Assumptions'!D57)+LN('Assumptions'!I35)</x:f>
        <x:v>8.319557366061195</x:v>
      </x:c>
      <x:c r="L1246" s="27" t="n">
        <x:f>J1246*(1-I1246*(1-'Carrier Engine'!E96))</x:f>
        <x:v>5753.278422430058</x:v>
      </x:c>
      <x:c r="M1246" s="29" t="n">
        <x:f>NORM.S.DIST((LN(L1246)-K1246)/'Assumptions'!$D$10,TRUE)</x:f>
        <x:v>0.5852090621304324</x:v>
      </x:c>
      <x:c r="N1246" s="30" t="n">
        <x:f>MAX(0,H1246-MAX(G1246,M1246))</x:f>
        <x:v>0.11111111111111105</x:v>
      </x:c>
      <x:c r="O1246" s="28" t="n">
        <x:f>J1246*I1246</x:f>
        <x:v>1729.9376699746738</x:v>
      </x:c>
      <x:c r="P1246" s="27" t="n">
        <x:f>(VLOOKUP(O1246,'Fee Data'!$C$6:$G$50,2,TRUE)+O1246*VLOOKUP(O1246,'Fee Data'!$C$6:$G$50,3,TRUE)+VLOOKUP(O1246,'Fee Data'!$I$6:$J$14,2,TRUE)+'Fee Data'!$J$20+'Fee Data'!$J$21)*'Assumptions'!I37</x:f>
        <x:v>680</x:v>
      </x:c>
      <x:c r="Q1246" s="27" t="n">
        <x:f>(VLOOKUP(O1246,'Fee Data'!$C$6:$G$50,4,TRUE)+O1246*VLOOKUP(O1246,'Fee Data'!$C$6:$G$50,5,TRUE)+VLOOKUP(O1246,'Fee Data'!$I$6:$J$14,2,TRUE)+'Fee Data'!$J$20+'Fee Data'!$J$21)*'Assumptions'!I37</x:f>
        <x:v>545</x:v>
      </x:c>
      <x:c r="R1246" s="27" t="n">
        <x:f>P1246*(1-'Assumptions'!$D$14)+Q1246*'Assumptions'!$D$14</x:f>
        <x:v>612.5</x:v>
      </x:c>
      <x:c r="S1246" s="27" t="n">
        <x:f>O1246*'Carrier Engine'!E96</x:f>
        <x:v>69.19750679898695</x:v>
      </x:c>
      <x:c r="T1246" s="28" t="n">
        <x:f>R1246+S1246</x:f>
        <x:v>681.697506798987</x:v>
      </x:c>
      <x:c r="U1246" s="27" t="n">
        <x:f>N1246*'Fleet Engine'!K211</x:f>
        <x:v>349.35137510091783</x:v>
      </x:c>
      <x:c r="V1246" s="28" t="n">
        <x:f>U1246*T1246</x:f>
        <x:v>238151.9614030934</x:v>
      </x:c>
      <x:c r="W1246" s="28" t="n">
        <x:f>U1246*O1246</x:f>
        <x:v>604356.1038445301</x:v>
      </x:c>
    </x:row>
    <x:row r="1247" ht="19" customHeight="1">
      <x:c r="A1247" s="2"/>
      <x:c r="B1247" s="2"/>
      <x:c r="C1247" s="46" t="n">
        <x:v>5</x:v>
      </x:c>
      <x:c r="D1247" s="46" t="n">
        <x:v>17</x:v>
      </x:c>
      <x:c r="E1247" s="46" t="n">
        <x:v>2</x:v>
      </x:c>
      <x:c r="F1247" s="46" t="n">
        <x:v>5</x:v>
      </x:c>
      <x:c r="G1247" s="12" t="n">
        <x:v>0.8888888888888888</x:v>
      </x:c>
      <x:c r="H1247" s="12" t="n">
        <x:v>1</x:v>
      </x:c>
      <x:c r="I1247" s="29" t="n">
        <x:f>'Assumptions'!$D$11+'Assumptions'!$D$12*(0.5-(G1247+H1247)/2)</x:f>
        <x:v>0.21111111111111108</x:v>
      </x:c>
      <x:c r="J1247" s="27" t="n">
        <x:f>'Assumptions'!$D$8*EXP(-'Assumptions'!$D$9*('Fleet Engine'!E211-10))*'Assumptions'!E57*'Assumptions'!I36</x:f>
        <x:v>7414.018585605744</x:v>
      </x:c>
      <x:c r="K1247" s="27" t="n">
        <x:f>'Source Data'!F222+LN('Assumptions'!D57)+LN('Assumptions'!I35)</x:f>
        <x:v>8.319557366061195</x:v>
      </x:c>
      <x:c r="L1247" s="27" t="n">
        <x:f>J1247*(1-I1247*(1-'Carrier Engine'!E96))</x:f>
        <x:v>5911.444152256314</x:v>
      </x:c>
      <x:c r="M1247" s="29" t="n">
        <x:f>NORM.S.DIST((LN(L1247)-K1247)/'Assumptions'!$D$10,TRUE)</x:f>
        <x:v>0.591928912547617</x:v>
      </x:c>
      <x:c r="N1247" s="30" t="n">
        <x:f>MAX(0,H1247-MAX(G1247,M1247))</x:f>
        <x:v>0.11111111111111116</x:v>
      </x:c>
      <x:c r="O1247" s="28" t="n">
        <x:f>J1247*I1247</x:f>
        <x:v>1565.181701405657</x:v>
      </x:c>
      <x:c r="P1247" s="27" t="n">
        <x:f>(VLOOKUP(O1247,'Fee Data'!$C$6:$G$50,2,TRUE)+O1247*VLOOKUP(O1247,'Fee Data'!$C$6:$G$50,3,TRUE)+VLOOKUP(O1247,'Fee Data'!$I$6:$J$14,2,TRUE)+'Fee Data'!$J$20+'Fee Data'!$J$21)*'Assumptions'!I37</x:f>
        <x:v>640</x:v>
      </x:c>
      <x:c r="Q1247" s="27" t="n">
        <x:f>(VLOOKUP(O1247,'Fee Data'!$C$6:$G$50,4,TRUE)+O1247*VLOOKUP(O1247,'Fee Data'!$C$6:$G$50,5,TRUE)+VLOOKUP(O1247,'Fee Data'!$I$6:$J$14,2,TRUE)+'Fee Data'!$J$20+'Fee Data'!$J$21)*'Assumptions'!I37</x:f>
        <x:v>510</x:v>
      </x:c>
      <x:c r="R1247" s="27" t="n">
        <x:f>P1247*(1-'Assumptions'!$D$14)+Q1247*'Assumptions'!$D$14</x:f>
        <x:v>575</x:v>
      </x:c>
      <x:c r="S1247" s="27" t="n">
        <x:f>O1247*'Carrier Engine'!E96</x:f>
        <x:v>62.607268056226275</x:v>
      </x:c>
      <x:c r="T1247" s="28" t="n">
        <x:f>R1247+S1247</x:f>
        <x:v>637.6072680562263</x:v>
      </x:c>
      <x:c r="U1247" s="27" t="n">
        <x:f>N1247*'Fleet Engine'!K211</x:f>
        <x:v>349.3513751009182</x:v>
      </x:c>
      <x:c r="V1247" s="28" t="n">
        <x:f>U1247*T1247</x:f>
        <x:v>222748.97586978239</x:v>
      </x:c>
      <x:c r="W1247" s="28" t="n">
        <x:f>U1247*O1247</x:f>
        <x:v>546798.3796688609</x:v>
      </x:c>
    </x:row>
    <x:row r="1248" ht="19" customHeight="1">
      <x:c r="A1248" s="2"/>
      <x:c r="B1248" s="2"/>
      <x:c r="C1248" s="46" t="n">
        <x:v>5</x:v>
      </x:c>
      <x:c r="D1248" s="46" t="n">
        <x:v>18</x:v>
      </x:c>
      <x:c r="E1248" s="46" t="n">
        <x:v>3</x:v>
      </x:c>
      <x:c r="F1248" s="46" t="n">
        <x:v>0</x:v>
      </x:c>
      <x:c r="G1248" s="12" t="n">
        <x:v>0</x:v>
      </x:c>
      <x:c r="H1248" s="12" t="n">
        <x:v>0.1111111111111111</x:v>
      </x:c>
      <x:c r="I1248" s="29" t="n">
        <x:f>'Assumptions'!$D$11+'Assumptions'!$D$12*(0.5-(G1248+H1248)/2)</x:f>
        <x:v>0.3888888888888889</x:v>
      </x:c>
      <x:c r="J1248" s="27" t="n">
        <x:f>'Assumptions'!$D$8*EXP(-'Assumptions'!$D$9*('Fleet Engine'!E212-10))*'Assumptions'!E58*'Assumptions'!I36</x:f>
        <x:v>27182.818284590452</x:v>
      </x:c>
      <x:c r="K1248" s="27" t="n">
        <x:f>'Source Data'!F217+LN('Assumptions'!D58)+LN('Assumptions'!I35)</x:f>
        <x:v>8.005343029779286</x:v>
      </x:c>
      <x:c r="L1248" s="27" t="n">
        <x:f>J1248*(1-I1248*(1-'Carrier Engine'!E96))</x:f>
        <x:v>17034.566125010017</x:v>
      </x:c>
      <x:c r="M1248" s="29" t="n">
        <x:f>NORM.S.DIST((LN(L1248)-K1248)/'Assumptions'!$D$10,TRUE)</x:f>
        <x:v>0.8657757644693824</x:v>
      </x:c>
      <x:c r="N1248" s="30" t="n">
        <x:f>MAX(0,H1248-MAX(G1248,M1248))</x:f>
        <x:v>0</x:v>
      </x:c>
      <x:c r="O1248" s="28" t="n">
        <x:f>J1248*I1248</x:f>
        <x:v>10571.095999562955</x:v>
      </x:c>
      <x:c r="P1248" s="27" t="n">
        <x:f>(VLOOKUP(O1248,'Fee Data'!$C$6:$G$50,2,TRUE)+O1248*VLOOKUP(O1248,'Fee Data'!$C$6:$G$50,3,TRUE)+VLOOKUP(O1248,'Fee Data'!$I$6:$J$14,2,TRUE)+'Fee Data'!$J$20+'Fee Data'!$J$21)*'Assumptions'!I37</x:f>
        <x:v>1250</x:v>
      </x:c>
      <x:c r="Q1248" s="27" t="n">
        <x:f>(VLOOKUP(O1248,'Fee Data'!$C$6:$G$50,4,TRUE)+O1248*VLOOKUP(O1248,'Fee Data'!$C$6:$G$50,5,TRUE)+VLOOKUP(O1248,'Fee Data'!$I$6:$J$14,2,TRUE)+'Fee Data'!$J$20+'Fee Data'!$J$21)*'Assumptions'!I37</x:f>
        <x:v>1100</x:v>
      </x:c>
      <x:c r="R1248" s="27" t="n">
        <x:f>P1248*(1-'Assumptions'!$D$14)+Q1248*'Assumptions'!$D$14</x:f>
        <x:v>1175</x:v>
      </x:c>
      <x:c r="S1248" s="27" t="n">
        <x:f>O1248*'Carrier Engine'!E96</x:f>
        <x:v>422.8438399825182</x:v>
      </x:c>
      <x:c r="T1248" s="28" t="n">
        <x:f>R1248+S1248</x:f>
        <x:v>1597.8438399825181</x:v>
      </x:c>
      <x:c r="U1248" s="27" t="n">
        <x:f>N1248*'Fleet Engine'!K212</x:f>
        <x:v>0</x:v>
      </x:c>
      <x:c r="V1248" s="28" t="n">
        <x:f>U1248*T1248</x:f>
        <x:v>0</x:v>
      </x:c>
      <x:c r="W1248" s="28" t="n">
        <x:f>U1248*O1248</x:f>
        <x:v>0</x:v>
      </x:c>
    </x:row>
    <x:row r="1249" ht="19" customHeight="1">
      <x:c r="A1249" s="2"/>
      <x:c r="B1249" s="2"/>
      <x:c r="C1249" s="46" t="n">
        <x:v>5</x:v>
      </x:c>
      <x:c r="D1249" s="46" t="n">
        <x:v>18</x:v>
      </x:c>
      <x:c r="E1249" s="46" t="n">
        <x:v>3</x:v>
      </x:c>
      <x:c r="F1249" s="46" t="n">
        <x:v>0</x:v>
      </x:c>
      <x:c r="G1249" s="12" t="n">
        <x:v>0.1111111111111111</x:v>
      </x:c>
      <x:c r="H1249" s="12" t="n">
        <x:v>0.2222222222222222</x:v>
      </x:c>
      <x:c r="I1249" s="29" t="n">
        <x:f>'Assumptions'!$D$11+'Assumptions'!$D$12*(0.5-(G1249+H1249)/2)</x:f>
        <x:v>0.3666666666666667</x:v>
      </x:c>
      <x:c r="J1249" s="27" t="n">
        <x:f>'Assumptions'!$D$8*EXP(-'Assumptions'!$D$9*('Fleet Engine'!E212-10))*'Assumptions'!E58*'Assumptions'!I36</x:f>
        <x:v>27182.818284590452</x:v>
      </x:c>
      <x:c r="K1249" s="27" t="n">
        <x:f>'Source Data'!F217+LN('Assumptions'!D58)+LN('Assumptions'!I35)</x:f>
        <x:v>8.005343029779286</x:v>
      </x:c>
      <x:c r="L1249" s="27" t="n">
        <x:f>J1249*(1-I1249*(1-'Carrier Engine'!E96))</x:f>
        <x:v>17614.46624841461</x:v>
      </x:c>
      <x:c r="M1249" s="29" t="n">
        <x:f>NORM.S.DIST((LN(L1249)-K1249)/'Assumptions'!$D$10,TRUE)</x:f>
        <x:v>0.8703320319855985</x:v>
      </x:c>
      <x:c r="N1249" s="30" t="n">
        <x:f>MAX(0,H1249-MAX(G1249,M1249))</x:f>
        <x:v>0</x:v>
      </x:c>
      <x:c r="O1249" s="28" t="n">
        <x:f>J1249*I1249</x:f>
        <x:v>9967.0333710165</x:v>
      </x:c>
      <x:c r="P1249" s="27" t="n">
        <x:f>(VLOOKUP(O1249,'Fee Data'!$C$6:$G$50,2,TRUE)+O1249*VLOOKUP(O1249,'Fee Data'!$C$6:$G$50,3,TRUE)+VLOOKUP(O1249,'Fee Data'!$I$6:$J$14,2,TRUE)+'Fee Data'!$J$20+'Fee Data'!$J$21)*'Assumptions'!I37</x:f>
        <x:v>1195</x:v>
      </x:c>
      <x:c r="Q1249" s="27" t="n">
        <x:f>(VLOOKUP(O1249,'Fee Data'!$C$6:$G$50,4,TRUE)+O1249*VLOOKUP(O1249,'Fee Data'!$C$6:$G$50,5,TRUE)+VLOOKUP(O1249,'Fee Data'!$I$6:$J$14,2,TRUE)+'Fee Data'!$J$20+'Fee Data'!$J$21)*'Assumptions'!I37</x:f>
        <x:v>1070</x:v>
      </x:c>
      <x:c r="R1249" s="27" t="n">
        <x:f>P1249*(1-'Assumptions'!$D$14)+Q1249*'Assumptions'!$D$14</x:f>
        <x:v>1132.5</x:v>
      </x:c>
      <x:c r="S1249" s="27" t="n">
        <x:f>O1249*'Carrier Engine'!E96</x:f>
        <x:v>398.68133484066</x:v>
      </x:c>
      <x:c r="T1249" s="28" t="n">
        <x:f>R1249+S1249</x:f>
        <x:v>1531.18133484066</x:v>
      </x:c>
      <x:c r="U1249" s="27" t="n">
        <x:f>N1249*'Fleet Engine'!K212</x:f>
        <x:v>0</x:v>
      </x:c>
      <x:c r="V1249" s="28" t="n">
        <x:f>U1249*T1249</x:f>
        <x:v>0</x:v>
      </x:c>
      <x:c r="W1249" s="28" t="n">
        <x:f>U1249*O1249</x:f>
        <x:v>0</x:v>
      </x:c>
    </x:row>
    <x:row r="1250" ht="19" customHeight="1">
      <x:c r="A1250" s="2"/>
      <x:c r="B1250" s="2"/>
      <x:c r="C1250" s="46" t="n">
        <x:v>5</x:v>
      </x:c>
      <x:c r="D1250" s="46" t="n">
        <x:v>18</x:v>
      </x:c>
      <x:c r="E1250" s="46" t="n">
        <x:v>3</x:v>
      </x:c>
      <x:c r="F1250" s="46" t="n">
        <x:v>0</x:v>
      </x:c>
      <x:c r="G1250" s="12" t="n">
        <x:v>0.2222222222222222</x:v>
      </x:c>
      <x:c r="H1250" s="12" t="n">
        <x:v>0.3333333333333333</x:v>
      </x:c>
      <x:c r="I1250" s="29" t="n">
        <x:f>'Assumptions'!$D$11+'Assumptions'!$D$12*(0.5-(G1250+H1250)/2)</x:f>
        <x:v>0.34444444444444444</x:v>
      </x:c>
      <x:c r="J1250" s="27" t="n">
        <x:f>'Assumptions'!$D$8*EXP(-'Assumptions'!$D$9*('Fleet Engine'!E212-10))*'Assumptions'!E58*'Assumptions'!I36</x:f>
        <x:v>27182.818284590452</x:v>
      </x:c>
      <x:c r="K1250" s="27" t="n">
        <x:f>'Source Data'!F217+LN('Assumptions'!D58)+LN('Assumptions'!I35)</x:f>
        <x:v>8.005343029779286</x:v>
      </x:c>
      <x:c r="L1250" s="27" t="n">
        <x:f>J1250*(1-I1250*(1-'Carrier Engine'!E96))</x:f>
        <x:v>18194.36637181921</x:v>
      </x:c>
      <x:c r="M1250" s="29" t="n">
        <x:f>NORM.S.DIST((LN(L1250)-K1250)/'Assumptions'!$D$10,TRUE)</x:f>
        <x:v>0.874637643415871</x:v>
      </x:c>
      <x:c r="N1250" s="30" t="n">
        <x:f>MAX(0,H1250-MAX(G1250,M1250))</x:f>
        <x:v>0</x:v>
      </x:c>
      <x:c r="O1250" s="28" t="n">
        <x:f>J1250*I1250</x:f>
        <x:v>9362.970742470045</x:v>
      </x:c>
      <x:c r="P1250" s="27" t="n">
        <x:f>(VLOOKUP(O1250,'Fee Data'!$C$6:$G$50,2,TRUE)+O1250*VLOOKUP(O1250,'Fee Data'!$C$6:$G$50,3,TRUE)+VLOOKUP(O1250,'Fee Data'!$I$6:$J$14,2,TRUE)+'Fee Data'!$J$20+'Fee Data'!$J$21)*'Assumptions'!I37</x:f>
        <x:v>1195</x:v>
      </x:c>
      <x:c r="Q1250" s="27" t="n">
        <x:f>(VLOOKUP(O1250,'Fee Data'!$C$6:$G$50,4,TRUE)+O1250*VLOOKUP(O1250,'Fee Data'!$C$6:$G$50,5,TRUE)+VLOOKUP(O1250,'Fee Data'!$I$6:$J$14,2,TRUE)+'Fee Data'!$J$20+'Fee Data'!$J$21)*'Assumptions'!I37</x:f>
        <x:v>1070</x:v>
      </x:c>
      <x:c r="R1250" s="27" t="n">
        <x:f>P1250*(1-'Assumptions'!$D$14)+Q1250*'Assumptions'!$D$14</x:f>
        <x:v>1132.5</x:v>
      </x:c>
      <x:c r="S1250" s="27" t="n">
        <x:f>O1250*'Carrier Engine'!E96</x:f>
        <x:v>374.51882969880177</x:v>
      </x:c>
      <x:c r="T1250" s="28" t="n">
        <x:f>R1250+S1250</x:f>
        <x:v>1507.0188296988017</x:v>
      </x:c>
      <x:c r="U1250" s="27" t="n">
        <x:f>N1250*'Fleet Engine'!K212</x:f>
        <x:v>0</x:v>
      </x:c>
      <x:c r="V1250" s="28" t="n">
        <x:f>U1250*T1250</x:f>
        <x:v>0</x:v>
      </x:c>
      <x:c r="W1250" s="28" t="n">
        <x:f>U1250*O1250</x:f>
        <x:v>0</x:v>
      </x:c>
    </x:row>
    <x:row r="1251" ht="19" customHeight="1">
      <x:c r="A1251" s="2"/>
      <x:c r="B1251" s="2"/>
      <x:c r="C1251" s="46" t="n">
        <x:v>5</x:v>
      </x:c>
      <x:c r="D1251" s="46" t="n">
        <x:v>18</x:v>
      </x:c>
      <x:c r="E1251" s="46" t="n">
        <x:v>3</x:v>
      </x:c>
      <x:c r="F1251" s="46" t="n">
        <x:v>0</x:v>
      </x:c>
      <x:c r="G1251" s="12" t="n">
        <x:v>0.3333333333333333</x:v>
      </x:c>
      <x:c r="H1251" s="12" t="n">
        <x:v>0.4444444444444444</x:v>
      </x:c>
      <x:c r="I1251" s="29" t="n">
        <x:f>'Assumptions'!$D$11+'Assumptions'!$D$12*(0.5-(G1251+H1251)/2)</x:f>
        <x:v>0.32222222222222224</x:v>
      </x:c>
      <x:c r="J1251" s="27" t="n">
        <x:f>'Assumptions'!$D$8*EXP(-'Assumptions'!$D$9*('Fleet Engine'!E212-10))*'Assumptions'!E58*'Assumptions'!I36</x:f>
        <x:v>27182.818284590452</x:v>
      </x:c>
      <x:c r="K1251" s="27" t="n">
        <x:f>'Source Data'!F217+LN('Assumptions'!D58)+LN('Assumptions'!I35)</x:f>
        <x:v>8.005343029779286</x:v>
      </x:c>
      <x:c r="L1251" s="27" t="n">
        <x:f>J1251*(1-I1251*(1-'Carrier Engine'!E96))</x:f>
        <x:v>18774.266495223805</x:v>
      </x:c>
      <x:c r="M1251" s="29" t="n">
        <x:f>NORM.S.DIST((LN(L1251)-K1251)/'Assumptions'!$D$10,TRUE)</x:f>
        <x:v>0.8787120289402852</x:v>
      </x:c>
      <x:c r="N1251" s="30" t="n">
        <x:f>MAX(0,H1251-MAX(G1251,M1251))</x:f>
        <x:v>0</x:v>
      </x:c>
      <x:c r="O1251" s="28" t="n">
        <x:f>J1251*I1251</x:f>
        <x:v>8758.908113923591</x:v>
      </x:c>
      <x:c r="P1251" s="27" t="n">
        <x:f>(VLOOKUP(O1251,'Fee Data'!$C$6:$G$50,2,TRUE)+O1251*VLOOKUP(O1251,'Fee Data'!$C$6:$G$50,3,TRUE)+VLOOKUP(O1251,'Fee Data'!$I$6:$J$14,2,TRUE)+'Fee Data'!$J$20+'Fee Data'!$J$21)*'Assumptions'!I37</x:f>
        <x:v>1195</x:v>
      </x:c>
      <x:c r="Q1251" s="27" t="n">
        <x:f>(VLOOKUP(O1251,'Fee Data'!$C$6:$G$50,4,TRUE)+O1251*VLOOKUP(O1251,'Fee Data'!$C$6:$G$50,5,TRUE)+VLOOKUP(O1251,'Fee Data'!$I$6:$J$14,2,TRUE)+'Fee Data'!$J$20+'Fee Data'!$J$21)*'Assumptions'!I37</x:f>
        <x:v>1070</x:v>
      </x:c>
      <x:c r="R1251" s="27" t="n">
        <x:f>P1251*(1-'Assumptions'!$D$14)+Q1251*'Assumptions'!$D$14</x:f>
        <x:v>1132.5</x:v>
      </x:c>
      <x:c r="S1251" s="27" t="n">
        <x:f>O1251*'Carrier Engine'!E96</x:f>
        <x:v>350.35632455694366</x:v>
      </x:c>
      <x:c r="T1251" s="28" t="n">
        <x:f>R1251+S1251</x:f>
        <x:v>1482.8563245569437</x:v>
      </x:c>
      <x:c r="U1251" s="27" t="n">
        <x:f>N1251*'Fleet Engine'!K212</x:f>
        <x:v>0</x:v>
      </x:c>
      <x:c r="V1251" s="28" t="n">
        <x:f>U1251*T1251</x:f>
        <x:v>0</x:v>
      </x:c>
      <x:c r="W1251" s="28" t="n">
        <x:f>U1251*O1251</x:f>
        <x:v>0</x:v>
      </x:c>
    </x:row>
    <x:row r="1252" ht="19" customHeight="1">
      <x:c r="A1252" s="2"/>
      <x:c r="B1252" s="2"/>
      <x:c r="C1252" s="46" t="n">
        <x:v>5</x:v>
      </x:c>
      <x:c r="D1252" s="46" t="n">
        <x:v>18</x:v>
      </x:c>
      <x:c r="E1252" s="46" t="n">
        <x:v>3</x:v>
      </x:c>
      <x:c r="F1252" s="46" t="n">
        <x:v>0</x:v>
      </x:c>
      <x:c r="G1252" s="12" t="n">
        <x:v>0.4444444444444444</x:v>
      </x:c>
      <x:c r="H1252" s="12" t="n">
        <x:v>0.5555555555555556</x:v>
      </x:c>
      <x:c r="I1252" s="29" t="n">
        <x:f>'Assumptions'!$D$11+'Assumptions'!$D$12*(0.5-(G1252+H1252)/2)</x:f>
        <x:v>0.3</x:v>
      </x:c>
      <x:c r="J1252" s="27" t="n">
        <x:f>'Assumptions'!$D$8*EXP(-'Assumptions'!$D$9*('Fleet Engine'!E212-10))*'Assumptions'!E58*'Assumptions'!I36</x:f>
        <x:v>27182.818284590452</x:v>
      </x:c>
      <x:c r="K1252" s="27" t="n">
        <x:f>'Source Data'!F217+LN('Assumptions'!D58)+LN('Assumptions'!I35)</x:f>
        <x:v>8.005343029779286</x:v>
      </x:c>
      <x:c r="L1252" s="27" t="n">
        <x:f>J1252*(1-I1252*(1-'Carrier Engine'!E96))</x:f>
        <x:v>19354.166618628402</x:v>
      </x:c>
      <x:c r="M1252" s="29" t="n">
        <x:f>NORM.S.DIST((LN(L1252)-K1252)/'Assumptions'!$D$10,TRUE)</x:f>
        <x:v>0.882572669925294</x:v>
      </x:c>
      <x:c r="N1252" s="30" t="n">
        <x:f>MAX(0,H1252-MAX(G1252,M1252))</x:f>
        <x:v>0</x:v>
      </x:c>
      <x:c r="O1252" s="28" t="n">
        <x:f>J1252*I1252</x:f>
        <x:v>8154.845485377135</x:v>
      </x:c>
      <x:c r="P1252" s="27" t="n">
        <x:f>(VLOOKUP(O1252,'Fee Data'!$C$6:$G$50,2,TRUE)+O1252*VLOOKUP(O1252,'Fee Data'!$C$6:$G$50,3,TRUE)+VLOOKUP(O1252,'Fee Data'!$I$6:$J$14,2,TRUE)+'Fee Data'!$J$20+'Fee Data'!$J$21)*'Assumptions'!I37</x:f>
        <x:v>1175</x:v>
      </x:c>
      <x:c r="Q1252" s="27" t="n">
        <x:f>(VLOOKUP(O1252,'Fee Data'!$C$6:$G$50,4,TRUE)+O1252*VLOOKUP(O1252,'Fee Data'!$C$6:$G$50,5,TRUE)+VLOOKUP(O1252,'Fee Data'!$I$6:$J$14,2,TRUE)+'Fee Data'!$J$20+'Fee Data'!$J$21)*'Assumptions'!I37</x:f>
        <x:v>1050</x:v>
      </x:c>
      <x:c r="R1252" s="27" t="n">
        <x:f>P1252*(1-'Assumptions'!$D$14)+Q1252*'Assumptions'!$D$14</x:f>
        <x:v>1112.5</x:v>
      </x:c>
      <x:c r="S1252" s="27" t="n">
        <x:f>O1252*'Carrier Engine'!E96</x:f>
        <x:v>326.19381941508544</x:v>
      </x:c>
      <x:c r="T1252" s="28" t="n">
        <x:f>R1252+S1252</x:f>
        <x:v>1438.6938194150855</x:v>
      </x:c>
      <x:c r="U1252" s="27" t="n">
        <x:f>N1252*'Fleet Engine'!K212</x:f>
        <x:v>0</x:v>
      </x:c>
      <x:c r="V1252" s="28" t="n">
        <x:f>U1252*T1252</x:f>
        <x:v>0</x:v>
      </x:c>
      <x:c r="W1252" s="28" t="n">
        <x:f>U1252*O1252</x:f>
        <x:v>0</x:v>
      </x:c>
    </x:row>
    <x:row r="1253" ht="19" customHeight="1">
      <x:c r="A1253" s="2"/>
      <x:c r="B1253" s="2"/>
      <x:c r="C1253" s="46" t="n">
        <x:v>5</x:v>
      </x:c>
      <x:c r="D1253" s="46" t="n">
        <x:v>18</x:v>
      </x:c>
      <x:c r="E1253" s="46" t="n">
        <x:v>3</x:v>
      </x:c>
      <x:c r="F1253" s="46" t="n">
        <x:v>0</x:v>
      </x:c>
      <x:c r="G1253" s="12" t="n">
        <x:v>0.5555555555555556</x:v>
      </x:c>
      <x:c r="H1253" s="12" t="n">
        <x:v>0.6666666666666666</x:v>
      </x:c>
      <x:c r="I1253" s="29" t="n">
        <x:f>'Assumptions'!$D$11+'Assumptions'!$D$12*(0.5-(G1253+H1253)/2)</x:f>
        <x:v>0.27777777777777773</x:v>
      </x:c>
      <x:c r="J1253" s="27" t="n">
        <x:f>'Assumptions'!$D$8*EXP(-'Assumptions'!$D$9*('Fleet Engine'!E212-10))*'Assumptions'!E58*'Assumptions'!I36</x:f>
        <x:v>27182.818284590452</x:v>
      </x:c>
      <x:c r="K1253" s="27" t="n">
        <x:f>'Source Data'!F217+LN('Assumptions'!D58)+LN('Assumptions'!I35)</x:f>
        <x:v>8.005343029779286</x:v>
      </x:c>
      <x:c r="L1253" s="27" t="n">
        <x:f>J1253*(1-I1253*(1-'Carrier Engine'!E96))</x:f>
        <x:v>19934.066742033</x:v>
      </x:c>
      <x:c r="M1253" s="29" t="n">
        <x:f>NORM.S.DIST((LN(L1253)-K1253)/'Assumptions'!$D$10,TRUE)</x:f>
        <x:v>0.8862353381924654</x:v>
      </x:c>
      <x:c r="N1253" s="30" t="n">
        <x:f>MAX(0,H1253-MAX(G1253,M1253))</x:f>
        <x:v>0</x:v>
      </x:c>
      <x:c r="O1253" s="28" t="n">
        <x:f>J1253*I1253</x:f>
        <x:v>7550.7828568306795</x:v>
      </x:c>
      <x:c r="P1253" s="27" t="n">
        <x:f>(VLOOKUP(O1253,'Fee Data'!$C$6:$G$50,2,TRUE)+O1253*VLOOKUP(O1253,'Fee Data'!$C$6:$G$50,3,TRUE)+VLOOKUP(O1253,'Fee Data'!$I$6:$J$14,2,TRUE)+'Fee Data'!$J$20+'Fee Data'!$J$21)*'Assumptions'!I37</x:f>
        <x:v>1135</x:v>
      </x:c>
      <x:c r="Q1253" s="27" t="n">
        <x:f>(VLOOKUP(O1253,'Fee Data'!$C$6:$G$50,4,TRUE)+O1253*VLOOKUP(O1253,'Fee Data'!$C$6:$G$50,5,TRUE)+VLOOKUP(O1253,'Fee Data'!$I$6:$J$14,2,TRUE)+'Fee Data'!$J$20+'Fee Data'!$J$21)*'Assumptions'!I37</x:f>
        <x:v>1010</x:v>
      </x:c>
      <x:c r="R1253" s="27" t="n">
        <x:f>P1253*(1-'Assumptions'!$D$14)+Q1253*'Assumptions'!$D$14</x:f>
        <x:v>1072.5</x:v>
      </x:c>
      <x:c r="S1253" s="27" t="n">
        <x:f>O1253*'Carrier Engine'!E96</x:f>
        <x:v>302.03131427322717</x:v>
      </x:c>
      <x:c r="T1253" s="28" t="n">
        <x:f>R1253+S1253</x:f>
        <x:v>1374.531314273227</x:v>
      </x:c>
      <x:c r="U1253" s="27" t="n">
        <x:f>N1253*'Fleet Engine'!K212</x:f>
        <x:v>0</x:v>
      </x:c>
      <x:c r="V1253" s="28" t="n">
        <x:f>U1253*T1253</x:f>
        <x:v>0</x:v>
      </x:c>
      <x:c r="W1253" s="28" t="n">
        <x:f>U1253*O1253</x:f>
        <x:v>0</x:v>
      </x:c>
    </x:row>
    <x:row r="1254" ht="19" customHeight="1">
      <x:c r="A1254" s="2"/>
      <x:c r="B1254" s="2"/>
      <x:c r="C1254" s="46" t="n">
        <x:v>5</x:v>
      </x:c>
      <x:c r="D1254" s="46" t="n">
        <x:v>18</x:v>
      </x:c>
      <x:c r="E1254" s="46" t="n">
        <x:v>3</x:v>
      </x:c>
      <x:c r="F1254" s="46" t="n">
        <x:v>0</x:v>
      </x:c>
      <x:c r="G1254" s="12" t="n">
        <x:v>0.6666666666666666</x:v>
      </x:c>
      <x:c r="H1254" s="12" t="n">
        <x:v>0.7777777777777778</x:v>
      </x:c>
      <x:c r="I1254" s="29" t="n">
        <x:f>'Assumptions'!$D$11+'Assumptions'!$D$12*(0.5-(G1254+H1254)/2)</x:f>
        <x:v>0.25555555555555554</x:v>
      </x:c>
      <x:c r="J1254" s="27" t="n">
        <x:f>'Assumptions'!$D$8*EXP(-'Assumptions'!$D$9*('Fleet Engine'!E212-10))*'Assumptions'!E58*'Assumptions'!I36</x:f>
        <x:v>27182.818284590452</x:v>
      </x:c>
      <x:c r="K1254" s="27" t="n">
        <x:f>'Source Data'!F217+LN('Assumptions'!D58)+LN('Assumptions'!I35)</x:f>
        <x:v>8.005343029779286</x:v>
      </x:c>
      <x:c r="L1254" s="27" t="n">
        <x:f>J1254*(1-I1254*(1-'Carrier Engine'!E96))</x:f>
        <x:v>20513.966865437596</x:v>
      </x:c>
      <x:c r="M1254" s="29" t="n">
        <x:f>NORM.S.DIST((LN(L1254)-K1254)/'Assumptions'!$D$10,TRUE)</x:f>
        <x:v>0.8897143006733278</x:v>
      </x:c>
      <x:c r="N1254" s="30" t="n">
        <x:f>MAX(0,H1254-MAX(G1254,M1254))</x:f>
        <x:v>0</x:v>
      </x:c>
      <x:c r="O1254" s="28" t="n">
        <x:f>J1254*I1254</x:f>
        <x:v>6946.720228284226</x:v>
      </x:c>
      <x:c r="P1254" s="27" t="n">
        <x:f>(VLOOKUP(O1254,'Fee Data'!$C$6:$G$50,2,TRUE)+O1254*VLOOKUP(O1254,'Fee Data'!$C$6:$G$50,3,TRUE)+VLOOKUP(O1254,'Fee Data'!$I$6:$J$14,2,TRUE)+'Fee Data'!$J$20+'Fee Data'!$J$21)*'Assumptions'!I37</x:f>
        <x:v>1080</x:v>
      </x:c>
      <x:c r="Q1254" s="27" t="n">
        <x:f>(VLOOKUP(O1254,'Fee Data'!$C$6:$G$50,4,TRUE)+O1254*VLOOKUP(O1254,'Fee Data'!$C$6:$G$50,5,TRUE)+VLOOKUP(O1254,'Fee Data'!$I$6:$J$14,2,TRUE)+'Fee Data'!$J$20+'Fee Data'!$J$21)*'Assumptions'!I37</x:f>
        <x:v>955</x:v>
      </x:c>
      <x:c r="R1254" s="27" t="n">
        <x:f>P1254*(1-'Assumptions'!$D$14)+Q1254*'Assumptions'!$D$14</x:f>
        <x:v>1017.5</x:v>
      </x:c>
      <x:c r="S1254" s="27" t="n">
        <x:f>O1254*'Carrier Engine'!E96</x:f>
        <x:v>277.86880913136906</x:v>
      </x:c>
      <x:c r="T1254" s="28" t="n">
        <x:f>R1254+S1254</x:f>
        <x:v>1295.368809131369</x:v>
      </x:c>
      <x:c r="U1254" s="27" t="n">
        <x:f>N1254*'Fleet Engine'!K212</x:f>
        <x:v>0</x:v>
      </x:c>
      <x:c r="V1254" s="28" t="n">
        <x:f>U1254*T1254</x:f>
        <x:v>0</x:v>
      </x:c>
      <x:c r="W1254" s="28" t="n">
        <x:f>U1254*O1254</x:f>
        <x:v>0</x:v>
      </x:c>
    </x:row>
    <x:row r="1255" ht="19" customHeight="1">
      <x:c r="A1255" s="2"/>
      <x:c r="B1255" s="2"/>
      <x:c r="C1255" s="46" t="n">
        <x:v>5</x:v>
      </x:c>
      <x:c r="D1255" s="46" t="n">
        <x:v>18</x:v>
      </x:c>
      <x:c r="E1255" s="46" t="n">
        <x:v>3</x:v>
      </x:c>
      <x:c r="F1255" s="46" t="n">
        <x:v>0</x:v>
      </x:c>
      <x:c r="G1255" s="12" t="n">
        <x:v>0.7777777777777778</x:v>
      </x:c>
      <x:c r="H1255" s="12" t="n">
        <x:v>0.8888888888888888</x:v>
      </x:c>
      <x:c r="I1255" s="29" t="n">
        <x:f>'Assumptions'!$D$11+'Assumptions'!$D$12*(0.5-(G1255+H1255)/2)</x:f>
        <x:v>0.23333333333333334</x:v>
      </x:c>
      <x:c r="J1255" s="27" t="n">
        <x:f>'Assumptions'!$D$8*EXP(-'Assumptions'!$D$9*('Fleet Engine'!E212-10))*'Assumptions'!E58*'Assumptions'!I36</x:f>
        <x:v>27182.818284590452</x:v>
      </x:c>
      <x:c r="K1255" s="27" t="n">
        <x:f>'Source Data'!F217+LN('Assumptions'!D58)+LN('Assumptions'!I35)</x:f>
        <x:v>8.005343029779286</x:v>
      </x:c>
      <x:c r="L1255" s="27" t="n">
        <x:f>J1255*(1-I1255*(1-'Carrier Engine'!E96))</x:f>
        <x:v>21093.86698884219</x:v>
      </x:c>
      <x:c r="M1255" s="29" t="n">
        <x:f>NORM.S.DIST((LN(L1255)-K1255)/'Assumptions'!$D$10,TRUE)</x:f>
        <x:v>0.8930224951902263</x:v>
      </x:c>
      <x:c r="N1255" s="30" t="n">
        <x:f>MAX(0,H1255-MAX(G1255,M1255))</x:f>
        <x:v>0</x:v>
      </x:c>
      <x:c r="O1255" s="28" t="n">
        <x:f>J1255*I1255</x:f>
        <x:v>6342.657599737772</x:v>
      </x:c>
      <x:c r="P1255" s="27" t="n">
        <x:f>(VLOOKUP(O1255,'Fee Data'!$C$6:$G$50,2,TRUE)+O1255*VLOOKUP(O1255,'Fee Data'!$C$6:$G$50,3,TRUE)+VLOOKUP(O1255,'Fee Data'!$I$6:$J$14,2,TRUE)+'Fee Data'!$J$20+'Fee Data'!$J$21)*'Assumptions'!I37</x:f>
        <x:v>1060</x:v>
      </x:c>
      <x:c r="Q1255" s="27" t="n">
        <x:f>(VLOOKUP(O1255,'Fee Data'!$C$6:$G$50,4,TRUE)+O1255*VLOOKUP(O1255,'Fee Data'!$C$6:$G$50,5,TRUE)+VLOOKUP(O1255,'Fee Data'!$I$6:$J$14,2,TRUE)+'Fee Data'!$J$20+'Fee Data'!$J$21)*'Assumptions'!I37</x:f>
        <x:v>935</x:v>
      </x:c>
      <x:c r="R1255" s="27" t="n">
        <x:f>P1255*(1-'Assumptions'!$D$14)+Q1255*'Assumptions'!$D$14</x:f>
        <x:v>997.5</x:v>
      </x:c>
      <x:c r="S1255" s="27" t="n">
        <x:f>O1255*'Carrier Engine'!E96</x:f>
        <x:v>253.7063039895109</x:v>
      </x:c>
      <x:c r="T1255" s="28" t="n">
        <x:f>R1255+S1255</x:f>
        <x:v>1251.2063039895108</x:v>
      </x:c>
      <x:c r="U1255" s="27" t="n">
        <x:f>N1255*'Fleet Engine'!K212</x:f>
        <x:v>0</x:v>
      </x:c>
      <x:c r="V1255" s="28" t="n">
        <x:f>U1255*T1255</x:f>
        <x:v>0</x:v>
      </x:c>
      <x:c r="W1255" s="28" t="n">
        <x:f>U1255*O1255</x:f>
        <x:v>0</x:v>
      </x:c>
    </x:row>
    <x:row r="1256" ht="19" customHeight="1">
      <x:c r="A1256" s="2"/>
      <x:c r="B1256" s="2"/>
      <x:c r="C1256" s="46" t="n">
        <x:v>5</x:v>
      </x:c>
      <x:c r="D1256" s="46" t="n">
        <x:v>18</x:v>
      </x:c>
      <x:c r="E1256" s="46" t="n">
        <x:v>3</x:v>
      </x:c>
      <x:c r="F1256" s="46" t="n">
        <x:v>0</x:v>
      </x:c>
      <x:c r="G1256" s="12" t="n">
        <x:v>0.8888888888888888</x:v>
      </x:c>
      <x:c r="H1256" s="12" t="n">
        <x:v>1</x:v>
      </x:c>
      <x:c r="I1256" s="29" t="n">
        <x:f>'Assumptions'!$D$11+'Assumptions'!$D$12*(0.5-(G1256+H1256)/2)</x:f>
        <x:v>0.21111111111111108</x:v>
      </x:c>
      <x:c r="J1256" s="27" t="n">
        <x:f>'Assumptions'!$D$8*EXP(-'Assumptions'!$D$9*('Fleet Engine'!E212-10))*'Assumptions'!E58*'Assumptions'!I36</x:f>
        <x:v>27182.818284590452</x:v>
      </x:c>
      <x:c r="K1256" s="27" t="n">
        <x:f>'Source Data'!F217+LN('Assumptions'!D58)+LN('Assumptions'!I35)</x:f>
        <x:v>8.005343029779286</x:v>
      </x:c>
      <x:c r="L1256" s="27" t="n">
        <x:f>J1256*(1-I1256*(1-'Carrier Engine'!E96))</x:f>
        <x:v>21673.767112246787</x:v>
      </x:c>
      <x:c r="M1256" s="29" t="n">
        <x:f>NORM.S.DIST((LN(L1256)-K1256)/'Assumptions'!$D$10,TRUE)</x:f>
        <x:v>0.8961716820343077</x:v>
      </x:c>
      <x:c r="N1256" s="30" t="n">
        <x:f>MAX(0,H1256-MAX(G1256,M1256))</x:f>
        <x:v>0.10382831796569225</x:v>
      </x:c>
      <x:c r="O1256" s="28" t="n">
        <x:f>J1256*I1256</x:f>
        <x:v>5738.594971191317</x:v>
      </x:c>
      <x:c r="P1256" s="27" t="n">
        <x:f>(VLOOKUP(O1256,'Fee Data'!$C$6:$G$50,2,TRUE)+O1256*VLOOKUP(O1256,'Fee Data'!$C$6:$G$50,3,TRUE)+VLOOKUP(O1256,'Fee Data'!$I$6:$J$14,2,TRUE)+'Fee Data'!$J$20+'Fee Data'!$J$21)*'Assumptions'!I37</x:f>
        <x:v>1020</x:v>
      </x:c>
      <x:c r="Q1256" s="27" t="n">
        <x:f>(VLOOKUP(O1256,'Fee Data'!$C$6:$G$50,4,TRUE)+O1256*VLOOKUP(O1256,'Fee Data'!$C$6:$G$50,5,TRUE)+VLOOKUP(O1256,'Fee Data'!$I$6:$J$14,2,TRUE)+'Fee Data'!$J$20+'Fee Data'!$J$21)*'Assumptions'!I37</x:f>
        <x:v>895</x:v>
      </x:c>
      <x:c r="R1256" s="27" t="n">
        <x:f>P1256*(1-'Assumptions'!$D$14)+Q1256*'Assumptions'!$D$14</x:f>
        <x:v>957.5</x:v>
      </x:c>
      <x:c r="S1256" s="27" t="n">
        <x:f>O1256*'Carrier Engine'!E96</x:f>
        <x:v>229.54379884765268</x:v>
      </x:c>
      <x:c r="T1256" s="28" t="n">
        <x:f>R1256+S1256</x:f>
        <x:v>1187.0437988476526</x:v>
      </x:c>
      <x:c r="U1256" s="27" t="n">
        <x:f>N1256*'Fleet Engine'!K212</x:f>
        <x:v>56.531624803101806</x:v>
      </x:c>
      <x:c r="V1256" s="28" t="n">
        <x:f>U1256*T1256</x:f>
        <x:v>67105.51466130414</x:v>
      </x:c>
      <x:c r="W1256" s="28" t="n">
        <x:f>U1256*O1256</x:f>
        <x:v>324412.09780835436</x:v>
      </x:c>
    </x:row>
    <x:row r="1257" ht="19" customHeight="1">
      <x:c r="A1257" s="2"/>
      <x:c r="B1257" s="2"/>
      <x:c r="C1257" s="46" t="n">
        <x:v>5</x:v>
      </x:c>
      <x:c r="D1257" s="46" t="n">
        <x:v>19</x:v>
      </x:c>
      <x:c r="E1257" s="46" t="n">
        <x:v>3</x:v>
      </x:c>
      <x:c r="F1257" s="46" t="n">
        <x:v>1</x:v>
      </x:c>
      <x:c r="G1257" s="12" t="n">
        <x:v>0</x:v>
      </x:c>
      <x:c r="H1257" s="12" t="n">
        <x:v>0.1111111111111111</x:v>
      </x:c>
      <x:c r="I1257" s="29" t="n">
        <x:f>'Assumptions'!$D$11+'Assumptions'!$D$12*(0.5-(G1257+H1257)/2)</x:f>
        <x:v>0.3888888888888889</x:v>
      </x:c>
      <x:c r="J1257" s="27" t="n">
        <x:f>'Assumptions'!$D$8*EXP(-'Assumptions'!$D$9*('Fleet Engine'!E213-10))*'Assumptions'!E58*'Assumptions'!I36</x:f>
        <x:v>22255.409284924677</x:v>
      </x:c>
      <x:c r="K1257" s="27" t="n">
        <x:f>'Source Data'!F218+LN('Assumptions'!D58)+LN('Assumptions'!I35)</x:f>
        <x:v>7.890902228235048</x:v>
      </x:c>
      <x:c r="L1257" s="27" t="n">
        <x:f>J1257*(1-I1257*(1-'Carrier Engine'!E96))</x:f>
        <x:v>13946.723151886132</x:v>
      </x:c>
      <x:c r="M1257" s="29" t="n">
        <x:f>NORM.S.DIST((LN(L1257)-K1257)/'Assumptions'!$D$10,TRUE)</x:f>
        <x:v>0.8536354275611799</x:v>
      </x:c>
      <x:c r="N1257" s="30" t="n">
        <x:f>MAX(0,H1257-MAX(G1257,M1257))</x:f>
        <x:v>0</x:v>
      </x:c>
      <x:c r="O1257" s="28" t="n">
        <x:f>J1257*I1257</x:f>
        <x:v>8654.88138858182</x:v>
      </x:c>
      <x:c r="P1257" s="27" t="n">
        <x:f>(VLOOKUP(O1257,'Fee Data'!$C$6:$G$50,2,TRUE)+O1257*VLOOKUP(O1257,'Fee Data'!$C$6:$G$50,3,TRUE)+VLOOKUP(O1257,'Fee Data'!$I$6:$J$14,2,TRUE)+'Fee Data'!$J$20+'Fee Data'!$J$21)*'Assumptions'!I37</x:f>
        <x:v>1195</x:v>
      </x:c>
      <x:c r="Q1257" s="27" t="n">
        <x:f>(VLOOKUP(O1257,'Fee Data'!$C$6:$G$50,4,TRUE)+O1257*VLOOKUP(O1257,'Fee Data'!$C$6:$G$50,5,TRUE)+VLOOKUP(O1257,'Fee Data'!$I$6:$J$14,2,TRUE)+'Fee Data'!$J$20+'Fee Data'!$J$21)*'Assumptions'!I37</x:f>
        <x:v>1070</x:v>
      </x:c>
      <x:c r="R1257" s="27" t="n">
        <x:f>P1257*(1-'Assumptions'!$D$14)+Q1257*'Assumptions'!$D$14</x:f>
        <x:v>1132.5</x:v>
      </x:c>
      <x:c r="S1257" s="27" t="n">
        <x:f>O1257*'Carrier Engine'!E96</x:f>
        <x:v>346.1952555432728</x:v>
      </x:c>
      <x:c r="T1257" s="28" t="n">
        <x:f>R1257+S1257</x:f>
        <x:v>1478.6952555432729</x:v>
      </x:c>
      <x:c r="U1257" s="27" t="n">
        <x:f>N1257*'Fleet Engine'!K213</x:f>
        <x:v>0</x:v>
      </x:c>
      <x:c r="V1257" s="28" t="n">
        <x:f>U1257*T1257</x:f>
        <x:v>0</x:v>
      </x:c>
      <x:c r="W1257" s="28" t="n">
        <x:f>U1257*O1257</x:f>
        <x:v>0</x:v>
      </x:c>
    </x:row>
    <x:row r="1258" ht="19" customHeight="1">
      <x:c r="A1258" s="2"/>
      <x:c r="B1258" s="2"/>
      <x:c r="C1258" s="46" t="n">
        <x:v>5</x:v>
      </x:c>
      <x:c r="D1258" s="46" t="n">
        <x:v>19</x:v>
      </x:c>
      <x:c r="E1258" s="46" t="n">
        <x:v>3</x:v>
      </x:c>
      <x:c r="F1258" s="46" t="n">
        <x:v>1</x:v>
      </x:c>
      <x:c r="G1258" s="12" t="n">
        <x:v>0.1111111111111111</x:v>
      </x:c>
      <x:c r="H1258" s="12" t="n">
        <x:v>0.2222222222222222</x:v>
      </x:c>
      <x:c r="I1258" s="29" t="n">
        <x:f>'Assumptions'!$D$11+'Assumptions'!$D$12*(0.5-(G1258+H1258)/2)</x:f>
        <x:v>0.3666666666666667</x:v>
      </x:c>
      <x:c r="J1258" s="27" t="n">
        <x:f>'Assumptions'!$D$8*EXP(-'Assumptions'!$D$9*('Fleet Engine'!E213-10))*'Assumptions'!E58*'Assumptions'!I36</x:f>
        <x:v>22255.409284924677</x:v>
      </x:c>
      <x:c r="K1258" s="27" t="n">
        <x:f>'Source Data'!F218+LN('Assumptions'!D58)+LN('Assumptions'!I35)</x:f>
        <x:v>7.890902228235048</x:v>
      </x:c>
      <x:c r="L1258" s="27" t="n">
        <x:f>J1258*(1-I1258*(1-'Carrier Engine'!E96))</x:f>
        <x:v>14421.505216631189</x:v>
      </x:c>
      <x:c r="M1258" s="29" t="n">
        <x:f>NORM.S.DIST((LN(L1258)-K1258)/'Assumptions'!$D$10,TRUE)</x:f>
        <x:v>0.858470508362788</x:v>
      </x:c>
      <x:c r="N1258" s="30" t="n">
        <x:f>MAX(0,H1258-MAX(G1258,M1258))</x:f>
        <x:v>0</x:v>
      </x:c>
      <x:c r="O1258" s="28" t="n">
        <x:f>J1258*I1258</x:f>
        <x:v>8160.316737805716</x:v>
      </x:c>
      <x:c r="P1258" s="27" t="n">
        <x:f>(VLOOKUP(O1258,'Fee Data'!$C$6:$G$50,2,TRUE)+O1258*VLOOKUP(O1258,'Fee Data'!$C$6:$G$50,3,TRUE)+VLOOKUP(O1258,'Fee Data'!$I$6:$J$14,2,TRUE)+'Fee Data'!$J$20+'Fee Data'!$J$21)*'Assumptions'!I37</x:f>
        <x:v>1175</x:v>
      </x:c>
      <x:c r="Q1258" s="27" t="n">
        <x:f>(VLOOKUP(O1258,'Fee Data'!$C$6:$G$50,4,TRUE)+O1258*VLOOKUP(O1258,'Fee Data'!$C$6:$G$50,5,TRUE)+VLOOKUP(O1258,'Fee Data'!$I$6:$J$14,2,TRUE)+'Fee Data'!$J$20+'Fee Data'!$J$21)*'Assumptions'!I37</x:f>
        <x:v>1050</x:v>
      </x:c>
      <x:c r="R1258" s="27" t="n">
        <x:f>P1258*(1-'Assumptions'!$D$14)+Q1258*'Assumptions'!$D$14</x:f>
        <x:v>1112.5</x:v>
      </x:c>
      <x:c r="S1258" s="27" t="n">
        <x:f>O1258*'Carrier Engine'!E96</x:f>
        <x:v>326.41266951222866</x:v>
      </x:c>
      <x:c r="T1258" s="28" t="n">
        <x:f>R1258+S1258</x:f>
        <x:v>1438.9126695122286</x:v>
      </x:c>
      <x:c r="U1258" s="27" t="n">
        <x:f>N1258*'Fleet Engine'!K213</x:f>
        <x:v>0</x:v>
      </x:c>
      <x:c r="V1258" s="28" t="n">
        <x:f>U1258*T1258</x:f>
        <x:v>0</x:v>
      </x:c>
      <x:c r="W1258" s="28" t="n">
        <x:f>U1258*O1258</x:f>
        <x:v>0</x:v>
      </x:c>
    </x:row>
    <x:row r="1259" ht="19" customHeight="1">
      <x:c r="A1259" s="2"/>
      <x:c r="B1259" s="2"/>
      <x:c r="C1259" s="46" t="n">
        <x:v>5</x:v>
      </x:c>
      <x:c r="D1259" s="46" t="n">
        <x:v>19</x:v>
      </x:c>
      <x:c r="E1259" s="46" t="n">
        <x:v>3</x:v>
      </x:c>
      <x:c r="F1259" s="46" t="n">
        <x:v>1</x:v>
      </x:c>
      <x:c r="G1259" s="12" t="n">
        <x:v>0.2222222222222222</x:v>
      </x:c>
      <x:c r="H1259" s="12" t="n">
        <x:v>0.3333333333333333</x:v>
      </x:c>
      <x:c r="I1259" s="29" t="n">
        <x:f>'Assumptions'!$D$11+'Assumptions'!$D$12*(0.5-(G1259+H1259)/2)</x:f>
        <x:v>0.34444444444444444</x:v>
      </x:c>
      <x:c r="J1259" s="27" t="n">
        <x:f>'Assumptions'!$D$8*EXP(-'Assumptions'!$D$9*('Fleet Engine'!E213-10))*'Assumptions'!E58*'Assumptions'!I36</x:f>
        <x:v>22255.409284924677</x:v>
      </x:c>
      <x:c r="K1259" s="27" t="n">
        <x:f>'Source Data'!F218+LN('Assumptions'!D58)+LN('Assumptions'!I35)</x:f>
        <x:v>7.890902228235048</x:v>
      </x:c>
      <x:c r="L1259" s="27" t="n">
        <x:f>J1259*(1-I1259*(1-'Carrier Engine'!E96))</x:f>
        <x:v>14896.287281376251</x:v>
      </x:c>
      <x:c r="M1259" s="29" t="n">
        <x:f>NORM.S.DIST((LN(L1259)-K1259)/'Assumptions'!$D$10,TRUE)</x:f>
        <x:v>0.8630448198872039</x:v>
      </x:c>
      <x:c r="N1259" s="30" t="n">
        <x:f>MAX(0,H1259-MAX(G1259,M1259))</x:f>
        <x:v>0</x:v>
      </x:c>
      <x:c r="O1259" s="28" t="n">
        <x:f>J1259*I1259</x:f>
        <x:v>7665.752087029611</x:v>
      </x:c>
      <x:c r="P1259" s="27" t="n">
        <x:f>(VLOOKUP(O1259,'Fee Data'!$C$6:$G$50,2,TRUE)+O1259*VLOOKUP(O1259,'Fee Data'!$C$6:$G$50,3,TRUE)+VLOOKUP(O1259,'Fee Data'!$I$6:$J$14,2,TRUE)+'Fee Data'!$J$20+'Fee Data'!$J$21)*'Assumptions'!I37</x:f>
        <x:v>1135</x:v>
      </x:c>
      <x:c r="Q1259" s="27" t="n">
        <x:f>(VLOOKUP(O1259,'Fee Data'!$C$6:$G$50,4,TRUE)+O1259*VLOOKUP(O1259,'Fee Data'!$C$6:$G$50,5,TRUE)+VLOOKUP(O1259,'Fee Data'!$I$6:$J$14,2,TRUE)+'Fee Data'!$J$20+'Fee Data'!$J$21)*'Assumptions'!I37</x:f>
        <x:v>1010</x:v>
      </x:c>
      <x:c r="R1259" s="27" t="n">
        <x:f>P1259*(1-'Assumptions'!$D$14)+Q1259*'Assumptions'!$D$14</x:f>
        <x:v>1072.5</x:v>
      </x:c>
      <x:c r="S1259" s="27" t="n">
        <x:f>O1259*'Carrier Engine'!E96</x:f>
        <x:v>306.63008348118444</x:v>
      </x:c>
      <x:c r="T1259" s="28" t="n">
        <x:f>R1259+S1259</x:f>
        <x:v>1379.1300834811846</x:v>
      </x:c>
      <x:c r="U1259" s="27" t="n">
        <x:f>N1259*'Fleet Engine'!K213</x:f>
        <x:v>0</x:v>
      </x:c>
      <x:c r="V1259" s="28" t="n">
        <x:f>U1259*T1259</x:f>
        <x:v>0</x:v>
      </x:c>
      <x:c r="W1259" s="28" t="n">
        <x:f>U1259*O1259</x:f>
        <x:v>0</x:v>
      </x:c>
    </x:row>
    <x:row r="1260" ht="19" customHeight="1">
      <x:c r="A1260" s="2"/>
      <x:c r="B1260" s="2"/>
      <x:c r="C1260" s="46" t="n">
        <x:v>5</x:v>
      </x:c>
      <x:c r="D1260" s="46" t="n">
        <x:v>19</x:v>
      </x:c>
      <x:c r="E1260" s="46" t="n">
        <x:v>3</x:v>
      </x:c>
      <x:c r="F1260" s="46" t="n">
        <x:v>1</x:v>
      </x:c>
      <x:c r="G1260" s="12" t="n">
        <x:v>0.3333333333333333</x:v>
      </x:c>
      <x:c r="H1260" s="12" t="n">
        <x:v>0.4444444444444444</x:v>
      </x:c>
      <x:c r="I1260" s="29" t="n">
        <x:f>'Assumptions'!$D$11+'Assumptions'!$D$12*(0.5-(G1260+H1260)/2)</x:f>
        <x:v>0.32222222222222224</x:v>
      </x:c>
      <x:c r="J1260" s="27" t="n">
        <x:f>'Assumptions'!$D$8*EXP(-'Assumptions'!$D$9*('Fleet Engine'!E213-10))*'Assumptions'!E58*'Assumptions'!I36</x:f>
        <x:v>22255.409284924677</x:v>
      </x:c>
      <x:c r="K1260" s="27" t="n">
        <x:f>'Source Data'!F218+LN('Assumptions'!D58)+LN('Assumptions'!I35)</x:f>
        <x:v>7.890902228235048</x:v>
      </x:c>
      <x:c r="L1260" s="27" t="n">
        <x:f>J1260*(1-I1260*(1-'Carrier Engine'!E96))</x:f>
        <x:v>15371.06934612131</x:v>
      </x:c>
      <x:c r="M1260" s="29" t="n">
        <x:f>NORM.S.DIST((LN(L1260)-K1260)/'Assumptions'!$D$10,TRUE)</x:f>
        <x:v>0.8673782677431042</x:v>
      </x:c>
      <x:c r="N1260" s="30" t="n">
        <x:f>MAX(0,H1260-MAX(G1260,M1260))</x:f>
        <x:v>0</x:v>
      </x:c>
      <x:c r="O1260" s="28" t="n">
        <x:f>J1260*I1260</x:f>
        <x:v>7171.187436253507</x:v>
      </x:c>
      <x:c r="P1260" s="27" t="n">
        <x:f>(VLOOKUP(O1260,'Fee Data'!$C$6:$G$50,2,TRUE)+O1260*VLOOKUP(O1260,'Fee Data'!$C$6:$G$50,3,TRUE)+VLOOKUP(O1260,'Fee Data'!$I$6:$J$14,2,TRUE)+'Fee Data'!$J$20+'Fee Data'!$J$21)*'Assumptions'!I37</x:f>
        <x:v>1115</x:v>
      </x:c>
      <x:c r="Q1260" s="27" t="n">
        <x:f>(VLOOKUP(O1260,'Fee Data'!$C$6:$G$50,4,TRUE)+O1260*VLOOKUP(O1260,'Fee Data'!$C$6:$G$50,5,TRUE)+VLOOKUP(O1260,'Fee Data'!$I$6:$J$14,2,TRUE)+'Fee Data'!$J$20+'Fee Data'!$J$21)*'Assumptions'!I37</x:f>
        <x:v>990</x:v>
      </x:c>
      <x:c r="R1260" s="27" t="n">
        <x:f>P1260*(1-'Assumptions'!$D$14)+Q1260*'Assumptions'!$D$14</x:f>
        <x:v>1052.5</x:v>
      </x:c>
      <x:c r="S1260" s="27" t="n">
        <x:f>O1260*'Carrier Engine'!E96</x:f>
        <x:v>286.8474974501403</x:v>
      </x:c>
      <x:c r="T1260" s="28" t="n">
        <x:f>R1260+S1260</x:f>
        <x:v>1339.3474974501403</x:v>
      </x:c>
      <x:c r="U1260" s="27" t="n">
        <x:f>N1260*'Fleet Engine'!K213</x:f>
        <x:v>0</x:v>
      </x:c>
      <x:c r="V1260" s="28" t="n">
        <x:f>U1260*T1260</x:f>
        <x:v>0</x:v>
      </x:c>
      <x:c r="W1260" s="28" t="n">
        <x:f>U1260*O1260</x:f>
        <x:v>0</x:v>
      </x:c>
    </x:row>
    <x:row r="1261" ht="19" customHeight="1">
      <x:c r="A1261" s="2"/>
      <x:c r="B1261" s="2"/>
      <x:c r="C1261" s="46" t="n">
        <x:v>5</x:v>
      </x:c>
      <x:c r="D1261" s="46" t="n">
        <x:v>19</x:v>
      </x:c>
      <x:c r="E1261" s="46" t="n">
        <x:v>3</x:v>
      </x:c>
      <x:c r="F1261" s="46" t="n">
        <x:v>1</x:v>
      </x:c>
      <x:c r="G1261" s="12" t="n">
        <x:v>0.4444444444444444</x:v>
      </x:c>
      <x:c r="H1261" s="12" t="n">
        <x:v>0.5555555555555556</x:v>
      </x:c>
      <x:c r="I1261" s="29" t="n">
        <x:f>'Assumptions'!$D$11+'Assumptions'!$D$12*(0.5-(G1261+H1261)/2)</x:f>
        <x:v>0.3</x:v>
      </x:c>
      <x:c r="J1261" s="27" t="n">
        <x:f>'Assumptions'!$D$8*EXP(-'Assumptions'!$D$9*('Fleet Engine'!E213-10))*'Assumptions'!E58*'Assumptions'!I36</x:f>
        <x:v>22255.409284924677</x:v>
      </x:c>
      <x:c r="K1261" s="27" t="n">
        <x:f>'Source Data'!F218+LN('Assumptions'!D58)+LN('Assumptions'!I35)</x:f>
        <x:v>7.890902228235048</x:v>
      </x:c>
      <x:c r="L1261" s="27" t="n">
        <x:f>J1261*(1-I1261*(1-'Carrier Engine'!E96))</x:f>
        <x:v>15845.85141086637</x:v>
      </x:c>
      <x:c r="M1261" s="29" t="n">
        <x:f>NORM.S.DIST((LN(L1261)-K1261)/'Assumptions'!$D$10,TRUE)</x:f>
        <x:v>0.8714887858690716</x:v>
      </x:c>
      <x:c r="N1261" s="30" t="n">
        <x:f>MAX(0,H1261-MAX(G1261,M1261))</x:f>
        <x:v>0</x:v>
      </x:c>
      <x:c r="O1261" s="28" t="n">
        <x:f>J1261*I1261</x:f>
        <x:v>6676.622785477403</x:v>
      </x:c>
      <x:c r="P1261" s="27" t="n">
        <x:f>(VLOOKUP(O1261,'Fee Data'!$C$6:$G$50,2,TRUE)+O1261*VLOOKUP(O1261,'Fee Data'!$C$6:$G$50,3,TRUE)+VLOOKUP(O1261,'Fee Data'!$I$6:$J$14,2,TRUE)+'Fee Data'!$J$20+'Fee Data'!$J$21)*'Assumptions'!I37</x:f>
        <x:v>1080</x:v>
      </x:c>
      <x:c r="Q1261" s="27" t="n">
        <x:f>(VLOOKUP(O1261,'Fee Data'!$C$6:$G$50,4,TRUE)+O1261*VLOOKUP(O1261,'Fee Data'!$C$6:$G$50,5,TRUE)+VLOOKUP(O1261,'Fee Data'!$I$6:$J$14,2,TRUE)+'Fee Data'!$J$20+'Fee Data'!$J$21)*'Assumptions'!I37</x:f>
        <x:v>955</x:v>
      </x:c>
      <x:c r="R1261" s="27" t="n">
        <x:f>P1261*(1-'Assumptions'!$D$14)+Q1261*'Assumptions'!$D$14</x:f>
        <x:v>1017.5</x:v>
      </x:c>
      <x:c r="S1261" s="27" t="n">
        <x:f>O1261*'Carrier Engine'!E96</x:f>
        <x:v>267.0649114190961</x:v>
      </x:c>
      <x:c r="T1261" s="28" t="n">
        <x:f>R1261+S1261</x:f>
        <x:v>1284.564911419096</x:v>
      </x:c>
      <x:c r="U1261" s="27" t="n">
        <x:f>N1261*'Fleet Engine'!K213</x:f>
        <x:v>0</x:v>
      </x:c>
      <x:c r="V1261" s="28" t="n">
        <x:f>U1261*T1261</x:f>
        <x:v>0</x:v>
      </x:c>
      <x:c r="W1261" s="28" t="n">
        <x:f>U1261*O1261</x:f>
        <x:v>0</x:v>
      </x:c>
    </x:row>
    <x:row r="1262" ht="19" customHeight="1">
      <x:c r="A1262" s="2"/>
      <x:c r="B1262" s="2"/>
      <x:c r="C1262" s="46" t="n">
        <x:v>5</x:v>
      </x:c>
      <x:c r="D1262" s="46" t="n">
        <x:v>19</x:v>
      </x:c>
      <x:c r="E1262" s="46" t="n">
        <x:v>3</x:v>
      </x:c>
      <x:c r="F1262" s="46" t="n">
        <x:v>1</x:v>
      </x:c>
      <x:c r="G1262" s="12" t="n">
        <x:v>0.5555555555555556</x:v>
      </x:c>
      <x:c r="H1262" s="12" t="n">
        <x:v>0.6666666666666666</x:v>
      </x:c>
      <x:c r="I1262" s="29" t="n">
        <x:f>'Assumptions'!$D$11+'Assumptions'!$D$12*(0.5-(G1262+H1262)/2)</x:f>
        <x:v>0.27777777777777773</x:v>
      </x:c>
      <x:c r="J1262" s="27" t="n">
        <x:f>'Assumptions'!$D$8*EXP(-'Assumptions'!$D$9*('Fleet Engine'!E213-10))*'Assumptions'!E58*'Assumptions'!I36</x:f>
        <x:v>22255.409284924677</x:v>
      </x:c>
      <x:c r="K1262" s="27" t="n">
        <x:f>'Source Data'!F218+LN('Assumptions'!D58)+LN('Assumptions'!I35)</x:f>
        <x:v>7.890902228235048</x:v>
      </x:c>
      <x:c r="L1262" s="27" t="n">
        <x:f>J1262*(1-I1262*(1-'Carrier Engine'!E96))</x:f>
        <x:v>16320.633475611432</x:v>
      </x:c>
      <x:c r="M1262" s="29" t="n">
        <x:f>NORM.S.DIST((LN(L1262)-K1262)/'Assumptions'!$D$10,TRUE)</x:f>
        <x:v>0.875392576065582</x:v>
      </x:c>
      <x:c r="N1262" s="30" t="n">
        <x:f>MAX(0,H1262-MAX(G1262,M1262))</x:f>
        <x:v>0</x:v>
      </x:c>
      <x:c r="O1262" s="28" t="n">
        <x:f>J1262*I1262</x:f>
        <x:v>6182.0581347012985</x:v>
      </x:c>
      <x:c r="P1262" s="27" t="n">
        <x:f>(VLOOKUP(O1262,'Fee Data'!$C$6:$G$50,2,TRUE)+O1262*VLOOKUP(O1262,'Fee Data'!$C$6:$G$50,3,TRUE)+VLOOKUP(O1262,'Fee Data'!$I$6:$J$14,2,TRUE)+'Fee Data'!$J$20+'Fee Data'!$J$21)*'Assumptions'!I37</x:f>
        <x:v>1060</x:v>
      </x:c>
      <x:c r="Q1262" s="27" t="n">
        <x:f>(VLOOKUP(O1262,'Fee Data'!$C$6:$G$50,4,TRUE)+O1262*VLOOKUP(O1262,'Fee Data'!$C$6:$G$50,5,TRUE)+VLOOKUP(O1262,'Fee Data'!$I$6:$J$14,2,TRUE)+'Fee Data'!$J$20+'Fee Data'!$J$21)*'Assumptions'!I37</x:f>
        <x:v>935</x:v>
      </x:c>
      <x:c r="R1262" s="27" t="n">
        <x:f>P1262*(1-'Assumptions'!$D$14)+Q1262*'Assumptions'!$D$14</x:f>
        <x:v>997.5</x:v>
      </x:c>
      <x:c r="S1262" s="27" t="n">
        <x:f>O1262*'Carrier Engine'!E96</x:f>
        <x:v>247.28232538805196</x:v>
      </x:c>
      <x:c r="T1262" s="28" t="n">
        <x:f>R1262+S1262</x:f>
        <x:v>1244.782325388052</x:v>
      </x:c>
      <x:c r="U1262" s="27" t="n">
        <x:f>N1262*'Fleet Engine'!K213</x:f>
        <x:v>0</x:v>
      </x:c>
      <x:c r="V1262" s="28" t="n">
        <x:f>U1262*T1262</x:f>
        <x:v>0</x:v>
      </x:c>
      <x:c r="W1262" s="28" t="n">
        <x:f>U1262*O1262</x:f>
        <x:v>0</x:v>
      </x:c>
    </x:row>
    <x:row r="1263" ht="19" customHeight="1">
      <x:c r="A1263" s="2"/>
      <x:c r="B1263" s="2"/>
      <x:c r="C1263" s="46" t="n">
        <x:v>5</x:v>
      </x:c>
      <x:c r="D1263" s="46" t="n">
        <x:v>19</x:v>
      </x:c>
      <x:c r="E1263" s="46" t="n">
        <x:v>3</x:v>
      </x:c>
      <x:c r="F1263" s="46" t="n">
        <x:v>1</x:v>
      </x:c>
      <x:c r="G1263" s="12" t="n">
        <x:v>0.6666666666666666</x:v>
      </x:c>
      <x:c r="H1263" s="12" t="n">
        <x:v>0.7777777777777778</x:v>
      </x:c>
      <x:c r="I1263" s="29" t="n">
        <x:f>'Assumptions'!$D$11+'Assumptions'!$D$12*(0.5-(G1263+H1263)/2)</x:f>
        <x:v>0.25555555555555554</x:v>
      </x:c>
      <x:c r="J1263" s="27" t="n">
        <x:f>'Assumptions'!$D$8*EXP(-'Assumptions'!$D$9*('Fleet Engine'!E213-10))*'Assumptions'!E58*'Assumptions'!I36</x:f>
        <x:v>22255.409284924677</x:v>
      </x:c>
      <x:c r="K1263" s="27" t="n">
        <x:f>'Source Data'!F218+LN('Assumptions'!D58)+LN('Assumptions'!I35)</x:f>
        <x:v>7.890902228235048</x:v>
      </x:c>
      <x:c r="L1263" s="27" t="n">
        <x:f>J1263*(1-I1263*(1-'Carrier Engine'!E96))</x:f>
        <x:v>16795.41554035649</x:v>
      </x:c>
      <x:c r="M1263" s="29" t="n">
        <x:f>NORM.S.DIST((LN(L1263)-K1263)/'Assumptions'!$D$10,TRUE)</x:f>
        <x:v>0.879104313191051</x:v>
      </x:c>
      <x:c r="N1263" s="30" t="n">
        <x:f>MAX(0,H1263-MAX(G1263,M1263))</x:f>
        <x:v>0</x:v>
      </x:c>
      <x:c r="O1263" s="28" t="n">
        <x:f>J1263*I1263</x:f>
        <x:v>5687.493483925195</x:v>
      </x:c>
      <x:c r="P1263" s="27" t="n">
        <x:f>(VLOOKUP(O1263,'Fee Data'!$C$6:$G$50,2,TRUE)+O1263*VLOOKUP(O1263,'Fee Data'!$C$6:$G$50,3,TRUE)+VLOOKUP(O1263,'Fee Data'!$I$6:$J$14,2,TRUE)+'Fee Data'!$J$20+'Fee Data'!$J$21)*'Assumptions'!I37</x:f>
        <x:v>1020</x:v>
      </x:c>
      <x:c r="Q1263" s="27" t="n">
        <x:f>(VLOOKUP(O1263,'Fee Data'!$C$6:$G$50,4,TRUE)+O1263*VLOOKUP(O1263,'Fee Data'!$C$6:$G$50,5,TRUE)+VLOOKUP(O1263,'Fee Data'!$I$6:$J$14,2,TRUE)+'Fee Data'!$J$20+'Fee Data'!$J$21)*'Assumptions'!I37</x:f>
        <x:v>895</x:v>
      </x:c>
      <x:c r="R1263" s="27" t="n">
        <x:f>P1263*(1-'Assumptions'!$D$14)+Q1263*'Assumptions'!$D$14</x:f>
        <x:v>957.5</x:v>
      </x:c>
      <x:c r="S1263" s="27" t="n">
        <x:f>O1263*'Carrier Engine'!E96</x:f>
        <x:v>227.4997393570078</x:v>
      </x:c>
      <x:c r="T1263" s="28" t="n">
        <x:f>R1263+S1263</x:f>
        <x:v>1184.999739357008</x:v>
      </x:c>
      <x:c r="U1263" s="27" t="n">
        <x:f>N1263*'Fleet Engine'!K213</x:f>
        <x:v>0</x:v>
      </x:c>
      <x:c r="V1263" s="28" t="n">
        <x:f>U1263*T1263</x:f>
        <x:v>0</x:v>
      </x:c>
      <x:c r="W1263" s="28" t="n">
        <x:f>U1263*O1263</x:f>
        <x:v>0</x:v>
      </x:c>
    </x:row>
    <x:row r="1264" ht="19" customHeight="1">
      <x:c r="A1264" s="2"/>
      <x:c r="B1264" s="2"/>
      <x:c r="C1264" s="46" t="n">
        <x:v>5</x:v>
      </x:c>
      <x:c r="D1264" s="46" t="n">
        <x:v>19</x:v>
      </x:c>
      <x:c r="E1264" s="46" t="n">
        <x:v>3</x:v>
      </x:c>
      <x:c r="F1264" s="46" t="n">
        <x:v>1</x:v>
      </x:c>
      <x:c r="G1264" s="12" t="n">
        <x:v>0.7777777777777778</x:v>
      </x:c>
      <x:c r="H1264" s="12" t="n">
        <x:v>0.8888888888888888</x:v>
      </x:c>
      <x:c r="I1264" s="29" t="n">
        <x:f>'Assumptions'!$D$11+'Assumptions'!$D$12*(0.5-(G1264+H1264)/2)</x:f>
        <x:v>0.23333333333333334</x:v>
      </x:c>
      <x:c r="J1264" s="27" t="n">
        <x:f>'Assumptions'!$D$8*EXP(-'Assumptions'!$D$9*('Fleet Engine'!E213-10))*'Assumptions'!E58*'Assumptions'!I36</x:f>
        <x:v>22255.409284924677</x:v>
      </x:c>
      <x:c r="K1264" s="27" t="n">
        <x:f>'Source Data'!F218+LN('Assumptions'!D58)+LN('Assumptions'!I35)</x:f>
        <x:v>7.890902228235048</x:v>
      </x:c>
      <x:c r="L1264" s="27" t="n">
        <x:f>J1264*(1-I1264*(1-'Carrier Engine'!E96))</x:f>
        <x:v>17270.19760510155</x:v>
      </x:c>
      <x:c r="M1264" s="29" t="n">
        <x:f>NORM.S.DIST((LN(L1264)-K1264)/'Assumptions'!$D$10,TRUE)</x:f>
        <x:v>0.8826373216697017</x:v>
      </x:c>
      <x:c r="N1264" s="30" t="n">
        <x:f>MAX(0,H1264-MAX(G1264,M1264))</x:f>
        <x:v>0.006251567219187182</x:v>
      </x:c>
      <x:c r="O1264" s="28" t="n">
        <x:f>J1264*I1264</x:f>
        <x:v>5192.928833149092</x:v>
      </x:c>
      <x:c r="P1264" s="27" t="n">
        <x:f>(VLOOKUP(O1264,'Fee Data'!$C$6:$G$50,2,TRUE)+O1264*VLOOKUP(O1264,'Fee Data'!$C$6:$G$50,3,TRUE)+VLOOKUP(O1264,'Fee Data'!$I$6:$J$14,2,TRUE)+'Fee Data'!$J$20+'Fee Data'!$J$21)*'Assumptions'!I37</x:f>
        <x:v>995</x:v>
      </x:c>
      <x:c r="Q1264" s="27" t="n">
        <x:f>(VLOOKUP(O1264,'Fee Data'!$C$6:$G$50,4,TRUE)+O1264*VLOOKUP(O1264,'Fee Data'!$C$6:$G$50,5,TRUE)+VLOOKUP(O1264,'Fee Data'!$I$6:$J$14,2,TRUE)+'Fee Data'!$J$20+'Fee Data'!$J$21)*'Assumptions'!I37</x:f>
        <x:v>870</x:v>
      </x:c>
      <x:c r="R1264" s="27" t="n">
        <x:f>P1264*(1-'Assumptions'!$D$14)+Q1264*'Assumptions'!$D$14</x:f>
        <x:v>932.5</x:v>
      </x:c>
      <x:c r="S1264" s="27" t="n">
        <x:f>O1264*'Carrier Engine'!E96</x:f>
        <x:v>207.71715332596366</x:v>
      </x:c>
      <x:c r="T1264" s="28" t="n">
        <x:f>R1264+S1264</x:f>
        <x:v>1140.2171533259636</x:v>
      </x:c>
      <x:c r="U1264" s="27" t="n">
        <x:f>N1264*'Fleet Engine'!K213</x:f>
        <x:v>19.137615849505433</x:v>
      </x:c>
      <x:c r="V1264" s="28" t="n">
        <x:f>U1264*T1264</x:f>
        <x:v>21821.03786536893</x:v>
      </x:c>
      <x:c r="W1264" s="28" t="n">
        <x:f>U1264*O1264</x:f>
        <x:v>99380.2771426278</x:v>
      </x:c>
    </x:row>
    <x:row r="1265" ht="19" customHeight="1">
      <x:c r="A1265" s="2"/>
      <x:c r="B1265" s="2"/>
      <x:c r="C1265" s="46" t="n">
        <x:v>5</x:v>
      </x:c>
      <x:c r="D1265" s="46" t="n">
        <x:v>19</x:v>
      </x:c>
      <x:c r="E1265" s="46" t="n">
        <x:v>3</x:v>
      </x:c>
      <x:c r="F1265" s="46" t="n">
        <x:v>1</x:v>
      </x:c>
      <x:c r="G1265" s="12" t="n">
        <x:v>0.8888888888888888</x:v>
      </x:c>
      <x:c r="H1265" s="12" t="n">
        <x:v>1</x:v>
      </x:c>
      <x:c r="I1265" s="29" t="n">
        <x:f>'Assumptions'!$D$11+'Assumptions'!$D$12*(0.5-(G1265+H1265)/2)</x:f>
        <x:v>0.21111111111111108</x:v>
      </x:c>
      <x:c r="J1265" s="27" t="n">
        <x:f>'Assumptions'!$D$8*EXP(-'Assumptions'!$D$9*('Fleet Engine'!E213-10))*'Assumptions'!E58*'Assumptions'!I36</x:f>
        <x:v>22255.409284924677</x:v>
      </x:c>
      <x:c r="K1265" s="27" t="n">
        <x:f>'Source Data'!F218+LN('Assumptions'!D58)+LN('Assumptions'!I35)</x:f>
        <x:v>7.890902228235048</x:v>
      </x:c>
      <x:c r="L1265" s="27" t="n">
        <x:f>J1265*(1-I1265*(1-'Carrier Engine'!E96))</x:f>
        <x:v>17744.97966984661</x:v>
      </x:c>
      <x:c r="M1265" s="29" t="n">
        <x:f>NORM.S.DIST((LN(L1265)-K1265)/'Assumptions'!$D$10,TRUE)</x:f>
        <x:v>0.8860037279150648</x:v>
      </x:c>
      <x:c r="N1265" s="30" t="n">
        <x:f>MAX(0,H1265-MAX(G1265,M1265))</x:f>
        <x:v>0.11111111111111116</x:v>
      </x:c>
      <x:c r="O1265" s="28" t="n">
        <x:f>J1265*I1265</x:f>
        <x:v>4698.364182372987</x:v>
      </x:c>
      <x:c r="P1265" s="27" t="n">
        <x:f>(VLOOKUP(O1265,'Fee Data'!$C$6:$G$50,2,TRUE)+O1265*VLOOKUP(O1265,'Fee Data'!$C$6:$G$50,3,TRUE)+VLOOKUP(O1265,'Fee Data'!$I$6:$J$14,2,TRUE)+'Fee Data'!$J$20+'Fee Data'!$J$21)*'Assumptions'!I37</x:f>
        <x:v>970</x:v>
      </x:c>
      <x:c r="Q1265" s="27" t="n">
        <x:f>(VLOOKUP(O1265,'Fee Data'!$C$6:$G$50,4,TRUE)+O1265*VLOOKUP(O1265,'Fee Data'!$C$6:$G$50,5,TRUE)+VLOOKUP(O1265,'Fee Data'!$I$6:$J$14,2,TRUE)+'Fee Data'!$J$20+'Fee Data'!$J$21)*'Assumptions'!I37</x:f>
        <x:v>845</x:v>
      </x:c>
      <x:c r="R1265" s="27" t="n">
        <x:f>P1265*(1-'Assumptions'!$D$14)+Q1265*'Assumptions'!$D$14</x:f>
        <x:v>907.5</x:v>
      </x:c>
      <x:c r="S1265" s="27" t="n">
        <x:f>O1265*'Carrier Engine'!E96</x:f>
        <x:v>187.93456729491947</x:v>
      </x:c>
      <x:c r="T1265" s="28" t="n">
        <x:f>R1265+S1265</x:f>
        <x:v>1095.4345672949194</x:v>
      </x:c>
      <x:c r="U1265" s="27" t="n">
        <x:f>N1265*'Fleet Engine'!K213</x:f>
        <x:v>340.13899019270747</x:v>
      </x:c>
      <x:c r="V1265" s="28" t="n">
        <x:f>U1265*T1265</x:f>
        <x:v>372600.0075418793</x:v>
      </x:c>
      <x:c r="W1265" s="28" t="n">
        <x:f>U1265*O1265</x:f>
        <x:v>1598096.8485499334</x:v>
      </x:c>
    </x:row>
    <x:row r="1266" ht="19" customHeight="1">
      <x:c r="A1266" s="2"/>
      <x:c r="B1266" s="2"/>
      <x:c r="C1266" s="46" t="n">
        <x:v>5</x:v>
      </x:c>
      <x:c r="D1266" s="46" t="n">
        <x:v>20</x:v>
      </x:c>
      <x:c r="E1266" s="46" t="n">
        <x:v>3</x:v>
      </x:c>
      <x:c r="F1266" s="46" t="n">
        <x:v>2</x:v>
      </x:c>
      <x:c r="G1266" s="12" t="n">
        <x:v>0</x:v>
      </x:c>
      <x:c r="H1266" s="12" t="n">
        <x:v>0.1111111111111111</x:v>
      </x:c>
      <x:c r="I1266" s="29" t="n">
        <x:f>'Assumptions'!$D$11+'Assumptions'!$D$12*(0.5-(G1266+H1266)/2)</x:f>
        <x:v>0.3888888888888889</x:v>
      </x:c>
      <x:c r="J1266" s="27" t="n">
        <x:f>'Assumptions'!$D$8*EXP(-'Assumptions'!$D$9*('Fleet Engine'!E214-10))*'Assumptions'!E58*'Assumptions'!I36</x:f>
        <x:v>16487.212707001283</x:v>
      </x:c>
      <x:c r="K1266" s="27" t="n">
        <x:f>'Source Data'!F219+LN('Assumptions'!D58)+LN('Assumptions'!I35)</x:f>
        <x:v>7.936584069520856</x:v>
      </x:c>
      <x:c r="L1266" s="27" t="n">
        <x:f>J1266*(1-I1266*(1-'Carrier Engine'!E96))</x:f>
        <x:v>10331.986629720805</x:v>
      </x:c>
      <x:c r="M1266" s="29" t="n">
        <x:f>NORM.S.DIST((LN(L1266)-K1266)/'Assumptions'!$D$10,TRUE)</x:f>
        <x:v>0.7972963261215247</x:v>
      </x:c>
      <x:c r="N1266" s="30" t="n">
        <x:f>MAX(0,H1266-MAX(G1266,M1266))</x:f>
        <x:v>0</x:v>
      </x:c>
      <x:c r="O1266" s="28" t="n">
        <x:f>J1266*I1266</x:f>
        <x:v>6411.693830500499</x:v>
      </x:c>
      <x:c r="P1266" s="27" t="n">
        <x:f>(VLOOKUP(O1266,'Fee Data'!$C$6:$G$50,2,TRUE)+O1266*VLOOKUP(O1266,'Fee Data'!$C$6:$G$50,3,TRUE)+VLOOKUP(O1266,'Fee Data'!$I$6:$J$14,2,TRUE)+'Fee Data'!$J$20+'Fee Data'!$J$21)*'Assumptions'!I37</x:f>
        <x:v>1060</x:v>
      </x:c>
      <x:c r="Q1266" s="27" t="n">
        <x:f>(VLOOKUP(O1266,'Fee Data'!$C$6:$G$50,4,TRUE)+O1266*VLOOKUP(O1266,'Fee Data'!$C$6:$G$50,5,TRUE)+VLOOKUP(O1266,'Fee Data'!$I$6:$J$14,2,TRUE)+'Fee Data'!$J$20+'Fee Data'!$J$21)*'Assumptions'!I37</x:f>
        <x:v>935</x:v>
      </x:c>
      <x:c r="R1266" s="27" t="n">
        <x:f>P1266*(1-'Assumptions'!$D$14)+Q1266*'Assumptions'!$D$14</x:f>
        <x:v>997.5</x:v>
      </x:c>
      <x:c r="S1266" s="27" t="n">
        <x:f>O1266*'Carrier Engine'!E96</x:f>
        <x:v>256.46775322002</x:v>
      </x:c>
      <x:c r="T1266" s="28" t="n">
        <x:f>R1266+S1266</x:f>
        <x:v>1253.9677532200199</x:v>
      </x:c>
      <x:c r="U1266" s="27" t="n">
        <x:f>N1266*'Fleet Engine'!K214</x:f>
        <x:v>0</x:v>
      </x:c>
      <x:c r="V1266" s="28" t="n">
        <x:f>U1266*T1266</x:f>
        <x:v>0</x:v>
      </x:c>
      <x:c r="W1266" s="28" t="n">
        <x:f>U1266*O1266</x:f>
        <x:v>0</x:v>
      </x:c>
    </x:row>
    <x:row r="1267" ht="19" customHeight="1">
      <x:c r="A1267" s="2"/>
      <x:c r="B1267" s="2"/>
      <x:c r="C1267" s="46" t="n">
        <x:v>5</x:v>
      </x:c>
      <x:c r="D1267" s="46" t="n">
        <x:v>20</x:v>
      </x:c>
      <x:c r="E1267" s="46" t="n">
        <x:v>3</x:v>
      </x:c>
      <x:c r="F1267" s="46" t="n">
        <x:v>2</x:v>
      </x:c>
      <x:c r="G1267" s="12" t="n">
        <x:v>0.1111111111111111</x:v>
      </x:c>
      <x:c r="H1267" s="12" t="n">
        <x:v>0.2222222222222222</x:v>
      </x:c>
      <x:c r="I1267" s="29" t="n">
        <x:f>'Assumptions'!$D$11+'Assumptions'!$D$12*(0.5-(G1267+H1267)/2)</x:f>
        <x:v>0.3666666666666667</x:v>
      </x:c>
      <x:c r="J1267" s="27" t="n">
        <x:f>'Assumptions'!$D$8*EXP(-'Assumptions'!$D$9*('Fleet Engine'!E214-10))*'Assumptions'!E58*'Assumptions'!I36</x:f>
        <x:v>16487.212707001283</x:v>
      </x:c>
      <x:c r="K1267" s="27" t="n">
        <x:f>'Source Data'!F219+LN('Assumptions'!D58)+LN('Assumptions'!I35)</x:f>
        <x:v>7.936584069520856</x:v>
      </x:c>
      <x:c r="L1267" s="27" t="n">
        <x:f>J1267*(1-I1267*(1-'Carrier Engine'!E96))</x:f>
        <x:v>10683.71383413683</x:v>
      </x:c>
      <x:c r="M1267" s="29" t="n">
        <x:f>NORM.S.DIST((LN(L1267)-K1267)/'Assumptions'!$D$10,TRUE)</x:f>
        <x:v>0.8032596960589325</x:v>
      </x:c>
      <x:c r="N1267" s="30" t="n">
        <x:f>MAX(0,H1267-MAX(G1267,M1267))</x:f>
        <x:v>0</x:v>
      </x:c>
      <x:c r="O1267" s="28" t="n">
        <x:f>J1267*I1267</x:f>
        <x:v>6045.311325900471</x:v>
      </x:c>
      <x:c r="P1267" s="27" t="n">
        <x:f>(VLOOKUP(O1267,'Fee Data'!$C$6:$G$50,2,TRUE)+O1267*VLOOKUP(O1267,'Fee Data'!$C$6:$G$50,3,TRUE)+VLOOKUP(O1267,'Fee Data'!$I$6:$J$14,2,TRUE)+'Fee Data'!$J$20+'Fee Data'!$J$21)*'Assumptions'!I37</x:f>
        <x:v>1060</x:v>
      </x:c>
      <x:c r="Q1267" s="27" t="n">
        <x:f>(VLOOKUP(O1267,'Fee Data'!$C$6:$G$50,4,TRUE)+O1267*VLOOKUP(O1267,'Fee Data'!$C$6:$G$50,5,TRUE)+VLOOKUP(O1267,'Fee Data'!$I$6:$J$14,2,TRUE)+'Fee Data'!$J$20+'Fee Data'!$J$21)*'Assumptions'!I37</x:f>
        <x:v>935</x:v>
      </x:c>
      <x:c r="R1267" s="27" t="n">
        <x:f>P1267*(1-'Assumptions'!$D$14)+Q1267*'Assumptions'!$D$14</x:f>
        <x:v>997.5</x:v>
      </x:c>
      <x:c r="S1267" s="27" t="n">
        <x:f>O1267*'Carrier Engine'!E96</x:f>
        <x:v>241.81245303601887</x:v>
      </x:c>
      <x:c r="T1267" s="28" t="n">
        <x:f>R1267+S1267</x:f>
        <x:v>1239.312453036019</x:v>
      </x:c>
      <x:c r="U1267" s="27" t="n">
        <x:f>N1267*'Fleet Engine'!K214</x:f>
        <x:v>0</x:v>
      </x:c>
      <x:c r="V1267" s="28" t="n">
        <x:f>U1267*T1267</x:f>
        <x:v>0</x:v>
      </x:c>
      <x:c r="W1267" s="28" t="n">
        <x:f>U1267*O1267</x:f>
        <x:v>0</x:v>
      </x:c>
    </x:row>
    <x:row r="1268" ht="19" customHeight="1">
      <x:c r="A1268" s="2"/>
      <x:c r="B1268" s="2"/>
      <x:c r="C1268" s="46" t="n">
        <x:v>5</x:v>
      </x:c>
      <x:c r="D1268" s="46" t="n">
        <x:v>20</x:v>
      </x:c>
      <x:c r="E1268" s="46" t="n">
        <x:v>3</x:v>
      </x:c>
      <x:c r="F1268" s="46" t="n">
        <x:v>2</x:v>
      </x:c>
      <x:c r="G1268" s="12" t="n">
        <x:v>0.2222222222222222</x:v>
      </x:c>
      <x:c r="H1268" s="12" t="n">
        <x:v>0.3333333333333333</x:v>
      </x:c>
      <x:c r="I1268" s="29" t="n">
        <x:f>'Assumptions'!$D$11+'Assumptions'!$D$12*(0.5-(G1268+H1268)/2)</x:f>
        <x:v>0.34444444444444444</x:v>
      </x:c>
      <x:c r="J1268" s="27" t="n">
        <x:f>'Assumptions'!$D$8*EXP(-'Assumptions'!$D$9*('Fleet Engine'!E214-10))*'Assumptions'!E58*'Assumptions'!I36</x:f>
        <x:v>16487.212707001283</x:v>
      </x:c>
      <x:c r="K1268" s="27" t="n">
        <x:f>'Source Data'!F219+LN('Assumptions'!D58)+LN('Assumptions'!I35)</x:f>
        <x:v>7.936584069520856</x:v>
      </x:c>
      <x:c r="L1268" s="27" t="n">
        <x:f>J1268*(1-I1268*(1-'Carrier Engine'!E96))</x:f>
        <x:v>11035.441038552859</x:v>
      </x:c>
      <x:c r="M1268" s="29" t="n">
        <x:f>NORM.S.DIST((LN(L1268)-K1268)/'Assumptions'!$D$10,TRUE)</x:f>
        <x:v>0.8089275577472801</x:v>
      </x:c>
      <x:c r="N1268" s="30" t="n">
        <x:f>MAX(0,H1268-MAX(G1268,M1268))</x:f>
        <x:v>0</x:v>
      </x:c>
      <x:c r="O1268" s="28" t="n">
        <x:f>J1268*I1268</x:f>
        <x:v>5678.928821300442</x:v>
      </x:c>
      <x:c r="P1268" s="27" t="n">
        <x:f>(VLOOKUP(O1268,'Fee Data'!$C$6:$G$50,2,TRUE)+O1268*VLOOKUP(O1268,'Fee Data'!$C$6:$G$50,3,TRUE)+VLOOKUP(O1268,'Fee Data'!$I$6:$J$14,2,TRUE)+'Fee Data'!$J$20+'Fee Data'!$J$21)*'Assumptions'!I37</x:f>
        <x:v>1020</x:v>
      </x:c>
      <x:c r="Q1268" s="27" t="n">
        <x:f>(VLOOKUP(O1268,'Fee Data'!$C$6:$G$50,4,TRUE)+O1268*VLOOKUP(O1268,'Fee Data'!$C$6:$G$50,5,TRUE)+VLOOKUP(O1268,'Fee Data'!$I$6:$J$14,2,TRUE)+'Fee Data'!$J$20+'Fee Data'!$J$21)*'Assumptions'!I37</x:f>
        <x:v>895</x:v>
      </x:c>
      <x:c r="R1268" s="27" t="n">
        <x:f>P1268*(1-'Assumptions'!$D$14)+Q1268*'Assumptions'!$D$14</x:f>
        <x:v>957.5</x:v>
      </x:c>
      <x:c r="S1268" s="27" t="n">
        <x:f>O1268*'Carrier Engine'!E96</x:f>
        <x:v>227.15715285201767</x:v>
      </x:c>
      <x:c r="T1268" s="28" t="n">
        <x:f>R1268+S1268</x:f>
        <x:v>1184.6571528520176</x:v>
      </x:c>
      <x:c r="U1268" s="27" t="n">
        <x:f>N1268*'Fleet Engine'!K214</x:f>
        <x:v>0</x:v>
      </x:c>
      <x:c r="V1268" s="28" t="n">
        <x:f>U1268*T1268</x:f>
        <x:v>0</x:v>
      </x:c>
      <x:c r="W1268" s="28" t="n">
        <x:f>U1268*O1268</x:f>
        <x:v>0</x:v>
      </x:c>
    </x:row>
    <x:row r="1269" ht="19" customHeight="1">
      <x:c r="A1269" s="2"/>
      <x:c r="B1269" s="2"/>
      <x:c r="C1269" s="46" t="n">
        <x:v>5</x:v>
      </x:c>
      <x:c r="D1269" s="46" t="n">
        <x:v>20</x:v>
      </x:c>
      <x:c r="E1269" s="46" t="n">
        <x:v>3</x:v>
      </x:c>
      <x:c r="F1269" s="46" t="n">
        <x:v>2</x:v>
      </x:c>
      <x:c r="G1269" s="12" t="n">
        <x:v>0.3333333333333333</x:v>
      </x:c>
      <x:c r="H1269" s="12" t="n">
        <x:v>0.4444444444444444</x:v>
      </x:c>
      <x:c r="I1269" s="29" t="n">
        <x:f>'Assumptions'!$D$11+'Assumptions'!$D$12*(0.5-(G1269+H1269)/2)</x:f>
        <x:v>0.32222222222222224</x:v>
      </x:c>
      <x:c r="J1269" s="27" t="n">
        <x:f>'Assumptions'!$D$8*EXP(-'Assumptions'!$D$9*('Fleet Engine'!E214-10))*'Assumptions'!E58*'Assumptions'!I36</x:f>
        <x:v>16487.212707001283</x:v>
      </x:c>
      <x:c r="K1269" s="27" t="n">
        <x:f>'Source Data'!F219+LN('Assumptions'!D58)+LN('Assumptions'!I35)</x:f>
        <x:v>7.936584069520856</x:v>
      </x:c>
      <x:c r="L1269" s="27" t="n">
        <x:f>J1269*(1-I1269*(1-'Carrier Engine'!E96))</x:f>
        <x:v>11387.168242968886</x:v>
      </x:c>
      <x:c r="M1269" s="29" t="n">
        <x:f>NORM.S.DIST((LN(L1269)-K1269)/'Assumptions'!$D$10,TRUE)</x:f>
        <x:v>0.8143210319055623</x:v>
      </x:c>
      <x:c r="N1269" s="30" t="n">
        <x:f>MAX(0,H1269-MAX(G1269,M1269))</x:f>
        <x:v>0</x:v>
      </x:c>
      <x:c r="O1269" s="28" t="n">
        <x:f>J1269*I1269</x:f>
        <x:v>5312.546316700414</x:v>
      </x:c>
      <x:c r="P1269" s="27" t="n">
        <x:f>(VLOOKUP(O1269,'Fee Data'!$C$6:$G$50,2,TRUE)+O1269*VLOOKUP(O1269,'Fee Data'!$C$6:$G$50,3,TRUE)+VLOOKUP(O1269,'Fee Data'!$I$6:$J$14,2,TRUE)+'Fee Data'!$J$20+'Fee Data'!$J$21)*'Assumptions'!I37</x:f>
        <x:v>995</x:v>
      </x:c>
      <x:c r="Q1269" s="27" t="n">
        <x:f>(VLOOKUP(O1269,'Fee Data'!$C$6:$G$50,4,TRUE)+O1269*VLOOKUP(O1269,'Fee Data'!$C$6:$G$50,5,TRUE)+VLOOKUP(O1269,'Fee Data'!$I$6:$J$14,2,TRUE)+'Fee Data'!$J$20+'Fee Data'!$J$21)*'Assumptions'!I37</x:f>
        <x:v>870</x:v>
      </x:c>
      <x:c r="R1269" s="27" t="n">
        <x:f>P1269*(1-'Assumptions'!$D$14)+Q1269*'Assumptions'!$D$14</x:f>
        <x:v>932.5</x:v>
      </x:c>
      <x:c r="S1269" s="27" t="n">
        <x:f>O1269*'Carrier Engine'!E96</x:f>
        <x:v>212.50185266801654</x:v>
      </x:c>
      <x:c r="T1269" s="28" t="n">
        <x:f>R1269+S1269</x:f>
        <x:v>1145.0018526680165</x:v>
      </x:c>
      <x:c r="U1269" s="27" t="n">
        <x:f>N1269*'Fleet Engine'!K214</x:f>
        <x:v>0</x:v>
      </x:c>
      <x:c r="V1269" s="28" t="n">
        <x:f>U1269*T1269</x:f>
        <x:v>0</x:v>
      </x:c>
      <x:c r="W1269" s="28" t="n">
        <x:f>U1269*O1269</x:f>
        <x:v>0</x:v>
      </x:c>
    </x:row>
    <x:row r="1270" ht="19" customHeight="1">
      <x:c r="A1270" s="2"/>
      <x:c r="B1270" s="2"/>
      <x:c r="C1270" s="46" t="n">
        <x:v>5</x:v>
      </x:c>
      <x:c r="D1270" s="46" t="n">
        <x:v>20</x:v>
      </x:c>
      <x:c r="E1270" s="46" t="n">
        <x:v>3</x:v>
      </x:c>
      <x:c r="F1270" s="46" t="n">
        <x:v>2</x:v>
      </x:c>
      <x:c r="G1270" s="12" t="n">
        <x:v>0.4444444444444444</x:v>
      </x:c>
      <x:c r="H1270" s="12" t="n">
        <x:v>0.5555555555555556</x:v>
      </x:c>
      <x:c r="I1270" s="29" t="n">
        <x:f>'Assumptions'!$D$11+'Assumptions'!$D$12*(0.5-(G1270+H1270)/2)</x:f>
        <x:v>0.3</x:v>
      </x:c>
      <x:c r="J1270" s="27" t="n">
        <x:f>'Assumptions'!$D$8*EXP(-'Assumptions'!$D$9*('Fleet Engine'!E214-10))*'Assumptions'!E58*'Assumptions'!I36</x:f>
        <x:v>16487.212707001283</x:v>
      </x:c>
      <x:c r="K1270" s="27" t="n">
        <x:f>'Source Data'!F219+LN('Assumptions'!D58)+LN('Assumptions'!I35)</x:f>
        <x:v>7.936584069520856</x:v>
      </x:c>
      <x:c r="L1270" s="27" t="n">
        <x:f>J1270*(1-I1270*(1-'Carrier Engine'!E96))</x:f>
        <x:v>11738.895447384913</x:v>
      </x:c>
      <x:c r="M1270" s="29" t="n">
        <x:f>NORM.S.DIST((LN(L1270)-K1270)/'Assumptions'!$D$10,TRUE)</x:f>
        <x:v>0.8194592567333258</x:v>
      </x:c>
      <x:c r="N1270" s="30" t="n">
        <x:f>MAX(0,H1270-MAX(G1270,M1270))</x:f>
        <x:v>0</x:v>
      </x:c>
      <x:c r="O1270" s="28" t="n">
        <x:f>J1270*I1270</x:f>
        <x:v>4946.163812100384</x:v>
      </x:c>
      <x:c r="P1270" s="27" t="n">
        <x:f>(VLOOKUP(O1270,'Fee Data'!$C$6:$G$50,2,TRUE)+O1270*VLOOKUP(O1270,'Fee Data'!$C$6:$G$50,3,TRUE)+VLOOKUP(O1270,'Fee Data'!$I$6:$J$14,2,TRUE)+'Fee Data'!$J$20+'Fee Data'!$J$21)*'Assumptions'!I37</x:f>
        <x:v>970</x:v>
      </x:c>
      <x:c r="Q1270" s="27" t="n">
        <x:f>(VLOOKUP(O1270,'Fee Data'!$C$6:$G$50,4,TRUE)+O1270*VLOOKUP(O1270,'Fee Data'!$C$6:$G$50,5,TRUE)+VLOOKUP(O1270,'Fee Data'!$I$6:$J$14,2,TRUE)+'Fee Data'!$J$20+'Fee Data'!$J$21)*'Assumptions'!I37</x:f>
        <x:v>845</x:v>
      </x:c>
      <x:c r="R1270" s="27" t="n">
        <x:f>P1270*(1-'Assumptions'!$D$14)+Q1270*'Assumptions'!$D$14</x:f>
        <x:v>907.5</x:v>
      </x:c>
      <x:c r="S1270" s="27" t="n">
        <x:f>O1270*'Carrier Engine'!E96</x:f>
        <x:v>197.84655248401538</x:v>
      </x:c>
      <x:c r="T1270" s="28" t="n">
        <x:f>R1270+S1270</x:f>
        <x:v>1105.3465524840153</x:v>
      </x:c>
      <x:c r="U1270" s="27" t="n">
        <x:f>N1270*'Fleet Engine'!K214</x:f>
        <x:v>0</x:v>
      </x:c>
      <x:c r="V1270" s="28" t="n">
        <x:f>U1270*T1270</x:f>
        <x:v>0</x:v>
      </x:c>
      <x:c r="W1270" s="28" t="n">
        <x:f>U1270*O1270</x:f>
        <x:v>0</x:v>
      </x:c>
    </x:row>
    <x:row r="1271" ht="19" customHeight="1">
      <x:c r="A1271" s="2"/>
      <x:c r="B1271" s="2"/>
      <x:c r="C1271" s="46" t="n">
        <x:v>5</x:v>
      </x:c>
      <x:c r="D1271" s="46" t="n">
        <x:v>20</x:v>
      </x:c>
      <x:c r="E1271" s="46" t="n">
        <x:v>3</x:v>
      </x:c>
      <x:c r="F1271" s="46" t="n">
        <x:v>2</x:v>
      </x:c>
      <x:c r="G1271" s="12" t="n">
        <x:v>0.5555555555555556</x:v>
      </x:c>
      <x:c r="H1271" s="12" t="n">
        <x:v>0.6666666666666666</x:v>
      </x:c>
      <x:c r="I1271" s="29" t="n">
        <x:f>'Assumptions'!$D$11+'Assumptions'!$D$12*(0.5-(G1271+H1271)/2)</x:f>
        <x:v>0.27777777777777773</x:v>
      </x:c>
      <x:c r="J1271" s="27" t="n">
        <x:f>'Assumptions'!$D$8*EXP(-'Assumptions'!$D$9*('Fleet Engine'!E214-10))*'Assumptions'!E58*'Assumptions'!I36</x:f>
        <x:v>16487.212707001283</x:v>
      </x:c>
      <x:c r="K1271" s="27" t="n">
        <x:f>'Source Data'!F219+LN('Assumptions'!D58)+LN('Assumptions'!I35)</x:f>
        <x:v>7.936584069520856</x:v>
      </x:c>
      <x:c r="L1271" s="27" t="n">
        <x:f>J1271*(1-I1271*(1-'Carrier Engine'!E96))</x:f>
        <x:v>12090.622651800943</x:v>
      </x:c>
      <x:c r="M1271" s="29" t="n">
        <x:f>NORM.S.DIST((LN(L1271)-K1271)/'Assumptions'!$D$10,TRUE)</x:f>
        <x:v>0.824359618018476</x:v>
      </x:c>
      <x:c r="N1271" s="30" t="n">
        <x:f>MAX(0,H1271-MAX(G1271,M1271))</x:f>
        <x:v>0</x:v>
      </x:c>
      <x:c r="O1271" s="28" t="n">
        <x:f>J1271*I1271</x:f>
        <x:v>4579.781307500356</x:v>
      </x:c>
      <x:c r="P1271" s="27" t="n">
        <x:f>(VLOOKUP(O1271,'Fee Data'!$C$6:$G$50,2,TRUE)+O1271*VLOOKUP(O1271,'Fee Data'!$C$6:$G$50,3,TRUE)+VLOOKUP(O1271,'Fee Data'!$I$6:$J$14,2,TRUE)+'Fee Data'!$J$20+'Fee Data'!$J$21)*'Assumptions'!I37</x:f>
        <x:v>970</x:v>
      </x:c>
      <x:c r="Q1271" s="27" t="n">
        <x:f>(VLOOKUP(O1271,'Fee Data'!$C$6:$G$50,4,TRUE)+O1271*VLOOKUP(O1271,'Fee Data'!$C$6:$G$50,5,TRUE)+VLOOKUP(O1271,'Fee Data'!$I$6:$J$14,2,TRUE)+'Fee Data'!$J$20+'Fee Data'!$J$21)*'Assumptions'!I37</x:f>
        <x:v>845</x:v>
      </x:c>
      <x:c r="R1271" s="27" t="n">
        <x:f>P1271*(1-'Assumptions'!$D$14)+Q1271*'Assumptions'!$D$14</x:f>
        <x:v>907.5</x:v>
      </x:c>
      <x:c r="S1271" s="27" t="n">
        <x:f>O1271*'Carrier Engine'!E96</x:f>
        <x:v>183.19125230001424</x:v>
      </x:c>
      <x:c r="T1271" s="28" t="n">
        <x:f>R1271+S1271</x:f>
        <x:v>1090.6912523000142</x:v>
      </x:c>
      <x:c r="U1271" s="27" t="n">
        <x:f>N1271*'Fleet Engine'!K214</x:f>
        <x:v>0</x:v>
      </x:c>
      <x:c r="V1271" s="28" t="n">
        <x:f>U1271*T1271</x:f>
        <x:v>0</x:v>
      </x:c>
      <x:c r="W1271" s="28" t="n">
        <x:f>U1271*O1271</x:f>
        <x:v>0</x:v>
      </x:c>
    </x:row>
    <x:row r="1272" ht="19" customHeight="1">
      <x:c r="A1272" s="2"/>
      <x:c r="B1272" s="2"/>
      <x:c r="C1272" s="46" t="n">
        <x:v>5</x:v>
      </x:c>
      <x:c r="D1272" s="46" t="n">
        <x:v>20</x:v>
      </x:c>
      <x:c r="E1272" s="46" t="n">
        <x:v>3</x:v>
      </x:c>
      <x:c r="F1272" s="46" t="n">
        <x:v>2</x:v>
      </x:c>
      <x:c r="G1272" s="12" t="n">
        <x:v>0.6666666666666666</x:v>
      </x:c>
      <x:c r="H1272" s="12" t="n">
        <x:v>0.7777777777777778</x:v>
      </x:c>
      <x:c r="I1272" s="29" t="n">
        <x:f>'Assumptions'!$D$11+'Assumptions'!$D$12*(0.5-(G1272+H1272)/2)</x:f>
        <x:v>0.25555555555555554</x:v>
      </x:c>
      <x:c r="J1272" s="27" t="n">
        <x:f>'Assumptions'!$D$8*EXP(-'Assumptions'!$D$9*('Fleet Engine'!E214-10))*'Assumptions'!E58*'Assumptions'!I36</x:f>
        <x:v>16487.212707001283</x:v>
      </x:c>
      <x:c r="K1272" s="27" t="n">
        <x:f>'Source Data'!F219+LN('Assumptions'!D58)+LN('Assumptions'!I35)</x:f>
        <x:v>7.936584069520856</x:v>
      </x:c>
      <x:c r="L1272" s="27" t="n">
        <x:f>J1272*(1-I1272*(1-'Carrier Engine'!E96))</x:f>
        <x:v>12442.34985621697</x:v>
      </x:c>
      <x:c r="M1272" s="29" t="n">
        <x:f>NORM.S.DIST((LN(L1272)-K1272)/'Assumptions'!$D$10,TRUE)</x:f>
        <x:v>0.8290379475487466</x:v>
      </x:c>
      <x:c r="N1272" s="30" t="n">
        <x:f>MAX(0,H1272-MAX(G1272,M1272))</x:f>
        <x:v>0</x:v>
      </x:c>
      <x:c r="O1272" s="28" t="n">
        <x:f>J1272*I1272</x:f>
        <x:v>4213.398802900328</x:v>
      </x:c>
      <x:c r="P1272" s="27" t="n">
        <x:f>(VLOOKUP(O1272,'Fee Data'!$C$6:$G$50,2,TRUE)+O1272*VLOOKUP(O1272,'Fee Data'!$C$6:$G$50,3,TRUE)+VLOOKUP(O1272,'Fee Data'!$I$6:$J$14,2,TRUE)+'Fee Data'!$J$20+'Fee Data'!$J$21)*'Assumptions'!I37</x:f>
        <x:v>945</x:v>
      </x:c>
      <x:c r="Q1272" s="27" t="n">
        <x:f>(VLOOKUP(O1272,'Fee Data'!$C$6:$G$50,4,TRUE)+O1272*VLOOKUP(O1272,'Fee Data'!$C$6:$G$50,5,TRUE)+VLOOKUP(O1272,'Fee Data'!$I$6:$J$14,2,TRUE)+'Fee Data'!$J$20+'Fee Data'!$J$21)*'Assumptions'!I37</x:f>
        <x:v>820</x:v>
      </x:c>
      <x:c r="R1272" s="27" t="n">
        <x:f>P1272*(1-'Assumptions'!$D$14)+Q1272*'Assumptions'!$D$14</x:f>
        <x:v>882.5</x:v>
      </x:c>
      <x:c r="S1272" s="27" t="n">
        <x:f>O1272*'Carrier Engine'!E96</x:f>
        <x:v>168.5359521160131</x:v>
      </x:c>
      <x:c r="T1272" s="28" t="n">
        <x:f>R1272+S1272</x:f>
        <x:v>1051.035952116013</x:v>
      </x:c>
      <x:c r="U1272" s="27" t="n">
        <x:f>N1272*'Fleet Engine'!K214</x:f>
        <x:v>0</x:v>
      </x:c>
      <x:c r="V1272" s="28" t="n">
        <x:f>U1272*T1272</x:f>
        <x:v>0</x:v>
      </x:c>
      <x:c r="W1272" s="28" t="n">
        <x:f>U1272*O1272</x:f>
        <x:v>0</x:v>
      </x:c>
    </x:row>
    <x:row r="1273" ht="19" customHeight="1">
      <x:c r="A1273" s="2"/>
      <x:c r="B1273" s="2"/>
      <x:c r="C1273" s="46" t="n">
        <x:v>5</x:v>
      </x:c>
      <x:c r="D1273" s="46" t="n">
        <x:v>20</x:v>
      </x:c>
      <x:c r="E1273" s="46" t="n">
        <x:v>3</x:v>
      </x:c>
      <x:c r="F1273" s="46" t="n">
        <x:v>2</x:v>
      </x:c>
      <x:c r="G1273" s="12" t="n">
        <x:v>0.7777777777777778</x:v>
      </x:c>
      <x:c r="H1273" s="12" t="n">
        <x:v>0.8888888888888888</x:v>
      </x:c>
      <x:c r="I1273" s="29" t="n">
        <x:f>'Assumptions'!$D$11+'Assumptions'!$D$12*(0.5-(G1273+H1273)/2)</x:f>
        <x:v>0.23333333333333334</x:v>
      </x:c>
      <x:c r="J1273" s="27" t="n">
        <x:f>'Assumptions'!$D$8*EXP(-'Assumptions'!$D$9*('Fleet Engine'!E214-10))*'Assumptions'!E58*'Assumptions'!I36</x:f>
        <x:v>16487.212707001283</x:v>
      </x:c>
      <x:c r="K1273" s="27" t="n">
        <x:f>'Source Data'!F219+LN('Assumptions'!D58)+LN('Assumptions'!I35)</x:f>
        <x:v>7.936584069520856</x:v>
      </x:c>
      <x:c r="L1273" s="27" t="n">
        <x:f>J1273*(1-I1273*(1-'Carrier Engine'!E96))</x:f>
        <x:v>12794.077060632995</x:v>
      </x:c>
      <x:c r="M1273" s="29" t="n">
        <x:f>NORM.S.DIST((LN(L1273)-K1273)/'Assumptions'!$D$10,TRUE)</x:f>
        <x:v>0.8335086948581082</x:v>
      </x:c>
      <x:c r="N1273" s="30" t="n">
        <x:f>MAX(0,H1273-MAX(G1273,M1273))</x:f>
        <x:v>0.05538019403078065</x:v>
      </x:c>
      <x:c r="O1273" s="28" t="n">
        <x:f>J1273*I1273</x:f>
        <x:v>3847.0162983002992</x:v>
      </x:c>
      <x:c r="P1273" s="27" t="n">
        <x:f>(VLOOKUP(O1273,'Fee Data'!$C$6:$G$50,2,TRUE)+O1273*VLOOKUP(O1273,'Fee Data'!$C$6:$G$50,3,TRUE)+VLOOKUP(O1273,'Fee Data'!$I$6:$J$14,2,TRUE)+'Fee Data'!$J$20+'Fee Data'!$J$21)*'Assumptions'!I37</x:f>
        <x:v>915</x:v>
      </x:c>
      <x:c r="Q1273" s="27" t="n">
        <x:f>(VLOOKUP(O1273,'Fee Data'!$C$6:$G$50,4,TRUE)+O1273*VLOOKUP(O1273,'Fee Data'!$C$6:$G$50,5,TRUE)+VLOOKUP(O1273,'Fee Data'!$I$6:$J$14,2,TRUE)+'Fee Data'!$J$20+'Fee Data'!$J$21)*'Assumptions'!I37</x:f>
        <x:v>765</x:v>
      </x:c>
      <x:c r="R1273" s="27" t="n">
        <x:f>P1273*(1-'Assumptions'!$D$14)+Q1273*'Assumptions'!$D$14</x:f>
        <x:v>840</x:v>
      </x:c>
      <x:c r="S1273" s="27" t="n">
        <x:f>O1273*'Carrier Engine'!E96</x:f>
        <x:v>153.88065193201197</x:v>
      </x:c>
      <x:c r="T1273" s="28" t="n">
        <x:f>R1273+S1273</x:f>
        <x:v>993.8806519320119</x:v>
      </x:c>
      <x:c r="U1273" s="27" t="n">
        <x:f>N1273*'Fleet Engine'!K214</x:f>
        <x:v>142.31556372325716</x:v>
      </x:c>
      <x:c r="V1273" s="28" t="n">
        <x:f>U1273*T1273</x:f>
        <x:v>141444.6852533426</x:v>
      </x:c>
      <x:c r="W1273" s="28" t="n">
        <x:f>U1273*O1273</x:f>
        <x:v>547490.2931451651</x:v>
      </x:c>
    </x:row>
    <x:row r="1274" ht="19" customHeight="1">
      <x:c r="A1274" s="2"/>
      <x:c r="B1274" s="2"/>
      <x:c r="C1274" s="46" t="n">
        <x:v>5</x:v>
      </x:c>
      <x:c r="D1274" s="46" t="n">
        <x:v>20</x:v>
      </x:c>
      <x:c r="E1274" s="46" t="n">
        <x:v>3</x:v>
      </x:c>
      <x:c r="F1274" s="46" t="n">
        <x:v>2</x:v>
      </x:c>
      <x:c r="G1274" s="12" t="n">
        <x:v>0.8888888888888888</x:v>
      </x:c>
      <x:c r="H1274" s="12" t="n">
        <x:v>1</x:v>
      </x:c>
      <x:c r="I1274" s="29" t="n">
        <x:f>'Assumptions'!$D$11+'Assumptions'!$D$12*(0.5-(G1274+H1274)/2)</x:f>
        <x:v>0.21111111111111108</x:v>
      </x:c>
      <x:c r="J1274" s="27" t="n">
        <x:f>'Assumptions'!$D$8*EXP(-'Assumptions'!$D$9*('Fleet Engine'!E214-10))*'Assumptions'!E58*'Assumptions'!I36</x:f>
        <x:v>16487.212707001283</x:v>
      </x:c>
      <x:c r="K1274" s="27" t="n">
        <x:f>'Source Data'!F219+LN('Assumptions'!D58)+LN('Assumptions'!I35)</x:f>
        <x:v>7.936584069520856</x:v>
      </x:c>
      <x:c r="L1274" s="27" t="n">
        <x:f>J1274*(1-I1274*(1-'Carrier Engine'!E96))</x:f>
        <x:v>13145.804265049022</x:v>
      </x:c>
      <x:c r="M1274" s="29" t="n">
        <x:f>NORM.S.DIST((LN(L1274)-K1274)/'Assumptions'!$D$10,TRUE)</x:f>
        <x:v>0.8377850764390044</x:v>
      </x:c>
      <x:c r="N1274" s="30" t="n">
        <x:f>MAX(0,H1274-MAX(G1274,M1274))</x:f>
        <x:v>0.11111111111111116</x:v>
      </x:c>
      <x:c r="O1274" s="28" t="n">
        <x:f>J1274*I1274</x:f>
        <x:v>3480.6337937002704</x:v>
      </x:c>
      <x:c r="P1274" s="27" t="n">
        <x:f>(VLOOKUP(O1274,'Fee Data'!$C$6:$G$50,2,TRUE)+O1274*VLOOKUP(O1274,'Fee Data'!$C$6:$G$50,3,TRUE)+VLOOKUP(O1274,'Fee Data'!$I$6:$J$14,2,TRUE)+'Fee Data'!$J$20+'Fee Data'!$J$21)*'Assumptions'!I37</x:f>
        <x:v>865</x:v>
      </x:c>
      <x:c r="Q1274" s="27" t="n">
        <x:f>(VLOOKUP(O1274,'Fee Data'!$C$6:$G$50,4,TRUE)+O1274*VLOOKUP(O1274,'Fee Data'!$C$6:$G$50,5,TRUE)+VLOOKUP(O1274,'Fee Data'!$I$6:$J$14,2,TRUE)+'Fee Data'!$J$20+'Fee Data'!$J$21)*'Assumptions'!I37</x:f>
        <x:v>715</x:v>
      </x:c>
      <x:c r="R1274" s="27" t="n">
        <x:f>P1274*(1-'Assumptions'!$D$14)+Q1274*'Assumptions'!$D$14</x:f>
        <x:v>790</x:v>
      </x:c>
      <x:c r="S1274" s="27" t="n">
        <x:f>O1274*'Carrier Engine'!E96</x:f>
        <x:v>139.2253517480108</x:v>
      </x:c>
      <x:c r="T1274" s="28" t="n">
        <x:f>R1274+S1274</x:f>
        <x:v>929.2253517480108</x:v>
      </x:c>
      <x:c r="U1274" s="27" t="n">
        <x:f>N1274*'Fleet Engine'!K214</x:f>
        <x:v>285.5324126330502</x:v>
      </x:c>
      <x:c r="V1274" s="28" t="n">
        <x:f>U1274*T1274</x:f>
        <x:v>265323.95656440425</x:v>
      </x:c>
      <x:c r="W1274" s="28" t="n">
        <x:f>U1274*O1274</x:f>
        <x:v>993833.7646073647</x:v>
      </x:c>
    </x:row>
    <x:row r="1275" ht="19" customHeight="1">
      <x:c r="A1275" s="2"/>
      <x:c r="B1275" s="2"/>
      <x:c r="C1275" s="46" t="n">
        <x:v>5</x:v>
      </x:c>
      <x:c r="D1275" s="46" t="n">
        <x:v>21</x:v>
      </x:c>
      <x:c r="E1275" s="46" t="n">
        <x:v>3</x:v>
      </x:c>
      <x:c r="F1275" s="46" t="n">
        <x:v>3</x:v>
      </x:c>
      <x:c r="G1275" s="12" t="n">
        <x:v>0</x:v>
      </x:c>
      <x:c r="H1275" s="12" t="n">
        <x:v>0.1111111111111111</x:v>
      </x:c>
      <x:c r="I1275" s="29" t="n">
        <x:f>'Assumptions'!$D$11+'Assumptions'!$D$12*(0.5-(G1275+H1275)/2)</x:f>
        <x:v>0.3888888888888889</x:v>
      </x:c>
      <x:c r="J1275" s="27" t="n">
        <x:f>'Assumptions'!$D$8*EXP(-'Assumptions'!$D$9*('Fleet Engine'!E215-10))*'Assumptions'!E58*'Assumptions'!I36</x:f>
        <x:v>12214.027581601698</x:v>
      </x:c>
      <x:c r="K1275" s="27" t="n">
        <x:f>'Source Data'!F220+LN('Assumptions'!D58)+LN('Assumptions'!I35)</x:f>
        <x:v>8.04371664078851</x:v>
      </x:c>
      <x:c r="L1275" s="27" t="n">
        <x:f>J1275*(1-I1275*(1-'Carrier Engine'!E96))</x:f>
        <x:v>7654.123951137065</x:v>
      </x:c>
      <x:c r="M1275" s="29" t="n">
        <x:f>NORM.S.DIST((LN(L1275)-K1275)/'Assumptions'!$D$10,TRUE)</x:f>
        <x:v>0.7165817467781002</x:v>
      </x:c>
      <x:c r="N1275" s="30" t="n">
        <x:f>MAX(0,H1275-MAX(G1275,M1275))</x:f>
        <x:v>0</x:v>
      </x:c>
      <x:c r="O1275" s="28" t="n">
        <x:f>J1275*I1275</x:f>
        <x:v>4749.899615067327</x:v>
      </x:c>
      <x:c r="P1275" s="27" t="n">
        <x:f>(VLOOKUP(O1275,'Fee Data'!$C$6:$G$50,2,TRUE)+O1275*VLOOKUP(O1275,'Fee Data'!$C$6:$G$50,3,TRUE)+VLOOKUP(O1275,'Fee Data'!$I$6:$J$14,2,TRUE)+'Fee Data'!$J$20+'Fee Data'!$J$21)*'Assumptions'!I37</x:f>
        <x:v>970</x:v>
      </x:c>
      <x:c r="Q1275" s="27" t="n">
        <x:f>(VLOOKUP(O1275,'Fee Data'!$C$6:$G$50,4,TRUE)+O1275*VLOOKUP(O1275,'Fee Data'!$C$6:$G$50,5,TRUE)+VLOOKUP(O1275,'Fee Data'!$I$6:$J$14,2,TRUE)+'Fee Data'!$J$20+'Fee Data'!$J$21)*'Assumptions'!I37</x:f>
        <x:v>845</x:v>
      </x:c>
      <x:c r="R1275" s="27" t="n">
        <x:f>P1275*(1-'Assumptions'!$D$14)+Q1275*'Assumptions'!$D$14</x:f>
        <x:v>907.5</x:v>
      </x:c>
      <x:c r="S1275" s="27" t="n">
        <x:f>O1275*'Carrier Engine'!E96</x:f>
        <x:v>189.9959846026931</x:v>
      </x:c>
      <x:c r="T1275" s="28" t="n">
        <x:f>R1275+S1275</x:f>
        <x:v>1097.4959846026932</x:v>
      </x:c>
      <x:c r="U1275" s="27" t="n">
        <x:f>N1275*'Fleet Engine'!K215</x:f>
        <x:v>0</x:v>
      </x:c>
      <x:c r="V1275" s="28" t="n">
        <x:f>U1275*T1275</x:f>
        <x:v>0</x:v>
      </x:c>
      <x:c r="W1275" s="28" t="n">
        <x:f>U1275*O1275</x:f>
        <x:v>0</x:v>
      </x:c>
    </x:row>
    <x:row r="1276" ht="19" customHeight="1">
      <x:c r="A1276" s="2"/>
      <x:c r="B1276" s="2"/>
      <x:c r="C1276" s="46" t="n">
        <x:v>5</x:v>
      </x:c>
      <x:c r="D1276" s="46" t="n">
        <x:v>21</x:v>
      </x:c>
      <x:c r="E1276" s="46" t="n">
        <x:v>3</x:v>
      </x:c>
      <x:c r="F1276" s="46" t="n">
        <x:v>3</x:v>
      </x:c>
      <x:c r="G1276" s="12" t="n">
        <x:v>0.1111111111111111</x:v>
      </x:c>
      <x:c r="H1276" s="12" t="n">
        <x:v>0.2222222222222222</x:v>
      </x:c>
      <x:c r="I1276" s="29" t="n">
        <x:f>'Assumptions'!$D$11+'Assumptions'!$D$12*(0.5-(G1276+H1276)/2)</x:f>
        <x:v>0.3666666666666667</x:v>
      </x:c>
      <x:c r="J1276" s="27" t="n">
        <x:f>'Assumptions'!$D$8*EXP(-'Assumptions'!$D$9*('Fleet Engine'!E215-10))*'Assumptions'!E58*'Assumptions'!I36</x:f>
        <x:v>12214.027581601698</x:v>
      </x:c>
      <x:c r="K1276" s="27" t="n">
        <x:f>'Source Data'!F220+LN('Assumptions'!D58)+LN('Assumptions'!I35)</x:f>
        <x:v>8.04371664078851</x:v>
      </x:c>
      <x:c r="L1276" s="27" t="n">
        <x:f>J1276*(1-I1276*(1-'Carrier Engine'!E96))</x:f>
        <x:v>7914.6898728779</x:v>
      </x:c>
      <x:c r="M1276" s="29" t="n">
        <x:f>NORM.S.DIST((LN(L1276)-K1276)/'Assumptions'!$D$10,TRUE)</x:f>
        <x:v>0.7237560438609862</x:v>
      </x:c>
      <x:c r="N1276" s="30" t="n">
        <x:f>MAX(0,H1276-MAX(G1276,M1276))</x:f>
        <x:v>0</x:v>
      </x:c>
      <x:c r="O1276" s="28" t="n">
        <x:f>J1276*I1276</x:f>
        <x:v>4478.476779920623</x:v>
      </x:c>
      <x:c r="P1276" s="27" t="n">
        <x:f>(VLOOKUP(O1276,'Fee Data'!$C$6:$G$50,2,TRUE)+O1276*VLOOKUP(O1276,'Fee Data'!$C$6:$G$50,3,TRUE)+VLOOKUP(O1276,'Fee Data'!$I$6:$J$14,2,TRUE)+'Fee Data'!$J$20+'Fee Data'!$J$21)*'Assumptions'!I37</x:f>
        <x:v>945</x:v>
      </x:c>
      <x:c r="Q1276" s="27" t="n">
        <x:f>(VLOOKUP(O1276,'Fee Data'!$C$6:$G$50,4,TRUE)+O1276*VLOOKUP(O1276,'Fee Data'!$C$6:$G$50,5,TRUE)+VLOOKUP(O1276,'Fee Data'!$I$6:$J$14,2,TRUE)+'Fee Data'!$J$20+'Fee Data'!$J$21)*'Assumptions'!I37</x:f>
        <x:v>820</x:v>
      </x:c>
      <x:c r="R1276" s="27" t="n">
        <x:f>P1276*(1-'Assumptions'!$D$14)+Q1276*'Assumptions'!$D$14</x:f>
        <x:v>882.5</x:v>
      </x:c>
      <x:c r="S1276" s="27" t="n">
        <x:f>O1276*'Carrier Engine'!E96</x:f>
        <x:v>179.13907119682491</x:v>
      </x:c>
      <x:c r="T1276" s="28" t="n">
        <x:f>R1276+S1276</x:f>
        <x:v>1061.639071196825</x:v>
      </x:c>
      <x:c r="U1276" s="27" t="n">
        <x:f>N1276*'Fleet Engine'!K215</x:f>
        <x:v>0</x:v>
      </x:c>
      <x:c r="V1276" s="28" t="n">
        <x:f>U1276*T1276</x:f>
        <x:v>0</x:v>
      </x:c>
      <x:c r="W1276" s="28" t="n">
        <x:f>U1276*O1276</x:f>
        <x:v>0</x:v>
      </x:c>
    </x:row>
    <x:row r="1277" ht="19" customHeight="1">
      <x:c r="A1277" s="2"/>
      <x:c r="B1277" s="2"/>
      <x:c r="C1277" s="46" t="n">
        <x:v>5</x:v>
      </x:c>
      <x:c r="D1277" s="46" t="n">
        <x:v>21</x:v>
      </x:c>
      <x:c r="E1277" s="46" t="n">
        <x:v>3</x:v>
      </x:c>
      <x:c r="F1277" s="46" t="n">
        <x:v>3</x:v>
      </x:c>
      <x:c r="G1277" s="12" t="n">
        <x:v>0.2222222222222222</x:v>
      </x:c>
      <x:c r="H1277" s="12" t="n">
        <x:v>0.3333333333333333</x:v>
      </x:c>
      <x:c r="I1277" s="29" t="n">
        <x:f>'Assumptions'!$D$11+'Assumptions'!$D$12*(0.5-(G1277+H1277)/2)</x:f>
        <x:v>0.34444444444444444</x:v>
      </x:c>
      <x:c r="J1277" s="27" t="n">
        <x:f>'Assumptions'!$D$8*EXP(-'Assumptions'!$D$9*('Fleet Engine'!E215-10))*'Assumptions'!E58*'Assumptions'!I36</x:f>
        <x:v>12214.027581601698</x:v>
      </x:c>
      <x:c r="K1277" s="27" t="n">
        <x:f>'Source Data'!F220+LN('Assumptions'!D58)+LN('Assumptions'!I35)</x:f>
        <x:v>8.04371664078851</x:v>
      </x:c>
      <x:c r="L1277" s="27" t="n">
        <x:f>J1277*(1-I1277*(1-'Carrier Engine'!E96))</x:f>
        <x:v>8175.255794618737</x:v>
      </x:c>
      <x:c r="M1277" s="29" t="n">
        <x:f>NORM.S.DIST((LN(L1277)-K1277)/'Assumptions'!$D$10,TRUE)</x:f>
        <x:v>0.730612011881529</x:v>
      </x:c>
      <x:c r="N1277" s="30" t="n">
        <x:f>MAX(0,H1277-MAX(G1277,M1277))</x:f>
        <x:v>0</x:v>
      </x:c>
      <x:c r="O1277" s="28" t="n">
        <x:f>J1277*I1277</x:f>
        <x:v>4207.053944773918</x:v>
      </x:c>
      <x:c r="P1277" s="27" t="n">
        <x:f>(VLOOKUP(O1277,'Fee Data'!$C$6:$G$50,2,TRUE)+O1277*VLOOKUP(O1277,'Fee Data'!$C$6:$G$50,3,TRUE)+VLOOKUP(O1277,'Fee Data'!$I$6:$J$14,2,TRUE)+'Fee Data'!$J$20+'Fee Data'!$J$21)*'Assumptions'!I37</x:f>
        <x:v>945</x:v>
      </x:c>
      <x:c r="Q1277" s="27" t="n">
        <x:f>(VLOOKUP(O1277,'Fee Data'!$C$6:$G$50,4,TRUE)+O1277*VLOOKUP(O1277,'Fee Data'!$C$6:$G$50,5,TRUE)+VLOOKUP(O1277,'Fee Data'!$I$6:$J$14,2,TRUE)+'Fee Data'!$J$20+'Fee Data'!$J$21)*'Assumptions'!I37</x:f>
        <x:v>820</x:v>
      </x:c>
      <x:c r="R1277" s="27" t="n">
        <x:f>P1277*(1-'Assumptions'!$D$14)+Q1277*'Assumptions'!$D$14</x:f>
        <x:v>882.5</x:v>
      </x:c>
      <x:c r="S1277" s="27" t="n">
        <x:f>O1277*'Carrier Engine'!E96</x:f>
        <x:v>168.28215779095675</x:v>
      </x:c>
      <x:c r="T1277" s="28" t="n">
        <x:f>R1277+S1277</x:f>
        <x:v>1050.7821577909567</x:v>
      </x:c>
      <x:c r="U1277" s="27" t="n">
        <x:f>N1277*'Fleet Engine'!K215</x:f>
        <x:v>0</x:v>
      </x:c>
      <x:c r="V1277" s="28" t="n">
        <x:f>U1277*T1277</x:f>
        <x:v>0</x:v>
      </x:c>
      <x:c r="W1277" s="28" t="n">
        <x:f>U1277*O1277</x:f>
        <x:v>0</x:v>
      </x:c>
    </x:row>
    <x:row r="1278" ht="19" customHeight="1">
      <x:c r="A1278" s="2"/>
      <x:c r="B1278" s="2"/>
      <x:c r="C1278" s="46" t="n">
        <x:v>5</x:v>
      </x:c>
      <x:c r="D1278" s="46" t="n">
        <x:v>21</x:v>
      </x:c>
      <x:c r="E1278" s="46" t="n">
        <x:v>3</x:v>
      </x:c>
      <x:c r="F1278" s="46" t="n">
        <x:v>3</x:v>
      </x:c>
      <x:c r="G1278" s="12" t="n">
        <x:v>0.3333333333333333</x:v>
      </x:c>
      <x:c r="H1278" s="12" t="n">
        <x:v>0.4444444444444444</x:v>
      </x:c>
      <x:c r="I1278" s="29" t="n">
        <x:f>'Assumptions'!$D$11+'Assumptions'!$D$12*(0.5-(G1278+H1278)/2)</x:f>
        <x:v>0.32222222222222224</x:v>
      </x:c>
      <x:c r="J1278" s="27" t="n">
        <x:f>'Assumptions'!$D$8*EXP(-'Assumptions'!$D$9*('Fleet Engine'!E215-10))*'Assumptions'!E58*'Assumptions'!I36</x:f>
        <x:v>12214.027581601698</x:v>
      </x:c>
      <x:c r="K1278" s="27" t="n">
        <x:f>'Source Data'!F220+LN('Assumptions'!D58)+LN('Assumptions'!I35)</x:f>
        <x:v>8.04371664078851</x:v>
      </x:c>
      <x:c r="L1278" s="27" t="n">
        <x:f>J1278*(1-I1278*(1-'Carrier Engine'!E96))</x:f>
        <x:v>8435.821716359573</x:v>
      </x:c>
      <x:c r="M1278" s="29" t="n">
        <x:f>NORM.S.DIST((LN(L1278)-K1278)/'Assumptions'!$D$10,TRUE)</x:f>
        <x:v>0.737170515190244</x:v>
      </x:c>
      <x:c r="N1278" s="30" t="n">
        <x:f>MAX(0,H1278-MAX(G1278,M1278))</x:f>
        <x:v>0</x:v>
      </x:c>
      <x:c r="O1278" s="28" t="n">
        <x:f>J1278*I1278</x:f>
        <x:v>3935.6311096272143</x:v>
      </x:c>
      <x:c r="P1278" s="27" t="n">
        <x:f>(VLOOKUP(O1278,'Fee Data'!$C$6:$G$50,2,TRUE)+O1278*VLOOKUP(O1278,'Fee Data'!$C$6:$G$50,3,TRUE)+VLOOKUP(O1278,'Fee Data'!$I$6:$J$14,2,TRUE)+'Fee Data'!$J$20+'Fee Data'!$J$21)*'Assumptions'!I37</x:f>
        <x:v>915</x:v>
      </x:c>
      <x:c r="Q1278" s="27" t="n">
        <x:f>(VLOOKUP(O1278,'Fee Data'!$C$6:$G$50,4,TRUE)+O1278*VLOOKUP(O1278,'Fee Data'!$C$6:$G$50,5,TRUE)+VLOOKUP(O1278,'Fee Data'!$I$6:$J$14,2,TRUE)+'Fee Data'!$J$20+'Fee Data'!$J$21)*'Assumptions'!I37</x:f>
        <x:v>765</x:v>
      </x:c>
      <x:c r="R1278" s="27" t="n">
        <x:f>P1278*(1-'Assumptions'!$D$14)+Q1278*'Assumptions'!$D$14</x:f>
        <x:v>840</x:v>
      </x:c>
      <x:c r="S1278" s="27" t="n">
        <x:f>O1278*'Carrier Engine'!E96</x:f>
        <x:v>157.42524438508858</x:v>
      </x:c>
      <x:c r="T1278" s="28" t="n">
        <x:f>R1278+S1278</x:f>
        <x:v>997.4252443850886</x:v>
      </x:c>
      <x:c r="U1278" s="27" t="n">
        <x:f>N1278*'Fleet Engine'!K215</x:f>
        <x:v>0</x:v>
      </x:c>
      <x:c r="V1278" s="28" t="n">
        <x:f>U1278*T1278</x:f>
        <x:v>0</x:v>
      </x:c>
      <x:c r="W1278" s="28" t="n">
        <x:f>U1278*O1278</x:f>
        <x:v>0</x:v>
      </x:c>
    </x:row>
    <x:row r="1279" ht="19" customHeight="1">
      <x:c r="A1279" s="2"/>
      <x:c r="B1279" s="2"/>
      <x:c r="C1279" s="46" t="n">
        <x:v>5</x:v>
      </x:c>
      <x:c r="D1279" s="46" t="n">
        <x:v>21</x:v>
      </x:c>
      <x:c r="E1279" s="46" t="n">
        <x:v>3</x:v>
      </x:c>
      <x:c r="F1279" s="46" t="n">
        <x:v>3</x:v>
      </x:c>
      <x:c r="G1279" s="12" t="n">
        <x:v>0.4444444444444444</x:v>
      </x:c>
      <x:c r="H1279" s="12" t="n">
        <x:v>0.5555555555555556</x:v>
      </x:c>
      <x:c r="I1279" s="29" t="n">
        <x:f>'Assumptions'!$D$11+'Assumptions'!$D$12*(0.5-(G1279+H1279)/2)</x:f>
        <x:v>0.3</x:v>
      </x:c>
      <x:c r="J1279" s="27" t="n">
        <x:f>'Assumptions'!$D$8*EXP(-'Assumptions'!$D$9*('Fleet Engine'!E215-10))*'Assumptions'!E58*'Assumptions'!I36</x:f>
        <x:v>12214.027581601698</x:v>
      </x:c>
      <x:c r="K1279" s="27" t="n">
        <x:f>'Source Data'!F220+LN('Assumptions'!D58)+LN('Assumptions'!I35)</x:f>
        <x:v>8.04371664078851</x:v>
      </x:c>
      <x:c r="L1279" s="27" t="n">
        <x:f>J1279*(1-I1279*(1-'Carrier Engine'!E96))</x:f>
        <x:v>8696.387638100408</x:v>
      </x:c>
      <x:c r="M1279" s="29" t="n">
        <x:f>NORM.S.DIST((LN(L1279)-K1279)/'Assumptions'!$D$10,TRUE)</x:f>
        <x:v>0.7434505950635955</x:v>
      </x:c>
      <x:c r="N1279" s="30" t="n">
        <x:f>MAX(0,H1279-MAX(G1279,M1279))</x:f>
        <x:v>0</x:v>
      </x:c>
      <x:c r="O1279" s="28" t="n">
        <x:f>J1279*I1279</x:f>
        <x:v>3664.2082744805093</x:v>
      </x:c>
      <x:c r="P1279" s="27" t="n">
        <x:f>(VLOOKUP(O1279,'Fee Data'!$C$6:$G$50,2,TRUE)+O1279*VLOOKUP(O1279,'Fee Data'!$C$6:$G$50,3,TRUE)+VLOOKUP(O1279,'Fee Data'!$I$6:$J$14,2,TRUE)+'Fee Data'!$J$20+'Fee Data'!$J$21)*'Assumptions'!I37</x:f>
        <x:v>915</x:v>
      </x:c>
      <x:c r="Q1279" s="27" t="n">
        <x:f>(VLOOKUP(O1279,'Fee Data'!$C$6:$G$50,4,TRUE)+O1279*VLOOKUP(O1279,'Fee Data'!$C$6:$G$50,5,TRUE)+VLOOKUP(O1279,'Fee Data'!$I$6:$J$14,2,TRUE)+'Fee Data'!$J$20+'Fee Data'!$J$21)*'Assumptions'!I37</x:f>
        <x:v>765</x:v>
      </x:c>
      <x:c r="R1279" s="27" t="n">
        <x:f>P1279*(1-'Assumptions'!$D$14)+Q1279*'Assumptions'!$D$14</x:f>
        <x:v>840</x:v>
      </x:c>
      <x:c r="S1279" s="27" t="n">
        <x:f>O1279*'Carrier Engine'!E96</x:f>
        <x:v>146.56833097922038</x:v>
      </x:c>
      <x:c r="T1279" s="28" t="n">
        <x:f>R1279+S1279</x:f>
        <x:v>986.5683309792204</x:v>
      </x:c>
      <x:c r="U1279" s="27" t="n">
        <x:f>N1279*'Fleet Engine'!K215</x:f>
        <x:v>0</x:v>
      </x:c>
      <x:c r="V1279" s="28" t="n">
        <x:f>U1279*T1279</x:f>
        <x:v>0</x:v>
      </x:c>
      <x:c r="W1279" s="28" t="n">
        <x:f>U1279*O1279</x:f>
        <x:v>0</x:v>
      </x:c>
    </x:row>
    <x:row r="1280" ht="19" customHeight="1">
      <x:c r="A1280" s="2"/>
      <x:c r="B1280" s="2"/>
      <x:c r="C1280" s="46" t="n">
        <x:v>5</x:v>
      </x:c>
      <x:c r="D1280" s="46" t="n">
        <x:v>21</x:v>
      </x:c>
      <x:c r="E1280" s="46" t="n">
        <x:v>3</x:v>
      </x:c>
      <x:c r="F1280" s="46" t="n">
        <x:v>3</x:v>
      </x:c>
      <x:c r="G1280" s="12" t="n">
        <x:v>0.5555555555555556</x:v>
      </x:c>
      <x:c r="H1280" s="12" t="n">
        <x:v>0.6666666666666666</x:v>
      </x:c>
      <x:c r="I1280" s="29" t="n">
        <x:f>'Assumptions'!$D$11+'Assumptions'!$D$12*(0.5-(G1280+H1280)/2)</x:f>
        <x:v>0.27777777777777773</x:v>
      </x:c>
      <x:c r="J1280" s="27" t="n">
        <x:f>'Assumptions'!$D$8*EXP(-'Assumptions'!$D$9*('Fleet Engine'!E215-10))*'Assumptions'!E58*'Assumptions'!I36</x:f>
        <x:v>12214.027581601698</x:v>
      </x:c>
      <x:c r="K1280" s="27" t="n">
        <x:f>'Source Data'!F220+LN('Assumptions'!D58)+LN('Assumptions'!I35)</x:f>
        <x:v>8.04371664078851</x:v>
      </x:c>
      <x:c r="L1280" s="27" t="n">
        <x:f>J1280*(1-I1280*(1-'Carrier Engine'!E96))</x:f>
        <x:v>8956.953559841246</x:v>
      </x:c>
      <x:c r="M1280" s="29" t="n">
        <x:f>NORM.S.DIST((LN(L1280)-K1280)/'Assumptions'!$D$10,TRUE)</x:f>
        <x:v>0.7494696686328344</x:v>
      </x:c>
      <x:c r="N1280" s="30" t="n">
        <x:f>MAX(0,H1280-MAX(G1280,M1280))</x:f>
        <x:v>0</x:v>
      </x:c>
      <x:c r="O1280" s="28" t="n">
        <x:f>J1280*I1280</x:f>
        <x:v>3392.785439333805</x:v>
      </x:c>
      <x:c r="P1280" s="27" t="n">
        <x:f>(VLOOKUP(O1280,'Fee Data'!$C$6:$G$50,2,TRUE)+O1280*VLOOKUP(O1280,'Fee Data'!$C$6:$G$50,3,TRUE)+VLOOKUP(O1280,'Fee Data'!$I$6:$J$14,2,TRUE)+'Fee Data'!$J$20+'Fee Data'!$J$21)*'Assumptions'!I37</x:f>
        <x:v>865</x:v>
      </x:c>
      <x:c r="Q1280" s="27" t="n">
        <x:f>(VLOOKUP(O1280,'Fee Data'!$C$6:$G$50,4,TRUE)+O1280*VLOOKUP(O1280,'Fee Data'!$C$6:$G$50,5,TRUE)+VLOOKUP(O1280,'Fee Data'!$I$6:$J$14,2,TRUE)+'Fee Data'!$J$20+'Fee Data'!$J$21)*'Assumptions'!I37</x:f>
        <x:v>715</x:v>
      </x:c>
      <x:c r="R1280" s="27" t="n">
        <x:f>P1280*(1-'Assumptions'!$D$14)+Q1280*'Assumptions'!$D$14</x:f>
        <x:v>790</x:v>
      </x:c>
      <x:c r="S1280" s="27" t="n">
        <x:f>O1280*'Carrier Engine'!E96</x:f>
        <x:v>135.7114175733522</x:v>
      </x:c>
      <x:c r="T1280" s="28" t="n">
        <x:f>R1280+S1280</x:f>
        <x:v>925.7114175733523</x:v>
      </x:c>
      <x:c r="U1280" s="27" t="n">
        <x:f>N1280*'Fleet Engine'!K215</x:f>
        <x:v>0</x:v>
      </x:c>
      <x:c r="V1280" s="28" t="n">
        <x:f>U1280*T1280</x:f>
        <x:v>0</x:v>
      </x:c>
      <x:c r="W1280" s="28" t="n">
        <x:f>U1280*O1280</x:f>
        <x:v>0</x:v>
      </x:c>
    </x:row>
    <x:row r="1281" ht="19" customHeight="1">
      <x:c r="A1281" s="2"/>
      <x:c r="B1281" s="2"/>
      <x:c r="C1281" s="46" t="n">
        <x:v>5</x:v>
      </x:c>
      <x:c r="D1281" s="46" t="n">
        <x:v>21</x:v>
      </x:c>
      <x:c r="E1281" s="46" t="n">
        <x:v>3</x:v>
      </x:c>
      <x:c r="F1281" s="46" t="n">
        <x:v>3</x:v>
      </x:c>
      <x:c r="G1281" s="12" t="n">
        <x:v>0.6666666666666666</x:v>
      </x:c>
      <x:c r="H1281" s="12" t="n">
        <x:v>0.7777777777777778</x:v>
      </x:c>
      <x:c r="I1281" s="29" t="n">
        <x:f>'Assumptions'!$D$11+'Assumptions'!$D$12*(0.5-(G1281+H1281)/2)</x:f>
        <x:v>0.25555555555555554</x:v>
      </x:c>
      <x:c r="J1281" s="27" t="n">
        <x:f>'Assumptions'!$D$8*EXP(-'Assumptions'!$D$9*('Fleet Engine'!E215-10))*'Assumptions'!E58*'Assumptions'!I36</x:f>
        <x:v>12214.027581601698</x:v>
      </x:c>
      <x:c r="K1281" s="27" t="n">
        <x:f>'Source Data'!F220+LN('Assumptions'!D58)+LN('Assumptions'!I35)</x:f>
        <x:v>8.04371664078851</x:v>
      </x:c>
      <x:c r="L1281" s="27" t="n">
        <x:f>J1281*(1-I1281*(1-'Carrier Engine'!E96))</x:f>
        <x:v>9217.519481582081</x:v>
      </x:c>
      <x:c r="M1281" s="29" t="n">
        <x:f>NORM.S.DIST((LN(L1281)-K1281)/'Assumptions'!$D$10,TRUE)</x:f>
        <x:v>0.755243701876744</x:v>
      </x:c>
      <x:c r="N1281" s="30" t="n">
        <x:f>MAX(0,H1281-MAX(G1281,M1281))</x:f>
        <x:v>0.022534075901033845</x:v>
      </x:c>
      <x:c r="O1281" s="28" t="n">
        <x:f>J1281*I1281</x:f>
        <x:v>3121.3626041871003</x:v>
      </x:c>
      <x:c r="P1281" s="27" t="n">
        <x:f>(VLOOKUP(O1281,'Fee Data'!$C$6:$G$50,2,TRUE)+O1281*VLOOKUP(O1281,'Fee Data'!$C$6:$G$50,3,TRUE)+VLOOKUP(O1281,'Fee Data'!$I$6:$J$14,2,TRUE)+'Fee Data'!$J$20+'Fee Data'!$J$21)*'Assumptions'!I37</x:f>
        <x:v>865</x:v>
      </x:c>
      <x:c r="Q1281" s="27" t="n">
        <x:f>(VLOOKUP(O1281,'Fee Data'!$C$6:$G$50,4,TRUE)+O1281*VLOOKUP(O1281,'Fee Data'!$C$6:$G$50,5,TRUE)+VLOOKUP(O1281,'Fee Data'!$I$6:$J$14,2,TRUE)+'Fee Data'!$J$20+'Fee Data'!$J$21)*'Assumptions'!I37</x:f>
        <x:v>715</x:v>
      </x:c>
      <x:c r="R1281" s="27" t="n">
        <x:f>P1281*(1-'Assumptions'!$D$14)+Q1281*'Assumptions'!$D$14</x:f>
        <x:v>790</x:v>
      </x:c>
      <x:c r="S1281" s="27" t="n">
        <x:f>O1281*'Carrier Engine'!E96</x:f>
        <x:v>124.85450416748401</x:v>
      </x:c>
      <x:c r="T1281" s="28" t="n">
        <x:f>R1281+S1281</x:f>
        <x:v>914.854504167484</x:v>
      </x:c>
      <x:c r="U1281" s="27" t="n">
        <x:f>N1281*'Fleet Engine'!K215</x:f>
        <x:v>47.516277619294605</x:v>
      </x:c>
      <x:c r="V1281" s="28" t="n">
        <x:f>U1281*T1281</x:f>
        <x:v>43470.48060128428</x:v>
      </x:c>
      <x:c r="W1281" s="28" t="n">
        <x:f>U1281*O1281</x:f>
        <x:v>148315.53205103864</x:v>
      </x:c>
    </x:row>
    <x:row r="1282" ht="19" customHeight="1">
      <x:c r="A1282" s="2"/>
      <x:c r="B1282" s="2"/>
      <x:c r="C1282" s="46" t="n">
        <x:v>5</x:v>
      </x:c>
      <x:c r="D1282" s="46" t="n">
        <x:v>21</x:v>
      </x:c>
      <x:c r="E1282" s="46" t="n">
        <x:v>3</x:v>
      </x:c>
      <x:c r="F1282" s="46" t="n">
        <x:v>3</x:v>
      </x:c>
      <x:c r="G1282" s="12" t="n">
        <x:v>0.7777777777777778</x:v>
      </x:c>
      <x:c r="H1282" s="12" t="n">
        <x:v>0.8888888888888888</x:v>
      </x:c>
      <x:c r="I1282" s="29" t="n">
        <x:f>'Assumptions'!$D$11+'Assumptions'!$D$12*(0.5-(G1282+H1282)/2)</x:f>
        <x:v>0.23333333333333334</x:v>
      </x:c>
      <x:c r="J1282" s="27" t="n">
        <x:f>'Assumptions'!$D$8*EXP(-'Assumptions'!$D$9*('Fleet Engine'!E215-10))*'Assumptions'!E58*'Assumptions'!I36</x:f>
        <x:v>12214.027581601698</x:v>
      </x:c>
      <x:c r="K1282" s="27" t="n">
        <x:f>'Source Data'!F220+LN('Assumptions'!D58)+LN('Assumptions'!I35)</x:f>
        <x:v>8.04371664078851</x:v>
      </x:c>
      <x:c r="L1282" s="27" t="n">
        <x:f>J1282*(1-I1282*(1-'Carrier Engine'!E96))</x:f>
        <x:v>9478.085403322919</x:v>
      </x:c>
      <x:c r="M1282" s="29" t="n">
        <x:f>NORM.S.DIST((LN(L1282)-K1282)/'Assumptions'!$D$10,TRUE)</x:f>
        <x:v>0.7607873605938249</x:v>
      </x:c>
      <x:c r="N1282" s="30" t="n">
        <x:f>MAX(0,H1282-MAX(G1282,M1282))</x:f>
        <x:v>0.11111111111111105</x:v>
      </x:c>
      <x:c r="O1282" s="28" t="n">
        <x:f>J1282*I1282</x:f>
        <x:v>2849.939769040396</x:v>
      </x:c>
      <x:c r="P1282" s="27" t="n">
        <x:f>(VLOOKUP(O1282,'Fee Data'!$C$6:$G$50,2,TRUE)+O1282*VLOOKUP(O1282,'Fee Data'!$C$6:$G$50,3,TRUE)+VLOOKUP(O1282,'Fee Data'!$I$6:$J$14,2,TRUE)+'Fee Data'!$J$20+'Fee Data'!$J$21)*'Assumptions'!I37</x:f>
        <x:v>820</x:v>
      </x:c>
      <x:c r="Q1282" s="27" t="n">
        <x:f>(VLOOKUP(O1282,'Fee Data'!$C$6:$G$50,4,TRUE)+O1282*VLOOKUP(O1282,'Fee Data'!$C$6:$G$50,5,TRUE)+VLOOKUP(O1282,'Fee Data'!$I$6:$J$14,2,TRUE)+'Fee Data'!$J$20+'Fee Data'!$J$21)*'Assumptions'!I37</x:f>
        <x:v>670</x:v>
      </x:c>
      <x:c r="R1282" s="27" t="n">
        <x:f>P1282*(1-'Assumptions'!$D$14)+Q1282*'Assumptions'!$D$14</x:f>
        <x:v>745</x:v>
      </x:c>
      <x:c r="S1282" s="27" t="n">
        <x:f>O1282*'Carrier Engine'!E96</x:f>
        <x:v>113.99759076161585</x:v>
      </x:c>
      <x:c r="T1282" s="28" t="n">
        <x:f>R1282+S1282</x:f>
        <x:v>858.9975907616158</x:v>
      </x:c>
      <x:c r="U1282" s="27" t="n">
        <x:f>N1282*'Fleet Engine'!K215</x:f>
        <x:v>234.2934507423763</x:v>
      </x:c>
      <x:c r="V1282" s="28" t="n">
        <x:f>U1282*T1282</x:f>
        <x:v>201257.50971892657</x:v>
      </x:c>
      <x:c r="W1282" s="28" t="n">
        <x:f>U1282*O1282</x:f>
        <x:v>667722.2228964054</x:v>
      </x:c>
    </x:row>
    <x:row r="1283" ht="19" customHeight="1">
      <x:c r="A1283" s="2"/>
      <x:c r="B1283" s="2"/>
      <x:c r="C1283" s="46" t="n">
        <x:v>5</x:v>
      </x:c>
      <x:c r="D1283" s="46" t="n">
        <x:v>21</x:v>
      </x:c>
      <x:c r="E1283" s="46" t="n">
        <x:v>3</x:v>
      </x:c>
      <x:c r="F1283" s="46" t="n">
        <x:v>3</x:v>
      </x:c>
      <x:c r="G1283" s="12" t="n">
        <x:v>0.8888888888888888</x:v>
      </x:c>
      <x:c r="H1283" s="12" t="n">
        <x:v>1</x:v>
      </x:c>
      <x:c r="I1283" s="29" t="n">
        <x:f>'Assumptions'!$D$11+'Assumptions'!$D$12*(0.5-(G1283+H1283)/2)</x:f>
        <x:v>0.21111111111111108</x:v>
      </x:c>
      <x:c r="J1283" s="27" t="n">
        <x:f>'Assumptions'!$D$8*EXP(-'Assumptions'!$D$9*('Fleet Engine'!E215-10))*'Assumptions'!E58*'Assumptions'!I36</x:f>
        <x:v>12214.027581601698</x:v>
      </x:c>
      <x:c r="K1283" s="27" t="n">
        <x:f>'Source Data'!F220+LN('Assumptions'!D58)+LN('Assumptions'!I35)</x:f>
        <x:v>8.04371664078851</x:v>
      </x:c>
      <x:c r="L1283" s="27" t="n">
        <x:f>J1283*(1-I1283*(1-'Carrier Engine'!E96))</x:f>
        <x:v>9738.651325063754</x:v>
      </x:c>
      <x:c r="M1283" s="29" t="n">
        <x:f>NORM.S.DIST((LN(L1283)-K1283)/'Assumptions'!$D$10,TRUE)</x:f>
        <x:v>0.7661141426007128</x:v>
      </x:c>
      <x:c r="N1283" s="30" t="n">
        <x:f>MAX(0,H1283-MAX(G1283,M1283))</x:f>
        <x:v>0.11111111111111116</x:v>
      </x:c>
      <x:c r="O1283" s="28" t="n">
        <x:f>J1283*I1283</x:f>
        <x:v>2578.5169338936917</x:v>
      </x:c>
      <x:c r="P1283" s="27" t="n">
        <x:f>(VLOOKUP(O1283,'Fee Data'!$C$6:$G$50,2,TRUE)+O1283*VLOOKUP(O1283,'Fee Data'!$C$6:$G$50,3,TRUE)+VLOOKUP(O1283,'Fee Data'!$I$6:$J$14,2,TRUE)+'Fee Data'!$J$20+'Fee Data'!$J$21)*'Assumptions'!I37</x:f>
        <x:v>820</x:v>
      </x:c>
      <x:c r="Q1283" s="27" t="n">
        <x:f>(VLOOKUP(O1283,'Fee Data'!$C$6:$G$50,4,TRUE)+O1283*VLOOKUP(O1283,'Fee Data'!$C$6:$G$50,5,TRUE)+VLOOKUP(O1283,'Fee Data'!$I$6:$J$14,2,TRUE)+'Fee Data'!$J$20+'Fee Data'!$J$21)*'Assumptions'!I37</x:f>
        <x:v>670</x:v>
      </x:c>
      <x:c r="R1283" s="27" t="n">
        <x:f>P1283*(1-'Assumptions'!$D$14)+Q1283*'Assumptions'!$D$14</x:f>
        <x:v>745</x:v>
      </x:c>
      <x:c r="S1283" s="27" t="n">
        <x:f>O1283*'Carrier Engine'!E96</x:f>
        <x:v>103.14067735574767</x:v>
      </x:c>
      <x:c r="T1283" s="28" t="n">
        <x:f>R1283+S1283</x:f>
        <x:v>848.1406773557477</x:v>
      </x:c>
      <x:c r="U1283" s="27" t="n">
        <x:f>N1283*'Fleet Engine'!K215</x:f>
        <x:v>234.29345074237654</x:v>
      </x:c>
      <x:c r="V1283" s="28" t="n">
        <x:f>U1283*T1283</x:f>
        <x:v>198713.80601265474</x:v>
      </x:c>
      <x:c r="W1283" s="28" t="n">
        <x:f>U1283*O1283</x:f>
        <x:v>604129.6302396054</x:v>
      </x:c>
    </x:row>
    <x:row r="1284" ht="19" customHeight="1">
      <x:c r="A1284" s="2"/>
      <x:c r="B1284" s="2"/>
      <x:c r="C1284" s="46" t="n">
        <x:v>5</x:v>
      </x:c>
      <x:c r="D1284" s="46" t="n">
        <x:v>22</x:v>
      </x:c>
      <x:c r="E1284" s="46" t="n">
        <x:v>3</x:v>
      </x:c>
      <x:c r="F1284" s="46" t="n">
        <x:v>4</x:v>
      </x:c>
      <x:c r="G1284" s="12" t="n">
        <x:v>0</x:v>
      </x:c>
      <x:c r="H1284" s="12" t="n">
        <x:v>0.1111111111111111</x:v>
      </x:c>
      <x:c r="I1284" s="29" t="n">
        <x:f>'Assumptions'!$D$11+'Assumptions'!$D$12*(0.5-(G1284+H1284)/2)</x:f>
        <x:v>0.3888888888888889</x:v>
      </x:c>
      <x:c r="J1284" s="27" t="n">
        <x:f>'Assumptions'!$D$8*EXP(-'Assumptions'!$D$9*('Fleet Engine'!E216-10))*'Assumptions'!E58*'Assumptions'!I36</x:f>
        <x:v>9048.374180359595</x:v>
      </x:c>
      <x:c r="K1284" s="27" t="n">
        <x:f>'Source Data'!F221+LN('Assumptions'!D58)+LN('Assumptions'!I35)</x:f>
        <x:v>8.129564769703762</x:v>
      </x:c>
      <x:c r="L1284" s="27" t="n">
        <x:f>J1284*(1-I1284*(1-'Carrier Engine'!E96))</x:f>
        <x:v>5670.3144863586795</x:v>
      </x:c>
      <x:c r="M1284" s="29" t="n">
        <x:f>NORM.S.DIST((LN(L1284)-K1284)/'Assumptions'!$D$10,TRUE)</x:f>
        <x:v>0.6281606975277834</x:v>
      </x:c>
      <x:c r="N1284" s="30" t="n">
        <x:f>MAX(0,H1284-MAX(G1284,M1284))</x:f>
        <x:v>0</x:v>
      </x:c>
      <x:c r="O1284" s="28" t="n">
        <x:f>J1284*I1284</x:f>
        <x:v>3518.8121812509535</x:v>
      </x:c>
      <x:c r="P1284" s="27" t="n">
        <x:f>(VLOOKUP(O1284,'Fee Data'!$C$6:$G$50,2,TRUE)+O1284*VLOOKUP(O1284,'Fee Data'!$C$6:$G$50,3,TRUE)+VLOOKUP(O1284,'Fee Data'!$I$6:$J$14,2,TRUE)+'Fee Data'!$J$20+'Fee Data'!$J$21)*'Assumptions'!I37</x:f>
        <x:v>915</x:v>
      </x:c>
      <x:c r="Q1284" s="27" t="n">
        <x:f>(VLOOKUP(O1284,'Fee Data'!$C$6:$G$50,4,TRUE)+O1284*VLOOKUP(O1284,'Fee Data'!$C$6:$G$50,5,TRUE)+VLOOKUP(O1284,'Fee Data'!$I$6:$J$14,2,TRUE)+'Fee Data'!$J$20+'Fee Data'!$J$21)*'Assumptions'!I37</x:f>
        <x:v>765</x:v>
      </x:c>
      <x:c r="R1284" s="27" t="n">
        <x:f>P1284*(1-'Assumptions'!$D$14)+Q1284*'Assumptions'!$D$14</x:f>
        <x:v>840</x:v>
      </x:c>
      <x:c r="S1284" s="27" t="n">
        <x:f>O1284*'Carrier Engine'!E96</x:f>
        <x:v>140.75248725003814</x:v>
      </x:c>
      <x:c r="T1284" s="28" t="n">
        <x:f>R1284+S1284</x:f>
        <x:v>980.7524872500381</x:v>
      </x:c>
      <x:c r="U1284" s="27" t="n">
        <x:f>N1284*'Fleet Engine'!K216</x:f>
        <x:v>0</x:v>
      </x:c>
      <x:c r="V1284" s="28" t="n">
        <x:f>U1284*T1284</x:f>
        <x:v>0</x:v>
      </x:c>
      <x:c r="W1284" s="28" t="n">
        <x:f>U1284*O1284</x:f>
        <x:v>0</x:v>
      </x:c>
    </x:row>
    <x:row r="1285" ht="19" customHeight="1">
      <x:c r="A1285" s="2"/>
      <x:c r="B1285" s="2"/>
      <x:c r="C1285" s="46" t="n">
        <x:v>5</x:v>
      </x:c>
      <x:c r="D1285" s="46" t="n">
        <x:v>22</x:v>
      </x:c>
      <x:c r="E1285" s="46" t="n">
        <x:v>3</x:v>
      </x:c>
      <x:c r="F1285" s="46" t="n">
        <x:v>4</x:v>
      </x:c>
      <x:c r="G1285" s="12" t="n">
        <x:v>0.1111111111111111</x:v>
      </x:c>
      <x:c r="H1285" s="12" t="n">
        <x:v>0.2222222222222222</x:v>
      </x:c>
      <x:c r="I1285" s="29" t="n">
        <x:f>'Assumptions'!$D$11+'Assumptions'!$D$12*(0.5-(G1285+H1285)/2)</x:f>
        <x:v>0.3666666666666667</x:v>
      </x:c>
      <x:c r="J1285" s="27" t="n">
        <x:f>'Assumptions'!$D$8*EXP(-'Assumptions'!$D$9*('Fleet Engine'!E216-10))*'Assumptions'!E58*'Assumptions'!I36</x:f>
        <x:v>9048.374180359595</x:v>
      </x:c>
      <x:c r="K1285" s="27" t="n">
        <x:f>'Source Data'!F221+LN('Assumptions'!D58)+LN('Assumptions'!I35)</x:f>
        <x:v>8.129564769703762</x:v>
      </x:c>
      <x:c r="L1285" s="27" t="n">
        <x:f>J1285*(1-I1285*(1-'Carrier Engine'!E96))</x:f>
        <x:v>5863.346468873016</x:v>
      </x:c>
      <x:c r="M1285" s="29" t="n">
        <x:f>NORM.S.DIST((LN(L1285)-K1285)/'Assumptions'!$D$10,TRUE)</x:f>
        <x:v>0.6361945348683504</x:v>
      </x:c>
      <x:c r="N1285" s="30" t="n">
        <x:f>MAX(0,H1285-MAX(G1285,M1285))</x:f>
        <x:v>0</x:v>
      </x:c>
      <x:c r="O1285" s="28" t="n">
        <x:f>J1285*I1285</x:f>
        <x:v>3317.737199465185</x:v>
      </x:c>
      <x:c r="P1285" s="27" t="n">
        <x:f>(VLOOKUP(O1285,'Fee Data'!$C$6:$G$50,2,TRUE)+O1285*VLOOKUP(O1285,'Fee Data'!$C$6:$G$50,3,TRUE)+VLOOKUP(O1285,'Fee Data'!$I$6:$J$14,2,TRUE)+'Fee Data'!$J$20+'Fee Data'!$J$21)*'Assumptions'!I37</x:f>
        <x:v>865</x:v>
      </x:c>
      <x:c r="Q1285" s="27" t="n">
        <x:f>(VLOOKUP(O1285,'Fee Data'!$C$6:$G$50,4,TRUE)+O1285*VLOOKUP(O1285,'Fee Data'!$C$6:$G$50,5,TRUE)+VLOOKUP(O1285,'Fee Data'!$I$6:$J$14,2,TRUE)+'Fee Data'!$J$20+'Fee Data'!$J$21)*'Assumptions'!I37</x:f>
        <x:v>715</x:v>
      </x:c>
      <x:c r="R1285" s="27" t="n">
        <x:f>P1285*(1-'Assumptions'!$D$14)+Q1285*'Assumptions'!$D$14</x:f>
        <x:v>790</x:v>
      </x:c>
      <x:c r="S1285" s="27" t="n">
        <x:f>O1285*'Carrier Engine'!E96</x:f>
        <x:v>132.7094879786074</x:v>
      </x:c>
      <x:c r="T1285" s="28" t="n">
        <x:f>R1285+S1285</x:f>
        <x:v>922.7094879786074</x:v>
      </x:c>
      <x:c r="U1285" s="27" t="n">
        <x:f>N1285*'Fleet Engine'!K216</x:f>
        <x:v>0</x:v>
      </x:c>
      <x:c r="V1285" s="28" t="n">
        <x:f>U1285*T1285</x:f>
        <x:v>0</x:v>
      </x:c>
      <x:c r="W1285" s="28" t="n">
        <x:f>U1285*O1285</x:f>
        <x:v>0</x:v>
      </x:c>
    </x:row>
    <x:row r="1286" ht="19" customHeight="1">
      <x:c r="A1286" s="2"/>
      <x:c r="B1286" s="2"/>
      <x:c r="C1286" s="46" t="n">
        <x:v>5</x:v>
      </x:c>
      <x:c r="D1286" s="46" t="n">
        <x:v>22</x:v>
      </x:c>
      <x:c r="E1286" s="46" t="n">
        <x:v>3</x:v>
      </x:c>
      <x:c r="F1286" s="46" t="n">
        <x:v>4</x:v>
      </x:c>
      <x:c r="G1286" s="12" t="n">
        <x:v>0.2222222222222222</x:v>
      </x:c>
      <x:c r="H1286" s="12" t="n">
        <x:v>0.3333333333333333</x:v>
      </x:c>
      <x:c r="I1286" s="29" t="n">
        <x:f>'Assumptions'!$D$11+'Assumptions'!$D$12*(0.5-(G1286+H1286)/2)</x:f>
        <x:v>0.34444444444444444</x:v>
      </x:c>
      <x:c r="J1286" s="27" t="n">
        <x:f>'Assumptions'!$D$8*EXP(-'Assumptions'!$D$9*('Fleet Engine'!E216-10))*'Assumptions'!E58*'Assumptions'!I36</x:f>
        <x:v>9048.374180359595</x:v>
      </x:c>
      <x:c r="K1286" s="27" t="n">
        <x:f>'Source Data'!F221+LN('Assumptions'!D58)+LN('Assumptions'!I35)</x:f>
        <x:v>8.129564769703762</x:v>
      </x:c>
      <x:c r="L1286" s="27" t="n">
        <x:f>J1286*(1-I1286*(1-'Carrier Engine'!E96))</x:f>
        <x:v>6056.378451387355</x:v>
      </x:c>
      <x:c r="M1286" s="29" t="n">
        <x:f>NORM.S.DIST((LN(L1286)-K1286)/'Assumptions'!$D$10,TRUE)</x:f>
        <x:v>0.6439115766417938</x:v>
      </x:c>
      <x:c r="N1286" s="30" t="n">
        <x:f>MAX(0,H1286-MAX(G1286,M1286))</x:f>
        <x:v>0</x:v>
      </x:c>
      <x:c r="O1286" s="28" t="n">
        <x:f>J1286*I1286</x:f>
        <x:v>3116.662217679416</x:v>
      </x:c>
      <x:c r="P1286" s="27" t="n">
        <x:f>(VLOOKUP(O1286,'Fee Data'!$C$6:$G$50,2,TRUE)+O1286*VLOOKUP(O1286,'Fee Data'!$C$6:$G$50,3,TRUE)+VLOOKUP(O1286,'Fee Data'!$I$6:$J$14,2,TRUE)+'Fee Data'!$J$20+'Fee Data'!$J$21)*'Assumptions'!I37</x:f>
        <x:v>865</x:v>
      </x:c>
      <x:c r="Q1286" s="27" t="n">
        <x:f>(VLOOKUP(O1286,'Fee Data'!$C$6:$G$50,4,TRUE)+O1286*VLOOKUP(O1286,'Fee Data'!$C$6:$G$50,5,TRUE)+VLOOKUP(O1286,'Fee Data'!$I$6:$J$14,2,TRUE)+'Fee Data'!$J$20+'Fee Data'!$J$21)*'Assumptions'!I37</x:f>
        <x:v>715</x:v>
      </x:c>
      <x:c r="R1286" s="27" t="n">
        <x:f>P1286*(1-'Assumptions'!$D$14)+Q1286*'Assumptions'!$D$14</x:f>
        <x:v>790</x:v>
      </x:c>
      <x:c r="S1286" s="27" t="n">
        <x:f>O1286*'Carrier Engine'!E96</x:f>
        <x:v>124.66648870717664</x:v>
      </x:c>
      <x:c r="T1286" s="28" t="n">
        <x:f>R1286+S1286</x:f>
        <x:v>914.6664887071767</x:v>
      </x:c>
      <x:c r="U1286" s="27" t="n">
        <x:f>N1286*'Fleet Engine'!K216</x:f>
        <x:v>0</x:v>
      </x:c>
      <x:c r="V1286" s="28" t="n">
        <x:f>U1286*T1286</x:f>
        <x:v>0</x:v>
      </x:c>
      <x:c r="W1286" s="28" t="n">
        <x:f>U1286*O1286</x:f>
        <x:v>0</x:v>
      </x:c>
    </x:row>
    <x:row r="1287" ht="19" customHeight="1">
      <x:c r="A1287" s="2"/>
      <x:c r="B1287" s="2"/>
      <x:c r="C1287" s="46" t="n">
        <x:v>5</x:v>
      </x:c>
      <x:c r="D1287" s="46" t="n">
        <x:v>22</x:v>
      </x:c>
      <x:c r="E1287" s="46" t="n">
        <x:v>3</x:v>
      </x:c>
      <x:c r="F1287" s="46" t="n">
        <x:v>4</x:v>
      </x:c>
      <x:c r="G1287" s="12" t="n">
        <x:v>0.3333333333333333</x:v>
      </x:c>
      <x:c r="H1287" s="12" t="n">
        <x:v>0.4444444444444444</x:v>
      </x:c>
      <x:c r="I1287" s="29" t="n">
        <x:f>'Assumptions'!$D$11+'Assumptions'!$D$12*(0.5-(G1287+H1287)/2)</x:f>
        <x:v>0.32222222222222224</x:v>
      </x:c>
      <x:c r="J1287" s="27" t="n">
        <x:f>'Assumptions'!$D$8*EXP(-'Assumptions'!$D$9*('Fleet Engine'!E216-10))*'Assumptions'!E58*'Assumptions'!I36</x:f>
        <x:v>9048.374180359595</x:v>
      </x:c>
      <x:c r="K1287" s="27" t="n">
        <x:f>'Source Data'!F221+LN('Assumptions'!D58)+LN('Assumptions'!I35)</x:f>
        <x:v>8.129564769703762</x:v>
      </x:c>
      <x:c r="L1287" s="27" t="n">
        <x:f>J1287*(1-I1287*(1-'Carrier Engine'!E96))</x:f>
        <x:v>6249.410433901693</x:v>
      </x:c>
      <x:c r="M1287" s="29" t="n">
        <x:f>NORM.S.DIST((LN(L1287)-K1287)/'Assumptions'!$D$10,TRUE)</x:f>
        <x:v>0.651330720808863</x:v>
      </x:c>
      <x:c r="N1287" s="30" t="n">
        <x:f>MAX(0,H1287-MAX(G1287,M1287))</x:f>
        <x:v>0</x:v>
      </x:c>
      <x:c r="O1287" s="28" t="n">
        <x:f>J1287*I1287</x:f>
        <x:v>2915.5872358936476</x:v>
      </x:c>
      <x:c r="P1287" s="27" t="n">
        <x:f>(VLOOKUP(O1287,'Fee Data'!$C$6:$G$50,2,TRUE)+O1287*VLOOKUP(O1287,'Fee Data'!$C$6:$G$50,3,TRUE)+VLOOKUP(O1287,'Fee Data'!$I$6:$J$14,2,TRUE)+'Fee Data'!$J$20+'Fee Data'!$J$21)*'Assumptions'!I37</x:f>
        <x:v>820</x:v>
      </x:c>
      <x:c r="Q1287" s="27" t="n">
        <x:f>(VLOOKUP(O1287,'Fee Data'!$C$6:$G$50,4,TRUE)+O1287*VLOOKUP(O1287,'Fee Data'!$C$6:$G$50,5,TRUE)+VLOOKUP(O1287,'Fee Data'!$I$6:$J$14,2,TRUE)+'Fee Data'!$J$20+'Fee Data'!$J$21)*'Assumptions'!I37</x:f>
        <x:v>670</x:v>
      </x:c>
      <x:c r="R1287" s="27" t="n">
        <x:f>P1287*(1-'Assumptions'!$D$14)+Q1287*'Assumptions'!$D$14</x:f>
        <x:v>745</x:v>
      </x:c>
      <x:c r="S1287" s="27" t="n">
        <x:f>O1287*'Carrier Engine'!E96</x:f>
        <x:v>116.62348943574591</x:v>
      </x:c>
      <x:c r="T1287" s="28" t="n">
        <x:f>R1287+S1287</x:f>
        <x:v>861.6234894357459</x:v>
      </x:c>
      <x:c r="U1287" s="27" t="n">
        <x:f>N1287*'Fleet Engine'!K216</x:f>
        <x:v>0</x:v>
      </x:c>
      <x:c r="V1287" s="28" t="n">
        <x:f>U1287*T1287</x:f>
        <x:v>0</x:v>
      </x:c>
      <x:c r="W1287" s="28" t="n">
        <x:f>U1287*O1287</x:f>
        <x:v>0</x:v>
      </x:c>
    </x:row>
    <x:row r="1288" ht="19" customHeight="1">
      <x:c r="A1288" s="2"/>
      <x:c r="B1288" s="2"/>
      <x:c r="C1288" s="46" t="n">
        <x:v>5</x:v>
      </x:c>
      <x:c r="D1288" s="46" t="n">
        <x:v>22</x:v>
      </x:c>
      <x:c r="E1288" s="46" t="n">
        <x:v>3</x:v>
      </x:c>
      <x:c r="F1288" s="46" t="n">
        <x:v>4</x:v>
      </x:c>
      <x:c r="G1288" s="12" t="n">
        <x:v>0.4444444444444444</x:v>
      </x:c>
      <x:c r="H1288" s="12" t="n">
        <x:v>0.5555555555555556</x:v>
      </x:c>
      <x:c r="I1288" s="29" t="n">
        <x:f>'Assumptions'!$D$11+'Assumptions'!$D$12*(0.5-(G1288+H1288)/2)</x:f>
        <x:v>0.3</x:v>
      </x:c>
      <x:c r="J1288" s="27" t="n">
        <x:f>'Assumptions'!$D$8*EXP(-'Assumptions'!$D$9*('Fleet Engine'!E216-10))*'Assumptions'!E58*'Assumptions'!I36</x:f>
        <x:v>9048.374180359595</x:v>
      </x:c>
      <x:c r="K1288" s="27" t="n">
        <x:f>'Source Data'!F221+LN('Assumptions'!D58)+LN('Assumptions'!I35)</x:f>
        <x:v>8.129564769703762</x:v>
      </x:c>
      <x:c r="L1288" s="27" t="n">
        <x:f>J1288*(1-I1288*(1-'Carrier Engine'!E96))</x:f>
        <x:v>6442.442416416031</x:v>
      </x:c>
      <x:c r="M1288" s="29" t="n">
        <x:f>NORM.S.DIST((LN(L1288)-K1288)/'Assumptions'!$D$10,TRUE)</x:f>
        <x:v>0.6584693407393539</x:v>
      </x:c>
      <x:c r="N1288" s="30" t="n">
        <x:f>MAX(0,H1288-MAX(G1288,M1288))</x:f>
        <x:v>0</x:v>
      </x:c>
      <x:c r="O1288" s="28" t="n">
        <x:f>J1288*I1288</x:f>
        <x:v>2714.5122541078786</x:v>
      </x:c>
      <x:c r="P1288" s="27" t="n">
        <x:f>(VLOOKUP(O1288,'Fee Data'!$C$6:$G$50,2,TRUE)+O1288*VLOOKUP(O1288,'Fee Data'!$C$6:$G$50,3,TRUE)+VLOOKUP(O1288,'Fee Data'!$I$6:$J$14,2,TRUE)+'Fee Data'!$J$20+'Fee Data'!$J$21)*'Assumptions'!I37</x:f>
        <x:v>820</x:v>
      </x:c>
      <x:c r="Q1288" s="27" t="n">
        <x:f>(VLOOKUP(O1288,'Fee Data'!$C$6:$G$50,4,TRUE)+O1288*VLOOKUP(O1288,'Fee Data'!$C$6:$G$50,5,TRUE)+VLOOKUP(O1288,'Fee Data'!$I$6:$J$14,2,TRUE)+'Fee Data'!$J$20+'Fee Data'!$J$21)*'Assumptions'!I37</x:f>
        <x:v>670</x:v>
      </x:c>
      <x:c r="R1288" s="27" t="n">
        <x:f>P1288*(1-'Assumptions'!$D$14)+Q1288*'Assumptions'!$D$14</x:f>
        <x:v>745</x:v>
      </x:c>
      <x:c r="S1288" s="27" t="n">
        <x:f>O1288*'Carrier Engine'!E96</x:f>
        <x:v>108.58049016431515</x:v>
      </x:c>
      <x:c r="T1288" s="28" t="n">
        <x:f>R1288+S1288</x:f>
        <x:v>853.5804901643152</x:v>
      </x:c>
      <x:c r="U1288" s="27" t="n">
        <x:f>N1288*'Fleet Engine'!K216</x:f>
        <x:v>0</x:v>
      </x:c>
      <x:c r="V1288" s="28" t="n">
        <x:f>U1288*T1288</x:f>
        <x:v>0</x:v>
      </x:c>
      <x:c r="W1288" s="28" t="n">
        <x:f>U1288*O1288</x:f>
        <x:v>0</x:v>
      </x:c>
    </x:row>
    <x:row r="1289" ht="19" customHeight="1">
      <x:c r="A1289" s="2"/>
      <x:c r="B1289" s="2"/>
      <x:c r="C1289" s="46" t="n">
        <x:v>5</x:v>
      </x:c>
      <x:c r="D1289" s="46" t="n">
        <x:v>22</x:v>
      </x:c>
      <x:c r="E1289" s="46" t="n">
        <x:v>3</x:v>
      </x:c>
      <x:c r="F1289" s="46" t="n">
        <x:v>4</x:v>
      </x:c>
      <x:c r="G1289" s="12" t="n">
        <x:v>0.5555555555555556</x:v>
      </x:c>
      <x:c r="H1289" s="12" t="n">
        <x:v>0.6666666666666666</x:v>
      </x:c>
      <x:c r="I1289" s="29" t="n">
        <x:f>'Assumptions'!$D$11+'Assumptions'!$D$12*(0.5-(G1289+H1289)/2)</x:f>
        <x:v>0.27777777777777773</x:v>
      </x:c>
      <x:c r="J1289" s="27" t="n">
        <x:f>'Assumptions'!$D$8*EXP(-'Assumptions'!$D$9*('Fleet Engine'!E216-10))*'Assumptions'!E58*'Assumptions'!I36</x:f>
        <x:v>9048.374180359595</x:v>
      </x:c>
      <x:c r="K1289" s="27" t="n">
        <x:f>'Source Data'!F221+LN('Assumptions'!D58)+LN('Assumptions'!I35)</x:f>
        <x:v>8.129564769703762</x:v>
      </x:c>
      <x:c r="L1289" s="27" t="n">
        <x:f>J1289*(1-I1289*(1-'Carrier Engine'!E96))</x:f>
        <x:v>6635.47439893037</x:v>
      </x:c>
      <x:c r="M1289" s="29" t="n">
        <x:f>NORM.S.DIST((LN(L1289)-K1289)/'Assumptions'!$D$10,TRUE)</x:f>
        <x:v>0.6653434401742447</x:v>
      </x:c>
      <x:c r="N1289" s="30" t="n">
        <x:f>MAX(0,H1289-MAX(G1289,M1289))</x:f>
        <x:v>0.0013232264924218917</x:v>
      </x:c>
      <x:c r="O1289" s="28" t="n">
        <x:f>J1289*I1289</x:f>
        <x:v>2513.4372723221095</x:v>
      </x:c>
      <x:c r="P1289" s="27" t="n">
        <x:f>(VLOOKUP(O1289,'Fee Data'!$C$6:$G$50,2,TRUE)+O1289*VLOOKUP(O1289,'Fee Data'!$C$6:$G$50,3,TRUE)+VLOOKUP(O1289,'Fee Data'!$I$6:$J$14,2,TRUE)+'Fee Data'!$J$20+'Fee Data'!$J$21)*'Assumptions'!I37</x:f>
        <x:v>820</x:v>
      </x:c>
      <x:c r="Q1289" s="27" t="n">
        <x:f>(VLOOKUP(O1289,'Fee Data'!$C$6:$G$50,4,TRUE)+O1289*VLOOKUP(O1289,'Fee Data'!$C$6:$G$50,5,TRUE)+VLOOKUP(O1289,'Fee Data'!$I$6:$J$14,2,TRUE)+'Fee Data'!$J$20+'Fee Data'!$J$21)*'Assumptions'!I37</x:f>
        <x:v>670</x:v>
      </x:c>
      <x:c r="R1289" s="27" t="n">
        <x:f>P1289*(1-'Assumptions'!$D$14)+Q1289*'Assumptions'!$D$14</x:f>
        <x:v>745</x:v>
      </x:c>
      <x:c r="S1289" s="27" t="n">
        <x:f>O1289*'Carrier Engine'!E96</x:f>
        <x:v>100.53749089288438</x:v>
      </x:c>
      <x:c r="T1289" s="28" t="n">
        <x:f>R1289+S1289</x:f>
        <x:v>845.5374908928844</x:v>
      </x:c>
      <x:c r="U1289" s="27" t="n">
        <x:f>N1289*'Fleet Engine'!K216</x:f>
        <x:v>1.5712717555444717</x:v>
      </x:c>
      <x:c r="V1289" s="28" t="n">
        <x:f>U1289*T1289</x:f>
        <x:v>1328.5691776939302</x:v>
      </x:c>
      <x:c r="W1289" s="28" t="n">
        <x:f>U1289*O1289</x:f>
        <x:v>3949.2929953324697</x:v>
      </x:c>
    </x:row>
    <x:row r="1290" ht="19" customHeight="1">
      <x:c r="A1290" s="2"/>
      <x:c r="B1290" s="2"/>
      <x:c r="C1290" s="46" t="n">
        <x:v>5</x:v>
      </x:c>
      <x:c r="D1290" s="46" t="n">
        <x:v>22</x:v>
      </x:c>
      <x:c r="E1290" s="46" t="n">
        <x:v>3</x:v>
      </x:c>
      <x:c r="F1290" s="46" t="n">
        <x:v>4</x:v>
      </x:c>
      <x:c r="G1290" s="12" t="n">
        <x:v>0.6666666666666666</x:v>
      </x:c>
      <x:c r="H1290" s="12" t="n">
        <x:v>0.7777777777777778</x:v>
      </x:c>
      <x:c r="I1290" s="29" t="n">
        <x:f>'Assumptions'!$D$11+'Assumptions'!$D$12*(0.5-(G1290+H1290)/2)</x:f>
        <x:v>0.25555555555555554</x:v>
      </x:c>
      <x:c r="J1290" s="27" t="n">
        <x:f>'Assumptions'!$D$8*EXP(-'Assumptions'!$D$9*('Fleet Engine'!E216-10))*'Assumptions'!E58*'Assumptions'!I36</x:f>
        <x:v>9048.374180359595</x:v>
      </x:c>
      <x:c r="K1290" s="27" t="n">
        <x:f>'Source Data'!F221+LN('Assumptions'!D58)+LN('Assumptions'!I35)</x:f>
        <x:v>8.129564769703762</x:v>
      </x:c>
      <x:c r="L1290" s="27" t="n">
        <x:f>J1290*(1-I1290*(1-'Carrier Engine'!E96))</x:f>
        <x:v>6828.506381444708</x:v>
      </x:c>
      <x:c r="M1290" s="29" t="n">
        <x:f>NORM.S.DIST((LN(L1290)-K1290)/'Assumptions'!$D$10,TRUE)</x:f>
        <x:v>0.6719677892659592</x:v>
      </x:c>
      <x:c r="N1290" s="30" t="n">
        <x:f>MAX(0,H1290-MAX(G1290,M1290))</x:f>
        <x:v>0.10580998851181855</x:v>
      </x:c>
      <x:c r="O1290" s="28" t="n">
        <x:f>J1290*I1290</x:f>
        <x:v>2312.362290536341</x:v>
      </x:c>
      <x:c r="P1290" s="27" t="n">
        <x:f>(VLOOKUP(O1290,'Fee Data'!$C$6:$G$50,2,TRUE)+O1290*VLOOKUP(O1290,'Fee Data'!$C$6:$G$50,3,TRUE)+VLOOKUP(O1290,'Fee Data'!$I$6:$J$14,2,TRUE)+'Fee Data'!$J$20+'Fee Data'!$J$21)*'Assumptions'!I37</x:f>
        <x:v>745</x:v>
      </x:c>
      <x:c r="Q1290" s="27" t="n">
        <x:f>(VLOOKUP(O1290,'Fee Data'!$C$6:$G$50,4,TRUE)+O1290*VLOOKUP(O1290,'Fee Data'!$C$6:$G$50,5,TRUE)+VLOOKUP(O1290,'Fee Data'!$I$6:$J$14,2,TRUE)+'Fee Data'!$J$20+'Fee Data'!$J$21)*'Assumptions'!I37</x:f>
        <x:v>600</x:v>
      </x:c>
      <x:c r="R1290" s="27" t="n">
        <x:f>P1290*(1-'Assumptions'!$D$14)+Q1290*'Assumptions'!$D$14</x:f>
        <x:v>672.5</x:v>
      </x:c>
      <x:c r="S1290" s="27" t="n">
        <x:f>O1290*'Carrier Engine'!E96</x:f>
        <x:v>92.49449162145363</x:v>
      </x:c>
      <x:c r="T1290" s="28" t="n">
        <x:f>R1290+S1290</x:f>
        <x:v>764.9944916214537</x:v>
      </x:c>
      <x:c r="U1290" s="27" t="n">
        <x:f>N1290*'Fleet Engine'!K216</x:f>
        <x:v>125.64458719293621</x:v>
      </x:c>
      <x:c r="V1290" s="28" t="n">
        <x:f>U1290*T1290</x:f>
        <x:v>96117.41710464765</x:v>
      </x:c>
      <x:c r="W1290" s="28" t="n">
        <x:f>U1290*O1290</x:f>
        <x:v>290535.805434951</x:v>
      </x:c>
    </x:row>
    <x:row r="1291" ht="19" customHeight="1">
      <x:c r="A1291" s="2"/>
      <x:c r="B1291" s="2"/>
      <x:c r="C1291" s="46" t="n">
        <x:v>5</x:v>
      </x:c>
      <x:c r="D1291" s="46" t="n">
        <x:v>22</x:v>
      </x:c>
      <x:c r="E1291" s="46" t="n">
        <x:v>3</x:v>
      </x:c>
      <x:c r="F1291" s="46" t="n">
        <x:v>4</x:v>
      </x:c>
      <x:c r="G1291" s="12" t="n">
        <x:v>0.7777777777777778</x:v>
      </x:c>
      <x:c r="H1291" s="12" t="n">
        <x:v>0.8888888888888888</x:v>
      </x:c>
      <x:c r="I1291" s="29" t="n">
        <x:f>'Assumptions'!$D$11+'Assumptions'!$D$12*(0.5-(G1291+H1291)/2)</x:f>
        <x:v>0.23333333333333334</x:v>
      </x:c>
      <x:c r="J1291" s="27" t="n">
        <x:f>'Assumptions'!$D$8*EXP(-'Assumptions'!$D$9*('Fleet Engine'!E216-10))*'Assumptions'!E58*'Assumptions'!I36</x:f>
        <x:v>9048.374180359595</x:v>
      </x:c>
      <x:c r="K1291" s="27" t="n">
        <x:f>'Source Data'!F221+LN('Assumptions'!D58)+LN('Assumptions'!I35)</x:f>
        <x:v>8.129564769703762</x:v>
      </x:c>
      <x:c r="L1291" s="27" t="n">
        <x:f>J1291*(1-I1291*(1-'Carrier Engine'!E96))</x:f>
        <x:v>7021.5383639590455</x:v>
      </x:c>
      <x:c r="M1291" s="29" t="n">
        <x:f>NORM.S.DIST((LN(L1291)-K1291)/'Assumptions'!$D$10,TRUE)</x:f>
        <x:v>0.6783560443804386</x:v>
      </x:c>
      <x:c r="N1291" s="30" t="n">
        <x:f>MAX(0,H1291-MAX(G1291,M1291))</x:f>
        <x:v>0.11111111111111105</x:v>
      </x:c>
      <x:c r="O1291" s="28" t="n">
        <x:f>J1291*I1291</x:f>
        <x:v>2111.2873087505723</x:v>
      </x:c>
      <x:c r="P1291" s="27" t="n">
        <x:f>(VLOOKUP(O1291,'Fee Data'!$C$6:$G$50,2,TRUE)+O1291*VLOOKUP(O1291,'Fee Data'!$C$6:$G$50,3,TRUE)+VLOOKUP(O1291,'Fee Data'!$I$6:$J$14,2,TRUE)+'Fee Data'!$J$20+'Fee Data'!$J$21)*'Assumptions'!I37</x:f>
        <x:v>745</x:v>
      </x:c>
      <x:c r="Q1291" s="27" t="n">
        <x:f>(VLOOKUP(O1291,'Fee Data'!$C$6:$G$50,4,TRUE)+O1291*VLOOKUP(O1291,'Fee Data'!$C$6:$G$50,5,TRUE)+VLOOKUP(O1291,'Fee Data'!$I$6:$J$14,2,TRUE)+'Fee Data'!$J$20+'Fee Data'!$J$21)*'Assumptions'!I37</x:f>
        <x:v>600</x:v>
      </x:c>
      <x:c r="R1291" s="27" t="n">
        <x:f>P1291*(1-'Assumptions'!$D$14)+Q1291*'Assumptions'!$D$14</x:f>
        <x:v>672.5</x:v>
      </x:c>
      <x:c r="S1291" s="27" t="n">
        <x:f>O1291*'Carrier Engine'!E96</x:f>
        <x:v>84.45149235002289</x:v>
      </x:c>
      <x:c r="T1291" s="28" t="n">
        <x:f>R1291+S1291</x:f>
        <x:v>756.9514923500229</x:v>
      </x:c>
      <x:c r="U1291" s="27" t="n">
        <x:f>N1291*'Fleet Engine'!K216</x:f>
        <x:v>131.9394310920342</x:v>
      </x:c>
      <x:c r="V1291" s="28" t="n">
        <x:f>U1291*T1291</x:f>
        <x:v>99871.74926492831</x:v>
      </x:c>
      <x:c r="W1291" s="28" t="n">
        <x:f>U1291*O1291</x:f>
        <x:v>278562.04638838244</x:v>
      </x:c>
    </x:row>
    <x:row r="1292" ht="19" customHeight="1">
      <x:c r="A1292" s="2"/>
      <x:c r="B1292" s="2"/>
      <x:c r="C1292" s="46" t="n">
        <x:v>5</x:v>
      </x:c>
      <x:c r="D1292" s="46" t="n">
        <x:v>22</x:v>
      </x:c>
      <x:c r="E1292" s="46" t="n">
        <x:v>3</x:v>
      </x:c>
      <x:c r="F1292" s="46" t="n">
        <x:v>4</x:v>
      </x:c>
      <x:c r="G1292" s="12" t="n">
        <x:v>0.8888888888888888</x:v>
      </x:c>
      <x:c r="H1292" s="12" t="n">
        <x:v>1</x:v>
      </x:c>
      <x:c r="I1292" s="29" t="n">
        <x:f>'Assumptions'!$D$11+'Assumptions'!$D$12*(0.5-(G1292+H1292)/2)</x:f>
        <x:v>0.21111111111111108</x:v>
      </x:c>
      <x:c r="J1292" s="27" t="n">
        <x:f>'Assumptions'!$D$8*EXP(-'Assumptions'!$D$9*('Fleet Engine'!E216-10))*'Assumptions'!E58*'Assumptions'!I36</x:f>
        <x:v>9048.374180359595</x:v>
      </x:c>
      <x:c r="K1292" s="27" t="n">
        <x:f>'Source Data'!F221+LN('Assumptions'!D58)+LN('Assumptions'!I35)</x:f>
        <x:v>8.129564769703762</x:v>
      </x:c>
      <x:c r="L1292" s="27" t="n">
        <x:f>J1292*(1-I1292*(1-'Carrier Engine'!E96))</x:f>
        <x:v>7214.570346473383</x:v>
      </x:c>
      <x:c r="M1292" s="29" t="n">
        <x:f>NORM.S.DIST((LN(L1292)-K1292)/'Assumptions'!$D$10,TRUE)</x:f>
        <x:v>0.6845208539134946</x:v>
      </x:c>
      <x:c r="N1292" s="30" t="n">
        <x:f>MAX(0,H1292-MAX(G1292,M1292))</x:f>
        <x:v>0.11111111111111116</x:v>
      </x:c>
      <x:c r="O1292" s="28" t="n">
        <x:f>J1292*I1292</x:f>
        <x:v>1910.2123269648032</x:v>
      </x:c>
      <x:c r="P1292" s="27" t="n">
        <x:f>(VLOOKUP(O1292,'Fee Data'!$C$6:$G$50,2,TRUE)+O1292*VLOOKUP(O1292,'Fee Data'!$C$6:$G$50,3,TRUE)+VLOOKUP(O1292,'Fee Data'!$I$6:$J$14,2,TRUE)+'Fee Data'!$J$20+'Fee Data'!$J$21)*'Assumptions'!I37</x:f>
        <x:v>705</x:v>
      </x:c>
      <x:c r="Q1292" s="27" t="n">
        <x:f>(VLOOKUP(O1292,'Fee Data'!$C$6:$G$50,4,TRUE)+O1292*VLOOKUP(O1292,'Fee Data'!$C$6:$G$50,5,TRUE)+VLOOKUP(O1292,'Fee Data'!$I$6:$J$14,2,TRUE)+'Fee Data'!$J$20+'Fee Data'!$J$21)*'Assumptions'!I37</x:f>
        <x:v>565</x:v>
      </x:c>
      <x:c r="R1292" s="27" t="n">
        <x:f>P1292*(1-'Assumptions'!$D$14)+Q1292*'Assumptions'!$D$14</x:f>
        <x:v>635</x:v>
      </x:c>
      <x:c r="S1292" s="27" t="n">
        <x:f>O1292*'Carrier Engine'!E96</x:f>
        <x:v>76.40849307859213</x:v>
      </x:c>
      <x:c r="T1292" s="28" t="n">
        <x:f>R1292+S1292</x:f>
        <x:v>711.4084930785921</x:v>
      </x:c>
      <x:c r="U1292" s="27" t="n">
        <x:f>N1292*'Fleet Engine'!K216</x:f>
        <x:v>131.93943109203434</x:v>
      </x:c>
      <x:c r="V1292" s="28" t="n">
        <x:f>U1292*T1292</x:f>
        <x:v>93862.83185083089</x:v>
      </x:c>
      <x:c r="W1292" s="28" t="n">
        <x:f>U1292*O1292</x:f>
        <x:v>252032.32768472724</x:v>
      </x:c>
    </x:row>
    <x:row r="1293" ht="19" customHeight="1">
      <x:c r="A1293" s="2"/>
      <x:c r="B1293" s="2"/>
      <x:c r="C1293" s="46" t="n">
        <x:v>5</x:v>
      </x:c>
      <x:c r="D1293" s="46" t="n">
        <x:v>23</x:v>
      </x:c>
      <x:c r="E1293" s="46" t="n">
        <x:v>3</x:v>
      </x:c>
      <x:c r="F1293" s="46" t="n">
        <x:v>5</x:v>
      </x:c>
      <x:c r="G1293" s="12" t="n">
        <x:v>0</x:v>
      </x:c>
      <x:c r="H1293" s="12" t="n">
        <x:v>0.1111111111111111</x:v>
      </x:c>
      <x:c r="I1293" s="29" t="n">
        <x:f>'Assumptions'!$D$11+'Assumptions'!$D$12*(0.5-(G1293+H1293)/2)</x:f>
        <x:v>0.3888888888888889</x:v>
      </x:c>
      <x:c r="J1293" s="27" t="n">
        <x:f>'Assumptions'!$D$8*EXP(-'Assumptions'!$D$9*('Fleet Engine'!E217-10))*'Assumptions'!E58*'Assumptions'!I36</x:f>
        <x:v>4965.853037914095</x:v>
      </x:c>
      <x:c r="K1293" s="27" t="n">
        <x:f>'Source Data'!F222+LN('Assumptions'!D58)+LN('Assumptions'!I35)</x:f>
        <x:v>8.030635919980082</x:v>
      </x:c>
      <x:c r="L1293" s="27" t="n">
        <x:f>J1293*(1-I1293*(1-'Carrier Engine'!E96))</x:f>
        <x:v>3111.9345704261664</x:v>
      </x:c>
      <x:c r="M1293" s="29" t="n">
        <x:f>NORM.S.DIST((LN(L1293)-K1293)/'Assumptions'!$D$10,TRUE)</x:f>
        <x:v>0.5031412742530323</x:v>
      </x:c>
      <x:c r="N1293" s="30" t="n">
        <x:f>MAX(0,H1293-MAX(G1293,M1293))</x:f>
        <x:v>0</x:v>
      </x:c>
      <x:c r="O1293" s="28" t="n">
        <x:f>J1293*I1293</x:f>
        <x:v>1931.1650702999257</x:v>
      </x:c>
      <x:c r="P1293" s="27" t="n">
        <x:f>(VLOOKUP(O1293,'Fee Data'!$C$6:$G$50,2,TRUE)+O1293*VLOOKUP(O1293,'Fee Data'!$C$6:$G$50,3,TRUE)+VLOOKUP(O1293,'Fee Data'!$I$6:$J$14,2,TRUE)+'Fee Data'!$J$20+'Fee Data'!$J$21)*'Assumptions'!I37</x:f>
        <x:v>705</x:v>
      </x:c>
      <x:c r="Q1293" s="27" t="n">
        <x:f>(VLOOKUP(O1293,'Fee Data'!$C$6:$G$50,4,TRUE)+O1293*VLOOKUP(O1293,'Fee Data'!$C$6:$G$50,5,TRUE)+VLOOKUP(O1293,'Fee Data'!$I$6:$J$14,2,TRUE)+'Fee Data'!$J$20+'Fee Data'!$J$21)*'Assumptions'!I37</x:f>
        <x:v>565</x:v>
      </x:c>
      <x:c r="R1293" s="27" t="n">
        <x:f>P1293*(1-'Assumptions'!$D$14)+Q1293*'Assumptions'!$D$14</x:f>
        <x:v>635</x:v>
      </x:c>
      <x:c r="S1293" s="27" t="n">
        <x:f>O1293*'Carrier Engine'!E96</x:f>
        <x:v>77.24660281199702</x:v>
      </x:c>
      <x:c r="T1293" s="28" t="n">
        <x:f>R1293+S1293</x:f>
        <x:v>712.246602811997</x:v>
      </x:c>
      <x:c r="U1293" s="27" t="n">
        <x:f>N1293*'Fleet Engine'!K217</x:f>
        <x:v>0</x:v>
      </x:c>
      <x:c r="V1293" s="28" t="n">
        <x:f>U1293*T1293</x:f>
        <x:v>0</x:v>
      </x:c>
      <x:c r="W1293" s="28" t="n">
        <x:f>U1293*O1293</x:f>
        <x:v>0</x:v>
      </x:c>
    </x:row>
    <x:row r="1294" ht="19" customHeight="1">
      <x:c r="A1294" s="2"/>
      <x:c r="B1294" s="2"/>
      <x:c r="C1294" s="46" t="n">
        <x:v>5</x:v>
      </x:c>
      <x:c r="D1294" s="46" t="n">
        <x:v>23</x:v>
      </x:c>
      <x:c r="E1294" s="46" t="n">
        <x:v>3</x:v>
      </x:c>
      <x:c r="F1294" s="46" t="n">
        <x:v>5</x:v>
      </x:c>
      <x:c r="G1294" s="12" t="n">
        <x:v>0.1111111111111111</x:v>
      </x:c>
      <x:c r="H1294" s="12" t="n">
        <x:v>0.2222222222222222</x:v>
      </x:c>
      <x:c r="I1294" s="29" t="n">
        <x:f>'Assumptions'!$D$11+'Assumptions'!$D$12*(0.5-(G1294+H1294)/2)</x:f>
        <x:v>0.3666666666666667</x:v>
      </x:c>
      <x:c r="J1294" s="27" t="n">
        <x:f>'Assumptions'!$D$8*EXP(-'Assumptions'!$D$9*('Fleet Engine'!E217-10))*'Assumptions'!E58*'Assumptions'!I36</x:f>
        <x:v>4965.853037914095</x:v>
      </x:c>
      <x:c r="K1294" s="27" t="n">
        <x:f>'Source Data'!F222+LN('Assumptions'!D58)+LN('Assumptions'!I35)</x:f>
        <x:v>8.030635919980082</x:v>
      </x:c>
      <x:c r="L1294" s="27" t="n">
        <x:f>J1294*(1-I1294*(1-'Carrier Engine'!E96))</x:f>
        <x:v>3217.872768568333</x:v>
      </x:c>
      <x:c r="M1294" s="29" t="n">
        <x:f>NORM.S.DIST((LN(L1294)-K1294)/'Assumptions'!$D$10,TRUE)</x:f>
        <x:v>0.511644883114373</x:v>
      </x:c>
      <x:c r="N1294" s="30" t="n">
        <x:f>MAX(0,H1294-MAX(G1294,M1294))</x:f>
        <x:v>0</x:v>
      </x:c>
      <x:c r="O1294" s="28" t="n">
        <x:f>J1294*I1294</x:f>
        <x:v>1820.8127805685015</x:v>
      </x:c>
      <x:c r="P1294" s="27" t="n">
        <x:f>(VLOOKUP(O1294,'Fee Data'!$C$6:$G$50,2,TRUE)+O1294*VLOOKUP(O1294,'Fee Data'!$C$6:$G$50,3,TRUE)+VLOOKUP(O1294,'Fee Data'!$I$6:$J$14,2,TRUE)+'Fee Data'!$J$20+'Fee Data'!$J$21)*'Assumptions'!I37</x:f>
        <x:v>705</x:v>
      </x:c>
      <x:c r="Q1294" s="27" t="n">
        <x:f>(VLOOKUP(O1294,'Fee Data'!$C$6:$G$50,4,TRUE)+O1294*VLOOKUP(O1294,'Fee Data'!$C$6:$G$50,5,TRUE)+VLOOKUP(O1294,'Fee Data'!$I$6:$J$14,2,TRUE)+'Fee Data'!$J$20+'Fee Data'!$J$21)*'Assumptions'!I37</x:f>
        <x:v>565</x:v>
      </x:c>
      <x:c r="R1294" s="27" t="n">
        <x:f>P1294*(1-'Assumptions'!$D$14)+Q1294*'Assumptions'!$D$14</x:f>
        <x:v>635</x:v>
      </x:c>
      <x:c r="S1294" s="27" t="n">
        <x:f>O1294*'Carrier Engine'!E96</x:f>
        <x:v>72.83251122274007</x:v>
      </x:c>
      <x:c r="T1294" s="28" t="n">
        <x:f>R1294+S1294</x:f>
        <x:v>707.8325112227401</x:v>
      </x:c>
      <x:c r="U1294" s="27" t="n">
        <x:f>N1294*'Fleet Engine'!K217</x:f>
        <x:v>0</x:v>
      </x:c>
      <x:c r="V1294" s="28" t="n">
        <x:f>U1294*T1294</x:f>
        <x:v>0</x:v>
      </x:c>
      <x:c r="W1294" s="28" t="n">
        <x:f>U1294*O1294</x:f>
        <x:v>0</x:v>
      </x:c>
    </x:row>
    <x:row r="1295" ht="19" customHeight="1">
      <x:c r="A1295" s="2"/>
      <x:c r="B1295" s="2"/>
      <x:c r="C1295" s="46" t="n">
        <x:v>5</x:v>
      </x:c>
      <x:c r="D1295" s="46" t="n">
        <x:v>23</x:v>
      </x:c>
      <x:c r="E1295" s="46" t="n">
        <x:v>3</x:v>
      </x:c>
      <x:c r="F1295" s="46" t="n">
        <x:v>5</x:v>
      </x:c>
      <x:c r="G1295" s="12" t="n">
        <x:v>0.2222222222222222</x:v>
      </x:c>
      <x:c r="H1295" s="12" t="n">
        <x:v>0.3333333333333333</x:v>
      </x:c>
      <x:c r="I1295" s="29" t="n">
        <x:f>'Assumptions'!$D$11+'Assumptions'!$D$12*(0.5-(G1295+H1295)/2)</x:f>
        <x:v>0.34444444444444444</x:v>
      </x:c>
      <x:c r="J1295" s="27" t="n">
        <x:f>'Assumptions'!$D$8*EXP(-'Assumptions'!$D$9*('Fleet Engine'!E217-10))*'Assumptions'!E58*'Assumptions'!I36</x:f>
        <x:v>4965.853037914095</x:v>
      </x:c>
      <x:c r="K1295" s="27" t="n">
        <x:f>'Source Data'!F222+LN('Assumptions'!D58)+LN('Assumptions'!I35)</x:f>
        <x:v>8.030635919980082</x:v>
      </x:c>
      <x:c r="L1295" s="27" t="n">
        <x:f>J1295*(1-I1295*(1-'Carrier Engine'!E96))</x:f>
        <x:v>3323.810966710501</x:v>
      </x:c>
      <x:c r="M1295" s="29" t="n">
        <x:f>NORM.S.DIST((LN(L1295)-K1295)/'Assumptions'!$D$10,TRUE)</x:f>
        <x:v>0.5198680257298949</x:v>
      </x:c>
      <x:c r="N1295" s="30" t="n">
        <x:f>MAX(0,H1295-MAX(G1295,M1295))</x:f>
        <x:v>0</x:v>
      </x:c>
      <x:c r="O1295" s="28" t="n">
        <x:f>J1295*I1295</x:f>
        <x:v>1710.460490837077</x:v>
      </x:c>
      <x:c r="P1295" s="27" t="n">
        <x:f>(VLOOKUP(O1295,'Fee Data'!$C$6:$G$50,2,TRUE)+O1295*VLOOKUP(O1295,'Fee Data'!$C$6:$G$50,3,TRUE)+VLOOKUP(O1295,'Fee Data'!$I$6:$J$14,2,TRUE)+'Fee Data'!$J$20+'Fee Data'!$J$21)*'Assumptions'!I37</x:f>
        <x:v>680</x:v>
      </x:c>
      <x:c r="Q1295" s="27" t="n">
        <x:f>(VLOOKUP(O1295,'Fee Data'!$C$6:$G$50,4,TRUE)+O1295*VLOOKUP(O1295,'Fee Data'!$C$6:$G$50,5,TRUE)+VLOOKUP(O1295,'Fee Data'!$I$6:$J$14,2,TRUE)+'Fee Data'!$J$20+'Fee Data'!$J$21)*'Assumptions'!I37</x:f>
        <x:v>545</x:v>
      </x:c>
      <x:c r="R1295" s="27" t="n">
        <x:f>P1295*(1-'Assumptions'!$D$14)+Q1295*'Assumptions'!$D$14</x:f>
        <x:v>612.5</x:v>
      </x:c>
      <x:c r="S1295" s="27" t="n">
        <x:f>O1295*'Carrier Engine'!E96</x:f>
        <x:v>68.41841963348308</x:v>
      </x:c>
      <x:c r="T1295" s="28" t="n">
        <x:f>R1295+S1295</x:f>
        <x:v>680.918419633483</x:v>
      </x:c>
      <x:c r="U1295" s="27" t="n">
        <x:f>N1295*'Fleet Engine'!K217</x:f>
        <x:v>0</x:v>
      </x:c>
      <x:c r="V1295" s="28" t="n">
        <x:f>U1295*T1295</x:f>
        <x:v>0</x:v>
      </x:c>
      <x:c r="W1295" s="28" t="n">
        <x:f>U1295*O1295</x:f>
        <x:v>0</x:v>
      </x:c>
    </x:row>
    <x:row r="1296" ht="19" customHeight="1">
      <x:c r="A1296" s="2"/>
      <x:c r="B1296" s="2"/>
      <x:c r="C1296" s="46" t="n">
        <x:v>5</x:v>
      </x:c>
      <x:c r="D1296" s="46" t="n">
        <x:v>23</x:v>
      </x:c>
      <x:c r="E1296" s="46" t="n">
        <x:v>3</x:v>
      </x:c>
      <x:c r="F1296" s="46" t="n">
        <x:v>5</x:v>
      </x:c>
      <x:c r="G1296" s="12" t="n">
        <x:v>0.3333333333333333</x:v>
      </x:c>
      <x:c r="H1296" s="12" t="n">
        <x:v>0.4444444444444444</x:v>
      </x:c>
      <x:c r="I1296" s="29" t="n">
        <x:f>'Assumptions'!$D$11+'Assumptions'!$D$12*(0.5-(G1296+H1296)/2)</x:f>
        <x:v>0.32222222222222224</x:v>
      </x:c>
      <x:c r="J1296" s="27" t="n">
        <x:f>'Assumptions'!$D$8*EXP(-'Assumptions'!$D$9*('Fleet Engine'!E217-10))*'Assumptions'!E58*'Assumptions'!I36</x:f>
        <x:v>4965.853037914095</x:v>
      </x:c>
      <x:c r="K1296" s="27" t="n">
        <x:f>'Source Data'!F222+LN('Assumptions'!D58)+LN('Assumptions'!I35)</x:f>
        <x:v>8.030635919980082</x:v>
      </x:c>
      <x:c r="L1296" s="27" t="n">
        <x:f>J1296*(1-I1296*(1-'Carrier Engine'!E96))</x:f>
        <x:v>3429.749164852668</x:v>
      </x:c>
      <x:c r="M1296" s="29" t="n">
        <x:f>NORM.S.DIST((LN(L1296)-K1296)/'Assumptions'!$D$10,TRUE)</x:f>
        <x:v>0.5278251256486162</x:v>
      </x:c>
      <x:c r="N1296" s="30" t="n">
        <x:f>MAX(0,H1296-MAX(G1296,M1296))</x:f>
        <x:v>0</x:v>
      </x:c>
      <x:c r="O1296" s="28" t="n">
        <x:f>J1296*I1296</x:f>
        <x:v>1600.1082011056528</x:v>
      </x:c>
      <x:c r="P1296" s="27" t="n">
        <x:f>(VLOOKUP(O1296,'Fee Data'!$C$6:$G$50,2,TRUE)+O1296*VLOOKUP(O1296,'Fee Data'!$C$6:$G$50,3,TRUE)+VLOOKUP(O1296,'Fee Data'!$I$6:$J$14,2,TRUE)+'Fee Data'!$J$20+'Fee Data'!$J$21)*'Assumptions'!I37</x:f>
        <x:v>660</x:v>
      </x:c>
      <x:c r="Q1296" s="27" t="n">
        <x:f>(VLOOKUP(O1296,'Fee Data'!$C$6:$G$50,4,TRUE)+O1296*VLOOKUP(O1296,'Fee Data'!$C$6:$G$50,5,TRUE)+VLOOKUP(O1296,'Fee Data'!$I$6:$J$14,2,TRUE)+'Fee Data'!$J$20+'Fee Data'!$J$21)*'Assumptions'!I37</x:f>
        <x:v>525</x:v>
      </x:c>
      <x:c r="R1296" s="27" t="n">
        <x:f>P1296*(1-'Assumptions'!$D$14)+Q1296*'Assumptions'!$D$14</x:f>
        <x:v>592.5</x:v>
      </x:c>
      <x:c r="S1296" s="27" t="n">
        <x:f>O1296*'Carrier Engine'!E96</x:f>
        <x:v>64.00432804422611</x:v>
      </x:c>
      <x:c r="T1296" s="28" t="n">
        <x:f>R1296+S1296</x:f>
        <x:v>656.5043280442261</x:v>
      </x:c>
      <x:c r="U1296" s="27" t="n">
        <x:f>N1296*'Fleet Engine'!K217</x:f>
        <x:v>0</x:v>
      </x:c>
      <x:c r="V1296" s="28" t="n">
        <x:f>U1296*T1296</x:f>
        <x:v>0</x:v>
      </x:c>
      <x:c r="W1296" s="28" t="n">
        <x:f>U1296*O1296</x:f>
        <x:v>0</x:v>
      </x:c>
    </x:row>
    <x:row r="1297" ht="19" customHeight="1">
      <x:c r="A1297" s="2"/>
      <x:c r="B1297" s="2"/>
      <x:c r="C1297" s="46" t="n">
        <x:v>5</x:v>
      </x:c>
      <x:c r="D1297" s="46" t="n">
        <x:v>23</x:v>
      </x:c>
      <x:c r="E1297" s="46" t="n">
        <x:v>3</x:v>
      </x:c>
      <x:c r="F1297" s="46" t="n">
        <x:v>5</x:v>
      </x:c>
      <x:c r="G1297" s="12" t="n">
        <x:v>0.4444444444444444</x:v>
      </x:c>
      <x:c r="H1297" s="12" t="n">
        <x:v>0.5555555555555556</x:v>
      </x:c>
      <x:c r="I1297" s="29" t="n">
        <x:f>'Assumptions'!$D$11+'Assumptions'!$D$12*(0.5-(G1297+H1297)/2)</x:f>
        <x:v>0.3</x:v>
      </x:c>
      <x:c r="J1297" s="27" t="n">
        <x:f>'Assumptions'!$D$8*EXP(-'Assumptions'!$D$9*('Fleet Engine'!E217-10))*'Assumptions'!E58*'Assumptions'!I36</x:f>
        <x:v>4965.853037914095</x:v>
      </x:c>
      <x:c r="K1297" s="27" t="n">
        <x:f>'Source Data'!F222+LN('Assumptions'!D58)+LN('Assumptions'!I35)</x:f>
        <x:v>8.030635919980082</x:v>
      </x:c>
      <x:c r="L1297" s="27" t="n">
        <x:f>J1297*(1-I1297*(1-'Carrier Engine'!E96))</x:f>
        <x:v>3535.6873629948354</x:v>
      </x:c>
      <x:c r="M1297" s="29" t="n">
        <x:f>NORM.S.DIST((LN(L1297)-K1297)/'Assumptions'!$D$10,TRUE)</x:f>
        <x:v>0.5355295877473003</x:v>
      </x:c>
      <x:c r="N1297" s="30" t="n">
        <x:f>MAX(0,H1297-MAX(G1297,M1297))</x:f>
        <x:v>0.020025967808255274</x:v>
      </x:c>
      <x:c r="O1297" s="28" t="n">
        <x:f>J1297*I1297</x:f>
        <x:v>1489.7559113742284</x:v>
      </x:c>
      <x:c r="P1297" s="27" t="n">
        <x:f>(VLOOKUP(O1297,'Fee Data'!$C$6:$G$50,2,TRUE)+O1297*VLOOKUP(O1297,'Fee Data'!$C$6:$G$50,3,TRUE)+VLOOKUP(O1297,'Fee Data'!$I$6:$J$14,2,TRUE)+'Fee Data'!$J$20+'Fee Data'!$J$21)*'Assumptions'!I37</x:f>
        <x:v>615</x:v>
      </x:c>
      <x:c r="Q1297" s="27" t="n">
        <x:f>(VLOOKUP(O1297,'Fee Data'!$C$6:$G$50,4,TRUE)+O1297*VLOOKUP(O1297,'Fee Data'!$C$6:$G$50,5,TRUE)+VLOOKUP(O1297,'Fee Data'!$I$6:$J$14,2,TRUE)+'Fee Data'!$J$20+'Fee Data'!$J$21)*'Assumptions'!I37</x:f>
        <x:v>485</x:v>
      </x:c>
      <x:c r="R1297" s="27" t="n">
        <x:f>P1297*(1-'Assumptions'!$D$14)+Q1297*'Assumptions'!$D$14</x:f>
        <x:v>550</x:v>
      </x:c>
      <x:c r="S1297" s="27" t="n">
        <x:f>O1297*'Carrier Engine'!E96</x:f>
        <x:v>59.59023645496914</x:v>
      </x:c>
      <x:c r="T1297" s="28" t="n">
        <x:f>R1297+S1297</x:f>
        <x:v>609.5902364549692</x:v>
      </x:c>
      <x:c r="U1297" s="27" t="n">
        <x:f>N1297*'Fleet Engine'!K217</x:f>
        <x:v>27.150000391024918</x:v>
      </x:c>
      <x:c r="V1297" s="28" t="n">
        <x:f>U1297*T1297</x:f>
        <x:v>16550.375158117386</x:v>
      </x:c>
      <x:c r="W1297" s="28" t="n">
        <x:f>U1297*O1297</x:f>
        <x:v>40446.87357634198</x:v>
      </x:c>
    </x:row>
    <x:row r="1298" ht="19" customHeight="1">
      <x:c r="A1298" s="2"/>
      <x:c r="B1298" s="2"/>
      <x:c r="C1298" s="46" t="n">
        <x:v>5</x:v>
      </x:c>
      <x:c r="D1298" s="46" t="n">
        <x:v>23</x:v>
      </x:c>
      <x:c r="E1298" s="46" t="n">
        <x:v>3</x:v>
      </x:c>
      <x:c r="F1298" s="46" t="n">
        <x:v>5</x:v>
      </x:c>
      <x:c r="G1298" s="12" t="n">
        <x:v>0.5555555555555556</x:v>
      </x:c>
      <x:c r="H1298" s="12" t="n">
        <x:v>0.6666666666666666</x:v>
      </x:c>
      <x:c r="I1298" s="29" t="n">
        <x:f>'Assumptions'!$D$11+'Assumptions'!$D$12*(0.5-(G1298+H1298)/2)</x:f>
        <x:v>0.27777777777777773</x:v>
      </x:c>
      <x:c r="J1298" s="27" t="n">
        <x:f>'Assumptions'!$D$8*EXP(-'Assumptions'!$D$9*('Fleet Engine'!E217-10))*'Assumptions'!E58*'Assumptions'!I36</x:f>
        <x:v>4965.853037914095</x:v>
      </x:c>
      <x:c r="K1298" s="27" t="n">
        <x:f>'Source Data'!F222+LN('Assumptions'!D58)+LN('Assumptions'!I35)</x:f>
        <x:v>8.030635919980082</x:v>
      </x:c>
      <x:c r="L1298" s="27" t="n">
        <x:f>J1298*(1-I1298*(1-'Carrier Engine'!E96))</x:f>
        <x:v>3641.625561137003</x:v>
      </x:c>
      <x:c r="M1298" s="29" t="n">
        <x:f>NORM.S.DIST((LN(L1298)-K1298)/'Assumptions'!$D$10,TRUE)</x:f>
        <x:v>0.5429938893858242</x:v>
      </x:c>
      <x:c r="N1298" s="30" t="n">
        <x:f>MAX(0,H1298-MAX(G1298,M1298))</x:f>
        <x:v>0.11111111111111105</x:v>
      </x:c>
      <x:c r="O1298" s="28" t="n">
        <x:f>J1298*I1298</x:f>
        <x:v>1379.403621642804</x:v>
      </x:c>
      <x:c r="P1298" s="27" t="n">
        <x:f>(VLOOKUP(O1298,'Fee Data'!$C$6:$G$50,2,TRUE)+O1298*VLOOKUP(O1298,'Fee Data'!$C$6:$G$50,3,TRUE)+VLOOKUP(O1298,'Fee Data'!$I$6:$J$14,2,TRUE)+'Fee Data'!$J$20+'Fee Data'!$J$21)*'Assumptions'!I37</x:f>
        <x:v>595</x:v>
      </x:c>
      <x:c r="Q1298" s="27" t="n">
        <x:f>(VLOOKUP(O1298,'Fee Data'!$C$6:$G$50,4,TRUE)+O1298*VLOOKUP(O1298,'Fee Data'!$C$6:$G$50,5,TRUE)+VLOOKUP(O1298,'Fee Data'!$I$6:$J$14,2,TRUE)+'Fee Data'!$J$20+'Fee Data'!$J$21)*'Assumptions'!I37</x:f>
        <x:v>470</x:v>
      </x:c>
      <x:c r="R1298" s="27" t="n">
        <x:f>P1298*(1-'Assumptions'!$D$14)+Q1298*'Assumptions'!$D$14</x:f>
        <x:v>532.5</x:v>
      </x:c>
      <x:c r="S1298" s="27" t="n">
        <x:f>O1298*'Carrier Engine'!E96</x:f>
        <x:v>55.17614486571216</x:v>
      </x:c>
      <x:c r="T1298" s="28" t="n">
        <x:f>R1298+S1298</x:f>
        <x:v>587.6761448657121</x:v>
      </x:c>
      <x:c r="U1298" s="27" t="n">
        <x:f>N1298*'Fleet Engine'!K217</x:f>
        <x:v>150.6377488967261</x:v>
      </x:c>
      <x:c r="V1298" s="28" t="n">
        <x:f>U1298*T1298</x:f>
        <x:v>88526.21154287716</x:v>
      </x:c>
      <x:c r="W1298" s="28" t="n">
        <x:f>U1298*O1298</x:f>
        <x:v>207790.25638426328</x:v>
      </x:c>
    </x:row>
    <x:row r="1299" ht="19" customHeight="1">
      <x:c r="A1299" s="2"/>
      <x:c r="B1299" s="2"/>
      <x:c r="C1299" s="46" t="n">
        <x:v>5</x:v>
      </x:c>
      <x:c r="D1299" s="46" t="n">
        <x:v>23</x:v>
      </x:c>
      <x:c r="E1299" s="46" t="n">
        <x:v>3</x:v>
      </x:c>
      <x:c r="F1299" s="46" t="n">
        <x:v>5</x:v>
      </x:c>
      <x:c r="G1299" s="12" t="n">
        <x:v>0.6666666666666666</x:v>
      </x:c>
      <x:c r="H1299" s="12" t="n">
        <x:v>0.7777777777777778</x:v>
      </x:c>
      <x:c r="I1299" s="29" t="n">
        <x:f>'Assumptions'!$D$11+'Assumptions'!$D$12*(0.5-(G1299+H1299)/2)</x:f>
        <x:v>0.25555555555555554</x:v>
      </x:c>
      <x:c r="J1299" s="27" t="n">
        <x:f>'Assumptions'!$D$8*EXP(-'Assumptions'!$D$9*('Fleet Engine'!E217-10))*'Assumptions'!E58*'Assumptions'!I36</x:f>
        <x:v>4965.853037914095</x:v>
      </x:c>
      <x:c r="K1299" s="27" t="n">
        <x:f>'Source Data'!F222+LN('Assumptions'!D58)+LN('Assumptions'!I35)</x:f>
        <x:v>8.030635919980082</x:v>
      </x:c>
      <x:c r="L1299" s="27" t="n">
        <x:f>J1299*(1-I1299*(1-'Carrier Engine'!E96))</x:f>
        <x:v>3747.5637592791704</x:v>
      </x:c>
      <x:c r="M1299" s="29" t="n">
        <x:f>NORM.S.DIST((LN(L1299)-K1299)/'Assumptions'!$D$10,TRUE)</x:f>
        <x:v>0.5502296617814866</x:v>
      </x:c>
      <x:c r="N1299" s="30" t="n">
        <x:f>MAX(0,H1299-MAX(G1299,M1299))</x:f>
        <x:v>0.11111111111111116</x:v>
      </x:c>
      <x:c r="O1299" s="28" t="n">
        <x:f>J1299*I1299</x:f>
        <x:v>1269.0513319113797</x:v>
      </x:c>
      <x:c r="P1299" s="27" t="n">
        <x:f>(VLOOKUP(O1299,'Fee Data'!$C$6:$G$50,2,TRUE)+O1299*VLOOKUP(O1299,'Fee Data'!$C$6:$G$50,3,TRUE)+VLOOKUP(O1299,'Fee Data'!$I$6:$J$14,2,TRUE)+'Fee Data'!$J$20+'Fee Data'!$J$21)*'Assumptions'!I37</x:f>
        <x:v>580</x:v>
      </x:c>
      <x:c r="Q1299" s="27" t="n">
        <x:f>(VLOOKUP(O1299,'Fee Data'!$C$6:$G$50,4,TRUE)+O1299*VLOOKUP(O1299,'Fee Data'!$C$6:$G$50,5,TRUE)+VLOOKUP(O1299,'Fee Data'!$I$6:$J$14,2,TRUE)+'Fee Data'!$J$20+'Fee Data'!$J$21)*'Assumptions'!I37</x:f>
        <x:v>455</x:v>
      </x:c>
      <x:c r="R1299" s="27" t="n">
        <x:f>P1299*(1-'Assumptions'!$D$14)+Q1299*'Assumptions'!$D$14</x:f>
        <x:v>517.5</x:v>
      </x:c>
      <x:c r="S1299" s="27" t="n">
        <x:f>O1299*'Carrier Engine'!E96</x:f>
        <x:v>50.76205327645519</x:v>
      </x:c>
      <x:c r="T1299" s="28" t="n">
        <x:f>R1299+S1299</x:f>
        <x:v>568.2620532764552</x:v>
      </x:c>
      <x:c r="U1299" s="27" t="n">
        <x:f>N1299*'Fleet Engine'!K217</x:f>
        <x:v>150.63774889672624</x:v>
      </x:c>
      <x:c r="V1299" s="28" t="n">
        <x:f>U1299*T1299</x:f>
        <x:v>85601.71648899672</x:v>
      </x:c>
      <x:c r="W1299" s="28" t="n">
        <x:f>U1299*O1299</x:f>
        <x:v>191167.0358735224</x:v>
      </x:c>
    </x:row>
    <x:row r="1300" ht="19" customHeight="1">
      <x:c r="A1300" s="2"/>
      <x:c r="B1300" s="2"/>
      <x:c r="C1300" s="46" t="n">
        <x:v>5</x:v>
      </x:c>
      <x:c r="D1300" s="46" t="n">
        <x:v>23</x:v>
      </x:c>
      <x:c r="E1300" s="46" t="n">
        <x:v>3</x:v>
      </x:c>
      <x:c r="F1300" s="46" t="n">
        <x:v>5</x:v>
      </x:c>
      <x:c r="G1300" s="12" t="n">
        <x:v>0.7777777777777778</x:v>
      </x:c>
      <x:c r="H1300" s="12" t="n">
        <x:v>0.8888888888888888</x:v>
      </x:c>
      <x:c r="I1300" s="29" t="n">
        <x:f>'Assumptions'!$D$11+'Assumptions'!$D$12*(0.5-(G1300+H1300)/2)</x:f>
        <x:v>0.23333333333333334</x:v>
      </x:c>
      <x:c r="J1300" s="27" t="n">
        <x:f>'Assumptions'!$D$8*EXP(-'Assumptions'!$D$9*('Fleet Engine'!E217-10))*'Assumptions'!E58*'Assumptions'!I36</x:f>
        <x:v>4965.853037914095</x:v>
      </x:c>
      <x:c r="K1300" s="27" t="n">
        <x:f>'Source Data'!F222+LN('Assumptions'!D58)+LN('Assumptions'!I35)</x:f>
        <x:v>8.030635919980082</x:v>
      </x:c>
      <x:c r="L1300" s="27" t="n">
        <x:f>J1300*(1-I1300*(1-'Carrier Engine'!E96))</x:f>
        <x:v>3853.5019574213375</x:v>
      </x:c>
      <x:c r="M1300" s="29" t="n">
        <x:f>NORM.S.DIST((LN(L1300)-K1300)/'Assumptions'!$D$10,TRUE)</x:f>
        <x:v>0.557247762810186</x:v>
      </x:c>
      <x:c r="N1300" s="30" t="n">
        <x:f>MAX(0,H1300-MAX(G1300,M1300))</x:f>
        <x:v>0.11111111111111105</x:v>
      </x:c>
      <x:c r="O1300" s="28" t="n">
        <x:f>J1300*I1300</x:f>
        <x:v>1158.6990421799555</x:v>
      </x:c>
      <x:c r="P1300" s="27" t="n">
        <x:f>(VLOOKUP(O1300,'Fee Data'!$C$6:$G$50,2,TRUE)+O1300*VLOOKUP(O1300,'Fee Data'!$C$6:$G$50,3,TRUE)+VLOOKUP(O1300,'Fee Data'!$I$6:$J$14,2,TRUE)+'Fee Data'!$J$20+'Fee Data'!$J$21)*'Assumptions'!I37</x:f>
        <x:v>560</x:v>
      </x:c>
      <x:c r="Q1300" s="27" t="n">
        <x:f>(VLOOKUP(O1300,'Fee Data'!$C$6:$G$50,4,TRUE)+O1300*VLOOKUP(O1300,'Fee Data'!$C$6:$G$50,5,TRUE)+VLOOKUP(O1300,'Fee Data'!$I$6:$J$14,2,TRUE)+'Fee Data'!$J$20+'Fee Data'!$J$21)*'Assumptions'!I37</x:f>
        <x:v>435</x:v>
      </x:c>
      <x:c r="R1300" s="27" t="n">
        <x:f>P1300*(1-'Assumptions'!$D$14)+Q1300*'Assumptions'!$D$14</x:f>
        <x:v>497.5</x:v>
      </x:c>
      <x:c r="S1300" s="27" t="n">
        <x:f>O1300*'Carrier Engine'!E96</x:f>
        <x:v>46.34796168719822</x:v>
      </x:c>
      <x:c r="T1300" s="28" t="n">
        <x:f>R1300+S1300</x:f>
        <x:v>543.8479616871982</x:v>
      </x:c>
      <x:c r="U1300" s="27" t="n">
        <x:f>N1300*'Fleet Engine'!K217</x:f>
        <x:v>150.6377488967261</x:v>
      </x:c>
      <x:c r="V1300" s="28" t="n">
        <x:f>U1300*T1300</x:f>
        <x:v>81924.03269063248</x:v>
      </x:c>
      <x:c r="W1300" s="28" t="n">
        <x:f>U1300*O1300</x:f>
        <x:v>174543.81536278117</x:v>
      </x:c>
    </x:row>
    <x:row r="1301" ht="19" customHeight="1">
      <x:c r="A1301" s="2"/>
      <x:c r="B1301" s="2"/>
      <x:c r="C1301" s="46" t="n">
        <x:v>5</x:v>
      </x:c>
      <x:c r="D1301" s="46" t="n">
        <x:v>23</x:v>
      </x:c>
      <x:c r="E1301" s="46" t="n">
        <x:v>3</x:v>
      </x:c>
      <x:c r="F1301" s="46" t="n">
        <x:v>5</x:v>
      </x:c>
      <x:c r="G1301" s="12" t="n">
        <x:v>0.8888888888888888</x:v>
      </x:c>
      <x:c r="H1301" s="12" t="n">
        <x:v>1</x:v>
      </x:c>
      <x:c r="I1301" s="29" t="n">
        <x:f>'Assumptions'!$D$11+'Assumptions'!$D$12*(0.5-(G1301+H1301)/2)</x:f>
        <x:v>0.21111111111111108</x:v>
      </x:c>
      <x:c r="J1301" s="27" t="n">
        <x:f>'Assumptions'!$D$8*EXP(-'Assumptions'!$D$9*('Fleet Engine'!E217-10))*'Assumptions'!E58*'Assumptions'!I36</x:f>
        <x:v>4965.853037914095</x:v>
      </x:c>
      <x:c r="K1301" s="27" t="n">
        <x:f>'Source Data'!F222+LN('Assumptions'!D58)+LN('Assumptions'!I35)</x:f>
        <x:v>8.030635919980082</x:v>
      </x:c>
      <x:c r="L1301" s="27" t="n">
        <x:f>J1301*(1-I1301*(1-'Carrier Engine'!E96))</x:f>
        <x:v>3959.440155563505</x:v>
      </x:c>
      <x:c r="M1301" s="29" t="n">
        <x:f>NORM.S.DIST((LN(L1301)-K1301)/'Assumptions'!$D$10,TRUE)</x:f>
        <x:v>0.5640583422764271</x:v>
      </x:c>
      <x:c r="N1301" s="30" t="n">
        <x:f>MAX(0,H1301-MAX(G1301,M1301))</x:f>
        <x:v>0.11111111111111116</x:v>
      </x:c>
      <x:c r="O1301" s="28" t="n">
        <x:f>J1301*I1301</x:f>
        <x:v>1048.3467524485309</x:v>
      </x:c>
      <x:c r="P1301" s="27" t="n">
        <x:f>(VLOOKUP(O1301,'Fee Data'!$C$6:$G$50,2,TRUE)+O1301*VLOOKUP(O1301,'Fee Data'!$C$6:$G$50,3,TRUE)+VLOOKUP(O1301,'Fee Data'!$I$6:$J$14,2,TRUE)+'Fee Data'!$J$20+'Fee Data'!$J$21)*'Assumptions'!I37</x:f>
        <x:v>560</x:v>
      </x:c>
      <x:c r="Q1301" s="27" t="n">
        <x:f>(VLOOKUP(O1301,'Fee Data'!$C$6:$G$50,4,TRUE)+O1301*VLOOKUP(O1301,'Fee Data'!$C$6:$G$50,5,TRUE)+VLOOKUP(O1301,'Fee Data'!$I$6:$J$14,2,TRUE)+'Fee Data'!$J$20+'Fee Data'!$J$21)*'Assumptions'!I37</x:f>
        <x:v>435</x:v>
      </x:c>
      <x:c r="R1301" s="27" t="n">
        <x:f>P1301*(1-'Assumptions'!$D$14)+Q1301*'Assumptions'!$D$14</x:f>
        <x:v>497.5</x:v>
      </x:c>
      <x:c r="S1301" s="27" t="n">
        <x:f>O1301*'Carrier Engine'!E96</x:f>
        <x:v>41.93387009794124</x:v>
      </x:c>
      <x:c r="T1301" s="28" t="n">
        <x:f>R1301+S1301</x:f>
        <x:v>539.4338700979413</x:v>
      </x:c>
      <x:c r="U1301" s="27" t="n">
        <x:f>N1301*'Fleet Engine'!K217</x:f>
        <x:v>150.63774889672624</x:v>
      </x:c>
      <x:c r="V1301" s="28" t="n">
        <x:f>U1301*T1301</x:f>
        <x:v>81259.10387020292</x:v>
      </x:c>
      <x:c r="W1301" s="28" t="n">
        <x:f>U1301*O1301</x:f>
        <x:v>157920.5948520402</x:v>
      </x:c>
    </x:row>
    <x:row r="1302" ht="19" customHeight="1">
      <x:c r="A1302" s="2"/>
      <x:c r="B1302" s="2"/>
      <x:c r="C1302" s="46" t="n">
        <x:v>6</x:v>
      </x:c>
      <x:c r="D1302" s="46" t="n">
        <x:v>0</x:v>
      </x:c>
      <x:c r="E1302" s="46" t="n">
        <x:v>0</x:v>
      </x:c>
      <x:c r="F1302" s="46" t="n">
        <x:v>0</x:v>
      </x:c>
      <x:c r="G1302" s="12" t="n">
        <x:v>0</x:v>
      </x:c>
      <x:c r="H1302" s="12" t="n">
        <x:v>0.1111111111111111</x:v>
      </x:c>
      <x:c r="I1302" s="29" t="n">
        <x:f>'Assumptions'!$D$11+'Assumptions'!$D$12*(0.5-(G1302+H1302)/2)</x:f>
        <x:v>0.3888888888888889</x:v>
      </x:c>
      <x:c r="J1302" s="27" t="n">
        <x:f>'Assumptions'!$D$8*EXP(-'Assumptions'!$D$9*('Fleet Engine'!E194-10))*'Assumptions'!E55*'Assumptions'!J36</x:f>
        <x:v>27182.818284590452</x:v>
      </x:c>
      <x:c r="K1302" s="27" t="n">
        <x:f>'Source Data'!F217+LN('Assumptions'!D55)+LN('Assumptions'!J35)</x:f>
        <x:v>8.024343827519704</x:v>
      </x:c>
      <x:c r="L1302" s="27" t="n">
        <x:f>J1302*(1-I1302*(1-'Carrier Engine'!E97))</x:f>
        <x:v>17034.566125010017</x:v>
      </x:c>
      <x:c r="M1302" s="29" t="n">
        <x:f>NORM.S.DIST((LN(L1302)-K1302)/'Assumptions'!$D$10,TRUE)</x:f>
        <x:v>0.8631412857617822</x:v>
      </x:c>
      <x:c r="N1302" s="30" t="n">
        <x:f>MAX(0,H1302-MAX(G1302,M1302))</x:f>
        <x:v>0</x:v>
      </x:c>
      <x:c r="O1302" s="28" t="n">
        <x:f>J1302*I1302</x:f>
        <x:v>10571.095999562955</x:v>
      </x:c>
      <x:c r="P1302" s="27" t="n">
        <x:f>(VLOOKUP(O1302,'Fee Data'!$C$6:$G$50,2,TRUE)+O1302*VLOOKUP(O1302,'Fee Data'!$C$6:$G$50,3,TRUE)+VLOOKUP(O1302,'Fee Data'!$I$6:$J$14,2,TRUE)+'Fee Data'!$J$20+'Fee Data'!$J$21)*'Assumptions'!J37</x:f>
        <x:v>1250</x:v>
      </x:c>
      <x:c r="Q1302" s="27" t="n">
        <x:f>(VLOOKUP(O1302,'Fee Data'!$C$6:$G$50,4,TRUE)+O1302*VLOOKUP(O1302,'Fee Data'!$C$6:$G$50,5,TRUE)+VLOOKUP(O1302,'Fee Data'!$I$6:$J$14,2,TRUE)+'Fee Data'!$J$20+'Fee Data'!$J$21)*'Assumptions'!J37</x:f>
        <x:v>1100</x:v>
      </x:c>
      <x:c r="R1302" s="27" t="n">
        <x:f>P1302*(1-'Assumptions'!$D$14)+Q1302*'Assumptions'!$D$14</x:f>
        <x:v>1175</x:v>
      </x:c>
      <x:c r="S1302" s="27" t="n">
        <x:f>O1302*'Carrier Engine'!E97</x:f>
        <x:v>422.84383998251826</x:v>
      </x:c>
      <x:c r="T1302" s="28" t="n">
        <x:f>R1302+S1302</x:f>
        <x:v>1597.8438399825181</x:v>
      </x:c>
      <x:c r="U1302" s="27" t="n">
        <x:f>N1302*'Fleet Engine'!L194</x:f>
        <x:v>0</x:v>
      </x:c>
      <x:c r="V1302" s="28" t="n">
        <x:f>U1302*T1302</x:f>
        <x:v>0</x:v>
      </x:c>
      <x:c r="W1302" s="28" t="n">
        <x:f>U1302*O1302</x:f>
        <x:v>0</x:v>
      </x:c>
    </x:row>
    <x:row r="1303" ht="19" customHeight="1">
      <x:c r="A1303" s="2"/>
      <x:c r="B1303" s="2"/>
      <x:c r="C1303" s="46" t="n">
        <x:v>6</x:v>
      </x:c>
      <x:c r="D1303" s="46" t="n">
        <x:v>0</x:v>
      </x:c>
      <x:c r="E1303" s="46" t="n">
        <x:v>0</x:v>
      </x:c>
      <x:c r="F1303" s="46" t="n">
        <x:v>0</x:v>
      </x:c>
      <x:c r="G1303" s="12" t="n">
        <x:v>0.1111111111111111</x:v>
      </x:c>
      <x:c r="H1303" s="12" t="n">
        <x:v>0.2222222222222222</x:v>
      </x:c>
      <x:c r="I1303" s="29" t="n">
        <x:f>'Assumptions'!$D$11+'Assumptions'!$D$12*(0.5-(G1303+H1303)/2)</x:f>
        <x:v>0.3666666666666667</x:v>
      </x:c>
      <x:c r="J1303" s="27" t="n">
        <x:f>'Assumptions'!$D$8*EXP(-'Assumptions'!$D$9*('Fleet Engine'!E194-10))*'Assumptions'!E55*'Assumptions'!J36</x:f>
        <x:v>27182.818284590452</x:v>
      </x:c>
      <x:c r="K1303" s="27" t="n">
        <x:f>'Source Data'!F217+LN('Assumptions'!D55)+LN('Assumptions'!J35)</x:f>
        <x:v>8.024343827519704</x:v>
      </x:c>
      <x:c r="L1303" s="27" t="n">
        <x:f>J1303*(1-I1303*(1-'Carrier Engine'!E97))</x:f>
        <x:v>17614.46624841461</x:v>
      </x:c>
      <x:c r="M1303" s="29" t="n">
        <x:f>NORM.S.DIST((LN(L1303)-K1303)/'Assumptions'!$D$10,TRUE)</x:f>
        <x:v>0.867759233179046</x:v>
      </x:c>
      <x:c r="N1303" s="30" t="n">
        <x:f>MAX(0,H1303-MAX(G1303,M1303))</x:f>
        <x:v>0</x:v>
      </x:c>
      <x:c r="O1303" s="28" t="n">
        <x:f>J1303*I1303</x:f>
        <x:v>9967.0333710165</x:v>
      </x:c>
      <x:c r="P1303" s="27" t="n">
        <x:f>(VLOOKUP(O1303,'Fee Data'!$C$6:$G$50,2,TRUE)+O1303*VLOOKUP(O1303,'Fee Data'!$C$6:$G$50,3,TRUE)+VLOOKUP(O1303,'Fee Data'!$I$6:$J$14,2,TRUE)+'Fee Data'!$J$20+'Fee Data'!$J$21)*'Assumptions'!J37</x:f>
        <x:v>1195</x:v>
      </x:c>
      <x:c r="Q1303" s="27" t="n">
        <x:f>(VLOOKUP(O1303,'Fee Data'!$C$6:$G$50,4,TRUE)+O1303*VLOOKUP(O1303,'Fee Data'!$C$6:$G$50,5,TRUE)+VLOOKUP(O1303,'Fee Data'!$I$6:$J$14,2,TRUE)+'Fee Data'!$J$20+'Fee Data'!$J$21)*'Assumptions'!J37</x:f>
        <x:v>1070</x:v>
      </x:c>
      <x:c r="R1303" s="27" t="n">
        <x:f>P1303*(1-'Assumptions'!$D$14)+Q1303*'Assumptions'!$D$14</x:f>
        <x:v>1132.5</x:v>
      </x:c>
      <x:c r="S1303" s="27" t="n">
        <x:f>O1303*'Carrier Engine'!E97</x:f>
        <x:v>398.68133484066004</x:v>
      </x:c>
      <x:c r="T1303" s="28" t="n">
        <x:f>R1303+S1303</x:f>
        <x:v>1531.18133484066</x:v>
      </x:c>
      <x:c r="U1303" s="27" t="n">
        <x:f>N1303*'Fleet Engine'!L194</x:f>
        <x:v>0</x:v>
      </x:c>
      <x:c r="V1303" s="28" t="n">
        <x:f>U1303*T1303</x:f>
        <x:v>0</x:v>
      </x:c>
      <x:c r="W1303" s="28" t="n">
        <x:f>U1303*O1303</x:f>
        <x:v>0</x:v>
      </x:c>
    </x:row>
    <x:row r="1304" ht="19" customHeight="1">
      <x:c r="A1304" s="2"/>
      <x:c r="B1304" s="2"/>
      <x:c r="C1304" s="46" t="n">
        <x:v>6</x:v>
      </x:c>
      <x:c r="D1304" s="46" t="n">
        <x:v>0</x:v>
      </x:c>
      <x:c r="E1304" s="46" t="n">
        <x:v>0</x:v>
      </x:c>
      <x:c r="F1304" s="46" t="n">
        <x:v>0</x:v>
      </x:c>
      <x:c r="G1304" s="12" t="n">
        <x:v>0.2222222222222222</x:v>
      </x:c>
      <x:c r="H1304" s="12" t="n">
        <x:v>0.3333333333333333</x:v>
      </x:c>
      <x:c r="I1304" s="29" t="n">
        <x:f>'Assumptions'!$D$11+'Assumptions'!$D$12*(0.5-(G1304+H1304)/2)</x:f>
        <x:v>0.34444444444444444</x:v>
      </x:c>
      <x:c r="J1304" s="27" t="n">
        <x:f>'Assumptions'!$D$8*EXP(-'Assumptions'!$D$9*('Fleet Engine'!E194-10))*'Assumptions'!E55*'Assumptions'!J36</x:f>
        <x:v>27182.818284590452</x:v>
      </x:c>
      <x:c r="K1304" s="27" t="n">
        <x:f>'Source Data'!F217+LN('Assumptions'!D55)+LN('Assumptions'!J35)</x:f>
        <x:v>8.024343827519704</x:v>
      </x:c>
      <x:c r="L1304" s="27" t="n">
        <x:f>J1304*(1-I1304*(1-'Carrier Engine'!E97))</x:f>
        <x:v>18194.36637181921</x:v>
      </x:c>
      <x:c r="M1304" s="29" t="n">
        <x:f>NORM.S.DIST((LN(L1304)-K1304)/'Assumptions'!$D$10,TRUE)</x:f>
        <x:v>0.8721242391048682</x:v>
      </x:c>
      <x:c r="N1304" s="30" t="n">
        <x:f>MAX(0,H1304-MAX(G1304,M1304))</x:f>
        <x:v>0</x:v>
      </x:c>
      <x:c r="O1304" s="28" t="n">
        <x:f>J1304*I1304</x:f>
        <x:v>9362.970742470045</x:v>
      </x:c>
      <x:c r="P1304" s="27" t="n">
        <x:f>(VLOOKUP(O1304,'Fee Data'!$C$6:$G$50,2,TRUE)+O1304*VLOOKUP(O1304,'Fee Data'!$C$6:$G$50,3,TRUE)+VLOOKUP(O1304,'Fee Data'!$I$6:$J$14,2,TRUE)+'Fee Data'!$J$20+'Fee Data'!$J$21)*'Assumptions'!J37</x:f>
        <x:v>1195</x:v>
      </x:c>
      <x:c r="Q1304" s="27" t="n">
        <x:f>(VLOOKUP(O1304,'Fee Data'!$C$6:$G$50,4,TRUE)+O1304*VLOOKUP(O1304,'Fee Data'!$C$6:$G$50,5,TRUE)+VLOOKUP(O1304,'Fee Data'!$I$6:$J$14,2,TRUE)+'Fee Data'!$J$20+'Fee Data'!$J$21)*'Assumptions'!J37</x:f>
        <x:v>1070</x:v>
      </x:c>
      <x:c r="R1304" s="27" t="n">
        <x:f>P1304*(1-'Assumptions'!$D$14)+Q1304*'Assumptions'!$D$14</x:f>
        <x:v>1132.5</x:v>
      </x:c>
      <x:c r="S1304" s="27" t="n">
        <x:f>O1304*'Carrier Engine'!E97</x:f>
        <x:v>374.5188296988019</x:v>
      </x:c>
      <x:c r="T1304" s="28" t="n">
        <x:f>R1304+S1304</x:f>
        <x:v>1507.018829698802</x:v>
      </x:c>
      <x:c r="U1304" s="27" t="n">
        <x:f>N1304*'Fleet Engine'!L194</x:f>
        <x:v>0</x:v>
      </x:c>
      <x:c r="V1304" s="28" t="n">
        <x:f>U1304*T1304</x:f>
        <x:v>0</x:v>
      </x:c>
      <x:c r="W1304" s="28" t="n">
        <x:f>U1304*O1304</x:f>
        <x:v>0</x:v>
      </x:c>
    </x:row>
    <x:row r="1305" ht="19" customHeight="1">
      <x:c r="A1305" s="2"/>
      <x:c r="B1305" s="2"/>
      <x:c r="C1305" s="46" t="n">
        <x:v>6</x:v>
      </x:c>
      <x:c r="D1305" s="46" t="n">
        <x:v>0</x:v>
      </x:c>
      <x:c r="E1305" s="46" t="n">
        <x:v>0</x:v>
      </x:c>
      <x:c r="F1305" s="46" t="n">
        <x:v>0</x:v>
      </x:c>
      <x:c r="G1305" s="12" t="n">
        <x:v>0.3333333333333333</x:v>
      </x:c>
      <x:c r="H1305" s="12" t="n">
        <x:v>0.4444444444444444</x:v>
      </x:c>
      <x:c r="I1305" s="29" t="n">
        <x:f>'Assumptions'!$D$11+'Assumptions'!$D$12*(0.5-(G1305+H1305)/2)</x:f>
        <x:v>0.32222222222222224</x:v>
      </x:c>
      <x:c r="J1305" s="27" t="n">
        <x:f>'Assumptions'!$D$8*EXP(-'Assumptions'!$D$9*('Fleet Engine'!E194-10))*'Assumptions'!E55*'Assumptions'!J36</x:f>
        <x:v>27182.818284590452</x:v>
      </x:c>
      <x:c r="K1305" s="27" t="n">
        <x:f>'Source Data'!F217+LN('Assumptions'!D55)+LN('Assumptions'!J35)</x:f>
        <x:v>8.024343827519704</x:v>
      </x:c>
      <x:c r="L1305" s="27" t="n">
        <x:f>J1305*(1-I1305*(1-'Carrier Engine'!E97))</x:f>
        <x:v>18774.266495223805</x:v>
      </x:c>
      <x:c r="M1305" s="29" t="n">
        <x:f>NORM.S.DIST((LN(L1305)-K1305)/'Assumptions'!$D$10,TRUE)</x:f>
        <x:v>0.8762558445797033</x:v>
      </x:c>
      <x:c r="N1305" s="30" t="n">
        <x:f>MAX(0,H1305-MAX(G1305,M1305))</x:f>
        <x:v>0</x:v>
      </x:c>
      <x:c r="O1305" s="28" t="n">
        <x:f>J1305*I1305</x:f>
        <x:v>8758.908113923591</x:v>
      </x:c>
      <x:c r="P1305" s="27" t="n">
        <x:f>(VLOOKUP(O1305,'Fee Data'!$C$6:$G$50,2,TRUE)+O1305*VLOOKUP(O1305,'Fee Data'!$C$6:$G$50,3,TRUE)+VLOOKUP(O1305,'Fee Data'!$I$6:$J$14,2,TRUE)+'Fee Data'!$J$20+'Fee Data'!$J$21)*'Assumptions'!J37</x:f>
        <x:v>1195</x:v>
      </x:c>
      <x:c r="Q1305" s="27" t="n">
        <x:f>(VLOOKUP(O1305,'Fee Data'!$C$6:$G$50,4,TRUE)+O1305*VLOOKUP(O1305,'Fee Data'!$C$6:$G$50,5,TRUE)+VLOOKUP(O1305,'Fee Data'!$I$6:$J$14,2,TRUE)+'Fee Data'!$J$20+'Fee Data'!$J$21)*'Assumptions'!J37</x:f>
        <x:v>1070</x:v>
      </x:c>
      <x:c r="R1305" s="27" t="n">
        <x:f>P1305*(1-'Assumptions'!$D$14)+Q1305*'Assumptions'!$D$14</x:f>
        <x:v>1132.5</x:v>
      </x:c>
      <x:c r="S1305" s="27" t="n">
        <x:f>O1305*'Carrier Engine'!E97</x:f>
        <x:v>350.3563245569437</x:v>
      </x:c>
      <x:c r="T1305" s="28" t="n">
        <x:f>R1305+S1305</x:f>
        <x:v>1482.8563245569437</x:v>
      </x:c>
      <x:c r="U1305" s="27" t="n">
        <x:f>N1305*'Fleet Engine'!L194</x:f>
        <x:v>0</x:v>
      </x:c>
      <x:c r="V1305" s="28" t="n">
        <x:f>U1305*T1305</x:f>
        <x:v>0</x:v>
      </x:c>
      <x:c r="W1305" s="28" t="n">
        <x:f>U1305*O1305</x:f>
        <x:v>0</x:v>
      </x:c>
    </x:row>
    <x:row r="1306" ht="19" customHeight="1">
      <x:c r="A1306" s="2"/>
      <x:c r="B1306" s="2"/>
      <x:c r="C1306" s="46" t="n">
        <x:v>6</x:v>
      </x:c>
      <x:c r="D1306" s="46" t="n">
        <x:v>0</x:v>
      </x:c>
      <x:c r="E1306" s="46" t="n">
        <x:v>0</x:v>
      </x:c>
      <x:c r="F1306" s="46" t="n">
        <x:v>0</x:v>
      </x:c>
      <x:c r="G1306" s="12" t="n">
        <x:v>0.4444444444444444</x:v>
      </x:c>
      <x:c r="H1306" s="12" t="n">
        <x:v>0.5555555555555556</x:v>
      </x:c>
      <x:c r="I1306" s="29" t="n">
        <x:f>'Assumptions'!$D$11+'Assumptions'!$D$12*(0.5-(G1306+H1306)/2)</x:f>
        <x:v>0.3</x:v>
      </x:c>
      <x:c r="J1306" s="27" t="n">
        <x:f>'Assumptions'!$D$8*EXP(-'Assumptions'!$D$9*('Fleet Engine'!E194-10))*'Assumptions'!E55*'Assumptions'!J36</x:f>
        <x:v>27182.818284590452</x:v>
      </x:c>
      <x:c r="K1306" s="27" t="n">
        <x:f>'Source Data'!F217+LN('Assumptions'!D55)+LN('Assumptions'!J35)</x:f>
        <x:v>8.024343827519704</x:v>
      </x:c>
      <x:c r="L1306" s="27" t="n">
        <x:f>J1306*(1-I1306*(1-'Carrier Engine'!E97))</x:f>
        <x:v>19354.166618628402</x:v>
      </x:c>
      <x:c r="M1306" s="29" t="n">
        <x:f>NORM.S.DIST((LN(L1306)-K1306)/'Assumptions'!$D$10,TRUE)</x:f>
        <x:v>0.8801716361024907</x:v>
      </x:c>
      <x:c r="N1306" s="30" t="n">
        <x:f>MAX(0,H1306-MAX(G1306,M1306))</x:f>
        <x:v>0</x:v>
      </x:c>
      <x:c r="O1306" s="28" t="n">
        <x:f>J1306*I1306</x:f>
        <x:v>8154.845485377135</x:v>
      </x:c>
      <x:c r="P1306" s="27" t="n">
        <x:f>(VLOOKUP(O1306,'Fee Data'!$C$6:$G$50,2,TRUE)+O1306*VLOOKUP(O1306,'Fee Data'!$C$6:$G$50,3,TRUE)+VLOOKUP(O1306,'Fee Data'!$I$6:$J$14,2,TRUE)+'Fee Data'!$J$20+'Fee Data'!$J$21)*'Assumptions'!J37</x:f>
        <x:v>1175</x:v>
      </x:c>
      <x:c r="Q1306" s="27" t="n">
        <x:f>(VLOOKUP(O1306,'Fee Data'!$C$6:$G$50,4,TRUE)+O1306*VLOOKUP(O1306,'Fee Data'!$C$6:$G$50,5,TRUE)+VLOOKUP(O1306,'Fee Data'!$I$6:$J$14,2,TRUE)+'Fee Data'!$J$20+'Fee Data'!$J$21)*'Assumptions'!J37</x:f>
        <x:v>1050</x:v>
      </x:c>
      <x:c r="R1306" s="27" t="n">
        <x:f>P1306*(1-'Assumptions'!$D$14)+Q1306*'Assumptions'!$D$14</x:f>
        <x:v>1112.5</x:v>
      </x:c>
      <x:c r="S1306" s="27" t="n">
        <x:f>O1306*'Carrier Engine'!E97</x:f>
        <x:v>326.1938194150855</x:v>
      </x:c>
      <x:c r="T1306" s="28" t="n">
        <x:f>R1306+S1306</x:f>
        <x:v>1438.6938194150855</x:v>
      </x:c>
      <x:c r="U1306" s="27" t="n">
        <x:f>N1306*'Fleet Engine'!L194</x:f>
        <x:v>0</x:v>
      </x:c>
      <x:c r="V1306" s="28" t="n">
        <x:f>U1306*T1306</x:f>
        <x:v>0</x:v>
      </x:c>
      <x:c r="W1306" s="28" t="n">
        <x:f>U1306*O1306</x:f>
        <x:v>0</x:v>
      </x:c>
    </x:row>
    <x:row r="1307" ht="19" customHeight="1">
      <x:c r="A1307" s="2"/>
      <x:c r="B1307" s="2"/>
      <x:c r="C1307" s="46" t="n">
        <x:v>6</x:v>
      </x:c>
      <x:c r="D1307" s="46" t="n">
        <x:v>0</x:v>
      </x:c>
      <x:c r="E1307" s="46" t="n">
        <x:v>0</x:v>
      </x:c>
      <x:c r="F1307" s="46" t="n">
        <x:v>0</x:v>
      </x:c>
      <x:c r="G1307" s="12" t="n">
        <x:v>0.5555555555555556</x:v>
      </x:c>
      <x:c r="H1307" s="12" t="n">
        <x:v>0.6666666666666666</x:v>
      </x:c>
      <x:c r="I1307" s="29" t="n">
        <x:f>'Assumptions'!$D$11+'Assumptions'!$D$12*(0.5-(G1307+H1307)/2)</x:f>
        <x:v>0.27777777777777773</x:v>
      </x:c>
      <x:c r="J1307" s="27" t="n">
        <x:f>'Assumptions'!$D$8*EXP(-'Assumptions'!$D$9*('Fleet Engine'!E194-10))*'Assumptions'!E55*'Assumptions'!J36</x:f>
        <x:v>27182.818284590452</x:v>
      </x:c>
      <x:c r="K1307" s="27" t="n">
        <x:f>'Source Data'!F217+LN('Assumptions'!D55)+LN('Assumptions'!J35)</x:f>
        <x:v>8.024343827519704</x:v>
      </x:c>
      <x:c r="L1307" s="27" t="n">
        <x:f>J1307*(1-I1307*(1-'Carrier Engine'!E97))</x:f>
        <x:v>19934.066742033</x:v>
      </x:c>
      <x:c r="M1307" s="29" t="n">
        <x:f>NORM.S.DIST((LN(L1307)-K1307)/'Assumptions'!$D$10,TRUE)</x:f>
        <x:v>0.8838874850458363</x:v>
      </x:c>
      <x:c r="N1307" s="30" t="n">
        <x:f>MAX(0,H1307-MAX(G1307,M1307))</x:f>
        <x:v>0</x:v>
      </x:c>
      <x:c r="O1307" s="28" t="n">
        <x:f>J1307*I1307</x:f>
        <x:v>7550.7828568306795</x:v>
      </x:c>
      <x:c r="P1307" s="27" t="n">
        <x:f>(VLOOKUP(O1307,'Fee Data'!$C$6:$G$50,2,TRUE)+O1307*VLOOKUP(O1307,'Fee Data'!$C$6:$G$50,3,TRUE)+VLOOKUP(O1307,'Fee Data'!$I$6:$J$14,2,TRUE)+'Fee Data'!$J$20+'Fee Data'!$J$21)*'Assumptions'!J37</x:f>
        <x:v>1135</x:v>
      </x:c>
      <x:c r="Q1307" s="27" t="n">
        <x:f>(VLOOKUP(O1307,'Fee Data'!$C$6:$G$50,4,TRUE)+O1307*VLOOKUP(O1307,'Fee Data'!$C$6:$G$50,5,TRUE)+VLOOKUP(O1307,'Fee Data'!$I$6:$J$14,2,TRUE)+'Fee Data'!$J$20+'Fee Data'!$J$21)*'Assumptions'!J37</x:f>
        <x:v>1010</x:v>
      </x:c>
      <x:c r="R1307" s="27" t="n">
        <x:f>P1307*(1-'Assumptions'!$D$14)+Q1307*'Assumptions'!$D$14</x:f>
        <x:v>1072.5</x:v>
      </x:c>
      <x:c r="S1307" s="27" t="n">
        <x:f>O1307*'Carrier Engine'!E97</x:f>
        <x:v>302.0313142732272</x:v>
      </x:c>
      <x:c r="T1307" s="28" t="n">
        <x:f>R1307+S1307</x:f>
        <x:v>1374.5313142732273</x:v>
      </x:c>
      <x:c r="U1307" s="27" t="n">
        <x:f>N1307*'Fleet Engine'!L194</x:f>
        <x:v>0</x:v>
      </x:c>
      <x:c r="V1307" s="28" t="n">
        <x:f>U1307*T1307</x:f>
        <x:v>0</x:v>
      </x:c>
      <x:c r="W1307" s="28" t="n">
        <x:f>U1307*O1307</x:f>
        <x:v>0</x:v>
      </x:c>
    </x:row>
    <x:row r="1308" ht="19" customHeight="1">
      <x:c r="A1308" s="2"/>
      <x:c r="B1308" s="2"/>
      <x:c r="C1308" s="46" t="n">
        <x:v>6</x:v>
      </x:c>
      <x:c r="D1308" s="46" t="n">
        <x:v>0</x:v>
      </x:c>
      <x:c r="E1308" s="46" t="n">
        <x:v>0</x:v>
      </x:c>
      <x:c r="F1308" s="46" t="n">
        <x:v>0</x:v>
      </x:c>
      <x:c r="G1308" s="12" t="n">
        <x:v>0.6666666666666666</x:v>
      </x:c>
      <x:c r="H1308" s="12" t="n">
        <x:v>0.7777777777777778</x:v>
      </x:c>
      <x:c r="I1308" s="29" t="n">
        <x:f>'Assumptions'!$D$11+'Assumptions'!$D$12*(0.5-(G1308+H1308)/2)</x:f>
        <x:v>0.25555555555555554</x:v>
      </x:c>
      <x:c r="J1308" s="27" t="n">
        <x:f>'Assumptions'!$D$8*EXP(-'Assumptions'!$D$9*('Fleet Engine'!E194-10))*'Assumptions'!E55*'Assumptions'!J36</x:f>
        <x:v>27182.818284590452</x:v>
      </x:c>
      <x:c r="K1308" s="27" t="n">
        <x:f>'Source Data'!F217+LN('Assumptions'!D55)+LN('Assumptions'!J35)</x:f>
        <x:v>8.024343827519704</x:v>
      </x:c>
      <x:c r="L1308" s="27" t="n">
        <x:f>J1308*(1-I1308*(1-'Carrier Engine'!E97))</x:f>
        <x:v>20513.966865437596</x:v>
      </x:c>
      <x:c r="M1308" s="29" t="n">
        <x:f>NORM.S.DIST((LN(L1308)-K1308)/'Assumptions'!$D$10,TRUE)</x:f>
        <x:v>0.8874177525057891</x:v>
      </x:c>
      <x:c r="N1308" s="30" t="n">
        <x:f>MAX(0,H1308-MAX(G1308,M1308))</x:f>
        <x:v>0</x:v>
      </x:c>
      <x:c r="O1308" s="28" t="n">
        <x:f>J1308*I1308</x:f>
        <x:v>6946.720228284226</x:v>
      </x:c>
      <x:c r="P1308" s="27" t="n">
        <x:f>(VLOOKUP(O1308,'Fee Data'!$C$6:$G$50,2,TRUE)+O1308*VLOOKUP(O1308,'Fee Data'!$C$6:$G$50,3,TRUE)+VLOOKUP(O1308,'Fee Data'!$I$6:$J$14,2,TRUE)+'Fee Data'!$J$20+'Fee Data'!$J$21)*'Assumptions'!J37</x:f>
        <x:v>1080</x:v>
      </x:c>
      <x:c r="Q1308" s="27" t="n">
        <x:f>(VLOOKUP(O1308,'Fee Data'!$C$6:$G$50,4,TRUE)+O1308*VLOOKUP(O1308,'Fee Data'!$C$6:$G$50,5,TRUE)+VLOOKUP(O1308,'Fee Data'!$I$6:$J$14,2,TRUE)+'Fee Data'!$J$20+'Fee Data'!$J$21)*'Assumptions'!J37</x:f>
        <x:v>955</x:v>
      </x:c>
      <x:c r="R1308" s="27" t="n">
        <x:f>P1308*(1-'Assumptions'!$D$14)+Q1308*'Assumptions'!$D$14</x:f>
        <x:v>1017.5</x:v>
      </x:c>
      <x:c r="S1308" s="27" t="n">
        <x:f>O1308*'Carrier Engine'!E97</x:f>
        <x:v>277.8688091313691</x:v>
      </x:c>
      <x:c r="T1308" s="28" t="n">
        <x:f>R1308+S1308</x:f>
        <x:v>1295.368809131369</x:v>
      </x:c>
      <x:c r="U1308" s="27" t="n">
        <x:f>N1308*'Fleet Engine'!L194</x:f>
        <x:v>0</x:v>
      </x:c>
      <x:c r="V1308" s="28" t="n">
        <x:f>U1308*T1308</x:f>
        <x:v>0</x:v>
      </x:c>
      <x:c r="W1308" s="28" t="n">
        <x:f>U1308*O1308</x:f>
        <x:v>0</x:v>
      </x:c>
    </x:row>
    <x:row r="1309" ht="19" customHeight="1">
      <x:c r="A1309" s="2"/>
      <x:c r="B1309" s="2"/>
      <x:c r="C1309" s="46" t="n">
        <x:v>6</x:v>
      </x:c>
      <x:c r="D1309" s="46" t="n">
        <x:v>0</x:v>
      </x:c>
      <x:c r="E1309" s="46" t="n">
        <x:v>0</x:v>
      </x:c>
      <x:c r="F1309" s="46" t="n">
        <x:v>0</x:v>
      </x:c>
      <x:c r="G1309" s="12" t="n">
        <x:v>0.7777777777777778</x:v>
      </x:c>
      <x:c r="H1309" s="12" t="n">
        <x:v>0.8888888888888888</x:v>
      </x:c>
      <x:c r="I1309" s="29" t="n">
        <x:f>'Assumptions'!$D$11+'Assumptions'!$D$12*(0.5-(G1309+H1309)/2)</x:f>
        <x:v>0.23333333333333334</x:v>
      </x:c>
      <x:c r="J1309" s="27" t="n">
        <x:f>'Assumptions'!$D$8*EXP(-'Assumptions'!$D$9*('Fleet Engine'!E194-10))*'Assumptions'!E55*'Assumptions'!J36</x:f>
        <x:v>27182.818284590452</x:v>
      </x:c>
      <x:c r="K1309" s="27" t="n">
        <x:f>'Source Data'!F217+LN('Assumptions'!D55)+LN('Assumptions'!J35)</x:f>
        <x:v>8.024343827519704</x:v>
      </x:c>
      <x:c r="L1309" s="27" t="n">
        <x:f>J1309*(1-I1309*(1-'Carrier Engine'!E97))</x:f>
        <x:v>21093.86698884219</x:v>
      </x:c>
      <x:c r="M1309" s="29" t="n">
        <x:f>NORM.S.DIST((LN(L1309)-K1309)/'Assumptions'!$D$10,TRUE)</x:f>
        <x:v>0.8907754653078662</x:v>
      </x:c>
      <x:c r="N1309" s="30" t="n">
        <x:f>MAX(0,H1309-MAX(G1309,M1309))</x:f>
        <x:v>0</x:v>
      </x:c>
      <x:c r="O1309" s="28" t="n">
        <x:f>J1309*I1309</x:f>
        <x:v>6342.657599737772</x:v>
      </x:c>
      <x:c r="P1309" s="27" t="n">
        <x:f>(VLOOKUP(O1309,'Fee Data'!$C$6:$G$50,2,TRUE)+O1309*VLOOKUP(O1309,'Fee Data'!$C$6:$G$50,3,TRUE)+VLOOKUP(O1309,'Fee Data'!$I$6:$J$14,2,TRUE)+'Fee Data'!$J$20+'Fee Data'!$J$21)*'Assumptions'!J37</x:f>
        <x:v>1060</x:v>
      </x:c>
      <x:c r="Q1309" s="27" t="n">
        <x:f>(VLOOKUP(O1309,'Fee Data'!$C$6:$G$50,4,TRUE)+O1309*VLOOKUP(O1309,'Fee Data'!$C$6:$G$50,5,TRUE)+VLOOKUP(O1309,'Fee Data'!$I$6:$J$14,2,TRUE)+'Fee Data'!$J$20+'Fee Data'!$J$21)*'Assumptions'!J37</x:f>
        <x:v>935</x:v>
      </x:c>
      <x:c r="R1309" s="27" t="n">
        <x:f>P1309*(1-'Assumptions'!$D$14)+Q1309*'Assumptions'!$D$14</x:f>
        <x:v>997.5</x:v>
      </x:c>
      <x:c r="S1309" s="27" t="n">
        <x:f>O1309*'Carrier Engine'!E97</x:f>
        <x:v>253.70630398951093</x:v>
      </x:c>
      <x:c r="T1309" s="28" t="n">
        <x:f>R1309+S1309</x:f>
        <x:v>1251.2063039895108</x:v>
      </x:c>
      <x:c r="U1309" s="27" t="n">
        <x:f>N1309*'Fleet Engine'!L194</x:f>
        <x:v>0</x:v>
      </x:c>
      <x:c r="V1309" s="28" t="n">
        <x:f>U1309*T1309</x:f>
        <x:v>0</x:v>
      </x:c>
      <x:c r="W1309" s="28" t="n">
        <x:f>U1309*O1309</x:f>
        <x:v>0</x:v>
      </x:c>
    </x:row>
    <x:row r="1310" ht="19" customHeight="1">
      <x:c r="A1310" s="2"/>
      <x:c r="B1310" s="2"/>
      <x:c r="C1310" s="46" t="n">
        <x:v>6</x:v>
      </x:c>
      <x:c r="D1310" s="46" t="n">
        <x:v>0</x:v>
      </x:c>
      <x:c r="E1310" s="46" t="n">
        <x:v>0</x:v>
      </x:c>
      <x:c r="F1310" s="46" t="n">
        <x:v>0</x:v>
      </x:c>
      <x:c r="G1310" s="12" t="n">
        <x:v>0.8888888888888888</x:v>
      </x:c>
      <x:c r="H1310" s="12" t="n">
        <x:v>1</x:v>
      </x:c>
      <x:c r="I1310" s="29" t="n">
        <x:f>'Assumptions'!$D$11+'Assumptions'!$D$12*(0.5-(G1310+H1310)/2)</x:f>
        <x:v>0.21111111111111108</x:v>
      </x:c>
      <x:c r="J1310" s="27" t="n">
        <x:f>'Assumptions'!$D$8*EXP(-'Assumptions'!$D$9*('Fleet Engine'!E194-10))*'Assumptions'!E55*'Assumptions'!J36</x:f>
        <x:v>27182.818284590452</x:v>
      </x:c>
      <x:c r="K1310" s="27" t="n">
        <x:f>'Source Data'!F217+LN('Assumptions'!D55)+LN('Assumptions'!J35)</x:f>
        <x:v>8.024343827519704</x:v>
      </x:c>
      <x:c r="L1310" s="27" t="n">
        <x:f>J1310*(1-I1310*(1-'Carrier Engine'!E97))</x:f>
        <x:v>21673.767112246787</x:v>
      </x:c>
      <x:c r="M1310" s="29" t="n">
        <x:f>NORM.S.DIST((LN(L1310)-K1310)/'Assumptions'!$D$10,TRUE)</x:f>
        <x:v>0.8939724678273033</x:v>
      </x:c>
      <x:c r="N1310" s="30" t="n">
        <x:f>MAX(0,H1310-MAX(G1310,M1310))</x:f>
        <x:v>0.10602753217269667</x:v>
      </x:c>
      <x:c r="O1310" s="28" t="n">
        <x:f>J1310*I1310</x:f>
        <x:v>5738.594971191317</x:v>
      </x:c>
      <x:c r="P1310" s="27" t="n">
        <x:f>(VLOOKUP(O1310,'Fee Data'!$C$6:$G$50,2,TRUE)+O1310*VLOOKUP(O1310,'Fee Data'!$C$6:$G$50,3,TRUE)+VLOOKUP(O1310,'Fee Data'!$I$6:$J$14,2,TRUE)+'Fee Data'!$J$20+'Fee Data'!$J$21)*'Assumptions'!J37</x:f>
        <x:v>1020</x:v>
      </x:c>
      <x:c r="Q1310" s="27" t="n">
        <x:f>(VLOOKUP(O1310,'Fee Data'!$C$6:$G$50,4,TRUE)+O1310*VLOOKUP(O1310,'Fee Data'!$C$6:$G$50,5,TRUE)+VLOOKUP(O1310,'Fee Data'!$I$6:$J$14,2,TRUE)+'Fee Data'!$J$20+'Fee Data'!$J$21)*'Assumptions'!J37</x:f>
        <x:v>895</x:v>
      </x:c>
      <x:c r="R1310" s="27" t="n">
        <x:f>P1310*(1-'Assumptions'!$D$14)+Q1310*'Assumptions'!$D$14</x:f>
        <x:v>957.5</x:v>
      </x:c>
      <x:c r="S1310" s="27" t="n">
        <x:f>O1310*'Carrier Engine'!E97</x:f>
        <x:v>229.54379884765274</x:v>
      </x:c>
      <x:c r="T1310" s="28" t="n">
        <x:f>R1310+S1310</x:f>
        <x:v>1187.0437988476529</x:v>
      </x:c>
      <x:c r="U1310" s="27" t="n">
        <x:f>N1310*'Fleet Engine'!L194</x:f>
        <x:v>146.5512549691013</x:v>
      </x:c>
      <x:c r="V1310" s="28" t="n">
        <x:f>U1310*T1310</x:f>
        <x:v>173962.75842441298</x:v>
      </x:c>
      <x:c r="W1310" s="28" t="n">
        <x:f>U1310*O1310</x:f>
        <x:v>840998.2947874613</x:v>
      </x:c>
    </x:row>
    <x:row r="1311" ht="19" customHeight="1">
      <x:c r="A1311" s="2"/>
      <x:c r="B1311" s="2"/>
      <x:c r="C1311" s="46" t="n">
        <x:v>6</x:v>
      </x:c>
      <x:c r="D1311" s="46" t="n">
        <x:v>1</x:v>
      </x:c>
      <x:c r="E1311" s="46" t="n">
        <x:v>0</x:v>
      </x:c>
      <x:c r="F1311" s="46" t="n">
        <x:v>1</x:v>
      </x:c>
      <x:c r="G1311" s="12" t="n">
        <x:v>0</x:v>
      </x:c>
      <x:c r="H1311" s="12" t="n">
        <x:v>0.1111111111111111</x:v>
      </x:c>
      <x:c r="I1311" s="29" t="n">
        <x:f>'Assumptions'!$D$11+'Assumptions'!$D$12*(0.5-(G1311+H1311)/2)</x:f>
        <x:v>0.3888888888888889</x:v>
      </x:c>
      <x:c r="J1311" s="27" t="n">
        <x:f>'Assumptions'!$D$8*EXP(-'Assumptions'!$D$9*('Fleet Engine'!E195-10))*'Assumptions'!E55*'Assumptions'!J36</x:f>
        <x:v>22255.409284924677</x:v>
      </x:c>
      <x:c r="K1311" s="27" t="n">
        <x:f>'Source Data'!F218+LN('Assumptions'!D55)+LN('Assumptions'!J35)</x:f>
        <x:v>7.909903025975467</x:v>
      </x:c>
      <x:c r="L1311" s="27" t="n">
        <x:f>J1311*(1-I1311*(1-'Carrier Engine'!E97))</x:f>
        <x:v>13946.723151886132</x:v>
      </x:c>
      <x:c r="M1311" s="29" t="n">
        <x:f>NORM.S.DIST((LN(L1311)-K1311)/'Assumptions'!$D$10,TRUE)</x:f>
        <x:v>0.8508422763569413</x:v>
      </x:c>
      <x:c r="N1311" s="30" t="n">
        <x:f>MAX(0,H1311-MAX(G1311,M1311))</x:f>
        <x:v>0</x:v>
      </x:c>
      <x:c r="O1311" s="28" t="n">
        <x:f>J1311*I1311</x:f>
        <x:v>8654.88138858182</x:v>
      </x:c>
      <x:c r="P1311" s="27" t="n">
        <x:f>(VLOOKUP(O1311,'Fee Data'!$C$6:$G$50,2,TRUE)+O1311*VLOOKUP(O1311,'Fee Data'!$C$6:$G$50,3,TRUE)+VLOOKUP(O1311,'Fee Data'!$I$6:$J$14,2,TRUE)+'Fee Data'!$J$20+'Fee Data'!$J$21)*'Assumptions'!J37</x:f>
        <x:v>1195</x:v>
      </x:c>
      <x:c r="Q1311" s="27" t="n">
        <x:f>(VLOOKUP(O1311,'Fee Data'!$C$6:$G$50,4,TRUE)+O1311*VLOOKUP(O1311,'Fee Data'!$C$6:$G$50,5,TRUE)+VLOOKUP(O1311,'Fee Data'!$I$6:$J$14,2,TRUE)+'Fee Data'!$J$20+'Fee Data'!$J$21)*'Assumptions'!J37</x:f>
        <x:v>1070</x:v>
      </x:c>
      <x:c r="R1311" s="27" t="n">
        <x:f>P1311*(1-'Assumptions'!$D$14)+Q1311*'Assumptions'!$D$14</x:f>
        <x:v>1132.5</x:v>
      </x:c>
      <x:c r="S1311" s="27" t="n">
        <x:f>O1311*'Carrier Engine'!E97</x:f>
        <x:v>346.1952555432729</x:v>
      </x:c>
      <x:c r="T1311" s="28" t="n">
        <x:f>R1311+S1311</x:f>
        <x:v>1478.6952555432729</x:v>
      </x:c>
      <x:c r="U1311" s="27" t="n">
        <x:f>N1311*'Fleet Engine'!L195</x:f>
        <x:v>0</x:v>
      </x:c>
      <x:c r="V1311" s="28" t="n">
        <x:f>U1311*T1311</x:f>
        <x:v>0</x:v>
      </x:c>
      <x:c r="W1311" s="28" t="n">
        <x:f>U1311*O1311</x:f>
        <x:v>0</x:v>
      </x:c>
    </x:row>
    <x:row r="1312" ht="19" customHeight="1">
      <x:c r="A1312" s="2"/>
      <x:c r="B1312" s="2"/>
      <x:c r="C1312" s="46" t="n">
        <x:v>6</x:v>
      </x:c>
      <x:c r="D1312" s="46" t="n">
        <x:v>1</x:v>
      </x:c>
      <x:c r="E1312" s="46" t="n">
        <x:v>0</x:v>
      </x:c>
      <x:c r="F1312" s="46" t="n">
        <x:v>1</x:v>
      </x:c>
      <x:c r="G1312" s="12" t="n">
        <x:v>0.1111111111111111</x:v>
      </x:c>
      <x:c r="H1312" s="12" t="n">
        <x:v>0.2222222222222222</x:v>
      </x:c>
      <x:c r="I1312" s="29" t="n">
        <x:f>'Assumptions'!$D$11+'Assumptions'!$D$12*(0.5-(G1312+H1312)/2)</x:f>
        <x:v>0.3666666666666667</x:v>
      </x:c>
      <x:c r="J1312" s="27" t="n">
        <x:f>'Assumptions'!$D$8*EXP(-'Assumptions'!$D$9*('Fleet Engine'!E195-10))*'Assumptions'!E55*'Assumptions'!J36</x:f>
        <x:v>22255.409284924677</x:v>
      </x:c>
      <x:c r="K1312" s="27" t="n">
        <x:f>'Source Data'!F218+LN('Assumptions'!D55)+LN('Assumptions'!J35)</x:f>
        <x:v>7.909903025975467</x:v>
      </x:c>
      <x:c r="L1312" s="27" t="n">
        <x:f>J1312*(1-I1312*(1-'Carrier Engine'!E97))</x:f>
        <x:v>14421.505216631189</x:v>
      </x:c>
      <x:c r="M1312" s="29" t="n">
        <x:f>NORM.S.DIST((LN(L1312)-K1312)/'Assumptions'!$D$10,TRUE)</x:f>
        <x:v>0.8557395814099102</x:v>
      </x:c>
      <x:c r="N1312" s="30" t="n">
        <x:f>MAX(0,H1312-MAX(G1312,M1312))</x:f>
        <x:v>0</x:v>
      </x:c>
      <x:c r="O1312" s="28" t="n">
        <x:f>J1312*I1312</x:f>
        <x:v>8160.316737805716</x:v>
      </x:c>
      <x:c r="P1312" s="27" t="n">
        <x:f>(VLOOKUP(O1312,'Fee Data'!$C$6:$G$50,2,TRUE)+O1312*VLOOKUP(O1312,'Fee Data'!$C$6:$G$50,3,TRUE)+VLOOKUP(O1312,'Fee Data'!$I$6:$J$14,2,TRUE)+'Fee Data'!$J$20+'Fee Data'!$J$21)*'Assumptions'!J37</x:f>
        <x:v>1175</x:v>
      </x:c>
      <x:c r="Q1312" s="27" t="n">
        <x:f>(VLOOKUP(O1312,'Fee Data'!$C$6:$G$50,4,TRUE)+O1312*VLOOKUP(O1312,'Fee Data'!$C$6:$G$50,5,TRUE)+VLOOKUP(O1312,'Fee Data'!$I$6:$J$14,2,TRUE)+'Fee Data'!$J$20+'Fee Data'!$J$21)*'Assumptions'!J37</x:f>
        <x:v>1050</x:v>
      </x:c>
      <x:c r="R1312" s="27" t="n">
        <x:f>P1312*(1-'Assumptions'!$D$14)+Q1312*'Assumptions'!$D$14</x:f>
        <x:v>1112.5</x:v>
      </x:c>
      <x:c r="S1312" s="27" t="n">
        <x:f>O1312*'Carrier Engine'!E97</x:f>
        <x:v>326.4126695122287</x:v>
      </x:c>
      <x:c r="T1312" s="28" t="n">
        <x:f>R1312+S1312</x:f>
        <x:v>1438.9126695122286</x:v>
      </x:c>
      <x:c r="U1312" s="27" t="n">
        <x:f>N1312*'Fleet Engine'!L195</x:f>
        <x:v>0</x:v>
      </x:c>
      <x:c r="V1312" s="28" t="n">
        <x:f>U1312*T1312</x:f>
        <x:v>0</x:v>
      </x:c>
      <x:c r="W1312" s="28" t="n">
        <x:f>U1312*O1312</x:f>
        <x:v>0</x:v>
      </x:c>
    </x:row>
    <x:row r="1313" ht="19" customHeight="1">
      <x:c r="A1313" s="2"/>
      <x:c r="B1313" s="2"/>
      <x:c r="C1313" s="46" t="n">
        <x:v>6</x:v>
      </x:c>
      <x:c r="D1313" s="46" t="n">
        <x:v>1</x:v>
      </x:c>
      <x:c r="E1313" s="46" t="n">
        <x:v>0</x:v>
      </x:c>
      <x:c r="F1313" s="46" t="n">
        <x:v>1</x:v>
      </x:c>
      <x:c r="G1313" s="12" t="n">
        <x:v>0.2222222222222222</x:v>
      </x:c>
      <x:c r="H1313" s="12" t="n">
        <x:v>0.3333333333333333</x:v>
      </x:c>
      <x:c r="I1313" s="29" t="n">
        <x:f>'Assumptions'!$D$11+'Assumptions'!$D$12*(0.5-(G1313+H1313)/2)</x:f>
        <x:v>0.34444444444444444</x:v>
      </x:c>
      <x:c r="J1313" s="27" t="n">
        <x:f>'Assumptions'!$D$8*EXP(-'Assumptions'!$D$9*('Fleet Engine'!E195-10))*'Assumptions'!E55*'Assumptions'!J36</x:f>
        <x:v>22255.409284924677</x:v>
      </x:c>
      <x:c r="K1313" s="27" t="n">
        <x:f>'Source Data'!F218+LN('Assumptions'!D55)+LN('Assumptions'!J35)</x:f>
        <x:v>7.909903025975467</x:v>
      </x:c>
      <x:c r="L1313" s="27" t="n">
        <x:f>J1313*(1-I1313*(1-'Carrier Engine'!E97))</x:f>
        <x:v>14896.287281376251</x:v>
      </x:c>
      <x:c r="M1313" s="29" t="n">
        <x:f>NORM.S.DIST((LN(L1313)-K1313)/'Assumptions'!$D$10,TRUE)</x:f>
        <x:v>0.8603739374321665</x:v>
      </x:c>
      <x:c r="N1313" s="30" t="n">
        <x:f>MAX(0,H1313-MAX(G1313,M1313))</x:f>
        <x:v>0</x:v>
      </x:c>
      <x:c r="O1313" s="28" t="n">
        <x:f>J1313*I1313</x:f>
        <x:v>7665.752087029611</x:v>
      </x:c>
      <x:c r="P1313" s="27" t="n">
        <x:f>(VLOOKUP(O1313,'Fee Data'!$C$6:$G$50,2,TRUE)+O1313*VLOOKUP(O1313,'Fee Data'!$C$6:$G$50,3,TRUE)+VLOOKUP(O1313,'Fee Data'!$I$6:$J$14,2,TRUE)+'Fee Data'!$J$20+'Fee Data'!$J$21)*'Assumptions'!J37</x:f>
        <x:v>1135</x:v>
      </x:c>
      <x:c r="Q1313" s="27" t="n">
        <x:f>(VLOOKUP(O1313,'Fee Data'!$C$6:$G$50,4,TRUE)+O1313*VLOOKUP(O1313,'Fee Data'!$C$6:$G$50,5,TRUE)+VLOOKUP(O1313,'Fee Data'!$I$6:$J$14,2,TRUE)+'Fee Data'!$J$20+'Fee Data'!$J$21)*'Assumptions'!J37</x:f>
        <x:v>1010</x:v>
      </x:c>
      <x:c r="R1313" s="27" t="n">
        <x:f>P1313*(1-'Assumptions'!$D$14)+Q1313*'Assumptions'!$D$14</x:f>
        <x:v>1072.5</x:v>
      </x:c>
      <x:c r="S1313" s="27" t="n">
        <x:f>O1313*'Carrier Engine'!E97</x:f>
        <x:v>306.6300834811845</x:v>
      </x:c>
      <x:c r="T1313" s="28" t="n">
        <x:f>R1313+S1313</x:f>
        <x:v>1379.1300834811846</x:v>
      </x:c>
      <x:c r="U1313" s="27" t="n">
        <x:f>N1313*'Fleet Engine'!L195</x:f>
        <x:v>0</x:v>
      </x:c>
      <x:c r="V1313" s="28" t="n">
        <x:f>U1313*T1313</x:f>
        <x:v>0</x:v>
      </x:c>
      <x:c r="W1313" s="28" t="n">
        <x:f>U1313*O1313</x:f>
        <x:v>0</x:v>
      </x:c>
    </x:row>
    <x:row r="1314" ht="19" customHeight="1">
      <x:c r="A1314" s="2"/>
      <x:c r="B1314" s="2"/>
      <x:c r="C1314" s="46" t="n">
        <x:v>6</x:v>
      </x:c>
      <x:c r="D1314" s="46" t="n">
        <x:v>1</x:v>
      </x:c>
      <x:c r="E1314" s="46" t="n">
        <x:v>0</x:v>
      </x:c>
      <x:c r="F1314" s="46" t="n">
        <x:v>1</x:v>
      </x:c>
      <x:c r="G1314" s="12" t="n">
        <x:v>0.3333333333333333</x:v>
      </x:c>
      <x:c r="H1314" s="12" t="n">
        <x:v>0.4444444444444444</x:v>
      </x:c>
      <x:c r="I1314" s="29" t="n">
        <x:f>'Assumptions'!$D$11+'Assumptions'!$D$12*(0.5-(G1314+H1314)/2)</x:f>
        <x:v>0.32222222222222224</x:v>
      </x:c>
      <x:c r="J1314" s="27" t="n">
        <x:f>'Assumptions'!$D$8*EXP(-'Assumptions'!$D$9*('Fleet Engine'!E195-10))*'Assumptions'!E55*'Assumptions'!J36</x:f>
        <x:v>22255.409284924677</x:v>
      </x:c>
      <x:c r="K1314" s="27" t="n">
        <x:f>'Source Data'!F218+LN('Assumptions'!D55)+LN('Assumptions'!J35)</x:f>
        <x:v>7.909903025975467</x:v>
      </x:c>
      <x:c r="L1314" s="27" t="n">
        <x:f>J1314*(1-I1314*(1-'Carrier Engine'!E97))</x:f>
        <x:v>15371.06934612131</x:v>
      </x:c>
      <x:c r="M1314" s="29" t="n">
        <x:f>NORM.S.DIST((LN(L1314)-K1314)/'Assumptions'!$D$10,TRUE)</x:f>
        <x:v>0.8647653470677638</x:v>
      </x:c>
      <x:c r="N1314" s="30" t="n">
        <x:f>MAX(0,H1314-MAX(G1314,M1314))</x:f>
        <x:v>0</x:v>
      </x:c>
      <x:c r="O1314" s="28" t="n">
        <x:f>J1314*I1314</x:f>
        <x:v>7171.187436253507</x:v>
      </x:c>
      <x:c r="P1314" s="27" t="n">
        <x:f>(VLOOKUP(O1314,'Fee Data'!$C$6:$G$50,2,TRUE)+O1314*VLOOKUP(O1314,'Fee Data'!$C$6:$G$50,3,TRUE)+VLOOKUP(O1314,'Fee Data'!$I$6:$J$14,2,TRUE)+'Fee Data'!$J$20+'Fee Data'!$J$21)*'Assumptions'!J37</x:f>
        <x:v>1115</x:v>
      </x:c>
      <x:c r="Q1314" s="27" t="n">
        <x:f>(VLOOKUP(O1314,'Fee Data'!$C$6:$G$50,4,TRUE)+O1314*VLOOKUP(O1314,'Fee Data'!$C$6:$G$50,5,TRUE)+VLOOKUP(O1314,'Fee Data'!$I$6:$J$14,2,TRUE)+'Fee Data'!$J$20+'Fee Data'!$J$21)*'Assumptions'!J37</x:f>
        <x:v>990</x:v>
      </x:c>
      <x:c r="R1314" s="27" t="n">
        <x:f>P1314*(1-'Assumptions'!$D$14)+Q1314*'Assumptions'!$D$14</x:f>
        <x:v>1052.5</x:v>
      </x:c>
      <x:c r="S1314" s="27" t="n">
        <x:f>O1314*'Carrier Engine'!E97</x:f>
        <x:v>286.84749745014034</x:v>
      </x:c>
      <x:c r="T1314" s="28" t="n">
        <x:f>R1314+S1314</x:f>
        <x:v>1339.3474974501403</x:v>
      </x:c>
      <x:c r="U1314" s="27" t="n">
        <x:f>N1314*'Fleet Engine'!L195</x:f>
        <x:v>0</x:v>
      </x:c>
      <x:c r="V1314" s="28" t="n">
        <x:f>U1314*T1314</x:f>
        <x:v>0</x:v>
      </x:c>
      <x:c r="W1314" s="28" t="n">
        <x:f>U1314*O1314</x:f>
        <x:v>0</x:v>
      </x:c>
    </x:row>
    <x:row r="1315" ht="19" customHeight="1">
      <x:c r="A1315" s="2"/>
      <x:c r="B1315" s="2"/>
      <x:c r="C1315" s="46" t="n">
        <x:v>6</x:v>
      </x:c>
      <x:c r="D1315" s="46" t="n">
        <x:v>1</x:v>
      </x:c>
      <x:c r="E1315" s="46" t="n">
        <x:v>0</x:v>
      </x:c>
      <x:c r="F1315" s="46" t="n">
        <x:v>1</x:v>
      </x:c>
      <x:c r="G1315" s="12" t="n">
        <x:v>0.4444444444444444</x:v>
      </x:c>
      <x:c r="H1315" s="12" t="n">
        <x:v>0.5555555555555556</x:v>
      </x:c>
      <x:c r="I1315" s="29" t="n">
        <x:f>'Assumptions'!$D$11+'Assumptions'!$D$12*(0.5-(G1315+H1315)/2)</x:f>
        <x:v>0.3</x:v>
      </x:c>
      <x:c r="J1315" s="27" t="n">
        <x:f>'Assumptions'!$D$8*EXP(-'Assumptions'!$D$9*('Fleet Engine'!E195-10))*'Assumptions'!E55*'Assumptions'!J36</x:f>
        <x:v>22255.409284924677</x:v>
      </x:c>
      <x:c r="K1315" s="27" t="n">
        <x:f>'Source Data'!F218+LN('Assumptions'!D55)+LN('Assumptions'!J35)</x:f>
        <x:v>7.909903025975467</x:v>
      </x:c>
      <x:c r="L1315" s="27" t="n">
        <x:f>J1315*(1-I1315*(1-'Carrier Engine'!E97))</x:f>
        <x:v>15845.85141086637</x:v>
      </x:c>
      <x:c r="M1315" s="29" t="n">
        <x:f>NORM.S.DIST((LN(L1315)-K1315)/'Assumptions'!$D$10,TRUE)</x:f>
        <x:v>0.8689318372553634</x:v>
      </x:c>
      <x:c r="N1315" s="30" t="n">
        <x:f>MAX(0,H1315-MAX(G1315,M1315))</x:f>
        <x:v>0</x:v>
      </x:c>
      <x:c r="O1315" s="28" t="n">
        <x:f>J1315*I1315</x:f>
        <x:v>6676.622785477403</x:v>
      </x:c>
      <x:c r="P1315" s="27" t="n">
        <x:f>(VLOOKUP(O1315,'Fee Data'!$C$6:$G$50,2,TRUE)+O1315*VLOOKUP(O1315,'Fee Data'!$C$6:$G$50,3,TRUE)+VLOOKUP(O1315,'Fee Data'!$I$6:$J$14,2,TRUE)+'Fee Data'!$J$20+'Fee Data'!$J$21)*'Assumptions'!J37</x:f>
        <x:v>1080</x:v>
      </x:c>
      <x:c r="Q1315" s="27" t="n">
        <x:f>(VLOOKUP(O1315,'Fee Data'!$C$6:$G$50,4,TRUE)+O1315*VLOOKUP(O1315,'Fee Data'!$C$6:$G$50,5,TRUE)+VLOOKUP(O1315,'Fee Data'!$I$6:$J$14,2,TRUE)+'Fee Data'!$J$20+'Fee Data'!$J$21)*'Assumptions'!J37</x:f>
        <x:v>955</x:v>
      </x:c>
      <x:c r="R1315" s="27" t="n">
        <x:f>P1315*(1-'Assumptions'!$D$14)+Q1315*'Assumptions'!$D$14</x:f>
        <x:v>1017.5</x:v>
      </x:c>
      <x:c r="S1315" s="27" t="n">
        <x:f>O1315*'Carrier Engine'!E97</x:f>
        <x:v>267.0649114190962</x:v>
      </x:c>
      <x:c r="T1315" s="28" t="n">
        <x:f>R1315+S1315</x:f>
        <x:v>1284.5649114190962</x:v>
      </x:c>
      <x:c r="U1315" s="27" t="n">
        <x:f>N1315*'Fleet Engine'!L195</x:f>
        <x:v>0</x:v>
      </x:c>
      <x:c r="V1315" s="28" t="n">
        <x:f>U1315*T1315</x:f>
        <x:v>0</x:v>
      </x:c>
      <x:c r="W1315" s="28" t="n">
        <x:f>U1315*O1315</x:f>
        <x:v>0</x:v>
      </x:c>
    </x:row>
    <x:row r="1316" ht="19" customHeight="1">
      <x:c r="A1316" s="2"/>
      <x:c r="B1316" s="2"/>
      <x:c r="C1316" s="46" t="n">
        <x:v>6</x:v>
      </x:c>
      <x:c r="D1316" s="46" t="n">
        <x:v>1</x:v>
      </x:c>
      <x:c r="E1316" s="46" t="n">
        <x:v>0</x:v>
      </x:c>
      <x:c r="F1316" s="46" t="n">
        <x:v>1</x:v>
      </x:c>
      <x:c r="G1316" s="12" t="n">
        <x:v>0.5555555555555556</x:v>
      </x:c>
      <x:c r="H1316" s="12" t="n">
        <x:v>0.6666666666666666</x:v>
      </x:c>
      <x:c r="I1316" s="29" t="n">
        <x:f>'Assumptions'!$D$11+'Assumptions'!$D$12*(0.5-(G1316+H1316)/2)</x:f>
        <x:v>0.27777777777777773</x:v>
      </x:c>
      <x:c r="J1316" s="27" t="n">
        <x:f>'Assumptions'!$D$8*EXP(-'Assumptions'!$D$9*('Fleet Engine'!E195-10))*'Assumptions'!E55*'Assumptions'!J36</x:f>
        <x:v>22255.409284924677</x:v>
      </x:c>
      <x:c r="K1316" s="27" t="n">
        <x:f>'Source Data'!F218+LN('Assumptions'!D55)+LN('Assumptions'!J35)</x:f>
        <x:v>7.909903025975467</x:v>
      </x:c>
      <x:c r="L1316" s="27" t="n">
        <x:f>J1316*(1-I1316*(1-'Carrier Engine'!E97))</x:f>
        <x:v>16320.633475611432</x:v>
      </x:c>
      <x:c r="M1316" s="29" t="n">
        <x:f>NORM.S.DIST((LN(L1316)-K1316)/'Assumptions'!$D$10,TRUE)</x:f>
        <x:v>0.8728896986796358</x:v>
      </x:c>
      <x:c r="N1316" s="30" t="n">
        <x:f>MAX(0,H1316-MAX(G1316,M1316))</x:f>
        <x:v>0</x:v>
      </x:c>
      <x:c r="O1316" s="28" t="n">
        <x:f>J1316*I1316</x:f>
        <x:v>6182.0581347012985</x:v>
      </x:c>
      <x:c r="P1316" s="27" t="n">
        <x:f>(VLOOKUP(O1316,'Fee Data'!$C$6:$G$50,2,TRUE)+O1316*VLOOKUP(O1316,'Fee Data'!$C$6:$G$50,3,TRUE)+VLOOKUP(O1316,'Fee Data'!$I$6:$J$14,2,TRUE)+'Fee Data'!$J$20+'Fee Data'!$J$21)*'Assumptions'!J37</x:f>
        <x:v>1060</x:v>
      </x:c>
      <x:c r="Q1316" s="27" t="n">
        <x:f>(VLOOKUP(O1316,'Fee Data'!$C$6:$G$50,4,TRUE)+O1316*VLOOKUP(O1316,'Fee Data'!$C$6:$G$50,5,TRUE)+VLOOKUP(O1316,'Fee Data'!$I$6:$J$14,2,TRUE)+'Fee Data'!$J$20+'Fee Data'!$J$21)*'Assumptions'!J37</x:f>
        <x:v>935</x:v>
      </x:c>
      <x:c r="R1316" s="27" t="n">
        <x:f>P1316*(1-'Assumptions'!$D$14)+Q1316*'Assumptions'!$D$14</x:f>
        <x:v>997.5</x:v>
      </x:c>
      <x:c r="S1316" s="27" t="n">
        <x:f>O1316*'Carrier Engine'!E97</x:f>
        <x:v>247.282325388052</x:v>
      </x:c>
      <x:c r="T1316" s="28" t="n">
        <x:f>R1316+S1316</x:f>
        <x:v>1244.782325388052</x:v>
      </x:c>
      <x:c r="U1316" s="27" t="n">
        <x:f>N1316*'Fleet Engine'!L195</x:f>
        <x:v>0</x:v>
      </x:c>
      <x:c r="V1316" s="28" t="n">
        <x:f>U1316*T1316</x:f>
        <x:v>0</x:v>
      </x:c>
      <x:c r="W1316" s="28" t="n">
        <x:f>U1316*O1316</x:f>
        <x:v>0</x:v>
      </x:c>
    </x:row>
    <x:row r="1317" ht="19" customHeight="1">
      <x:c r="A1317" s="2"/>
      <x:c r="B1317" s="2"/>
      <x:c r="C1317" s="46" t="n">
        <x:v>6</x:v>
      </x:c>
      <x:c r="D1317" s="46" t="n">
        <x:v>1</x:v>
      </x:c>
      <x:c r="E1317" s="46" t="n">
        <x:v>0</x:v>
      </x:c>
      <x:c r="F1317" s="46" t="n">
        <x:v>1</x:v>
      </x:c>
      <x:c r="G1317" s="12" t="n">
        <x:v>0.6666666666666666</x:v>
      </x:c>
      <x:c r="H1317" s="12" t="n">
        <x:v>0.7777777777777778</x:v>
      </x:c>
      <x:c r="I1317" s="29" t="n">
        <x:f>'Assumptions'!$D$11+'Assumptions'!$D$12*(0.5-(G1317+H1317)/2)</x:f>
        <x:v>0.25555555555555554</x:v>
      </x:c>
      <x:c r="J1317" s="27" t="n">
        <x:f>'Assumptions'!$D$8*EXP(-'Assumptions'!$D$9*('Fleet Engine'!E195-10))*'Assumptions'!E55*'Assumptions'!J36</x:f>
        <x:v>22255.409284924677</x:v>
      </x:c>
      <x:c r="K1317" s="27" t="n">
        <x:f>'Source Data'!F218+LN('Assumptions'!D55)+LN('Assumptions'!J35)</x:f>
        <x:v>7.909903025975467</x:v>
      </x:c>
      <x:c r="L1317" s="27" t="n">
        <x:f>J1317*(1-I1317*(1-'Carrier Engine'!E97))</x:f>
        <x:v>16795.41554035649</x:v>
      </x:c>
      <x:c r="M1317" s="29" t="n">
        <x:f>NORM.S.DIST((LN(L1317)-K1317)/'Assumptions'!$D$10,TRUE)</x:f>
        <x:v>0.8766536909691995</x:v>
      </x:c>
      <x:c r="N1317" s="30" t="n">
        <x:f>MAX(0,H1317-MAX(G1317,M1317))</x:f>
        <x:v>0</x:v>
      </x:c>
      <x:c r="O1317" s="28" t="n">
        <x:f>J1317*I1317</x:f>
        <x:v>5687.493483925195</x:v>
      </x:c>
      <x:c r="P1317" s="27" t="n">
        <x:f>(VLOOKUP(O1317,'Fee Data'!$C$6:$G$50,2,TRUE)+O1317*VLOOKUP(O1317,'Fee Data'!$C$6:$G$50,3,TRUE)+VLOOKUP(O1317,'Fee Data'!$I$6:$J$14,2,TRUE)+'Fee Data'!$J$20+'Fee Data'!$J$21)*'Assumptions'!J37</x:f>
        <x:v>1020</x:v>
      </x:c>
      <x:c r="Q1317" s="27" t="n">
        <x:f>(VLOOKUP(O1317,'Fee Data'!$C$6:$G$50,4,TRUE)+O1317*VLOOKUP(O1317,'Fee Data'!$C$6:$G$50,5,TRUE)+VLOOKUP(O1317,'Fee Data'!$I$6:$J$14,2,TRUE)+'Fee Data'!$J$20+'Fee Data'!$J$21)*'Assumptions'!J37</x:f>
        <x:v>895</x:v>
      </x:c>
      <x:c r="R1317" s="27" t="n">
        <x:f>P1317*(1-'Assumptions'!$D$14)+Q1317*'Assumptions'!$D$14</x:f>
        <x:v>957.5</x:v>
      </x:c>
      <x:c r="S1317" s="27" t="n">
        <x:f>O1317*'Carrier Engine'!E97</x:f>
        <x:v>227.49973935700783</x:v>
      </x:c>
      <x:c r="T1317" s="28" t="n">
        <x:f>R1317+S1317</x:f>
        <x:v>1184.999739357008</x:v>
      </x:c>
      <x:c r="U1317" s="27" t="n">
        <x:f>N1317*'Fleet Engine'!L195</x:f>
        <x:v>0</x:v>
      </x:c>
      <x:c r="V1317" s="28" t="n">
        <x:f>U1317*T1317</x:f>
        <x:v>0</x:v>
      </x:c>
      <x:c r="W1317" s="28" t="n">
        <x:f>U1317*O1317</x:f>
        <x:v>0</x:v>
      </x:c>
    </x:row>
    <x:row r="1318" ht="19" customHeight="1">
      <x:c r="A1318" s="2"/>
      <x:c r="B1318" s="2"/>
      <x:c r="C1318" s="46" t="n">
        <x:v>6</x:v>
      </x:c>
      <x:c r="D1318" s="46" t="n">
        <x:v>1</x:v>
      </x:c>
      <x:c r="E1318" s="46" t="n">
        <x:v>0</x:v>
      </x:c>
      <x:c r="F1318" s="46" t="n">
        <x:v>1</x:v>
      </x:c>
      <x:c r="G1318" s="12" t="n">
        <x:v>0.7777777777777778</x:v>
      </x:c>
      <x:c r="H1318" s="12" t="n">
        <x:v>0.8888888888888888</x:v>
      </x:c>
      <x:c r="I1318" s="29" t="n">
        <x:f>'Assumptions'!$D$11+'Assumptions'!$D$12*(0.5-(G1318+H1318)/2)</x:f>
        <x:v>0.23333333333333334</x:v>
      </x:c>
      <x:c r="J1318" s="27" t="n">
        <x:f>'Assumptions'!$D$8*EXP(-'Assumptions'!$D$9*('Fleet Engine'!E195-10))*'Assumptions'!E55*'Assumptions'!J36</x:f>
        <x:v>22255.409284924677</x:v>
      </x:c>
      <x:c r="K1318" s="27" t="n">
        <x:f>'Source Data'!F218+LN('Assumptions'!D55)+LN('Assumptions'!J35)</x:f>
        <x:v>7.909903025975467</x:v>
      </x:c>
      <x:c r="L1318" s="27" t="n">
        <x:f>J1318*(1-I1318*(1-'Carrier Engine'!E97))</x:f>
        <x:v>17270.19760510155</x:v>
      </x:c>
      <x:c r="M1318" s="29" t="n">
        <x:f>NORM.S.DIST((LN(L1318)-K1318)/'Assumptions'!$D$10,TRUE)</x:f>
        <x:v>0.880237219264955</x:v>
      </x:c>
      <x:c r="N1318" s="30" t="n">
        <x:f>MAX(0,H1318-MAX(G1318,M1318))</x:f>
        <x:v>0.008651669623933822</x:v>
      </x:c>
      <x:c r="O1318" s="28" t="n">
        <x:f>J1318*I1318</x:f>
        <x:v>5192.928833149092</x:v>
      </x:c>
      <x:c r="P1318" s="27" t="n">
        <x:f>(VLOOKUP(O1318,'Fee Data'!$C$6:$G$50,2,TRUE)+O1318*VLOOKUP(O1318,'Fee Data'!$C$6:$G$50,3,TRUE)+VLOOKUP(O1318,'Fee Data'!$I$6:$J$14,2,TRUE)+'Fee Data'!$J$20+'Fee Data'!$J$21)*'Assumptions'!J37</x:f>
        <x:v>995</x:v>
      </x:c>
      <x:c r="Q1318" s="27" t="n">
        <x:f>(VLOOKUP(O1318,'Fee Data'!$C$6:$G$50,4,TRUE)+O1318*VLOOKUP(O1318,'Fee Data'!$C$6:$G$50,5,TRUE)+VLOOKUP(O1318,'Fee Data'!$I$6:$J$14,2,TRUE)+'Fee Data'!$J$20+'Fee Data'!$J$21)*'Assumptions'!J37</x:f>
        <x:v>870</x:v>
      </x:c>
      <x:c r="R1318" s="27" t="n">
        <x:f>P1318*(1-'Assumptions'!$D$14)+Q1318*'Assumptions'!$D$14</x:f>
        <x:v>932.5</x:v>
      </x:c>
      <x:c r="S1318" s="27" t="n">
        <x:f>O1318*'Carrier Engine'!E97</x:f>
        <x:v>207.7171533259637</x:v>
      </x:c>
      <x:c r="T1318" s="28" t="n">
        <x:f>R1318+S1318</x:f>
        <x:v>1140.2171533259636</x:v>
      </x:c>
      <x:c r="U1318" s="27" t="n">
        <x:f>N1318*'Fleet Engine'!L195</x:f>
        <x:v>76.64496949912017</x:v>
      </x:c>
      <x:c r="V1318" s="28" t="n">
        <x:f>U1318*T1318</x:f>
        <x:v>87391.9089390421</x:v>
      </x:c>
      <x:c r="W1318" s="28" t="n">
        <x:f>U1318*O1318</x:f>
        <x:v>398011.8720278138</x:v>
      </x:c>
    </x:row>
    <x:row r="1319" ht="19" customHeight="1">
      <x:c r="A1319" s="2"/>
      <x:c r="B1319" s="2"/>
      <x:c r="C1319" s="46" t="n">
        <x:v>6</x:v>
      </x:c>
      <x:c r="D1319" s="46" t="n">
        <x:v>1</x:v>
      </x:c>
      <x:c r="E1319" s="46" t="n">
        <x:v>0</x:v>
      </x:c>
      <x:c r="F1319" s="46" t="n">
        <x:v>1</x:v>
      </x:c>
      <x:c r="G1319" s="12" t="n">
        <x:v>0.8888888888888888</x:v>
      </x:c>
      <x:c r="H1319" s="12" t="n">
        <x:v>1</x:v>
      </x:c>
      <x:c r="I1319" s="29" t="n">
        <x:f>'Assumptions'!$D$11+'Assumptions'!$D$12*(0.5-(G1319+H1319)/2)</x:f>
        <x:v>0.21111111111111108</x:v>
      </x:c>
      <x:c r="J1319" s="27" t="n">
        <x:f>'Assumptions'!$D$8*EXP(-'Assumptions'!$D$9*('Fleet Engine'!E195-10))*'Assumptions'!E55*'Assumptions'!J36</x:f>
        <x:v>22255.409284924677</x:v>
      </x:c>
      <x:c r="K1319" s="27" t="n">
        <x:f>'Source Data'!F218+LN('Assumptions'!D55)+LN('Assumptions'!J35)</x:f>
        <x:v>7.909903025975467</x:v>
      </x:c>
      <x:c r="L1319" s="27" t="n">
        <x:f>J1319*(1-I1319*(1-'Carrier Engine'!E97))</x:f>
        <x:v>17744.97966984661</x:v>
      </x:c>
      <x:c r="M1319" s="29" t="n">
        <x:f>NORM.S.DIST((LN(L1319)-K1319)/'Assumptions'!$D$10,TRUE)</x:f>
        <x:v>0.8836524867448694</x:v>
      </x:c>
      <x:c r="N1319" s="30" t="n">
        <x:f>MAX(0,H1319-MAX(G1319,M1319))</x:f>
        <x:v>0.11111111111111116</x:v>
      </x:c>
      <x:c r="O1319" s="28" t="n">
        <x:f>J1319*I1319</x:f>
        <x:v>4698.364182372987</x:v>
      </x:c>
      <x:c r="P1319" s="27" t="n">
        <x:f>(VLOOKUP(O1319,'Fee Data'!$C$6:$G$50,2,TRUE)+O1319*VLOOKUP(O1319,'Fee Data'!$C$6:$G$50,3,TRUE)+VLOOKUP(O1319,'Fee Data'!$I$6:$J$14,2,TRUE)+'Fee Data'!$J$20+'Fee Data'!$J$21)*'Assumptions'!J37</x:f>
        <x:v>970</x:v>
      </x:c>
      <x:c r="Q1319" s="27" t="n">
        <x:f>(VLOOKUP(O1319,'Fee Data'!$C$6:$G$50,4,TRUE)+O1319*VLOOKUP(O1319,'Fee Data'!$C$6:$G$50,5,TRUE)+VLOOKUP(O1319,'Fee Data'!$I$6:$J$14,2,TRUE)+'Fee Data'!$J$20+'Fee Data'!$J$21)*'Assumptions'!J37</x:f>
        <x:v>845</x:v>
      </x:c>
      <x:c r="R1319" s="27" t="n">
        <x:f>P1319*(1-'Assumptions'!$D$14)+Q1319*'Assumptions'!$D$14</x:f>
        <x:v>907.5</x:v>
      </x:c>
      <x:c r="S1319" s="27" t="n">
        <x:f>O1319*'Carrier Engine'!E97</x:f>
        <x:v>187.9345672949195</x:v>
      </x:c>
      <x:c r="T1319" s="28" t="n">
        <x:f>R1319+S1319</x:f>
        <x:v>1095.4345672949196</x:v>
      </x:c>
      <x:c r="U1319" s="27" t="n">
        <x:f>N1319*'Fleet Engine'!L195</x:f>
        <x:v>984.3311282443865</x:v>
      </x:c>
      <x:c r="V1319" s="28" t="n">
        <x:f>U1319*T1319</x:f>
        <x:v>1078270.3435433095</x:v>
      </x:c>
      <x:c r="W1319" s="28" t="n">
        <x:f>U1319*O1319</x:f>
        <x:v>4624746.116538216</x:v>
      </x:c>
    </x:row>
    <x:row r="1320" ht="19" customHeight="1">
      <x:c r="A1320" s="2"/>
      <x:c r="B1320" s="2"/>
      <x:c r="C1320" s="46" t="n">
        <x:v>6</x:v>
      </x:c>
      <x:c r="D1320" s="46" t="n">
        <x:v>2</x:v>
      </x:c>
      <x:c r="E1320" s="46" t="n">
        <x:v>0</x:v>
      </x:c>
      <x:c r="F1320" s="46" t="n">
        <x:v>2</x:v>
      </x:c>
      <x:c r="G1320" s="12" t="n">
        <x:v>0</x:v>
      </x:c>
      <x:c r="H1320" s="12" t="n">
        <x:v>0.1111111111111111</x:v>
      </x:c>
      <x:c r="I1320" s="29" t="n">
        <x:f>'Assumptions'!$D$11+'Assumptions'!$D$12*(0.5-(G1320+H1320)/2)</x:f>
        <x:v>0.3888888888888889</x:v>
      </x:c>
      <x:c r="J1320" s="27" t="n">
        <x:f>'Assumptions'!$D$8*EXP(-'Assumptions'!$D$9*('Fleet Engine'!E196-10))*'Assumptions'!E55*'Assumptions'!J36</x:f>
        <x:v>16487.212707001283</x:v>
      </x:c>
      <x:c r="K1320" s="27" t="n">
        <x:f>'Source Data'!F219+LN('Assumptions'!D55)+LN('Assumptions'!J35)</x:f>
        <x:v>7.955584867261274</x:v>
      </x:c>
      <x:c r="L1320" s="27" t="n">
        <x:f>J1320*(1-I1320*(1-'Carrier Engine'!E97))</x:f>
        <x:v>10331.986629720805</x:v>
      </x:c>
      <x:c r="M1320" s="29" t="n">
        <x:f>NORM.S.DIST((LN(L1320)-K1320)/'Assumptions'!$D$10,TRUE)</x:f>
        <x:v>0.7938640109511643</x:v>
      </x:c>
      <x:c r="N1320" s="30" t="n">
        <x:f>MAX(0,H1320-MAX(G1320,M1320))</x:f>
        <x:v>0</x:v>
      </x:c>
      <x:c r="O1320" s="28" t="n">
        <x:f>J1320*I1320</x:f>
        <x:v>6411.693830500499</x:v>
      </x:c>
      <x:c r="P1320" s="27" t="n">
        <x:f>(VLOOKUP(O1320,'Fee Data'!$C$6:$G$50,2,TRUE)+O1320*VLOOKUP(O1320,'Fee Data'!$C$6:$G$50,3,TRUE)+VLOOKUP(O1320,'Fee Data'!$I$6:$J$14,2,TRUE)+'Fee Data'!$J$20+'Fee Data'!$J$21)*'Assumptions'!J37</x:f>
        <x:v>1060</x:v>
      </x:c>
      <x:c r="Q1320" s="27" t="n">
        <x:f>(VLOOKUP(O1320,'Fee Data'!$C$6:$G$50,4,TRUE)+O1320*VLOOKUP(O1320,'Fee Data'!$C$6:$G$50,5,TRUE)+VLOOKUP(O1320,'Fee Data'!$I$6:$J$14,2,TRUE)+'Fee Data'!$J$20+'Fee Data'!$J$21)*'Assumptions'!J37</x:f>
        <x:v>935</x:v>
      </x:c>
      <x:c r="R1320" s="27" t="n">
        <x:f>P1320*(1-'Assumptions'!$D$14)+Q1320*'Assumptions'!$D$14</x:f>
        <x:v>997.5</x:v>
      </x:c>
      <x:c r="S1320" s="27" t="n">
        <x:f>O1320*'Carrier Engine'!E97</x:f>
        <x:v>256.46775322002</x:v>
      </x:c>
      <x:c r="T1320" s="28" t="n">
        <x:f>R1320+S1320</x:f>
        <x:v>1253.9677532200199</x:v>
      </x:c>
      <x:c r="U1320" s="27" t="n">
        <x:f>N1320*'Fleet Engine'!L196</x:f>
        <x:v>0</x:v>
      </x:c>
      <x:c r="V1320" s="28" t="n">
        <x:f>U1320*T1320</x:f>
        <x:v>0</x:v>
      </x:c>
      <x:c r="W1320" s="28" t="n">
        <x:f>U1320*O1320</x:f>
        <x:v>0</x:v>
      </x:c>
    </x:row>
    <x:row r="1321" ht="19" customHeight="1">
      <x:c r="A1321" s="2"/>
      <x:c r="B1321" s="2"/>
      <x:c r="C1321" s="46" t="n">
        <x:v>6</x:v>
      </x:c>
      <x:c r="D1321" s="46" t="n">
        <x:v>2</x:v>
      </x:c>
      <x:c r="E1321" s="46" t="n">
        <x:v>0</x:v>
      </x:c>
      <x:c r="F1321" s="46" t="n">
        <x:v>2</x:v>
      </x:c>
      <x:c r="G1321" s="12" t="n">
        <x:v>0.1111111111111111</x:v>
      </x:c>
      <x:c r="H1321" s="12" t="n">
        <x:v>0.2222222222222222</x:v>
      </x:c>
      <x:c r="I1321" s="29" t="n">
        <x:f>'Assumptions'!$D$11+'Assumptions'!$D$12*(0.5-(G1321+H1321)/2)</x:f>
        <x:v>0.3666666666666667</x:v>
      </x:c>
      <x:c r="J1321" s="27" t="n">
        <x:f>'Assumptions'!$D$8*EXP(-'Assumptions'!$D$9*('Fleet Engine'!E196-10))*'Assumptions'!E55*'Assumptions'!J36</x:f>
        <x:v>16487.212707001283</x:v>
      </x:c>
      <x:c r="K1321" s="27" t="n">
        <x:f>'Source Data'!F219+LN('Assumptions'!D55)+LN('Assumptions'!J35)</x:f>
        <x:v>7.955584867261274</x:v>
      </x:c>
      <x:c r="L1321" s="27" t="n">
        <x:f>J1321*(1-I1321*(1-'Carrier Engine'!E97))</x:f>
        <x:v>10683.71383413683</x:v>
      </x:c>
      <x:c r="M1321" s="29" t="n">
        <x:f>NORM.S.DIST((LN(L1321)-K1321)/'Assumptions'!$D$10,TRUE)</x:f>
        <x:v>0.7998880565872375</x:v>
      </x:c>
      <x:c r="N1321" s="30" t="n">
        <x:f>MAX(0,H1321-MAX(G1321,M1321))</x:f>
        <x:v>0</x:v>
      </x:c>
      <x:c r="O1321" s="28" t="n">
        <x:f>J1321*I1321</x:f>
        <x:v>6045.311325900471</x:v>
      </x:c>
      <x:c r="P1321" s="27" t="n">
        <x:f>(VLOOKUP(O1321,'Fee Data'!$C$6:$G$50,2,TRUE)+O1321*VLOOKUP(O1321,'Fee Data'!$C$6:$G$50,3,TRUE)+VLOOKUP(O1321,'Fee Data'!$I$6:$J$14,2,TRUE)+'Fee Data'!$J$20+'Fee Data'!$J$21)*'Assumptions'!J37</x:f>
        <x:v>1060</x:v>
      </x:c>
      <x:c r="Q1321" s="27" t="n">
        <x:f>(VLOOKUP(O1321,'Fee Data'!$C$6:$G$50,4,TRUE)+O1321*VLOOKUP(O1321,'Fee Data'!$C$6:$G$50,5,TRUE)+VLOOKUP(O1321,'Fee Data'!$I$6:$J$14,2,TRUE)+'Fee Data'!$J$20+'Fee Data'!$J$21)*'Assumptions'!J37</x:f>
        <x:v>935</x:v>
      </x:c>
      <x:c r="R1321" s="27" t="n">
        <x:f>P1321*(1-'Assumptions'!$D$14)+Q1321*'Assumptions'!$D$14</x:f>
        <x:v>997.5</x:v>
      </x:c>
      <x:c r="S1321" s="27" t="n">
        <x:f>O1321*'Carrier Engine'!E97</x:f>
        <x:v>241.8124530360189</x:v>
      </x:c>
      <x:c r="T1321" s="28" t="n">
        <x:f>R1321+S1321</x:f>
        <x:v>1239.312453036019</x:v>
      </x:c>
      <x:c r="U1321" s="27" t="n">
        <x:f>N1321*'Fleet Engine'!L196</x:f>
        <x:v>0</x:v>
      </x:c>
      <x:c r="V1321" s="28" t="n">
        <x:f>U1321*T1321</x:f>
        <x:v>0</x:v>
      </x:c>
      <x:c r="W1321" s="28" t="n">
        <x:f>U1321*O1321</x:f>
        <x:v>0</x:v>
      </x:c>
    </x:row>
    <x:row r="1322" ht="19" customHeight="1">
      <x:c r="A1322" s="2"/>
      <x:c r="B1322" s="2"/>
      <x:c r="C1322" s="46" t="n">
        <x:v>6</x:v>
      </x:c>
      <x:c r="D1322" s="46" t="n">
        <x:v>2</x:v>
      </x:c>
      <x:c r="E1322" s="46" t="n">
        <x:v>0</x:v>
      </x:c>
      <x:c r="F1322" s="46" t="n">
        <x:v>2</x:v>
      </x:c>
      <x:c r="G1322" s="12" t="n">
        <x:v>0.2222222222222222</x:v>
      </x:c>
      <x:c r="H1322" s="12" t="n">
        <x:v>0.3333333333333333</x:v>
      </x:c>
      <x:c r="I1322" s="29" t="n">
        <x:f>'Assumptions'!$D$11+'Assumptions'!$D$12*(0.5-(G1322+H1322)/2)</x:f>
        <x:v>0.34444444444444444</x:v>
      </x:c>
      <x:c r="J1322" s="27" t="n">
        <x:f>'Assumptions'!$D$8*EXP(-'Assumptions'!$D$9*('Fleet Engine'!E196-10))*'Assumptions'!E55*'Assumptions'!J36</x:f>
        <x:v>16487.212707001283</x:v>
      </x:c>
      <x:c r="K1322" s="27" t="n">
        <x:f>'Source Data'!F219+LN('Assumptions'!D55)+LN('Assumptions'!J35)</x:f>
        <x:v>7.955584867261274</x:v>
      </x:c>
      <x:c r="L1322" s="27" t="n">
        <x:f>J1322*(1-I1322*(1-'Carrier Engine'!E97))</x:f>
        <x:v>11035.441038552859</x:v>
      </x:c>
      <x:c r="M1322" s="29" t="n">
        <x:f>NORM.S.DIST((LN(L1322)-K1322)/'Assumptions'!$D$10,TRUE)</x:f>
        <x:v>0.8056150406948284</x:v>
      </x:c>
      <x:c r="N1322" s="30" t="n">
        <x:f>MAX(0,H1322-MAX(G1322,M1322))</x:f>
        <x:v>0</x:v>
      </x:c>
      <x:c r="O1322" s="28" t="n">
        <x:f>J1322*I1322</x:f>
        <x:v>5678.928821300442</x:v>
      </x:c>
      <x:c r="P1322" s="27" t="n">
        <x:f>(VLOOKUP(O1322,'Fee Data'!$C$6:$G$50,2,TRUE)+O1322*VLOOKUP(O1322,'Fee Data'!$C$6:$G$50,3,TRUE)+VLOOKUP(O1322,'Fee Data'!$I$6:$J$14,2,TRUE)+'Fee Data'!$J$20+'Fee Data'!$J$21)*'Assumptions'!J37</x:f>
        <x:v>1020</x:v>
      </x:c>
      <x:c r="Q1322" s="27" t="n">
        <x:f>(VLOOKUP(O1322,'Fee Data'!$C$6:$G$50,4,TRUE)+O1322*VLOOKUP(O1322,'Fee Data'!$C$6:$G$50,5,TRUE)+VLOOKUP(O1322,'Fee Data'!$I$6:$J$14,2,TRUE)+'Fee Data'!$J$20+'Fee Data'!$J$21)*'Assumptions'!J37</x:f>
        <x:v>895</x:v>
      </x:c>
      <x:c r="R1322" s="27" t="n">
        <x:f>P1322*(1-'Assumptions'!$D$14)+Q1322*'Assumptions'!$D$14</x:f>
        <x:v>957.5</x:v>
      </x:c>
      <x:c r="S1322" s="27" t="n">
        <x:f>O1322*'Carrier Engine'!E97</x:f>
        <x:v>227.15715285201773</x:v>
      </x:c>
      <x:c r="T1322" s="28" t="n">
        <x:f>R1322+S1322</x:f>
        <x:v>1184.6571528520178</x:v>
      </x:c>
      <x:c r="U1322" s="27" t="n">
        <x:f>N1322*'Fleet Engine'!L196</x:f>
        <x:v>0</x:v>
      </x:c>
      <x:c r="V1322" s="28" t="n">
        <x:f>U1322*T1322</x:f>
        <x:v>0</x:v>
      </x:c>
      <x:c r="W1322" s="28" t="n">
        <x:f>U1322*O1322</x:f>
        <x:v>0</x:v>
      </x:c>
    </x:row>
    <x:row r="1323" ht="19" customHeight="1">
      <x:c r="A1323" s="2"/>
      <x:c r="B1323" s="2"/>
      <x:c r="C1323" s="46" t="n">
        <x:v>6</x:v>
      </x:c>
      <x:c r="D1323" s="46" t="n">
        <x:v>2</x:v>
      </x:c>
      <x:c r="E1323" s="46" t="n">
        <x:v>0</x:v>
      </x:c>
      <x:c r="F1323" s="46" t="n">
        <x:v>2</x:v>
      </x:c>
      <x:c r="G1323" s="12" t="n">
        <x:v>0.3333333333333333</x:v>
      </x:c>
      <x:c r="H1323" s="12" t="n">
        <x:v>0.4444444444444444</x:v>
      </x:c>
      <x:c r="I1323" s="29" t="n">
        <x:f>'Assumptions'!$D$11+'Assumptions'!$D$12*(0.5-(G1323+H1323)/2)</x:f>
        <x:v>0.32222222222222224</x:v>
      </x:c>
      <x:c r="J1323" s="27" t="n">
        <x:f>'Assumptions'!$D$8*EXP(-'Assumptions'!$D$9*('Fleet Engine'!E196-10))*'Assumptions'!E55*'Assumptions'!J36</x:f>
        <x:v>16487.212707001283</x:v>
      </x:c>
      <x:c r="K1323" s="27" t="n">
        <x:f>'Source Data'!F219+LN('Assumptions'!D55)+LN('Assumptions'!J35)</x:f>
        <x:v>7.955584867261274</x:v>
      </x:c>
      <x:c r="L1323" s="27" t="n">
        <x:f>J1323*(1-I1323*(1-'Carrier Engine'!E97))</x:f>
        <x:v>11387.168242968886</x:v>
      </x:c>
      <x:c r="M1323" s="29" t="n">
        <x:f>NORM.S.DIST((LN(L1323)-K1323)/'Assumptions'!$D$10,TRUE)</x:f>
        <x:v>0.8110661143853564</x:v>
      </x:c>
      <x:c r="N1323" s="30" t="n">
        <x:f>MAX(0,H1323-MAX(G1323,M1323))</x:f>
        <x:v>0</x:v>
      </x:c>
      <x:c r="O1323" s="28" t="n">
        <x:f>J1323*I1323</x:f>
        <x:v>5312.546316700414</x:v>
      </x:c>
      <x:c r="P1323" s="27" t="n">
        <x:f>(VLOOKUP(O1323,'Fee Data'!$C$6:$G$50,2,TRUE)+O1323*VLOOKUP(O1323,'Fee Data'!$C$6:$G$50,3,TRUE)+VLOOKUP(O1323,'Fee Data'!$I$6:$J$14,2,TRUE)+'Fee Data'!$J$20+'Fee Data'!$J$21)*'Assumptions'!J37</x:f>
        <x:v>995</x:v>
      </x:c>
      <x:c r="Q1323" s="27" t="n">
        <x:f>(VLOOKUP(O1323,'Fee Data'!$C$6:$G$50,4,TRUE)+O1323*VLOOKUP(O1323,'Fee Data'!$C$6:$G$50,5,TRUE)+VLOOKUP(O1323,'Fee Data'!$I$6:$J$14,2,TRUE)+'Fee Data'!$J$20+'Fee Data'!$J$21)*'Assumptions'!J37</x:f>
        <x:v>870</x:v>
      </x:c>
      <x:c r="R1323" s="27" t="n">
        <x:f>P1323*(1-'Assumptions'!$D$14)+Q1323*'Assumptions'!$D$14</x:f>
        <x:v>932.5</x:v>
      </x:c>
      <x:c r="S1323" s="27" t="n">
        <x:f>O1323*'Carrier Engine'!E97</x:f>
        <x:v>212.5018526680166</x:v>
      </x:c>
      <x:c r="T1323" s="28" t="n">
        <x:f>R1323+S1323</x:f>
        <x:v>1145.0018526680167</x:v>
      </x:c>
      <x:c r="U1323" s="27" t="n">
        <x:f>N1323*'Fleet Engine'!L196</x:f>
        <x:v>0</x:v>
      </x:c>
      <x:c r="V1323" s="28" t="n">
        <x:f>U1323*T1323</x:f>
        <x:v>0</x:v>
      </x:c>
      <x:c r="W1323" s="28" t="n">
        <x:f>U1323*O1323</x:f>
        <x:v>0</x:v>
      </x:c>
    </x:row>
    <x:row r="1324" ht="19" customHeight="1">
      <x:c r="A1324" s="2"/>
      <x:c r="B1324" s="2"/>
      <x:c r="C1324" s="46" t="n">
        <x:v>6</x:v>
      </x:c>
      <x:c r="D1324" s="46" t="n">
        <x:v>2</x:v>
      </x:c>
      <x:c r="E1324" s="46" t="n">
        <x:v>0</x:v>
      </x:c>
      <x:c r="F1324" s="46" t="n">
        <x:v>2</x:v>
      </x:c>
      <x:c r="G1324" s="12" t="n">
        <x:v>0.4444444444444444</x:v>
      </x:c>
      <x:c r="H1324" s="12" t="n">
        <x:v>0.5555555555555556</x:v>
      </x:c>
      <x:c r="I1324" s="29" t="n">
        <x:f>'Assumptions'!$D$11+'Assumptions'!$D$12*(0.5-(G1324+H1324)/2)</x:f>
        <x:v>0.3</x:v>
      </x:c>
      <x:c r="J1324" s="27" t="n">
        <x:f>'Assumptions'!$D$8*EXP(-'Assumptions'!$D$9*('Fleet Engine'!E196-10))*'Assumptions'!E55*'Assumptions'!J36</x:f>
        <x:v>16487.212707001283</x:v>
      </x:c>
      <x:c r="K1324" s="27" t="n">
        <x:f>'Source Data'!F219+LN('Assumptions'!D55)+LN('Assumptions'!J35)</x:f>
        <x:v>7.955584867261274</x:v>
      </x:c>
      <x:c r="L1324" s="27" t="n">
        <x:f>J1324*(1-I1324*(1-'Carrier Engine'!E97))</x:f>
        <x:v>11738.895447384913</x:v>
      </x:c>
      <x:c r="M1324" s="29" t="n">
        <x:f>NORM.S.DIST((LN(L1324)-K1324)/'Assumptions'!$D$10,TRUE)</x:f>
        <x:v>0.816260449587562</x:v>
      </x:c>
      <x:c r="N1324" s="30" t="n">
        <x:f>MAX(0,H1324-MAX(G1324,M1324))</x:f>
        <x:v>0</x:v>
      </x:c>
      <x:c r="O1324" s="28" t="n">
        <x:f>J1324*I1324</x:f>
        <x:v>4946.163812100384</x:v>
      </x:c>
      <x:c r="P1324" s="27" t="n">
        <x:f>(VLOOKUP(O1324,'Fee Data'!$C$6:$G$50,2,TRUE)+O1324*VLOOKUP(O1324,'Fee Data'!$C$6:$G$50,3,TRUE)+VLOOKUP(O1324,'Fee Data'!$I$6:$J$14,2,TRUE)+'Fee Data'!$J$20+'Fee Data'!$J$21)*'Assumptions'!J37</x:f>
        <x:v>970</x:v>
      </x:c>
      <x:c r="Q1324" s="27" t="n">
        <x:f>(VLOOKUP(O1324,'Fee Data'!$C$6:$G$50,4,TRUE)+O1324*VLOOKUP(O1324,'Fee Data'!$C$6:$G$50,5,TRUE)+VLOOKUP(O1324,'Fee Data'!$I$6:$J$14,2,TRUE)+'Fee Data'!$J$20+'Fee Data'!$J$21)*'Assumptions'!J37</x:f>
        <x:v>845</x:v>
      </x:c>
      <x:c r="R1324" s="27" t="n">
        <x:f>P1324*(1-'Assumptions'!$D$14)+Q1324*'Assumptions'!$D$14</x:f>
        <x:v>907.5</x:v>
      </x:c>
      <x:c r="S1324" s="27" t="n">
        <x:f>O1324*'Carrier Engine'!E97</x:f>
        <x:v>197.8465524840154</x:v>
      </x:c>
      <x:c r="T1324" s="28" t="n">
        <x:f>R1324+S1324</x:f>
        <x:v>1105.3465524840153</x:v>
      </x:c>
      <x:c r="U1324" s="27" t="n">
        <x:f>N1324*'Fleet Engine'!L196</x:f>
        <x:v>0</x:v>
      </x:c>
      <x:c r="V1324" s="28" t="n">
        <x:f>U1324*T1324</x:f>
        <x:v>0</x:v>
      </x:c>
      <x:c r="W1324" s="28" t="n">
        <x:f>U1324*O1324</x:f>
        <x:v>0</x:v>
      </x:c>
    </x:row>
    <x:row r="1325" ht="19" customHeight="1">
      <x:c r="A1325" s="2"/>
      <x:c r="B1325" s="2"/>
      <x:c r="C1325" s="46" t="n">
        <x:v>6</x:v>
      </x:c>
      <x:c r="D1325" s="46" t="n">
        <x:v>2</x:v>
      </x:c>
      <x:c r="E1325" s="46" t="n">
        <x:v>0</x:v>
      </x:c>
      <x:c r="F1325" s="46" t="n">
        <x:v>2</x:v>
      </x:c>
      <x:c r="G1325" s="12" t="n">
        <x:v>0.5555555555555556</x:v>
      </x:c>
      <x:c r="H1325" s="12" t="n">
        <x:v>0.6666666666666666</x:v>
      </x:c>
      <x:c r="I1325" s="29" t="n">
        <x:f>'Assumptions'!$D$11+'Assumptions'!$D$12*(0.5-(G1325+H1325)/2)</x:f>
        <x:v>0.27777777777777773</x:v>
      </x:c>
      <x:c r="J1325" s="27" t="n">
        <x:f>'Assumptions'!$D$8*EXP(-'Assumptions'!$D$9*('Fleet Engine'!E196-10))*'Assumptions'!E55*'Assumptions'!J36</x:f>
        <x:v>16487.212707001283</x:v>
      </x:c>
      <x:c r="K1325" s="27" t="n">
        <x:f>'Source Data'!F219+LN('Assumptions'!D55)+LN('Assumptions'!J35)</x:f>
        <x:v>7.955584867261274</x:v>
      </x:c>
      <x:c r="L1325" s="27" t="n">
        <x:f>J1325*(1-I1325*(1-'Carrier Engine'!E97))</x:f>
        <x:v>12090.622651800943</x:v>
      </x:c>
      <x:c r="M1325" s="29" t="n">
        <x:f>NORM.S.DIST((LN(L1325)-K1325)/'Assumptions'!$D$10,TRUE)</x:f>
        <x:v>0.8212154681565336</x:v>
      </x:c>
      <x:c r="N1325" s="30" t="n">
        <x:f>MAX(0,H1325-MAX(G1325,M1325))</x:f>
        <x:v>0</x:v>
      </x:c>
      <x:c r="O1325" s="28" t="n">
        <x:f>J1325*I1325</x:f>
        <x:v>4579.781307500356</x:v>
      </x:c>
      <x:c r="P1325" s="27" t="n">
        <x:f>(VLOOKUP(O1325,'Fee Data'!$C$6:$G$50,2,TRUE)+O1325*VLOOKUP(O1325,'Fee Data'!$C$6:$G$50,3,TRUE)+VLOOKUP(O1325,'Fee Data'!$I$6:$J$14,2,TRUE)+'Fee Data'!$J$20+'Fee Data'!$J$21)*'Assumptions'!J37</x:f>
        <x:v>970</x:v>
      </x:c>
      <x:c r="Q1325" s="27" t="n">
        <x:f>(VLOOKUP(O1325,'Fee Data'!$C$6:$G$50,4,TRUE)+O1325*VLOOKUP(O1325,'Fee Data'!$C$6:$G$50,5,TRUE)+VLOOKUP(O1325,'Fee Data'!$I$6:$J$14,2,TRUE)+'Fee Data'!$J$20+'Fee Data'!$J$21)*'Assumptions'!J37</x:f>
        <x:v>845</x:v>
      </x:c>
      <x:c r="R1325" s="27" t="n">
        <x:f>P1325*(1-'Assumptions'!$D$14)+Q1325*'Assumptions'!$D$14</x:f>
        <x:v>907.5</x:v>
      </x:c>
      <x:c r="S1325" s="27" t="n">
        <x:f>O1325*'Carrier Engine'!E97</x:f>
        <x:v>183.19125230001427</x:v>
      </x:c>
      <x:c r="T1325" s="28" t="n">
        <x:f>R1325+S1325</x:f>
        <x:v>1090.6912523000142</x:v>
      </x:c>
      <x:c r="U1325" s="27" t="n">
        <x:f>N1325*'Fleet Engine'!L196</x:f>
        <x:v>0</x:v>
      </x:c>
      <x:c r="V1325" s="28" t="n">
        <x:f>U1325*T1325</x:f>
        <x:v>0</x:v>
      </x:c>
      <x:c r="W1325" s="28" t="n">
        <x:f>U1325*O1325</x:f>
        <x:v>0</x:v>
      </x:c>
    </x:row>
    <x:row r="1326" ht="19" customHeight="1">
      <x:c r="A1326" s="2"/>
      <x:c r="B1326" s="2"/>
      <x:c r="C1326" s="46" t="n">
        <x:v>6</x:v>
      </x:c>
      <x:c r="D1326" s="46" t="n">
        <x:v>2</x:v>
      </x:c>
      <x:c r="E1326" s="46" t="n">
        <x:v>0</x:v>
      </x:c>
      <x:c r="F1326" s="46" t="n">
        <x:v>2</x:v>
      </x:c>
      <x:c r="G1326" s="12" t="n">
        <x:v>0.6666666666666666</x:v>
      </x:c>
      <x:c r="H1326" s="12" t="n">
        <x:v>0.7777777777777778</x:v>
      </x:c>
      <x:c r="I1326" s="29" t="n">
        <x:f>'Assumptions'!$D$11+'Assumptions'!$D$12*(0.5-(G1326+H1326)/2)</x:f>
        <x:v>0.25555555555555554</x:v>
      </x:c>
      <x:c r="J1326" s="27" t="n">
        <x:f>'Assumptions'!$D$8*EXP(-'Assumptions'!$D$9*('Fleet Engine'!E196-10))*'Assumptions'!E55*'Assumptions'!J36</x:f>
        <x:v>16487.212707001283</x:v>
      </x:c>
      <x:c r="K1326" s="27" t="n">
        <x:f>'Source Data'!F219+LN('Assumptions'!D55)+LN('Assumptions'!J35)</x:f>
        <x:v>7.955584867261274</x:v>
      </x:c>
      <x:c r="L1326" s="27" t="n">
        <x:f>J1326*(1-I1326*(1-'Carrier Engine'!E97))</x:f>
        <x:v>12442.34985621697</x:v>
      </x:c>
      <x:c r="M1326" s="29" t="n">
        <x:f>NORM.S.DIST((LN(L1326)-K1326)/'Assumptions'!$D$10,TRUE)</x:f>
        <x:v>0.8259470394978756</x:v>
      </x:c>
      <x:c r="N1326" s="30" t="n">
        <x:f>MAX(0,H1326-MAX(G1326,M1326))</x:f>
        <x:v>0</x:v>
      </x:c>
      <x:c r="O1326" s="28" t="n">
        <x:f>J1326*I1326</x:f>
        <x:v>4213.398802900328</x:v>
      </x:c>
      <x:c r="P1326" s="27" t="n">
        <x:f>(VLOOKUP(O1326,'Fee Data'!$C$6:$G$50,2,TRUE)+O1326*VLOOKUP(O1326,'Fee Data'!$C$6:$G$50,3,TRUE)+VLOOKUP(O1326,'Fee Data'!$I$6:$J$14,2,TRUE)+'Fee Data'!$J$20+'Fee Data'!$J$21)*'Assumptions'!J37</x:f>
        <x:v>945</x:v>
      </x:c>
      <x:c r="Q1326" s="27" t="n">
        <x:f>(VLOOKUP(O1326,'Fee Data'!$C$6:$G$50,4,TRUE)+O1326*VLOOKUP(O1326,'Fee Data'!$C$6:$G$50,5,TRUE)+VLOOKUP(O1326,'Fee Data'!$I$6:$J$14,2,TRUE)+'Fee Data'!$J$20+'Fee Data'!$J$21)*'Assumptions'!J37</x:f>
        <x:v>820</x:v>
      </x:c>
      <x:c r="R1326" s="27" t="n">
        <x:f>P1326*(1-'Assumptions'!$D$14)+Q1326*'Assumptions'!$D$14</x:f>
        <x:v>882.5</x:v>
      </x:c>
      <x:c r="S1326" s="27" t="n">
        <x:f>O1326*'Carrier Engine'!E97</x:f>
        <x:v>168.53595211601314</x:v>
      </x:c>
      <x:c r="T1326" s="28" t="n">
        <x:f>R1326+S1326</x:f>
        <x:v>1051.035952116013</x:v>
      </x:c>
      <x:c r="U1326" s="27" t="n">
        <x:f>N1326*'Fleet Engine'!L196</x:f>
        <x:v>0</x:v>
      </x:c>
      <x:c r="V1326" s="28" t="n">
        <x:f>U1326*T1326</x:f>
        <x:v>0</x:v>
      </x:c>
      <x:c r="W1326" s="28" t="n">
        <x:f>U1326*O1326</x:f>
        <x:v>0</x:v>
      </x:c>
    </x:row>
    <x:row r="1327" ht="19" customHeight="1">
      <x:c r="A1327" s="2"/>
      <x:c r="B1327" s="2"/>
      <x:c r="C1327" s="46" t="n">
        <x:v>6</x:v>
      </x:c>
      <x:c r="D1327" s="46" t="n">
        <x:v>2</x:v>
      </x:c>
      <x:c r="E1327" s="46" t="n">
        <x:v>0</x:v>
      </x:c>
      <x:c r="F1327" s="46" t="n">
        <x:v>2</x:v>
      </x:c>
      <x:c r="G1327" s="12" t="n">
        <x:v>0.7777777777777778</x:v>
      </x:c>
      <x:c r="H1327" s="12" t="n">
        <x:v>0.8888888888888888</x:v>
      </x:c>
      <x:c r="I1327" s="29" t="n">
        <x:f>'Assumptions'!$D$11+'Assumptions'!$D$12*(0.5-(G1327+H1327)/2)</x:f>
        <x:v>0.23333333333333334</x:v>
      </x:c>
      <x:c r="J1327" s="27" t="n">
        <x:f>'Assumptions'!$D$8*EXP(-'Assumptions'!$D$9*('Fleet Engine'!E196-10))*'Assumptions'!E55*'Assumptions'!J36</x:f>
        <x:v>16487.212707001283</x:v>
      </x:c>
      <x:c r="K1327" s="27" t="n">
        <x:f>'Source Data'!F219+LN('Assumptions'!D55)+LN('Assumptions'!J35)</x:f>
        <x:v>7.955584867261274</x:v>
      </x:c>
      <x:c r="L1327" s="27" t="n">
        <x:f>J1327*(1-I1327*(1-'Carrier Engine'!E97))</x:f>
        <x:v>12794.077060632995</x:v>
      </x:c>
      <x:c r="M1327" s="29" t="n">
        <x:f>NORM.S.DIST((LN(L1327)-K1327)/'Assumptions'!$D$10,TRUE)</x:f>
        <x:v>0.8304696516941905</x:v>
      </x:c>
      <x:c r="N1327" s="30" t="n">
        <x:f>MAX(0,H1327-MAX(G1327,M1327))</x:f>
        <x:v>0.058419237194698326</x:v>
      </x:c>
      <x:c r="O1327" s="28" t="n">
        <x:f>J1327*I1327</x:f>
        <x:v>3847.0162983002992</x:v>
      </x:c>
      <x:c r="P1327" s="27" t="n">
        <x:f>(VLOOKUP(O1327,'Fee Data'!$C$6:$G$50,2,TRUE)+O1327*VLOOKUP(O1327,'Fee Data'!$C$6:$G$50,3,TRUE)+VLOOKUP(O1327,'Fee Data'!$I$6:$J$14,2,TRUE)+'Fee Data'!$J$20+'Fee Data'!$J$21)*'Assumptions'!J37</x:f>
        <x:v>915</x:v>
      </x:c>
      <x:c r="Q1327" s="27" t="n">
        <x:f>(VLOOKUP(O1327,'Fee Data'!$C$6:$G$50,4,TRUE)+O1327*VLOOKUP(O1327,'Fee Data'!$C$6:$G$50,5,TRUE)+VLOOKUP(O1327,'Fee Data'!$I$6:$J$14,2,TRUE)+'Fee Data'!$J$20+'Fee Data'!$J$21)*'Assumptions'!J37</x:f>
        <x:v>765</x:v>
      </x:c>
      <x:c r="R1327" s="27" t="n">
        <x:f>P1327*(1-'Assumptions'!$D$14)+Q1327*'Assumptions'!$D$14</x:f>
        <x:v>840</x:v>
      </x:c>
      <x:c r="S1327" s="27" t="n">
        <x:f>O1327*'Carrier Engine'!E97</x:f>
        <x:v>153.880651932012</x:v>
      </x:c>
      <x:c r="T1327" s="28" t="n">
        <x:f>R1327+S1327</x:f>
        <x:v>993.880651932012</x:v>
      </x:c>
      <x:c r="U1327" s="27" t="n">
        <x:f>N1327*'Fleet Engine'!L196</x:f>
        <x:v>553.685073041675</x:v>
      </x:c>
      <x:c r="V1327" s="28" t="n">
        <x:f>U1327*T1327</x:f>
        <x:v>550296.8813596836</x:v>
      </x:c>
      <x:c r="W1327" s="28" t="n">
        <x:f>U1327*O1327</x:f>
        <x:v>2130035.5001169154</x:v>
      </x:c>
    </x:row>
    <x:row r="1328" ht="19" customHeight="1">
      <x:c r="A1328" s="2"/>
      <x:c r="B1328" s="2"/>
      <x:c r="C1328" s="46" t="n">
        <x:v>6</x:v>
      </x:c>
      <x:c r="D1328" s="46" t="n">
        <x:v>2</x:v>
      </x:c>
      <x:c r="E1328" s="46" t="n">
        <x:v>0</x:v>
      </x:c>
      <x:c r="F1328" s="46" t="n">
        <x:v>2</x:v>
      </x:c>
      <x:c r="G1328" s="12" t="n">
        <x:v>0.8888888888888888</x:v>
      </x:c>
      <x:c r="H1328" s="12" t="n">
        <x:v>1</x:v>
      </x:c>
      <x:c r="I1328" s="29" t="n">
        <x:f>'Assumptions'!$D$11+'Assumptions'!$D$12*(0.5-(G1328+H1328)/2)</x:f>
        <x:v>0.21111111111111108</x:v>
      </x:c>
      <x:c r="J1328" s="27" t="n">
        <x:f>'Assumptions'!$D$8*EXP(-'Assumptions'!$D$9*('Fleet Engine'!E196-10))*'Assumptions'!E55*'Assumptions'!J36</x:f>
        <x:v>16487.212707001283</x:v>
      </x:c>
      <x:c r="K1328" s="27" t="n">
        <x:f>'Source Data'!F219+LN('Assumptions'!D55)+LN('Assumptions'!J35)</x:f>
        <x:v>7.955584867261274</x:v>
      </x:c>
      <x:c r="L1328" s="27" t="n">
        <x:f>J1328*(1-I1328*(1-'Carrier Engine'!E97))</x:f>
        <x:v>13145.804265049022</x:v>
      </x:c>
      <x:c r="M1328" s="29" t="n">
        <x:f>NORM.S.DIST((LN(L1328)-K1328)/'Assumptions'!$D$10,TRUE)</x:f>
        <x:v>0.8347965602302723</x:v>
      </x:c>
      <x:c r="N1328" s="30" t="n">
        <x:f>MAX(0,H1328-MAX(G1328,M1328))</x:f>
        <x:v>0.11111111111111116</x:v>
      </x:c>
      <x:c r="O1328" s="28" t="n">
        <x:f>J1328*I1328</x:f>
        <x:v>3480.6337937002704</x:v>
      </x:c>
      <x:c r="P1328" s="27" t="n">
        <x:f>(VLOOKUP(O1328,'Fee Data'!$C$6:$G$50,2,TRUE)+O1328*VLOOKUP(O1328,'Fee Data'!$C$6:$G$50,3,TRUE)+VLOOKUP(O1328,'Fee Data'!$I$6:$J$14,2,TRUE)+'Fee Data'!$J$20+'Fee Data'!$J$21)*'Assumptions'!J37</x:f>
        <x:v>865</x:v>
      </x:c>
      <x:c r="Q1328" s="27" t="n">
        <x:f>(VLOOKUP(O1328,'Fee Data'!$C$6:$G$50,4,TRUE)+O1328*VLOOKUP(O1328,'Fee Data'!$C$6:$G$50,5,TRUE)+VLOOKUP(O1328,'Fee Data'!$I$6:$J$14,2,TRUE)+'Fee Data'!$J$20+'Fee Data'!$J$21)*'Assumptions'!J37</x:f>
        <x:v>715</x:v>
      </x:c>
      <x:c r="R1328" s="27" t="n">
        <x:f>P1328*(1-'Assumptions'!$D$14)+Q1328*'Assumptions'!$D$14</x:f>
        <x:v>790</x:v>
      </x:c>
      <x:c r="S1328" s="27" t="n">
        <x:f>O1328*'Carrier Engine'!E97</x:f>
        <x:v>139.22535174801084</x:v>
      </x:c>
      <x:c r="T1328" s="28" t="n">
        <x:f>R1328+S1328</x:f>
        <x:v>929.2253517480108</x:v>
      </x:c>
      <x:c r="U1328" s="27" t="n">
        <x:f>N1328*'Fleet Engine'!L196</x:f>
        <x:v>1053.0874182123073</x:v>
      </x:c>
      <x:c r="V1328" s="28" t="n">
        <x:f>U1328*T1328</x:f>
        <x:v>978555.5266097358</x:v>
      </x:c>
      <x:c r="W1328" s="28" t="n">
        <x:f>U1328*O1328</x:f>
        <x:v>3665411.655550326</x:v>
      </x:c>
    </x:row>
    <x:row r="1329" ht="19" customHeight="1">
      <x:c r="A1329" s="2"/>
      <x:c r="B1329" s="2"/>
      <x:c r="C1329" s="46" t="n">
        <x:v>6</x:v>
      </x:c>
      <x:c r="D1329" s="46" t="n">
        <x:v>3</x:v>
      </x:c>
      <x:c r="E1329" s="46" t="n">
        <x:v>0</x:v>
      </x:c>
      <x:c r="F1329" s="46" t="n">
        <x:v>3</x:v>
      </x:c>
      <x:c r="G1329" s="12" t="n">
        <x:v>0</x:v>
      </x:c>
      <x:c r="H1329" s="12" t="n">
        <x:v>0.1111111111111111</x:v>
      </x:c>
      <x:c r="I1329" s="29" t="n">
        <x:f>'Assumptions'!$D$11+'Assumptions'!$D$12*(0.5-(G1329+H1329)/2)</x:f>
        <x:v>0.3888888888888889</x:v>
      </x:c>
      <x:c r="J1329" s="27" t="n">
        <x:f>'Assumptions'!$D$8*EXP(-'Assumptions'!$D$9*('Fleet Engine'!E197-10))*'Assumptions'!E55*'Assumptions'!J36</x:f>
        <x:v>12214.027581601698</x:v>
      </x:c>
      <x:c r="K1329" s="27" t="n">
        <x:f>'Source Data'!F220+LN('Assumptions'!D55)+LN('Assumptions'!J35)</x:f>
        <x:v>8.062717438528928</x:v>
      </x:c>
      <x:c r="L1329" s="27" t="n">
        <x:f>J1329*(1-I1329*(1-'Carrier Engine'!E97))</x:f>
        <x:v>7654.123951137065</x:v>
      </x:c>
      <x:c r="M1329" s="29" t="n">
        <x:f>NORM.S.DIST((LN(L1329)-K1329)/'Assumptions'!$D$10,TRUE)</x:f>
        <x:v>0.7124702952152316</x:v>
      </x:c>
      <x:c r="N1329" s="30" t="n">
        <x:f>MAX(0,H1329-MAX(G1329,M1329))</x:f>
        <x:v>0</x:v>
      </x:c>
      <x:c r="O1329" s="28" t="n">
        <x:f>J1329*I1329</x:f>
        <x:v>4749.899615067327</x:v>
      </x:c>
      <x:c r="P1329" s="27" t="n">
        <x:f>(VLOOKUP(O1329,'Fee Data'!$C$6:$G$50,2,TRUE)+O1329*VLOOKUP(O1329,'Fee Data'!$C$6:$G$50,3,TRUE)+VLOOKUP(O1329,'Fee Data'!$I$6:$J$14,2,TRUE)+'Fee Data'!$J$20+'Fee Data'!$J$21)*'Assumptions'!J37</x:f>
        <x:v>970</x:v>
      </x:c>
      <x:c r="Q1329" s="27" t="n">
        <x:f>(VLOOKUP(O1329,'Fee Data'!$C$6:$G$50,4,TRUE)+O1329*VLOOKUP(O1329,'Fee Data'!$C$6:$G$50,5,TRUE)+VLOOKUP(O1329,'Fee Data'!$I$6:$J$14,2,TRUE)+'Fee Data'!$J$20+'Fee Data'!$J$21)*'Assumptions'!J37</x:f>
        <x:v>845</x:v>
      </x:c>
      <x:c r="R1329" s="27" t="n">
        <x:f>P1329*(1-'Assumptions'!$D$14)+Q1329*'Assumptions'!$D$14</x:f>
        <x:v>907.5</x:v>
      </x:c>
      <x:c r="S1329" s="27" t="n">
        <x:f>O1329*'Carrier Engine'!E97</x:f>
        <x:v>189.99598460269314</x:v>
      </x:c>
      <x:c r="T1329" s="28" t="n">
        <x:f>R1329+S1329</x:f>
        <x:v>1097.4959846026932</x:v>
      </x:c>
      <x:c r="U1329" s="27" t="n">
        <x:f>N1329*'Fleet Engine'!L197</x:f>
        <x:v>0</x:v>
      </x:c>
      <x:c r="V1329" s="28" t="n">
        <x:f>U1329*T1329</x:f>
        <x:v>0</x:v>
      </x:c>
      <x:c r="W1329" s="28" t="n">
        <x:f>U1329*O1329</x:f>
        <x:v>0</x:v>
      </x:c>
    </x:row>
    <x:row r="1330" ht="19" customHeight="1">
      <x:c r="A1330" s="2"/>
      <x:c r="B1330" s="2"/>
      <x:c r="C1330" s="46" t="n">
        <x:v>6</x:v>
      </x:c>
      <x:c r="D1330" s="46" t="n">
        <x:v>3</x:v>
      </x:c>
      <x:c r="E1330" s="46" t="n">
        <x:v>0</x:v>
      </x:c>
      <x:c r="F1330" s="46" t="n">
        <x:v>3</x:v>
      </x:c>
      <x:c r="G1330" s="12" t="n">
        <x:v>0.1111111111111111</x:v>
      </x:c>
      <x:c r="H1330" s="12" t="n">
        <x:v>0.2222222222222222</x:v>
      </x:c>
      <x:c r="I1330" s="29" t="n">
        <x:f>'Assumptions'!$D$11+'Assumptions'!$D$12*(0.5-(G1330+H1330)/2)</x:f>
        <x:v>0.3666666666666667</x:v>
      </x:c>
      <x:c r="J1330" s="27" t="n">
        <x:f>'Assumptions'!$D$8*EXP(-'Assumptions'!$D$9*('Fleet Engine'!E197-10))*'Assumptions'!E55*'Assumptions'!J36</x:f>
        <x:v>12214.027581601698</x:v>
      </x:c>
      <x:c r="K1330" s="27" t="n">
        <x:f>'Source Data'!F220+LN('Assumptions'!D55)+LN('Assumptions'!J35)</x:f>
        <x:v>8.062717438528928</x:v>
      </x:c>
      <x:c r="L1330" s="27" t="n">
        <x:f>J1330*(1-I1330*(1-'Carrier Engine'!E97))</x:f>
        <x:v>7914.6898728779</x:v>
      </x:c>
      <x:c r="M1330" s="29" t="n">
        <x:f>NORM.S.DIST((LN(L1330)-K1330)/'Assumptions'!$D$10,TRUE)</x:f>
        <x:v>0.7196948864067317</x:v>
      </x:c>
      <x:c r="N1330" s="30" t="n">
        <x:f>MAX(0,H1330-MAX(G1330,M1330))</x:f>
        <x:v>0</x:v>
      </x:c>
      <x:c r="O1330" s="28" t="n">
        <x:f>J1330*I1330</x:f>
        <x:v>4478.476779920623</x:v>
      </x:c>
      <x:c r="P1330" s="27" t="n">
        <x:f>(VLOOKUP(O1330,'Fee Data'!$C$6:$G$50,2,TRUE)+O1330*VLOOKUP(O1330,'Fee Data'!$C$6:$G$50,3,TRUE)+VLOOKUP(O1330,'Fee Data'!$I$6:$J$14,2,TRUE)+'Fee Data'!$J$20+'Fee Data'!$J$21)*'Assumptions'!J37</x:f>
        <x:v>945</x:v>
      </x:c>
      <x:c r="Q1330" s="27" t="n">
        <x:f>(VLOOKUP(O1330,'Fee Data'!$C$6:$G$50,4,TRUE)+O1330*VLOOKUP(O1330,'Fee Data'!$C$6:$G$50,5,TRUE)+VLOOKUP(O1330,'Fee Data'!$I$6:$J$14,2,TRUE)+'Fee Data'!$J$20+'Fee Data'!$J$21)*'Assumptions'!J37</x:f>
        <x:v>820</x:v>
      </x:c>
      <x:c r="R1330" s="27" t="n">
        <x:f>P1330*(1-'Assumptions'!$D$14)+Q1330*'Assumptions'!$D$14</x:f>
        <x:v>882.5</x:v>
      </x:c>
      <x:c r="S1330" s="27" t="n">
        <x:f>O1330*'Carrier Engine'!E97</x:f>
        <x:v>179.13907119682494</x:v>
      </x:c>
      <x:c r="T1330" s="28" t="n">
        <x:f>R1330+S1330</x:f>
        <x:v>1061.639071196825</x:v>
      </x:c>
      <x:c r="U1330" s="27" t="n">
        <x:f>N1330*'Fleet Engine'!L197</x:f>
        <x:v>0</x:v>
      </x:c>
      <x:c r="V1330" s="28" t="n">
        <x:f>U1330*T1330</x:f>
        <x:v>0</x:v>
      </x:c>
      <x:c r="W1330" s="28" t="n">
        <x:f>U1330*O1330</x:f>
        <x:v>0</x:v>
      </x:c>
    </x:row>
    <x:row r="1331" ht="19" customHeight="1">
      <x:c r="A1331" s="2"/>
      <x:c r="B1331" s="2"/>
      <x:c r="C1331" s="46" t="n">
        <x:v>6</x:v>
      </x:c>
      <x:c r="D1331" s="46" t="n">
        <x:v>3</x:v>
      </x:c>
      <x:c r="E1331" s="46" t="n">
        <x:v>0</x:v>
      </x:c>
      <x:c r="F1331" s="46" t="n">
        <x:v>3</x:v>
      </x:c>
      <x:c r="G1331" s="12" t="n">
        <x:v>0.2222222222222222</x:v>
      </x:c>
      <x:c r="H1331" s="12" t="n">
        <x:v>0.3333333333333333</x:v>
      </x:c>
      <x:c r="I1331" s="29" t="n">
        <x:f>'Assumptions'!$D$11+'Assumptions'!$D$12*(0.5-(G1331+H1331)/2)</x:f>
        <x:v>0.34444444444444444</x:v>
      </x:c>
      <x:c r="J1331" s="27" t="n">
        <x:f>'Assumptions'!$D$8*EXP(-'Assumptions'!$D$9*('Fleet Engine'!E197-10))*'Assumptions'!E55*'Assumptions'!J36</x:f>
        <x:v>12214.027581601698</x:v>
      </x:c>
      <x:c r="K1331" s="27" t="n">
        <x:f>'Source Data'!F220+LN('Assumptions'!D55)+LN('Assumptions'!J35)</x:f>
        <x:v>8.062717438528928</x:v>
      </x:c>
      <x:c r="L1331" s="27" t="n">
        <x:f>J1331*(1-I1331*(1-'Carrier Engine'!E97))</x:f>
        <x:v>8175.255794618737</x:v>
      </x:c>
      <x:c r="M1331" s="29" t="n">
        <x:f>NORM.S.DIST((LN(L1331)-K1331)/'Assumptions'!$D$10,TRUE)</x:f>
        <x:v>0.7266006694983298</x:v>
      </x:c>
      <x:c r="N1331" s="30" t="n">
        <x:f>MAX(0,H1331-MAX(G1331,M1331))</x:f>
        <x:v>0</x:v>
      </x:c>
      <x:c r="O1331" s="28" t="n">
        <x:f>J1331*I1331</x:f>
        <x:v>4207.053944773918</x:v>
      </x:c>
      <x:c r="P1331" s="27" t="n">
        <x:f>(VLOOKUP(O1331,'Fee Data'!$C$6:$G$50,2,TRUE)+O1331*VLOOKUP(O1331,'Fee Data'!$C$6:$G$50,3,TRUE)+VLOOKUP(O1331,'Fee Data'!$I$6:$J$14,2,TRUE)+'Fee Data'!$J$20+'Fee Data'!$J$21)*'Assumptions'!J37</x:f>
        <x:v>945</x:v>
      </x:c>
      <x:c r="Q1331" s="27" t="n">
        <x:f>(VLOOKUP(O1331,'Fee Data'!$C$6:$G$50,4,TRUE)+O1331*VLOOKUP(O1331,'Fee Data'!$C$6:$G$50,5,TRUE)+VLOOKUP(O1331,'Fee Data'!$I$6:$J$14,2,TRUE)+'Fee Data'!$J$20+'Fee Data'!$J$21)*'Assumptions'!J37</x:f>
        <x:v>820</x:v>
      </x:c>
      <x:c r="R1331" s="27" t="n">
        <x:f>P1331*(1-'Assumptions'!$D$14)+Q1331*'Assumptions'!$D$14</x:f>
        <x:v>882.5</x:v>
      </x:c>
      <x:c r="S1331" s="27" t="n">
        <x:f>O1331*'Carrier Engine'!E97</x:f>
        <x:v>168.28215779095677</x:v>
      </x:c>
      <x:c r="T1331" s="28" t="n">
        <x:f>R1331+S1331</x:f>
        <x:v>1050.7821577909567</x:v>
      </x:c>
      <x:c r="U1331" s="27" t="n">
        <x:f>N1331*'Fleet Engine'!L197</x:f>
        <x:v>0</x:v>
      </x:c>
      <x:c r="V1331" s="28" t="n">
        <x:f>U1331*T1331</x:f>
        <x:v>0</x:v>
      </x:c>
      <x:c r="W1331" s="28" t="n">
        <x:f>U1331*O1331</x:f>
        <x:v>0</x:v>
      </x:c>
    </x:row>
    <x:row r="1332" ht="19" customHeight="1">
      <x:c r="A1332" s="2"/>
      <x:c r="B1332" s="2"/>
      <x:c r="C1332" s="46" t="n">
        <x:v>6</x:v>
      </x:c>
      <x:c r="D1332" s="46" t="n">
        <x:v>3</x:v>
      </x:c>
      <x:c r="E1332" s="46" t="n">
        <x:v>0</x:v>
      </x:c>
      <x:c r="F1332" s="46" t="n">
        <x:v>3</x:v>
      </x:c>
      <x:c r="G1332" s="12" t="n">
        <x:v>0.3333333333333333</x:v>
      </x:c>
      <x:c r="H1332" s="12" t="n">
        <x:v>0.4444444444444444</x:v>
      </x:c>
      <x:c r="I1332" s="29" t="n">
        <x:f>'Assumptions'!$D$11+'Assumptions'!$D$12*(0.5-(G1332+H1332)/2)</x:f>
        <x:v>0.32222222222222224</x:v>
      </x:c>
      <x:c r="J1332" s="27" t="n">
        <x:f>'Assumptions'!$D$8*EXP(-'Assumptions'!$D$9*('Fleet Engine'!E197-10))*'Assumptions'!E55*'Assumptions'!J36</x:f>
        <x:v>12214.027581601698</x:v>
      </x:c>
      <x:c r="K1332" s="27" t="n">
        <x:f>'Source Data'!F220+LN('Assumptions'!D55)+LN('Assumptions'!J35)</x:f>
        <x:v>8.062717438528928</x:v>
      </x:c>
      <x:c r="L1332" s="27" t="n">
        <x:f>J1332*(1-I1332*(1-'Carrier Engine'!E97))</x:f>
        <x:v>8435.821716359573</x:v>
      </x:c>
      <x:c r="M1332" s="29" t="n">
        <x:f>NORM.S.DIST((LN(L1332)-K1332)/'Assumptions'!$D$10,TRUE)</x:f>
        <x:v>0.7332084499624358</x:v>
      </x:c>
      <x:c r="N1332" s="30" t="n">
        <x:f>MAX(0,H1332-MAX(G1332,M1332))</x:f>
        <x:v>0</x:v>
      </x:c>
      <x:c r="O1332" s="28" t="n">
        <x:f>J1332*I1332</x:f>
        <x:v>3935.6311096272143</x:v>
      </x:c>
      <x:c r="P1332" s="27" t="n">
        <x:f>(VLOOKUP(O1332,'Fee Data'!$C$6:$G$50,2,TRUE)+O1332*VLOOKUP(O1332,'Fee Data'!$C$6:$G$50,3,TRUE)+VLOOKUP(O1332,'Fee Data'!$I$6:$J$14,2,TRUE)+'Fee Data'!$J$20+'Fee Data'!$J$21)*'Assumptions'!J37</x:f>
        <x:v>915</x:v>
      </x:c>
      <x:c r="Q1332" s="27" t="n">
        <x:f>(VLOOKUP(O1332,'Fee Data'!$C$6:$G$50,4,TRUE)+O1332*VLOOKUP(O1332,'Fee Data'!$C$6:$G$50,5,TRUE)+VLOOKUP(O1332,'Fee Data'!$I$6:$J$14,2,TRUE)+'Fee Data'!$J$20+'Fee Data'!$J$21)*'Assumptions'!J37</x:f>
        <x:v>765</x:v>
      </x:c>
      <x:c r="R1332" s="27" t="n">
        <x:f>P1332*(1-'Assumptions'!$D$14)+Q1332*'Assumptions'!$D$14</x:f>
        <x:v>840</x:v>
      </x:c>
      <x:c r="S1332" s="27" t="n">
        <x:f>O1332*'Carrier Engine'!E97</x:f>
        <x:v>157.4252443850886</x:v>
      </x:c>
      <x:c r="T1332" s="28" t="n">
        <x:f>R1332+S1332</x:f>
        <x:v>997.4252443850886</x:v>
      </x:c>
      <x:c r="U1332" s="27" t="n">
        <x:f>N1332*'Fleet Engine'!L197</x:f>
        <x:v>0</x:v>
      </x:c>
      <x:c r="V1332" s="28" t="n">
        <x:f>U1332*T1332</x:f>
        <x:v>0</x:v>
      </x:c>
      <x:c r="W1332" s="28" t="n">
        <x:f>U1332*O1332</x:f>
        <x:v>0</x:v>
      </x:c>
    </x:row>
    <x:row r="1333" ht="19" customHeight="1">
      <x:c r="A1333" s="2"/>
      <x:c r="B1333" s="2"/>
      <x:c r="C1333" s="46" t="n">
        <x:v>6</x:v>
      </x:c>
      <x:c r="D1333" s="46" t="n">
        <x:v>3</x:v>
      </x:c>
      <x:c r="E1333" s="46" t="n">
        <x:v>0</x:v>
      </x:c>
      <x:c r="F1333" s="46" t="n">
        <x:v>3</x:v>
      </x:c>
      <x:c r="G1333" s="12" t="n">
        <x:v>0.4444444444444444</x:v>
      </x:c>
      <x:c r="H1333" s="12" t="n">
        <x:v>0.5555555555555556</x:v>
      </x:c>
      <x:c r="I1333" s="29" t="n">
        <x:f>'Assumptions'!$D$11+'Assumptions'!$D$12*(0.5-(G1333+H1333)/2)</x:f>
        <x:v>0.3</x:v>
      </x:c>
      <x:c r="J1333" s="27" t="n">
        <x:f>'Assumptions'!$D$8*EXP(-'Assumptions'!$D$9*('Fleet Engine'!E197-10))*'Assumptions'!E55*'Assumptions'!J36</x:f>
        <x:v>12214.027581601698</x:v>
      </x:c>
      <x:c r="K1333" s="27" t="n">
        <x:f>'Source Data'!F220+LN('Assumptions'!D55)+LN('Assumptions'!J35)</x:f>
        <x:v>8.062717438528928</x:v>
      </x:c>
      <x:c r="L1333" s="27" t="n">
        <x:f>J1333*(1-I1333*(1-'Carrier Engine'!E97))</x:f>
        <x:v>8696.387638100408</x:v>
      </x:c>
      <x:c r="M1333" s="29" t="n">
        <x:f>NORM.S.DIST((LN(L1333)-K1333)/'Assumptions'!$D$10,TRUE)</x:f>
        <x:v>0.7395372219077186</x:v>
      </x:c>
      <x:c r="N1333" s="30" t="n">
        <x:f>MAX(0,H1333-MAX(G1333,M1333))</x:f>
        <x:v>0</x:v>
      </x:c>
      <x:c r="O1333" s="28" t="n">
        <x:f>J1333*I1333</x:f>
        <x:v>3664.2082744805093</x:v>
      </x:c>
      <x:c r="P1333" s="27" t="n">
        <x:f>(VLOOKUP(O1333,'Fee Data'!$C$6:$G$50,2,TRUE)+O1333*VLOOKUP(O1333,'Fee Data'!$C$6:$G$50,3,TRUE)+VLOOKUP(O1333,'Fee Data'!$I$6:$J$14,2,TRUE)+'Fee Data'!$J$20+'Fee Data'!$J$21)*'Assumptions'!J37</x:f>
        <x:v>915</x:v>
      </x:c>
      <x:c r="Q1333" s="27" t="n">
        <x:f>(VLOOKUP(O1333,'Fee Data'!$C$6:$G$50,4,TRUE)+O1333*VLOOKUP(O1333,'Fee Data'!$C$6:$G$50,5,TRUE)+VLOOKUP(O1333,'Fee Data'!$I$6:$J$14,2,TRUE)+'Fee Data'!$J$20+'Fee Data'!$J$21)*'Assumptions'!J37</x:f>
        <x:v>765</x:v>
      </x:c>
      <x:c r="R1333" s="27" t="n">
        <x:f>P1333*(1-'Assumptions'!$D$14)+Q1333*'Assumptions'!$D$14</x:f>
        <x:v>840</x:v>
      </x:c>
      <x:c r="S1333" s="27" t="n">
        <x:f>O1333*'Carrier Engine'!E97</x:f>
        <x:v>146.5683309792204</x:v>
      </x:c>
      <x:c r="T1333" s="28" t="n">
        <x:f>R1333+S1333</x:f>
        <x:v>986.5683309792204</x:v>
      </x:c>
      <x:c r="U1333" s="27" t="n">
        <x:f>N1333*'Fleet Engine'!L197</x:f>
        <x:v>0</x:v>
      </x:c>
      <x:c r="V1333" s="28" t="n">
        <x:f>U1333*T1333</x:f>
        <x:v>0</x:v>
      </x:c>
      <x:c r="W1333" s="28" t="n">
        <x:f>U1333*O1333</x:f>
        <x:v>0</x:v>
      </x:c>
    </x:row>
    <x:row r="1334" ht="19" customHeight="1">
      <x:c r="A1334" s="2"/>
      <x:c r="B1334" s="2"/>
      <x:c r="C1334" s="46" t="n">
        <x:v>6</x:v>
      </x:c>
      <x:c r="D1334" s="46" t="n">
        <x:v>3</x:v>
      </x:c>
      <x:c r="E1334" s="46" t="n">
        <x:v>0</x:v>
      </x:c>
      <x:c r="F1334" s="46" t="n">
        <x:v>3</x:v>
      </x:c>
      <x:c r="G1334" s="12" t="n">
        <x:v>0.5555555555555556</x:v>
      </x:c>
      <x:c r="H1334" s="12" t="n">
        <x:v>0.6666666666666666</x:v>
      </x:c>
      <x:c r="I1334" s="29" t="n">
        <x:f>'Assumptions'!$D$11+'Assumptions'!$D$12*(0.5-(G1334+H1334)/2)</x:f>
        <x:v>0.27777777777777773</x:v>
      </x:c>
      <x:c r="J1334" s="27" t="n">
        <x:f>'Assumptions'!$D$8*EXP(-'Assumptions'!$D$9*('Fleet Engine'!E197-10))*'Assumptions'!E55*'Assumptions'!J36</x:f>
        <x:v>12214.027581601698</x:v>
      </x:c>
      <x:c r="K1334" s="27" t="n">
        <x:f>'Source Data'!F220+LN('Assumptions'!D55)+LN('Assumptions'!J35)</x:f>
        <x:v>8.062717438528928</x:v>
      </x:c>
      <x:c r="L1334" s="27" t="n">
        <x:f>J1334*(1-I1334*(1-'Carrier Engine'!E97))</x:f>
        <x:v>8956.953559841246</x:v>
      </x:c>
      <x:c r="M1334" s="29" t="n">
        <x:f>NORM.S.DIST((LN(L1334)-K1334)/'Assumptions'!$D$10,TRUE)</x:f>
        <x:v>0.7456043651066011</x:v>
      </x:c>
      <x:c r="N1334" s="30" t="n">
        <x:f>MAX(0,H1334-MAX(G1334,M1334))</x:f>
        <x:v>0</x:v>
      </x:c>
      <x:c r="O1334" s="28" t="n">
        <x:f>J1334*I1334</x:f>
        <x:v>3392.785439333805</x:v>
      </x:c>
      <x:c r="P1334" s="27" t="n">
        <x:f>(VLOOKUP(O1334,'Fee Data'!$C$6:$G$50,2,TRUE)+O1334*VLOOKUP(O1334,'Fee Data'!$C$6:$G$50,3,TRUE)+VLOOKUP(O1334,'Fee Data'!$I$6:$J$14,2,TRUE)+'Fee Data'!$J$20+'Fee Data'!$J$21)*'Assumptions'!J37</x:f>
        <x:v>865</x:v>
      </x:c>
      <x:c r="Q1334" s="27" t="n">
        <x:f>(VLOOKUP(O1334,'Fee Data'!$C$6:$G$50,4,TRUE)+O1334*VLOOKUP(O1334,'Fee Data'!$C$6:$G$50,5,TRUE)+VLOOKUP(O1334,'Fee Data'!$I$6:$J$14,2,TRUE)+'Fee Data'!$J$20+'Fee Data'!$J$21)*'Assumptions'!J37</x:f>
        <x:v>715</x:v>
      </x:c>
      <x:c r="R1334" s="27" t="n">
        <x:f>P1334*(1-'Assumptions'!$D$14)+Q1334*'Assumptions'!$D$14</x:f>
        <x:v>790</x:v>
      </x:c>
      <x:c r="S1334" s="27" t="n">
        <x:f>O1334*'Carrier Engine'!E97</x:f>
        <x:v>135.7114175733522</x:v>
      </x:c>
      <x:c r="T1334" s="28" t="n">
        <x:f>R1334+S1334</x:f>
        <x:v>925.7114175733523</x:v>
      </x:c>
      <x:c r="U1334" s="27" t="n">
        <x:f>N1334*'Fleet Engine'!L197</x:f>
        <x:v>0</x:v>
      </x:c>
      <x:c r="V1334" s="28" t="n">
        <x:f>U1334*T1334</x:f>
        <x:v>0</x:v>
      </x:c>
      <x:c r="W1334" s="28" t="n">
        <x:f>U1334*O1334</x:f>
        <x:v>0</x:v>
      </x:c>
    </x:row>
    <x:row r="1335" ht="19" customHeight="1">
      <x:c r="A1335" s="2"/>
      <x:c r="B1335" s="2"/>
      <x:c r="C1335" s="46" t="n">
        <x:v>6</x:v>
      </x:c>
      <x:c r="D1335" s="46" t="n">
        <x:v>3</x:v>
      </x:c>
      <x:c r="E1335" s="46" t="n">
        <x:v>0</x:v>
      </x:c>
      <x:c r="F1335" s="46" t="n">
        <x:v>3</x:v>
      </x:c>
      <x:c r="G1335" s="12" t="n">
        <x:v>0.6666666666666666</x:v>
      </x:c>
      <x:c r="H1335" s="12" t="n">
        <x:v>0.7777777777777778</x:v>
      </x:c>
      <x:c r="I1335" s="29" t="n">
        <x:f>'Assumptions'!$D$11+'Assumptions'!$D$12*(0.5-(G1335+H1335)/2)</x:f>
        <x:v>0.25555555555555554</x:v>
      </x:c>
      <x:c r="J1335" s="27" t="n">
        <x:f>'Assumptions'!$D$8*EXP(-'Assumptions'!$D$9*('Fleet Engine'!E197-10))*'Assumptions'!E55*'Assumptions'!J36</x:f>
        <x:v>12214.027581601698</x:v>
      </x:c>
      <x:c r="K1335" s="27" t="n">
        <x:f>'Source Data'!F220+LN('Assumptions'!D55)+LN('Assumptions'!J35)</x:f>
        <x:v>8.062717438528928</x:v>
      </x:c>
      <x:c r="L1335" s="27" t="n">
        <x:f>J1335*(1-I1335*(1-'Carrier Engine'!E97))</x:f>
        <x:v>9217.519481582081</x:v>
      </x:c>
      <x:c r="M1335" s="29" t="n">
        <x:f>NORM.S.DIST((LN(L1335)-K1335)/'Assumptions'!$D$10,TRUE)</x:f>
        <x:v>0.7514258164078012</x:v>
      </x:c>
      <x:c r="N1335" s="30" t="n">
        <x:f>MAX(0,H1335-MAX(G1335,M1335))</x:f>
        <x:v>0.02635196136997664</x:v>
      </x:c>
      <x:c r="O1335" s="28" t="n">
        <x:f>J1335*I1335</x:f>
        <x:v>3121.3626041871003</x:v>
      </x:c>
      <x:c r="P1335" s="27" t="n">
        <x:f>(VLOOKUP(O1335,'Fee Data'!$C$6:$G$50,2,TRUE)+O1335*VLOOKUP(O1335,'Fee Data'!$C$6:$G$50,3,TRUE)+VLOOKUP(O1335,'Fee Data'!$I$6:$J$14,2,TRUE)+'Fee Data'!$J$20+'Fee Data'!$J$21)*'Assumptions'!J37</x:f>
        <x:v>865</x:v>
      </x:c>
      <x:c r="Q1335" s="27" t="n">
        <x:f>(VLOOKUP(O1335,'Fee Data'!$C$6:$G$50,4,TRUE)+O1335*VLOOKUP(O1335,'Fee Data'!$C$6:$G$50,5,TRUE)+VLOOKUP(O1335,'Fee Data'!$I$6:$J$14,2,TRUE)+'Fee Data'!$J$20+'Fee Data'!$J$21)*'Assumptions'!J37</x:f>
        <x:v>715</x:v>
      </x:c>
      <x:c r="R1335" s="27" t="n">
        <x:f>P1335*(1-'Assumptions'!$D$14)+Q1335*'Assumptions'!$D$14</x:f>
        <x:v>790</x:v>
      </x:c>
      <x:c r="S1335" s="27" t="n">
        <x:f>O1335*'Carrier Engine'!E97</x:f>
        <x:v>124.85450416748404</x:v>
      </x:c>
      <x:c r="T1335" s="28" t="n">
        <x:f>R1335+S1335</x:f>
        <x:v>914.854504167484</x:v>
      </x:c>
      <x:c r="U1335" s="27" t="n">
        <x:f>N1335*'Fleet Engine'!L197</x:f>
        <x:v>324.54444249194376</x:v>
      </x:c>
      <x:c r="V1335" s="28" t="n">
        <x:f>U1335*T1335</x:f>
        <x:v>296910.94501627976</x:v>
      </x:c>
      <x:c r="W1335" s="28" t="n">
        <x:f>U1335*O1335</x:f>
        <x:v>1013020.8861911042</x:v>
      </x:c>
    </x:row>
    <x:row r="1336" ht="19" customHeight="1">
      <x:c r="A1336" s="2"/>
      <x:c r="B1336" s="2"/>
      <x:c r="C1336" s="46" t="n">
        <x:v>6</x:v>
      </x:c>
      <x:c r="D1336" s="46" t="n">
        <x:v>3</x:v>
      </x:c>
      <x:c r="E1336" s="46" t="n">
        <x:v>0</x:v>
      </x:c>
      <x:c r="F1336" s="46" t="n">
        <x:v>3</x:v>
      </x:c>
      <x:c r="G1336" s="12" t="n">
        <x:v>0.7777777777777778</x:v>
      </x:c>
      <x:c r="H1336" s="12" t="n">
        <x:v>0.8888888888888888</x:v>
      </x:c>
      <x:c r="I1336" s="29" t="n">
        <x:f>'Assumptions'!$D$11+'Assumptions'!$D$12*(0.5-(G1336+H1336)/2)</x:f>
        <x:v>0.23333333333333334</x:v>
      </x:c>
      <x:c r="J1336" s="27" t="n">
        <x:f>'Assumptions'!$D$8*EXP(-'Assumptions'!$D$9*('Fleet Engine'!E197-10))*'Assumptions'!E55*'Assumptions'!J36</x:f>
        <x:v>12214.027581601698</x:v>
      </x:c>
      <x:c r="K1336" s="27" t="n">
        <x:f>'Source Data'!F220+LN('Assumptions'!D55)+LN('Assumptions'!J35)</x:f>
        <x:v>8.062717438528928</x:v>
      </x:c>
      <x:c r="L1336" s="27" t="n">
        <x:f>J1336*(1-I1336*(1-'Carrier Engine'!E97))</x:f>
        <x:v>9478.085403322919</x:v>
      </x:c>
      <x:c r="M1336" s="29" t="n">
        <x:f>NORM.S.DIST((LN(L1336)-K1336)/'Assumptions'!$D$10,TRUE)</x:f>
        <x:v>0.7570162193907342</x:v>
      </x:c>
      <x:c r="N1336" s="30" t="n">
        <x:f>MAX(0,H1336-MAX(G1336,M1336))</x:f>
        <x:v>0.11111111111111105</x:v>
      </x:c>
      <x:c r="O1336" s="28" t="n">
        <x:f>J1336*I1336</x:f>
        <x:v>2849.939769040396</x:v>
      </x:c>
      <x:c r="P1336" s="27" t="n">
        <x:f>(VLOOKUP(O1336,'Fee Data'!$C$6:$G$50,2,TRUE)+O1336*VLOOKUP(O1336,'Fee Data'!$C$6:$G$50,3,TRUE)+VLOOKUP(O1336,'Fee Data'!$I$6:$J$14,2,TRUE)+'Fee Data'!$J$20+'Fee Data'!$J$21)*'Assumptions'!J37</x:f>
        <x:v>820</x:v>
      </x:c>
      <x:c r="Q1336" s="27" t="n">
        <x:f>(VLOOKUP(O1336,'Fee Data'!$C$6:$G$50,4,TRUE)+O1336*VLOOKUP(O1336,'Fee Data'!$C$6:$G$50,5,TRUE)+VLOOKUP(O1336,'Fee Data'!$I$6:$J$14,2,TRUE)+'Fee Data'!$J$20+'Fee Data'!$J$21)*'Assumptions'!J37</x:f>
        <x:v>670</x:v>
      </x:c>
      <x:c r="R1336" s="27" t="n">
        <x:f>P1336*(1-'Assumptions'!$D$14)+Q1336*'Assumptions'!$D$14</x:f>
        <x:v>745</x:v>
      </x:c>
      <x:c r="S1336" s="27" t="n">
        <x:f>O1336*'Carrier Engine'!E97</x:f>
        <x:v>113.99759076161587</x:v>
      </x:c>
      <x:c r="T1336" s="28" t="n">
        <x:f>R1336+S1336</x:f>
        <x:v>858.9975907616158</x:v>
      </x:c>
      <x:c r="U1336" s="27" t="n">
        <x:f>N1336*'Fleet Engine'!L197</x:f>
        <x:v>1368.4178230202044</x:v>
      </x:c>
      <x:c r="V1336" s="28" t="n">
        <x:f>U1336*T1336</x:f>
        <x:v>1175467.6131296107</x:v>
      </x:c>
      <x:c r="W1336" s="28" t="n">
        <x:f>U1336*O1336</x:f>
        <x:v>3899908.3744889633</x:v>
      </x:c>
    </x:row>
    <x:row r="1337" ht="19" customHeight="1">
      <x:c r="A1337" s="2"/>
      <x:c r="B1337" s="2"/>
      <x:c r="C1337" s="46" t="n">
        <x:v>6</x:v>
      </x:c>
      <x:c r="D1337" s="46" t="n">
        <x:v>3</x:v>
      </x:c>
      <x:c r="E1337" s="46" t="n">
        <x:v>0</x:v>
      </x:c>
      <x:c r="F1337" s="46" t="n">
        <x:v>3</x:v>
      </x:c>
      <x:c r="G1337" s="12" t="n">
        <x:v>0.8888888888888888</x:v>
      </x:c>
      <x:c r="H1337" s="12" t="n">
        <x:v>1</x:v>
      </x:c>
      <x:c r="I1337" s="29" t="n">
        <x:f>'Assumptions'!$D$11+'Assumptions'!$D$12*(0.5-(G1337+H1337)/2)</x:f>
        <x:v>0.21111111111111108</x:v>
      </x:c>
      <x:c r="J1337" s="27" t="n">
        <x:f>'Assumptions'!$D$8*EXP(-'Assumptions'!$D$9*('Fleet Engine'!E197-10))*'Assumptions'!E55*'Assumptions'!J36</x:f>
        <x:v>12214.027581601698</x:v>
      </x:c>
      <x:c r="K1337" s="27" t="n">
        <x:f>'Source Data'!F220+LN('Assumptions'!D55)+LN('Assumptions'!J35)</x:f>
        <x:v>8.062717438528928</x:v>
      </x:c>
      <x:c r="L1337" s="27" t="n">
        <x:f>J1337*(1-I1337*(1-'Carrier Engine'!E97))</x:f>
        <x:v>9738.651325063754</x:v>
      </x:c>
      <x:c r="M1337" s="29" t="n">
        <x:f>NORM.S.DIST((LN(L1337)-K1337)/'Assumptions'!$D$10,TRUE)</x:f>
        <x:v>0.76238905546153</x:v>
      </x:c>
      <x:c r="N1337" s="30" t="n">
        <x:f>MAX(0,H1337-MAX(G1337,M1337))</x:f>
        <x:v>0.11111111111111116</x:v>
      </x:c>
      <x:c r="O1337" s="28" t="n">
        <x:f>J1337*I1337</x:f>
        <x:v>2578.5169338936917</x:v>
      </x:c>
      <x:c r="P1337" s="27" t="n">
        <x:f>(VLOOKUP(O1337,'Fee Data'!$C$6:$G$50,2,TRUE)+O1337*VLOOKUP(O1337,'Fee Data'!$C$6:$G$50,3,TRUE)+VLOOKUP(O1337,'Fee Data'!$I$6:$J$14,2,TRUE)+'Fee Data'!$J$20+'Fee Data'!$J$21)*'Assumptions'!J37</x:f>
        <x:v>820</x:v>
      </x:c>
      <x:c r="Q1337" s="27" t="n">
        <x:f>(VLOOKUP(O1337,'Fee Data'!$C$6:$G$50,4,TRUE)+O1337*VLOOKUP(O1337,'Fee Data'!$C$6:$G$50,5,TRUE)+VLOOKUP(O1337,'Fee Data'!$I$6:$J$14,2,TRUE)+'Fee Data'!$J$20+'Fee Data'!$J$21)*'Assumptions'!J37</x:f>
        <x:v>670</x:v>
      </x:c>
      <x:c r="R1337" s="27" t="n">
        <x:f>P1337*(1-'Assumptions'!$D$14)+Q1337*'Assumptions'!$D$14</x:f>
        <x:v>745</x:v>
      </x:c>
      <x:c r="S1337" s="27" t="n">
        <x:f>O1337*'Carrier Engine'!E97</x:f>
        <x:v>103.14067735574768</x:v>
      </x:c>
      <x:c r="T1337" s="28" t="n">
        <x:f>R1337+S1337</x:f>
        <x:v>848.1406773557477</x:v>
      </x:c>
      <x:c r="U1337" s="27" t="n">
        <x:f>N1337*'Fleet Engine'!L197</x:f>
        <x:v>1368.4178230202058</x:v>
      </x:c>
      <x:c r="V1337" s="28" t="n">
        <x:f>U1337*T1337</x:f>
        <x:v>1160610.819322035</x:v>
      </x:c>
      <x:c r="W1337" s="28" t="n">
        <x:f>U1337*O1337</x:f>
        <x:v>3528488.5292995414</x:v>
      </x:c>
    </x:row>
    <x:row r="1338" ht="19" customHeight="1">
      <x:c r="A1338" s="2"/>
      <x:c r="B1338" s="2"/>
      <x:c r="C1338" s="46" t="n">
        <x:v>6</x:v>
      </x:c>
      <x:c r="D1338" s="46" t="n">
        <x:v>4</x:v>
      </x:c>
      <x:c r="E1338" s="46" t="n">
        <x:v>0</x:v>
      </x:c>
      <x:c r="F1338" s="46" t="n">
        <x:v>4</x:v>
      </x:c>
      <x:c r="G1338" s="12" t="n">
        <x:v>0</x:v>
      </x:c>
      <x:c r="H1338" s="12" t="n">
        <x:v>0.1111111111111111</x:v>
      </x:c>
      <x:c r="I1338" s="29" t="n">
        <x:f>'Assumptions'!$D$11+'Assumptions'!$D$12*(0.5-(G1338+H1338)/2)</x:f>
        <x:v>0.3888888888888889</x:v>
      </x:c>
      <x:c r="J1338" s="27" t="n">
        <x:f>'Assumptions'!$D$8*EXP(-'Assumptions'!$D$9*('Fleet Engine'!E198-10))*'Assumptions'!E55*'Assumptions'!J36</x:f>
        <x:v>9048.374180359595</x:v>
      </x:c>
      <x:c r="K1338" s="27" t="n">
        <x:f>'Source Data'!F221+LN('Assumptions'!D55)+LN('Assumptions'!J35)</x:f>
        <x:v>8.14856556744418</x:v>
      </x:c>
      <x:c r="L1338" s="27" t="n">
        <x:f>J1338*(1-I1338*(1-'Carrier Engine'!E97))</x:f>
        <x:v>5670.3144863586795</x:v>
      </x:c>
      <x:c r="M1338" s="29" t="n">
        <x:f>NORM.S.DIST((LN(L1338)-K1338)/'Assumptions'!$D$10,TRUE)</x:f>
        <x:v>0.6235755127669419</x:v>
      </x:c>
      <x:c r="N1338" s="30" t="n">
        <x:f>MAX(0,H1338-MAX(G1338,M1338))</x:f>
        <x:v>0</x:v>
      </x:c>
      <x:c r="O1338" s="28" t="n">
        <x:f>J1338*I1338</x:f>
        <x:v>3518.8121812509535</x:v>
      </x:c>
      <x:c r="P1338" s="27" t="n">
        <x:f>(VLOOKUP(O1338,'Fee Data'!$C$6:$G$50,2,TRUE)+O1338*VLOOKUP(O1338,'Fee Data'!$C$6:$G$50,3,TRUE)+VLOOKUP(O1338,'Fee Data'!$I$6:$J$14,2,TRUE)+'Fee Data'!$J$20+'Fee Data'!$J$21)*'Assumptions'!J37</x:f>
        <x:v>915</x:v>
      </x:c>
      <x:c r="Q1338" s="27" t="n">
        <x:f>(VLOOKUP(O1338,'Fee Data'!$C$6:$G$50,4,TRUE)+O1338*VLOOKUP(O1338,'Fee Data'!$C$6:$G$50,5,TRUE)+VLOOKUP(O1338,'Fee Data'!$I$6:$J$14,2,TRUE)+'Fee Data'!$J$20+'Fee Data'!$J$21)*'Assumptions'!J37</x:f>
        <x:v>765</x:v>
      </x:c>
      <x:c r="R1338" s="27" t="n">
        <x:f>P1338*(1-'Assumptions'!$D$14)+Q1338*'Assumptions'!$D$14</x:f>
        <x:v>840</x:v>
      </x:c>
      <x:c r="S1338" s="27" t="n">
        <x:f>O1338*'Carrier Engine'!E97</x:f>
        <x:v>140.75248725003817</x:v>
      </x:c>
      <x:c r="T1338" s="28" t="n">
        <x:f>R1338+S1338</x:f>
        <x:v>980.7524872500381</x:v>
      </x:c>
      <x:c r="U1338" s="27" t="n">
        <x:f>N1338*'Fleet Engine'!L198</x:f>
        <x:v>0</x:v>
      </x:c>
      <x:c r="V1338" s="28" t="n">
        <x:f>U1338*T1338</x:f>
        <x:v>0</x:v>
      </x:c>
      <x:c r="W1338" s="28" t="n">
        <x:f>U1338*O1338</x:f>
        <x:v>0</x:v>
      </x:c>
    </x:row>
    <x:row r="1339" ht="19" customHeight="1">
      <x:c r="A1339" s="2"/>
      <x:c r="B1339" s="2"/>
      <x:c r="C1339" s="46" t="n">
        <x:v>6</x:v>
      </x:c>
      <x:c r="D1339" s="46" t="n">
        <x:v>4</x:v>
      </x:c>
      <x:c r="E1339" s="46" t="n">
        <x:v>0</x:v>
      </x:c>
      <x:c r="F1339" s="46" t="n">
        <x:v>4</x:v>
      </x:c>
      <x:c r="G1339" s="12" t="n">
        <x:v>0.1111111111111111</x:v>
      </x:c>
      <x:c r="H1339" s="12" t="n">
        <x:v>0.2222222222222222</x:v>
      </x:c>
      <x:c r="I1339" s="29" t="n">
        <x:f>'Assumptions'!$D$11+'Assumptions'!$D$12*(0.5-(G1339+H1339)/2)</x:f>
        <x:v>0.3666666666666667</x:v>
      </x:c>
      <x:c r="J1339" s="27" t="n">
        <x:f>'Assumptions'!$D$8*EXP(-'Assumptions'!$D$9*('Fleet Engine'!E198-10))*'Assumptions'!E55*'Assumptions'!J36</x:f>
        <x:v>9048.374180359595</x:v>
      </x:c>
      <x:c r="K1339" s="27" t="n">
        <x:f>'Source Data'!F221+LN('Assumptions'!D55)+LN('Assumptions'!J35)</x:f>
        <x:v>8.14856556744418</x:v>
      </x:c>
      <x:c r="L1339" s="27" t="n">
        <x:f>J1339*(1-I1339*(1-'Carrier Engine'!E97))</x:f>
        <x:v>5863.346468873016</x:v>
      </x:c>
      <x:c r="M1339" s="29" t="n">
        <x:f>NORM.S.DIST((LN(L1339)-K1339)/'Assumptions'!$D$10,TRUE)</x:f>
        <x:v>0.6316416500338942</x:v>
      </x:c>
      <x:c r="N1339" s="30" t="n">
        <x:f>MAX(0,H1339-MAX(G1339,M1339))</x:f>
        <x:v>0</x:v>
      </x:c>
      <x:c r="O1339" s="28" t="n">
        <x:f>J1339*I1339</x:f>
        <x:v>3317.737199465185</x:v>
      </x:c>
      <x:c r="P1339" s="27" t="n">
        <x:f>(VLOOKUP(O1339,'Fee Data'!$C$6:$G$50,2,TRUE)+O1339*VLOOKUP(O1339,'Fee Data'!$C$6:$G$50,3,TRUE)+VLOOKUP(O1339,'Fee Data'!$I$6:$J$14,2,TRUE)+'Fee Data'!$J$20+'Fee Data'!$J$21)*'Assumptions'!J37</x:f>
        <x:v>865</x:v>
      </x:c>
      <x:c r="Q1339" s="27" t="n">
        <x:f>(VLOOKUP(O1339,'Fee Data'!$C$6:$G$50,4,TRUE)+O1339*VLOOKUP(O1339,'Fee Data'!$C$6:$G$50,5,TRUE)+VLOOKUP(O1339,'Fee Data'!$I$6:$J$14,2,TRUE)+'Fee Data'!$J$20+'Fee Data'!$J$21)*'Assumptions'!J37</x:f>
        <x:v>715</x:v>
      </x:c>
      <x:c r="R1339" s="27" t="n">
        <x:f>P1339*(1-'Assumptions'!$D$14)+Q1339*'Assumptions'!$D$14</x:f>
        <x:v>790</x:v>
      </x:c>
      <x:c r="S1339" s="27" t="n">
        <x:f>O1339*'Carrier Engine'!E97</x:f>
        <x:v>132.70948797860743</x:v>
      </x:c>
      <x:c r="T1339" s="28" t="n">
        <x:f>R1339+S1339</x:f>
        <x:v>922.7094879786074</x:v>
      </x:c>
      <x:c r="U1339" s="27" t="n">
        <x:f>N1339*'Fleet Engine'!L198</x:f>
        <x:v>0</x:v>
      </x:c>
      <x:c r="V1339" s="28" t="n">
        <x:f>U1339*T1339</x:f>
        <x:v>0</x:v>
      </x:c>
      <x:c r="W1339" s="28" t="n">
        <x:f>U1339*O1339</x:f>
        <x:v>0</x:v>
      </x:c>
    </x:row>
    <x:row r="1340" ht="19" customHeight="1">
      <x:c r="A1340" s="2"/>
      <x:c r="B1340" s="2"/>
      <x:c r="C1340" s="46" t="n">
        <x:v>6</x:v>
      </x:c>
      <x:c r="D1340" s="46" t="n">
        <x:v>4</x:v>
      </x:c>
      <x:c r="E1340" s="46" t="n">
        <x:v>0</x:v>
      </x:c>
      <x:c r="F1340" s="46" t="n">
        <x:v>4</x:v>
      </x:c>
      <x:c r="G1340" s="12" t="n">
        <x:v>0.2222222222222222</x:v>
      </x:c>
      <x:c r="H1340" s="12" t="n">
        <x:v>0.3333333333333333</x:v>
      </x:c>
      <x:c r="I1340" s="29" t="n">
        <x:f>'Assumptions'!$D$11+'Assumptions'!$D$12*(0.5-(G1340+H1340)/2)</x:f>
        <x:v>0.34444444444444444</x:v>
      </x:c>
      <x:c r="J1340" s="27" t="n">
        <x:f>'Assumptions'!$D$8*EXP(-'Assumptions'!$D$9*('Fleet Engine'!E198-10))*'Assumptions'!E55*'Assumptions'!J36</x:f>
        <x:v>9048.374180359595</x:v>
      </x:c>
      <x:c r="K1340" s="27" t="n">
        <x:f>'Source Data'!F221+LN('Assumptions'!D55)+LN('Assumptions'!J35)</x:f>
        <x:v>8.14856556744418</x:v>
      </x:c>
      <x:c r="L1340" s="27" t="n">
        <x:f>J1340*(1-I1340*(1-'Carrier Engine'!E97))</x:f>
        <x:v>6056.378451387355</x:v>
      </x:c>
      <x:c r="M1340" s="29" t="n">
        <x:f>NORM.S.DIST((LN(L1340)-K1340)/'Assumptions'!$D$10,TRUE)</x:f>
        <x:v>0.6393916848110384</x:v>
      </x:c>
      <x:c r="N1340" s="30" t="n">
        <x:f>MAX(0,H1340-MAX(G1340,M1340))</x:f>
        <x:v>0</x:v>
      </x:c>
      <x:c r="O1340" s="28" t="n">
        <x:f>J1340*I1340</x:f>
        <x:v>3116.662217679416</x:v>
      </x:c>
      <x:c r="P1340" s="27" t="n">
        <x:f>(VLOOKUP(O1340,'Fee Data'!$C$6:$G$50,2,TRUE)+O1340*VLOOKUP(O1340,'Fee Data'!$C$6:$G$50,3,TRUE)+VLOOKUP(O1340,'Fee Data'!$I$6:$J$14,2,TRUE)+'Fee Data'!$J$20+'Fee Data'!$J$21)*'Assumptions'!J37</x:f>
        <x:v>865</x:v>
      </x:c>
      <x:c r="Q1340" s="27" t="n">
        <x:f>(VLOOKUP(O1340,'Fee Data'!$C$6:$G$50,4,TRUE)+O1340*VLOOKUP(O1340,'Fee Data'!$C$6:$G$50,5,TRUE)+VLOOKUP(O1340,'Fee Data'!$I$6:$J$14,2,TRUE)+'Fee Data'!$J$20+'Fee Data'!$J$21)*'Assumptions'!J37</x:f>
        <x:v>715</x:v>
      </x:c>
      <x:c r="R1340" s="27" t="n">
        <x:f>P1340*(1-'Assumptions'!$D$14)+Q1340*'Assumptions'!$D$14</x:f>
        <x:v>790</x:v>
      </x:c>
      <x:c r="S1340" s="27" t="n">
        <x:f>O1340*'Carrier Engine'!E97</x:f>
        <x:v>124.66648870717665</x:v>
      </x:c>
      <x:c r="T1340" s="28" t="n">
        <x:f>R1340+S1340</x:f>
        <x:v>914.6664887071767</x:v>
      </x:c>
      <x:c r="U1340" s="27" t="n">
        <x:f>N1340*'Fleet Engine'!L198</x:f>
        <x:v>0</x:v>
      </x:c>
      <x:c r="V1340" s="28" t="n">
        <x:f>U1340*T1340</x:f>
        <x:v>0</x:v>
      </x:c>
      <x:c r="W1340" s="28" t="n">
        <x:f>U1340*O1340</x:f>
        <x:v>0</x:v>
      </x:c>
    </x:row>
    <x:row r="1341" ht="19" customHeight="1">
      <x:c r="A1341" s="2"/>
      <x:c r="B1341" s="2"/>
      <x:c r="C1341" s="46" t="n">
        <x:v>6</x:v>
      </x:c>
      <x:c r="D1341" s="46" t="n">
        <x:v>4</x:v>
      </x:c>
      <x:c r="E1341" s="46" t="n">
        <x:v>0</x:v>
      </x:c>
      <x:c r="F1341" s="46" t="n">
        <x:v>4</x:v>
      </x:c>
      <x:c r="G1341" s="12" t="n">
        <x:v>0.3333333333333333</x:v>
      </x:c>
      <x:c r="H1341" s="12" t="n">
        <x:v>0.4444444444444444</x:v>
      </x:c>
      <x:c r="I1341" s="29" t="n">
        <x:f>'Assumptions'!$D$11+'Assumptions'!$D$12*(0.5-(G1341+H1341)/2)</x:f>
        <x:v>0.32222222222222224</x:v>
      </x:c>
      <x:c r="J1341" s="27" t="n">
        <x:f>'Assumptions'!$D$8*EXP(-'Assumptions'!$D$9*('Fleet Engine'!E198-10))*'Assumptions'!E55*'Assumptions'!J36</x:f>
        <x:v>9048.374180359595</x:v>
      </x:c>
      <x:c r="K1341" s="27" t="n">
        <x:f>'Source Data'!F221+LN('Assumptions'!D55)+LN('Assumptions'!J35)</x:f>
        <x:v>8.14856556744418</x:v>
      </x:c>
      <x:c r="L1341" s="27" t="n">
        <x:f>J1341*(1-I1341*(1-'Carrier Engine'!E97))</x:f>
        <x:v>6249.410433901693</x:v>
      </x:c>
      <x:c r="M1341" s="29" t="n">
        <x:f>NORM.S.DIST((LN(L1341)-K1341)/'Assumptions'!$D$10,TRUE)</x:f>
        <x:v>0.6468443793490292</x:v>
      </x:c>
      <x:c r="N1341" s="30" t="n">
        <x:f>MAX(0,H1341-MAX(G1341,M1341))</x:f>
        <x:v>0</x:v>
      </x:c>
      <x:c r="O1341" s="28" t="n">
        <x:f>J1341*I1341</x:f>
        <x:v>2915.5872358936476</x:v>
      </x:c>
      <x:c r="P1341" s="27" t="n">
        <x:f>(VLOOKUP(O1341,'Fee Data'!$C$6:$G$50,2,TRUE)+O1341*VLOOKUP(O1341,'Fee Data'!$C$6:$G$50,3,TRUE)+VLOOKUP(O1341,'Fee Data'!$I$6:$J$14,2,TRUE)+'Fee Data'!$J$20+'Fee Data'!$J$21)*'Assumptions'!J37</x:f>
        <x:v>820</x:v>
      </x:c>
      <x:c r="Q1341" s="27" t="n">
        <x:f>(VLOOKUP(O1341,'Fee Data'!$C$6:$G$50,4,TRUE)+O1341*VLOOKUP(O1341,'Fee Data'!$C$6:$G$50,5,TRUE)+VLOOKUP(O1341,'Fee Data'!$I$6:$J$14,2,TRUE)+'Fee Data'!$J$20+'Fee Data'!$J$21)*'Assumptions'!J37</x:f>
        <x:v>670</x:v>
      </x:c>
      <x:c r="R1341" s="27" t="n">
        <x:f>P1341*(1-'Assumptions'!$D$14)+Q1341*'Assumptions'!$D$14</x:f>
        <x:v>745</x:v>
      </x:c>
      <x:c r="S1341" s="27" t="n">
        <x:f>O1341*'Carrier Engine'!E97</x:f>
        <x:v>116.62348943574592</x:v>
      </x:c>
      <x:c r="T1341" s="28" t="n">
        <x:f>R1341+S1341</x:f>
        <x:v>861.6234894357459</x:v>
      </x:c>
      <x:c r="U1341" s="27" t="n">
        <x:f>N1341*'Fleet Engine'!L198</x:f>
        <x:v>0</x:v>
      </x:c>
      <x:c r="V1341" s="28" t="n">
        <x:f>U1341*T1341</x:f>
        <x:v>0</x:v>
      </x:c>
      <x:c r="W1341" s="28" t="n">
        <x:f>U1341*O1341</x:f>
        <x:v>0</x:v>
      </x:c>
    </x:row>
    <x:row r="1342" ht="19" customHeight="1">
      <x:c r="A1342" s="2"/>
      <x:c r="B1342" s="2"/>
      <x:c r="C1342" s="46" t="n">
        <x:v>6</x:v>
      </x:c>
      <x:c r="D1342" s="46" t="n">
        <x:v>4</x:v>
      </x:c>
      <x:c r="E1342" s="46" t="n">
        <x:v>0</x:v>
      </x:c>
      <x:c r="F1342" s="46" t="n">
        <x:v>4</x:v>
      </x:c>
      <x:c r="G1342" s="12" t="n">
        <x:v>0.4444444444444444</x:v>
      </x:c>
      <x:c r="H1342" s="12" t="n">
        <x:v>0.5555555555555556</x:v>
      </x:c>
      <x:c r="I1342" s="29" t="n">
        <x:f>'Assumptions'!$D$11+'Assumptions'!$D$12*(0.5-(G1342+H1342)/2)</x:f>
        <x:v>0.3</x:v>
      </x:c>
      <x:c r="J1342" s="27" t="n">
        <x:f>'Assumptions'!$D$8*EXP(-'Assumptions'!$D$9*('Fleet Engine'!E198-10))*'Assumptions'!E55*'Assumptions'!J36</x:f>
        <x:v>9048.374180359595</x:v>
      </x:c>
      <x:c r="K1342" s="27" t="n">
        <x:f>'Source Data'!F221+LN('Assumptions'!D55)+LN('Assumptions'!J35)</x:f>
        <x:v>8.14856556744418</x:v>
      </x:c>
      <x:c r="L1342" s="27" t="n">
        <x:f>J1342*(1-I1342*(1-'Carrier Engine'!E97))</x:f>
        <x:v>6442.442416416031</x:v>
      </x:c>
      <x:c r="M1342" s="29" t="n">
        <x:f>NORM.S.DIST((LN(L1342)-K1342)/'Assumptions'!$D$10,TRUE)</x:f>
        <x:v>0.654016988796613</x:v>
      </x:c>
      <x:c r="N1342" s="30" t="n">
        <x:f>MAX(0,H1342-MAX(G1342,M1342))</x:f>
        <x:v>0</x:v>
      </x:c>
      <x:c r="O1342" s="28" t="n">
        <x:f>J1342*I1342</x:f>
        <x:v>2714.5122541078786</x:v>
      </x:c>
      <x:c r="P1342" s="27" t="n">
        <x:f>(VLOOKUP(O1342,'Fee Data'!$C$6:$G$50,2,TRUE)+O1342*VLOOKUP(O1342,'Fee Data'!$C$6:$G$50,3,TRUE)+VLOOKUP(O1342,'Fee Data'!$I$6:$J$14,2,TRUE)+'Fee Data'!$J$20+'Fee Data'!$J$21)*'Assumptions'!J37</x:f>
        <x:v>820</x:v>
      </x:c>
      <x:c r="Q1342" s="27" t="n">
        <x:f>(VLOOKUP(O1342,'Fee Data'!$C$6:$G$50,4,TRUE)+O1342*VLOOKUP(O1342,'Fee Data'!$C$6:$G$50,5,TRUE)+VLOOKUP(O1342,'Fee Data'!$I$6:$J$14,2,TRUE)+'Fee Data'!$J$20+'Fee Data'!$J$21)*'Assumptions'!J37</x:f>
        <x:v>670</x:v>
      </x:c>
      <x:c r="R1342" s="27" t="n">
        <x:f>P1342*(1-'Assumptions'!$D$14)+Q1342*'Assumptions'!$D$14</x:f>
        <x:v>745</x:v>
      </x:c>
      <x:c r="S1342" s="27" t="n">
        <x:f>O1342*'Carrier Engine'!E97</x:f>
        <x:v>108.58049016431517</x:v>
      </x:c>
      <x:c r="T1342" s="28" t="n">
        <x:f>R1342+S1342</x:f>
        <x:v>853.5804901643152</x:v>
      </x:c>
      <x:c r="U1342" s="27" t="n">
        <x:f>N1342*'Fleet Engine'!L198</x:f>
        <x:v>0</x:v>
      </x:c>
      <x:c r="V1342" s="28" t="n">
        <x:f>U1342*T1342</x:f>
        <x:v>0</x:v>
      </x:c>
      <x:c r="W1342" s="28" t="n">
        <x:f>U1342*O1342</x:f>
        <x:v>0</x:v>
      </x:c>
    </x:row>
    <x:row r="1343" ht="19" customHeight="1">
      <x:c r="A1343" s="2"/>
      <x:c r="B1343" s="2"/>
      <x:c r="C1343" s="46" t="n">
        <x:v>6</x:v>
      </x:c>
      <x:c r="D1343" s="46" t="n">
        <x:v>4</x:v>
      </x:c>
      <x:c r="E1343" s="46" t="n">
        <x:v>0</x:v>
      </x:c>
      <x:c r="F1343" s="46" t="n">
        <x:v>4</x:v>
      </x:c>
      <x:c r="G1343" s="12" t="n">
        <x:v>0.5555555555555556</x:v>
      </x:c>
      <x:c r="H1343" s="12" t="n">
        <x:v>0.6666666666666666</x:v>
      </x:c>
      <x:c r="I1343" s="29" t="n">
        <x:f>'Assumptions'!$D$11+'Assumptions'!$D$12*(0.5-(G1343+H1343)/2)</x:f>
        <x:v>0.27777777777777773</x:v>
      </x:c>
      <x:c r="J1343" s="27" t="n">
        <x:f>'Assumptions'!$D$8*EXP(-'Assumptions'!$D$9*('Fleet Engine'!E198-10))*'Assumptions'!E55*'Assumptions'!J36</x:f>
        <x:v>9048.374180359595</x:v>
      </x:c>
      <x:c r="K1343" s="27" t="n">
        <x:f>'Source Data'!F221+LN('Assumptions'!D55)+LN('Assumptions'!J35)</x:f>
        <x:v>8.14856556744418</x:v>
      </x:c>
      <x:c r="L1343" s="27" t="n">
        <x:f>J1343*(1-I1343*(1-'Carrier Engine'!E97))</x:f>
        <x:v>6635.47439893037</x:v>
      </x:c>
      <x:c r="M1343" s="29" t="n">
        <x:f>NORM.S.DIST((LN(L1343)-K1343)/'Assumptions'!$D$10,TRUE)</x:f>
        <x:v>0.6609254137826943</x:v>
      </x:c>
      <x:c r="N1343" s="30" t="n">
        <x:f>MAX(0,H1343-MAX(G1343,M1343))</x:f>
        <x:v>0.005741252883972314</x:v>
      </x:c>
      <x:c r="O1343" s="28" t="n">
        <x:f>J1343*I1343</x:f>
        <x:v>2513.4372723221095</x:v>
      </x:c>
      <x:c r="P1343" s="27" t="n">
        <x:f>(VLOOKUP(O1343,'Fee Data'!$C$6:$G$50,2,TRUE)+O1343*VLOOKUP(O1343,'Fee Data'!$C$6:$G$50,3,TRUE)+VLOOKUP(O1343,'Fee Data'!$I$6:$J$14,2,TRUE)+'Fee Data'!$J$20+'Fee Data'!$J$21)*'Assumptions'!J37</x:f>
        <x:v>820</x:v>
      </x:c>
      <x:c r="Q1343" s="27" t="n">
        <x:f>(VLOOKUP(O1343,'Fee Data'!$C$6:$G$50,4,TRUE)+O1343*VLOOKUP(O1343,'Fee Data'!$C$6:$G$50,5,TRUE)+VLOOKUP(O1343,'Fee Data'!$I$6:$J$14,2,TRUE)+'Fee Data'!$J$20+'Fee Data'!$J$21)*'Assumptions'!J37</x:f>
        <x:v>670</x:v>
      </x:c>
      <x:c r="R1343" s="27" t="n">
        <x:f>P1343*(1-'Assumptions'!$D$14)+Q1343*'Assumptions'!$D$14</x:f>
        <x:v>745</x:v>
      </x:c>
      <x:c r="S1343" s="27" t="n">
        <x:f>O1343*'Carrier Engine'!E97</x:f>
        <x:v>100.53749089288439</x:v>
      </x:c>
      <x:c r="T1343" s="28" t="n">
        <x:f>R1343+S1343</x:f>
        <x:v>845.5374908928844</x:v>
      </x:c>
      <x:c r="U1343" s="27" t="n">
        <x:f>N1343*'Fleet Engine'!L198</x:f>
        <x:v>71.7140795786517</x:v>
      </x:c>
      <x:c r="V1343" s="28" t="n">
        <x:f>U1343*T1343</x:f>
        <x:v>60636.9429086258</x:v>
      </x:c>
      <x:c r="W1343" s="28" t="n">
        <x:f>U1343*O1343</x:f>
        <x:v>180248.84056325705</x:v>
      </x:c>
    </x:row>
    <x:row r="1344" ht="19" customHeight="1">
      <x:c r="A1344" s="2"/>
      <x:c r="B1344" s="2"/>
      <x:c r="C1344" s="46" t="n">
        <x:v>6</x:v>
      </x:c>
      <x:c r="D1344" s="46" t="n">
        <x:v>4</x:v>
      </x:c>
      <x:c r="E1344" s="46" t="n">
        <x:v>0</x:v>
      </x:c>
      <x:c r="F1344" s="46" t="n">
        <x:v>4</x:v>
      </x:c>
      <x:c r="G1344" s="12" t="n">
        <x:v>0.6666666666666666</x:v>
      </x:c>
      <x:c r="H1344" s="12" t="n">
        <x:v>0.7777777777777778</x:v>
      </x:c>
      <x:c r="I1344" s="29" t="n">
        <x:f>'Assumptions'!$D$11+'Assumptions'!$D$12*(0.5-(G1344+H1344)/2)</x:f>
        <x:v>0.25555555555555554</x:v>
      </x:c>
      <x:c r="J1344" s="27" t="n">
        <x:f>'Assumptions'!$D$8*EXP(-'Assumptions'!$D$9*('Fleet Engine'!E198-10))*'Assumptions'!E55*'Assumptions'!J36</x:f>
        <x:v>9048.374180359595</x:v>
      </x:c>
      <x:c r="K1344" s="27" t="n">
        <x:f>'Source Data'!F221+LN('Assumptions'!D55)+LN('Assumptions'!J35)</x:f>
        <x:v>8.14856556744418</x:v>
      </x:c>
      <x:c r="L1344" s="27" t="n">
        <x:f>J1344*(1-I1344*(1-'Carrier Engine'!E97))</x:f>
        <x:v>6828.506381444708</x:v>
      </x:c>
      <x:c r="M1344" s="29" t="n">
        <x:f>NORM.S.DIST((LN(L1344)-K1344)/'Assumptions'!$D$10,TRUE)</x:f>
        <x:v>0.6675843344367494</x:v>
      </x:c>
      <x:c r="N1344" s="30" t="n">
        <x:f>MAX(0,H1344-MAX(G1344,M1344))</x:f>
        <x:v>0.11019344334102843</x:v>
      </x:c>
      <x:c r="O1344" s="28" t="n">
        <x:f>J1344*I1344</x:f>
        <x:v>2312.362290536341</x:v>
      </x:c>
      <x:c r="P1344" s="27" t="n">
        <x:f>(VLOOKUP(O1344,'Fee Data'!$C$6:$G$50,2,TRUE)+O1344*VLOOKUP(O1344,'Fee Data'!$C$6:$G$50,3,TRUE)+VLOOKUP(O1344,'Fee Data'!$I$6:$J$14,2,TRUE)+'Fee Data'!$J$20+'Fee Data'!$J$21)*'Assumptions'!J37</x:f>
        <x:v>745</x:v>
      </x:c>
      <x:c r="Q1344" s="27" t="n">
        <x:f>(VLOOKUP(O1344,'Fee Data'!$C$6:$G$50,4,TRUE)+O1344*VLOOKUP(O1344,'Fee Data'!$C$6:$G$50,5,TRUE)+VLOOKUP(O1344,'Fee Data'!$I$6:$J$14,2,TRUE)+'Fee Data'!$J$20+'Fee Data'!$J$21)*'Assumptions'!J37</x:f>
        <x:v>600</x:v>
      </x:c>
      <x:c r="R1344" s="27" t="n">
        <x:f>P1344*(1-'Assumptions'!$D$14)+Q1344*'Assumptions'!$D$14</x:f>
        <x:v>672.5</x:v>
      </x:c>
      <x:c r="S1344" s="27" t="n">
        <x:f>O1344*'Carrier Engine'!E97</x:f>
        <x:v>92.49449162145365</x:v>
      </x:c>
      <x:c r="T1344" s="28" t="n">
        <x:f>R1344+S1344</x:f>
        <x:v>764.9944916214537</x:v>
      </x:c>
      <x:c r="U1344" s="27" t="n">
        <x:f>N1344*'Fleet Engine'!L198</x:f>
        <x:v>1376.4280244239228</x:v>
      </x:c>
      <x:c r="V1344" s="28" t="n">
        <x:f>U1344*T1344</x:f>
        <x:v>1052959.8567977007</x:v>
      </x:c>
      <x:c r="W1344" s="28" t="n">
        <x:f>U1344*O1344</x:f>
        <x:v>3182800.259315313</x:v>
      </x:c>
    </x:row>
    <x:row r="1345" ht="19" customHeight="1">
      <x:c r="A1345" s="2"/>
      <x:c r="B1345" s="2"/>
      <x:c r="C1345" s="46" t="n">
        <x:v>6</x:v>
      </x:c>
      <x:c r="D1345" s="46" t="n">
        <x:v>4</x:v>
      </x:c>
      <x:c r="E1345" s="46" t="n">
        <x:v>0</x:v>
      </x:c>
      <x:c r="F1345" s="46" t="n">
        <x:v>4</x:v>
      </x:c>
      <x:c r="G1345" s="12" t="n">
        <x:v>0.7777777777777778</x:v>
      </x:c>
      <x:c r="H1345" s="12" t="n">
        <x:v>0.8888888888888888</x:v>
      </x:c>
      <x:c r="I1345" s="29" t="n">
        <x:f>'Assumptions'!$D$11+'Assumptions'!$D$12*(0.5-(G1345+H1345)/2)</x:f>
        <x:v>0.23333333333333334</x:v>
      </x:c>
      <x:c r="J1345" s="27" t="n">
        <x:f>'Assumptions'!$D$8*EXP(-'Assumptions'!$D$9*('Fleet Engine'!E198-10))*'Assumptions'!E55*'Assumptions'!J36</x:f>
        <x:v>9048.374180359595</x:v>
      </x:c>
      <x:c r="K1345" s="27" t="n">
        <x:f>'Source Data'!F221+LN('Assumptions'!D55)+LN('Assumptions'!J35)</x:f>
        <x:v>8.14856556744418</x:v>
      </x:c>
      <x:c r="L1345" s="27" t="n">
        <x:f>J1345*(1-I1345*(1-'Carrier Engine'!E97))</x:f>
        <x:v>7021.5383639590455</x:v>
      </x:c>
      <x:c r="M1345" s="29" t="n">
        <x:f>NORM.S.DIST((LN(L1345)-K1345)/'Assumptions'!$D$10,TRUE)</x:f>
        <x:v>0.6740073284704973</x:v>
      </x:c>
      <x:c r="N1345" s="30" t="n">
        <x:f>MAX(0,H1345-MAX(G1345,M1345))</x:f>
        <x:v>0.11111111111111105</x:v>
      </x:c>
      <x:c r="O1345" s="28" t="n">
        <x:f>J1345*I1345</x:f>
        <x:v>2111.2873087505723</x:v>
      </x:c>
      <x:c r="P1345" s="27" t="n">
        <x:f>(VLOOKUP(O1345,'Fee Data'!$C$6:$G$50,2,TRUE)+O1345*VLOOKUP(O1345,'Fee Data'!$C$6:$G$50,3,TRUE)+VLOOKUP(O1345,'Fee Data'!$I$6:$J$14,2,TRUE)+'Fee Data'!$J$20+'Fee Data'!$J$21)*'Assumptions'!J37</x:f>
        <x:v>745</x:v>
      </x:c>
      <x:c r="Q1345" s="27" t="n">
        <x:f>(VLOOKUP(O1345,'Fee Data'!$C$6:$G$50,4,TRUE)+O1345*VLOOKUP(O1345,'Fee Data'!$C$6:$G$50,5,TRUE)+VLOOKUP(O1345,'Fee Data'!$I$6:$J$14,2,TRUE)+'Fee Data'!$J$20+'Fee Data'!$J$21)*'Assumptions'!J37</x:f>
        <x:v>600</x:v>
      </x:c>
      <x:c r="R1345" s="27" t="n">
        <x:f>P1345*(1-'Assumptions'!$D$14)+Q1345*'Assumptions'!$D$14</x:f>
        <x:v>672.5</x:v>
      </x:c>
      <x:c r="S1345" s="27" t="n">
        <x:f>O1345*'Carrier Engine'!E97</x:f>
        <x:v>84.4514923500229</x:v>
      </x:c>
      <x:c r="T1345" s="28" t="n">
        <x:f>R1345+S1345</x:f>
        <x:v>756.9514923500229</x:v>
      </x:c>
      <x:c r="U1345" s="27" t="n">
        <x:f>N1345*'Fleet Engine'!L198</x:f>
        <x:v>1387.890626894228</x:v>
      </x:c>
      <x:c r="V1345" s="28" t="n">
        <x:f>U1345*T1345</x:f>
        <x:v>1050565.8812461947</x:v>
      </x:c>
      <x:c r="W1345" s="28" t="n">
        <x:f>U1345*O1345</x:f>
        <x:v>2930235.866495659</x:v>
      </x:c>
    </x:row>
    <x:row r="1346" ht="19" customHeight="1">
      <x:c r="A1346" s="2"/>
      <x:c r="B1346" s="2"/>
      <x:c r="C1346" s="46" t="n">
        <x:v>6</x:v>
      </x:c>
      <x:c r="D1346" s="46" t="n">
        <x:v>4</x:v>
      </x:c>
      <x:c r="E1346" s="46" t="n">
        <x:v>0</x:v>
      </x:c>
      <x:c r="F1346" s="46" t="n">
        <x:v>4</x:v>
      </x:c>
      <x:c r="G1346" s="12" t="n">
        <x:v>0.8888888888888888</x:v>
      </x:c>
      <x:c r="H1346" s="12" t="n">
        <x:v>1</x:v>
      </x:c>
      <x:c r="I1346" s="29" t="n">
        <x:f>'Assumptions'!$D$11+'Assumptions'!$D$12*(0.5-(G1346+H1346)/2)</x:f>
        <x:v>0.21111111111111108</x:v>
      </x:c>
      <x:c r="J1346" s="27" t="n">
        <x:f>'Assumptions'!$D$8*EXP(-'Assumptions'!$D$9*('Fleet Engine'!E198-10))*'Assumptions'!E55*'Assumptions'!J36</x:f>
        <x:v>9048.374180359595</x:v>
      </x:c>
      <x:c r="K1346" s="27" t="n">
        <x:f>'Source Data'!F221+LN('Assumptions'!D55)+LN('Assumptions'!J35)</x:f>
        <x:v>8.14856556744418</x:v>
      </x:c>
      <x:c r="L1346" s="27" t="n">
        <x:f>J1346*(1-I1346*(1-'Carrier Engine'!E97))</x:f>
        <x:v>7214.570346473383</x:v>
      </x:c>
      <x:c r="M1346" s="29" t="n">
        <x:f>NORM.S.DIST((LN(L1346)-K1346)/'Assumptions'!$D$10,TRUE)</x:f>
        <x:v>0.680206975523874</x:v>
      </x:c>
      <x:c r="N1346" s="30" t="n">
        <x:f>MAX(0,H1346-MAX(G1346,M1346))</x:f>
        <x:v>0.11111111111111116</x:v>
      </x:c>
      <x:c r="O1346" s="28" t="n">
        <x:f>J1346*I1346</x:f>
        <x:v>1910.2123269648032</x:v>
      </x:c>
      <x:c r="P1346" s="27" t="n">
        <x:f>(VLOOKUP(O1346,'Fee Data'!$C$6:$G$50,2,TRUE)+O1346*VLOOKUP(O1346,'Fee Data'!$C$6:$G$50,3,TRUE)+VLOOKUP(O1346,'Fee Data'!$I$6:$J$14,2,TRUE)+'Fee Data'!$J$20+'Fee Data'!$J$21)*'Assumptions'!J37</x:f>
        <x:v>705</x:v>
      </x:c>
      <x:c r="Q1346" s="27" t="n">
        <x:f>(VLOOKUP(O1346,'Fee Data'!$C$6:$G$50,4,TRUE)+O1346*VLOOKUP(O1346,'Fee Data'!$C$6:$G$50,5,TRUE)+VLOOKUP(O1346,'Fee Data'!$I$6:$J$14,2,TRUE)+'Fee Data'!$J$20+'Fee Data'!$J$21)*'Assumptions'!J37</x:f>
        <x:v>565</x:v>
      </x:c>
      <x:c r="R1346" s="27" t="n">
        <x:f>P1346*(1-'Assumptions'!$D$14)+Q1346*'Assumptions'!$D$14</x:f>
        <x:v>635</x:v>
      </x:c>
      <x:c r="S1346" s="27" t="n">
        <x:f>O1346*'Carrier Engine'!E97</x:f>
        <x:v>76.40849307859214</x:v>
      </x:c>
      <x:c r="T1346" s="28" t="n">
        <x:f>R1346+S1346</x:f>
        <x:v>711.4084930785922</x:v>
      </x:c>
      <x:c r="U1346" s="27" t="n">
        <x:f>N1346*'Fleet Engine'!L198</x:f>
        <x:v>1387.8906268942294</x:v>
      </x:c>
      <x:c r="V1346" s="28" t="n">
        <x:f>U1346*T1346</x:f>
        <x:v>987357.1794367264</x:v>
      </x:c>
      <x:c r="W1346" s="28" t="n">
        <x:f>U1346*O1346</x:f>
        <x:v>2651165.783972265</x:v>
      </x:c>
    </x:row>
    <x:row r="1347" ht="19" customHeight="1">
      <x:c r="A1347" s="2"/>
      <x:c r="B1347" s="2"/>
      <x:c r="C1347" s="46" t="n">
        <x:v>6</x:v>
      </x:c>
      <x:c r="D1347" s="46" t="n">
        <x:v>5</x:v>
      </x:c>
      <x:c r="E1347" s="46" t="n">
        <x:v>0</x:v>
      </x:c>
      <x:c r="F1347" s="46" t="n">
        <x:v>5</x:v>
      </x:c>
      <x:c r="G1347" s="12" t="n">
        <x:v>0</x:v>
      </x:c>
      <x:c r="H1347" s="12" t="n">
        <x:v>0.1111111111111111</x:v>
      </x:c>
      <x:c r="I1347" s="29" t="n">
        <x:f>'Assumptions'!$D$11+'Assumptions'!$D$12*(0.5-(G1347+H1347)/2)</x:f>
        <x:v>0.3888888888888889</x:v>
      </x:c>
      <x:c r="J1347" s="27" t="n">
        <x:f>'Assumptions'!$D$8*EXP(-'Assumptions'!$D$9*('Fleet Engine'!E199-10))*'Assumptions'!E55*'Assumptions'!J36</x:f>
        <x:v>4965.853037914095</x:v>
      </x:c>
      <x:c r="K1347" s="27" t="n">
        <x:f>'Source Data'!F222+LN('Assumptions'!D55)+LN('Assumptions'!J35)</x:f>
        <x:v>8.0496367177205</x:v>
      </x:c>
      <x:c r="L1347" s="27" t="n">
        <x:f>J1347*(1-I1347*(1-'Carrier Engine'!E97))</x:f>
        <x:v>3111.9345704261664</x:v>
      </x:c>
      <x:c r="M1347" s="29" t="n">
        <x:f>NORM.S.DIST((LN(L1347)-K1347)/'Assumptions'!$D$10,TRUE)</x:f>
        <x:v>0.4983137783845791</x:v>
      </x:c>
      <x:c r="N1347" s="30" t="n">
        <x:f>MAX(0,H1347-MAX(G1347,M1347))</x:f>
        <x:v>0</x:v>
      </x:c>
      <x:c r="O1347" s="28" t="n">
        <x:f>J1347*I1347</x:f>
        <x:v>1931.1650702999257</x:v>
      </x:c>
      <x:c r="P1347" s="27" t="n">
        <x:f>(VLOOKUP(O1347,'Fee Data'!$C$6:$G$50,2,TRUE)+O1347*VLOOKUP(O1347,'Fee Data'!$C$6:$G$50,3,TRUE)+VLOOKUP(O1347,'Fee Data'!$I$6:$J$14,2,TRUE)+'Fee Data'!$J$20+'Fee Data'!$J$21)*'Assumptions'!J37</x:f>
        <x:v>705</x:v>
      </x:c>
      <x:c r="Q1347" s="27" t="n">
        <x:f>(VLOOKUP(O1347,'Fee Data'!$C$6:$G$50,4,TRUE)+O1347*VLOOKUP(O1347,'Fee Data'!$C$6:$G$50,5,TRUE)+VLOOKUP(O1347,'Fee Data'!$I$6:$J$14,2,TRUE)+'Fee Data'!$J$20+'Fee Data'!$J$21)*'Assumptions'!J37</x:f>
        <x:v>565</x:v>
      </x:c>
      <x:c r="R1347" s="27" t="n">
        <x:f>P1347*(1-'Assumptions'!$D$14)+Q1347*'Assumptions'!$D$14</x:f>
        <x:v>635</x:v>
      </x:c>
      <x:c r="S1347" s="27" t="n">
        <x:f>O1347*'Carrier Engine'!E97</x:f>
        <x:v>77.24660281199704</x:v>
      </x:c>
      <x:c r="T1347" s="28" t="n">
        <x:f>R1347+S1347</x:f>
        <x:v>712.246602811997</x:v>
      </x:c>
      <x:c r="U1347" s="27" t="n">
        <x:f>N1347*'Fleet Engine'!L199</x:f>
        <x:v>0</x:v>
      </x:c>
      <x:c r="V1347" s="28" t="n">
        <x:f>U1347*T1347</x:f>
        <x:v>0</x:v>
      </x:c>
      <x:c r="W1347" s="28" t="n">
        <x:f>U1347*O1347</x:f>
        <x:v>0</x:v>
      </x:c>
    </x:row>
    <x:row r="1348" ht="19" customHeight="1">
      <x:c r="A1348" s="2"/>
      <x:c r="B1348" s="2"/>
      <x:c r="C1348" s="46" t="n">
        <x:v>6</x:v>
      </x:c>
      <x:c r="D1348" s="46" t="n">
        <x:v>5</x:v>
      </x:c>
      <x:c r="E1348" s="46" t="n">
        <x:v>0</x:v>
      </x:c>
      <x:c r="F1348" s="46" t="n">
        <x:v>5</x:v>
      </x:c>
      <x:c r="G1348" s="12" t="n">
        <x:v>0.1111111111111111</x:v>
      </x:c>
      <x:c r="H1348" s="12" t="n">
        <x:v>0.2222222222222222</x:v>
      </x:c>
      <x:c r="I1348" s="29" t="n">
        <x:f>'Assumptions'!$D$11+'Assumptions'!$D$12*(0.5-(G1348+H1348)/2)</x:f>
        <x:v>0.3666666666666667</x:v>
      </x:c>
      <x:c r="J1348" s="27" t="n">
        <x:f>'Assumptions'!$D$8*EXP(-'Assumptions'!$D$9*('Fleet Engine'!E199-10))*'Assumptions'!E55*'Assumptions'!J36</x:f>
        <x:v>4965.853037914095</x:v>
      </x:c>
      <x:c r="K1348" s="27" t="n">
        <x:f>'Source Data'!F222+LN('Assumptions'!D55)+LN('Assumptions'!J35)</x:f>
        <x:v>8.0496367177205</x:v>
      </x:c>
      <x:c r="L1348" s="27" t="n">
        <x:f>J1348*(1-I1348*(1-'Carrier Engine'!E97))</x:f>
        <x:v>3217.872768568333</x:v>
      </x:c>
      <x:c r="M1348" s="29" t="n">
        <x:f>NORM.S.DIST((LN(L1348)-K1348)/'Assumptions'!$D$10,TRUE)</x:f>
        <x:v>0.5068186718451688</x:v>
      </x:c>
      <x:c r="N1348" s="30" t="n">
        <x:f>MAX(0,H1348-MAX(G1348,M1348))</x:f>
        <x:v>0</x:v>
      </x:c>
      <x:c r="O1348" s="28" t="n">
        <x:f>J1348*I1348</x:f>
        <x:v>1820.8127805685015</x:v>
      </x:c>
      <x:c r="P1348" s="27" t="n">
        <x:f>(VLOOKUP(O1348,'Fee Data'!$C$6:$G$50,2,TRUE)+O1348*VLOOKUP(O1348,'Fee Data'!$C$6:$G$50,3,TRUE)+VLOOKUP(O1348,'Fee Data'!$I$6:$J$14,2,TRUE)+'Fee Data'!$J$20+'Fee Data'!$J$21)*'Assumptions'!J37</x:f>
        <x:v>705</x:v>
      </x:c>
      <x:c r="Q1348" s="27" t="n">
        <x:f>(VLOOKUP(O1348,'Fee Data'!$C$6:$G$50,4,TRUE)+O1348*VLOOKUP(O1348,'Fee Data'!$C$6:$G$50,5,TRUE)+VLOOKUP(O1348,'Fee Data'!$I$6:$J$14,2,TRUE)+'Fee Data'!$J$20+'Fee Data'!$J$21)*'Assumptions'!J37</x:f>
        <x:v>565</x:v>
      </x:c>
      <x:c r="R1348" s="27" t="n">
        <x:f>P1348*(1-'Assumptions'!$D$14)+Q1348*'Assumptions'!$D$14</x:f>
        <x:v>635</x:v>
      </x:c>
      <x:c r="S1348" s="27" t="n">
        <x:f>O1348*'Carrier Engine'!E97</x:f>
        <x:v>72.83251122274007</x:v>
      </x:c>
      <x:c r="T1348" s="28" t="n">
        <x:f>R1348+S1348</x:f>
        <x:v>707.8325112227401</x:v>
      </x:c>
      <x:c r="U1348" s="27" t="n">
        <x:f>N1348*'Fleet Engine'!L199</x:f>
        <x:v>0</x:v>
      </x:c>
      <x:c r="V1348" s="28" t="n">
        <x:f>U1348*T1348</x:f>
        <x:v>0</x:v>
      </x:c>
      <x:c r="W1348" s="28" t="n">
        <x:f>U1348*O1348</x:f>
        <x:v>0</x:v>
      </x:c>
    </x:row>
    <x:row r="1349" ht="19" customHeight="1">
      <x:c r="A1349" s="2"/>
      <x:c r="B1349" s="2"/>
      <x:c r="C1349" s="46" t="n">
        <x:v>6</x:v>
      </x:c>
      <x:c r="D1349" s="46" t="n">
        <x:v>5</x:v>
      </x:c>
      <x:c r="E1349" s="46" t="n">
        <x:v>0</x:v>
      </x:c>
      <x:c r="F1349" s="46" t="n">
        <x:v>5</x:v>
      </x:c>
      <x:c r="G1349" s="12" t="n">
        <x:v>0.2222222222222222</x:v>
      </x:c>
      <x:c r="H1349" s="12" t="n">
        <x:v>0.3333333333333333</x:v>
      </x:c>
      <x:c r="I1349" s="29" t="n">
        <x:f>'Assumptions'!$D$11+'Assumptions'!$D$12*(0.5-(G1349+H1349)/2)</x:f>
        <x:v>0.34444444444444444</x:v>
      </x:c>
      <x:c r="J1349" s="27" t="n">
        <x:f>'Assumptions'!$D$8*EXP(-'Assumptions'!$D$9*('Fleet Engine'!E199-10))*'Assumptions'!E55*'Assumptions'!J36</x:f>
        <x:v>4965.853037914095</x:v>
      </x:c>
      <x:c r="K1349" s="27" t="n">
        <x:f>'Source Data'!F222+LN('Assumptions'!D55)+LN('Assumptions'!J35)</x:f>
        <x:v>8.0496367177205</x:v>
      </x:c>
      <x:c r="L1349" s="27" t="n">
        <x:f>J1349*(1-I1349*(1-'Carrier Engine'!E97))</x:f>
        <x:v>3323.810966710501</x:v>
      </x:c>
      <x:c r="M1349" s="29" t="n">
        <x:f>NORM.S.DIST((LN(L1349)-K1349)/'Assumptions'!$D$10,TRUE)</x:f>
        <x:v>0.5150451442708714</x:v>
      </x:c>
      <x:c r="N1349" s="30" t="n">
        <x:f>MAX(0,H1349-MAX(G1349,M1349))</x:f>
        <x:v>0</x:v>
      </x:c>
      <x:c r="O1349" s="28" t="n">
        <x:f>J1349*I1349</x:f>
        <x:v>1710.460490837077</x:v>
      </x:c>
      <x:c r="P1349" s="27" t="n">
        <x:f>(VLOOKUP(O1349,'Fee Data'!$C$6:$G$50,2,TRUE)+O1349*VLOOKUP(O1349,'Fee Data'!$C$6:$G$50,3,TRUE)+VLOOKUP(O1349,'Fee Data'!$I$6:$J$14,2,TRUE)+'Fee Data'!$J$20+'Fee Data'!$J$21)*'Assumptions'!J37</x:f>
        <x:v>680</x:v>
      </x:c>
      <x:c r="Q1349" s="27" t="n">
        <x:f>(VLOOKUP(O1349,'Fee Data'!$C$6:$G$50,4,TRUE)+O1349*VLOOKUP(O1349,'Fee Data'!$C$6:$G$50,5,TRUE)+VLOOKUP(O1349,'Fee Data'!$I$6:$J$14,2,TRUE)+'Fee Data'!$J$20+'Fee Data'!$J$21)*'Assumptions'!J37</x:f>
        <x:v>545</x:v>
      </x:c>
      <x:c r="R1349" s="27" t="n">
        <x:f>P1349*(1-'Assumptions'!$D$14)+Q1349*'Assumptions'!$D$14</x:f>
        <x:v>612.5</x:v>
      </x:c>
      <x:c r="S1349" s="27" t="n">
        <x:f>O1349*'Carrier Engine'!E97</x:f>
        <x:v>68.4184196334831</x:v>
      </x:c>
      <x:c r="T1349" s="28" t="n">
        <x:f>R1349+S1349</x:f>
        <x:v>680.9184196334832</x:v>
      </x:c>
      <x:c r="U1349" s="27" t="n">
        <x:f>N1349*'Fleet Engine'!L199</x:f>
        <x:v>0</x:v>
      </x:c>
      <x:c r="V1349" s="28" t="n">
        <x:f>U1349*T1349</x:f>
        <x:v>0</x:v>
      </x:c>
      <x:c r="W1349" s="28" t="n">
        <x:f>U1349*O1349</x:f>
        <x:v>0</x:v>
      </x:c>
    </x:row>
    <x:row r="1350" ht="19" customHeight="1">
      <x:c r="A1350" s="2"/>
      <x:c r="B1350" s="2"/>
      <x:c r="C1350" s="46" t="n">
        <x:v>6</x:v>
      </x:c>
      <x:c r="D1350" s="46" t="n">
        <x:v>5</x:v>
      </x:c>
      <x:c r="E1350" s="46" t="n">
        <x:v>0</x:v>
      </x:c>
      <x:c r="F1350" s="46" t="n">
        <x:v>5</x:v>
      </x:c>
      <x:c r="G1350" s="12" t="n">
        <x:v>0.3333333333333333</x:v>
      </x:c>
      <x:c r="H1350" s="12" t="n">
        <x:v>0.4444444444444444</x:v>
      </x:c>
      <x:c r="I1350" s="29" t="n">
        <x:f>'Assumptions'!$D$11+'Assumptions'!$D$12*(0.5-(G1350+H1350)/2)</x:f>
        <x:v>0.32222222222222224</x:v>
      </x:c>
      <x:c r="J1350" s="27" t="n">
        <x:f>'Assumptions'!$D$8*EXP(-'Assumptions'!$D$9*('Fleet Engine'!E199-10))*'Assumptions'!E55*'Assumptions'!J36</x:f>
        <x:v>4965.853037914095</x:v>
      </x:c>
      <x:c r="K1350" s="27" t="n">
        <x:f>'Source Data'!F222+LN('Assumptions'!D55)+LN('Assumptions'!J35)</x:f>
        <x:v>8.0496367177205</x:v>
      </x:c>
      <x:c r="L1350" s="27" t="n">
        <x:f>J1350*(1-I1350*(1-'Carrier Engine'!E97))</x:f>
        <x:v>3429.749164852668</x:v>
      </x:c>
      <x:c r="M1350" s="29" t="n">
        <x:f>NORM.S.DIST((LN(L1350)-K1350)/'Assumptions'!$D$10,TRUE)</x:f>
        <x:v>0.5230074223798904</x:v>
      </x:c>
      <x:c r="N1350" s="30" t="n">
        <x:f>MAX(0,H1350-MAX(G1350,M1350))</x:f>
        <x:v>0</x:v>
      </x:c>
      <x:c r="O1350" s="28" t="n">
        <x:f>J1350*I1350</x:f>
        <x:v>1600.1082011056528</x:v>
      </x:c>
      <x:c r="P1350" s="27" t="n">
        <x:f>(VLOOKUP(O1350,'Fee Data'!$C$6:$G$50,2,TRUE)+O1350*VLOOKUP(O1350,'Fee Data'!$C$6:$G$50,3,TRUE)+VLOOKUP(O1350,'Fee Data'!$I$6:$J$14,2,TRUE)+'Fee Data'!$J$20+'Fee Data'!$J$21)*'Assumptions'!J37</x:f>
        <x:v>660</x:v>
      </x:c>
      <x:c r="Q1350" s="27" t="n">
        <x:f>(VLOOKUP(O1350,'Fee Data'!$C$6:$G$50,4,TRUE)+O1350*VLOOKUP(O1350,'Fee Data'!$C$6:$G$50,5,TRUE)+VLOOKUP(O1350,'Fee Data'!$I$6:$J$14,2,TRUE)+'Fee Data'!$J$20+'Fee Data'!$J$21)*'Assumptions'!J37</x:f>
        <x:v>525</x:v>
      </x:c>
      <x:c r="R1350" s="27" t="n">
        <x:f>P1350*(1-'Assumptions'!$D$14)+Q1350*'Assumptions'!$D$14</x:f>
        <x:v>592.5</x:v>
      </x:c>
      <x:c r="S1350" s="27" t="n">
        <x:f>O1350*'Carrier Engine'!E97</x:f>
        <x:v>64.00432804422613</x:v>
      </x:c>
      <x:c r="T1350" s="28" t="n">
        <x:f>R1350+S1350</x:f>
        <x:v>656.5043280442261</x:v>
      </x:c>
      <x:c r="U1350" s="27" t="n">
        <x:f>N1350*'Fleet Engine'!L199</x:f>
        <x:v>0</x:v>
      </x:c>
      <x:c r="V1350" s="28" t="n">
        <x:f>U1350*T1350</x:f>
        <x:v>0</x:v>
      </x:c>
      <x:c r="W1350" s="28" t="n">
        <x:f>U1350*O1350</x:f>
        <x:v>0</x:v>
      </x:c>
    </x:row>
    <x:row r="1351" ht="19" customHeight="1">
      <x:c r="A1351" s="2"/>
      <x:c r="B1351" s="2"/>
      <x:c r="C1351" s="46" t="n">
        <x:v>6</x:v>
      </x:c>
      <x:c r="D1351" s="46" t="n">
        <x:v>5</x:v>
      </x:c>
      <x:c r="E1351" s="46" t="n">
        <x:v>0</x:v>
      </x:c>
      <x:c r="F1351" s="46" t="n">
        <x:v>5</x:v>
      </x:c>
      <x:c r="G1351" s="12" t="n">
        <x:v>0.4444444444444444</x:v>
      </x:c>
      <x:c r="H1351" s="12" t="n">
        <x:v>0.5555555555555556</x:v>
      </x:c>
      <x:c r="I1351" s="29" t="n">
        <x:f>'Assumptions'!$D$11+'Assumptions'!$D$12*(0.5-(G1351+H1351)/2)</x:f>
        <x:v>0.3</x:v>
      </x:c>
      <x:c r="J1351" s="27" t="n">
        <x:f>'Assumptions'!$D$8*EXP(-'Assumptions'!$D$9*('Fleet Engine'!E199-10))*'Assumptions'!E55*'Assumptions'!J36</x:f>
        <x:v>4965.853037914095</x:v>
      </x:c>
      <x:c r="K1351" s="27" t="n">
        <x:f>'Source Data'!F222+LN('Assumptions'!D55)+LN('Assumptions'!J35)</x:f>
        <x:v>8.0496367177205</x:v>
      </x:c>
      <x:c r="L1351" s="27" t="n">
        <x:f>J1351*(1-I1351*(1-'Carrier Engine'!E97))</x:f>
        <x:v>3535.6873629948354</x:v>
      </x:c>
      <x:c r="M1351" s="29" t="n">
        <x:f>NORM.S.DIST((LN(L1351)-K1351)/'Assumptions'!$D$10,TRUE)</x:f>
        <x:v>0.530718734175407</x:v>
      </x:c>
      <x:c r="N1351" s="30" t="n">
        <x:f>MAX(0,H1351-MAX(G1351,M1351))</x:f>
        <x:v>0.024836821380148533</x:v>
      </x:c>
      <x:c r="O1351" s="28" t="n">
        <x:f>J1351*I1351</x:f>
        <x:v>1489.7559113742284</x:v>
      </x:c>
      <x:c r="P1351" s="27" t="n">
        <x:f>(VLOOKUP(O1351,'Fee Data'!$C$6:$G$50,2,TRUE)+O1351*VLOOKUP(O1351,'Fee Data'!$C$6:$G$50,3,TRUE)+VLOOKUP(O1351,'Fee Data'!$I$6:$J$14,2,TRUE)+'Fee Data'!$J$20+'Fee Data'!$J$21)*'Assumptions'!J37</x:f>
        <x:v>615</x:v>
      </x:c>
      <x:c r="Q1351" s="27" t="n">
        <x:f>(VLOOKUP(O1351,'Fee Data'!$C$6:$G$50,4,TRUE)+O1351*VLOOKUP(O1351,'Fee Data'!$C$6:$G$50,5,TRUE)+VLOOKUP(O1351,'Fee Data'!$I$6:$J$14,2,TRUE)+'Fee Data'!$J$20+'Fee Data'!$J$21)*'Assumptions'!J37</x:f>
        <x:v>485</x:v>
      </x:c>
      <x:c r="R1351" s="27" t="n">
        <x:f>P1351*(1-'Assumptions'!$D$14)+Q1351*'Assumptions'!$D$14</x:f>
        <x:v>550</x:v>
      </x:c>
      <x:c r="S1351" s="27" t="n">
        <x:f>O1351*'Carrier Engine'!E97</x:f>
        <x:v>59.590236454969144</x:v>
      </x:c>
      <x:c r="T1351" s="28" t="n">
        <x:f>R1351+S1351</x:f>
        <x:v>609.5902364549692</x:v>
      </x:c>
      <x:c r="U1351" s="27" t="n">
        <x:f>N1351*'Fleet Engine'!L199</x:f>
        <x:v>451.19592474034675</x:v>
      </x:c>
      <x:c r="V1351" s="28" t="n">
        <x:f>U1351*T1351</x:f>
        <x:v>275044.63044998643</x:v>
      </x:c>
      <x:c r="W1351" s="28" t="n">
        <x:f>U1351*O1351</x:f>
        <x:v>672171.796069893</x:v>
      </x:c>
    </x:row>
    <x:row r="1352" ht="19" customHeight="1">
      <x:c r="A1352" s="2"/>
      <x:c r="B1352" s="2"/>
      <x:c r="C1352" s="46" t="n">
        <x:v>6</x:v>
      </x:c>
      <x:c r="D1352" s="46" t="n">
        <x:v>5</x:v>
      </x:c>
      <x:c r="E1352" s="46" t="n">
        <x:v>0</x:v>
      </x:c>
      <x:c r="F1352" s="46" t="n">
        <x:v>5</x:v>
      </x:c>
      <x:c r="G1352" s="12" t="n">
        <x:v>0.5555555555555556</x:v>
      </x:c>
      <x:c r="H1352" s="12" t="n">
        <x:v>0.6666666666666666</x:v>
      </x:c>
      <x:c r="I1352" s="29" t="n">
        <x:f>'Assumptions'!$D$11+'Assumptions'!$D$12*(0.5-(G1352+H1352)/2)</x:f>
        <x:v>0.27777777777777773</x:v>
      </x:c>
      <x:c r="J1352" s="27" t="n">
        <x:f>'Assumptions'!$D$8*EXP(-'Assumptions'!$D$9*('Fleet Engine'!E199-10))*'Assumptions'!E55*'Assumptions'!J36</x:f>
        <x:v>4965.853037914095</x:v>
      </x:c>
      <x:c r="K1352" s="27" t="n">
        <x:f>'Source Data'!F222+LN('Assumptions'!D55)+LN('Assumptions'!J35)</x:f>
        <x:v>8.0496367177205</x:v>
      </x:c>
      <x:c r="L1352" s="27" t="n">
        <x:f>J1352*(1-I1352*(1-'Carrier Engine'!E97))</x:f>
        <x:v>3641.625561137003</x:v>
      </x:c>
      <x:c r="M1352" s="29" t="n">
        <x:f>NORM.S.DIST((LN(L1352)-K1352)/'Assumptions'!$D$10,TRUE)</x:f>
        <x:v>0.5381913977645012</x:v>
      </x:c>
      <x:c r="N1352" s="30" t="n">
        <x:f>MAX(0,H1352-MAX(G1352,M1352))</x:f>
        <x:v>0.11111111111111105</x:v>
      </x:c>
      <x:c r="O1352" s="28" t="n">
        <x:f>J1352*I1352</x:f>
        <x:v>1379.403621642804</x:v>
      </x:c>
      <x:c r="P1352" s="27" t="n">
        <x:f>(VLOOKUP(O1352,'Fee Data'!$C$6:$G$50,2,TRUE)+O1352*VLOOKUP(O1352,'Fee Data'!$C$6:$G$50,3,TRUE)+VLOOKUP(O1352,'Fee Data'!$I$6:$J$14,2,TRUE)+'Fee Data'!$J$20+'Fee Data'!$J$21)*'Assumptions'!J37</x:f>
        <x:v>595</x:v>
      </x:c>
      <x:c r="Q1352" s="27" t="n">
        <x:f>(VLOOKUP(O1352,'Fee Data'!$C$6:$G$50,4,TRUE)+O1352*VLOOKUP(O1352,'Fee Data'!$C$6:$G$50,5,TRUE)+VLOOKUP(O1352,'Fee Data'!$I$6:$J$14,2,TRUE)+'Fee Data'!$J$20+'Fee Data'!$J$21)*'Assumptions'!J37</x:f>
        <x:v>470</x:v>
      </x:c>
      <x:c r="R1352" s="27" t="n">
        <x:f>P1352*(1-'Assumptions'!$D$14)+Q1352*'Assumptions'!$D$14</x:f>
        <x:v>532.5</x:v>
      </x:c>
      <x:c r="S1352" s="27" t="n">
        <x:f>O1352*'Carrier Engine'!E97</x:f>
        <x:v>55.17614486571217</x:v>
      </x:c>
      <x:c r="T1352" s="28" t="n">
        <x:f>R1352+S1352</x:f>
        <x:v>587.6761448657122</x:v>
      </x:c>
      <x:c r="U1352" s="27" t="n">
        <x:f>N1352*'Fleet Engine'!L199</x:f>
        <x:v>2018.4901988615643</x:v>
      </x:c>
      <x:c r="V1352" s="28" t="n">
        <x:f>U1352*T1352</x:f>
        <x:v>1186218.538516189</x:v>
      </x:c>
      <x:c r="W1352" s="28" t="n">
        <x:f>U1352*O1352</x:f>
        <x:v>2784312.6905601453</x:v>
      </x:c>
    </x:row>
    <x:row r="1353" ht="19" customHeight="1">
      <x:c r="A1353" s="2"/>
      <x:c r="B1353" s="2"/>
      <x:c r="C1353" s="46" t="n">
        <x:v>6</x:v>
      </x:c>
      <x:c r="D1353" s="46" t="n">
        <x:v>5</x:v>
      </x:c>
      <x:c r="E1353" s="46" t="n">
        <x:v>0</x:v>
      </x:c>
      <x:c r="F1353" s="46" t="n">
        <x:v>5</x:v>
      </x:c>
      <x:c r="G1353" s="12" t="n">
        <x:v>0.6666666666666666</x:v>
      </x:c>
      <x:c r="H1353" s="12" t="n">
        <x:v>0.7777777777777778</x:v>
      </x:c>
      <x:c r="I1353" s="29" t="n">
        <x:f>'Assumptions'!$D$11+'Assumptions'!$D$12*(0.5-(G1353+H1353)/2)</x:f>
        <x:v>0.25555555555555554</x:v>
      </x:c>
      <x:c r="J1353" s="27" t="n">
        <x:f>'Assumptions'!$D$8*EXP(-'Assumptions'!$D$9*('Fleet Engine'!E199-10))*'Assumptions'!E55*'Assumptions'!J36</x:f>
        <x:v>4965.853037914095</x:v>
      </x:c>
      <x:c r="K1353" s="27" t="n">
        <x:f>'Source Data'!F222+LN('Assumptions'!D55)+LN('Assumptions'!J35)</x:f>
        <x:v>8.0496367177205</x:v>
      </x:c>
      <x:c r="L1353" s="27" t="n">
        <x:f>J1353*(1-I1353*(1-'Carrier Engine'!E97))</x:f>
        <x:v>3747.5637592791704</x:v>
      </x:c>
      <x:c r="M1353" s="29" t="n">
        <x:f>NORM.S.DIST((LN(L1353)-K1353)/'Assumptions'!$D$10,TRUE)</x:f>
        <x:v>0.5454369007114661</x:v>
      </x:c>
      <x:c r="N1353" s="30" t="n">
        <x:f>MAX(0,H1353-MAX(G1353,M1353))</x:f>
        <x:v>0.11111111111111116</x:v>
      </x:c>
      <x:c r="O1353" s="28" t="n">
        <x:f>J1353*I1353</x:f>
        <x:v>1269.0513319113797</x:v>
      </x:c>
      <x:c r="P1353" s="27" t="n">
        <x:f>(VLOOKUP(O1353,'Fee Data'!$C$6:$G$50,2,TRUE)+O1353*VLOOKUP(O1353,'Fee Data'!$C$6:$G$50,3,TRUE)+VLOOKUP(O1353,'Fee Data'!$I$6:$J$14,2,TRUE)+'Fee Data'!$J$20+'Fee Data'!$J$21)*'Assumptions'!J37</x:f>
        <x:v>580</x:v>
      </x:c>
      <x:c r="Q1353" s="27" t="n">
        <x:f>(VLOOKUP(O1353,'Fee Data'!$C$6:$G$50,4,TRUE)+O1353*VLOOKUP(O1353,'Fee Data'!$C$6:$G$50,5,TRUE)+VLOOKUP(O1353,'Fee Data'!$I$6:$J$14,2,TRUE)+'Fee Data'!$J$20+'Fee Data'!$J$21)*'Assumptions'!J37</x:f>
        <x:v>455</x:v>
      </x:c>
      <x:c r="R1353" s="27" t="n">
        <x:f>P1353*(1-'Assumptions'!$D$14)+Q1353*'Assumptions'!$D$14</x:f>
        <x:v>517.5</x:v>
      </x:c>
      <x:c r="S1353" s="27" t="n">
        <x:f>O1353*'Carrier Engine'!E97</x:f>
        <x:v>50.7620532764552</x:v>
      </x:c>
      <x:c r="T1353" s="28" t="n">
        <x:f>R1353+S1353</x:f>
        <x:v>568.2620532764552</x:v>
      </x:c>
      <x:c r="U1353" s="27" t="n">
        <x:f>N1353*'Fleet Engine'!L199</x:f>
        <x:v>2018.4901988615663</x:v>
      </x:c>
      <x:c r="V1353" s="28" t="n">
        <x:f>U1353*T1353</x:f>
        <x:v>1147031.384923474</x:v>
      </x:c>
      <x:c r="W1353" s="28" t="n">
        <x:f>U1353*O1353</x:f>
        <x:v>2561567.6753153363</x:v>
      </x:c>
    </x:row>
    <x:row r="1354" ht="19" customHeight="1">
      <x:c r="A1354" s="2"/>
      <x:c r="B1354" s="2"/>
      <x:c r="C1354" s="46" t="n">
        <x:v>6</x:v>
      </x:c>
      <x:c r="D1354" s="46" t="n">
        <x:v>5</x:v>
      </x:c>
      <x:c r="E1354" s="46" t="n">
        <x:v>0</x:v>
      </x:c>
      <x:c r="F1354" s="46" t="n">
        <x:v>5</x:v>
      </x:c>
      <x:c r="G1354" s="12" t="n">
        <x:v>0.7777777777777778</x:v>
      </x:c>
      <x:c r="H1354" s="12" t="n">
        <x:v>0.8888888888888888</x:v>
      </x:c>
      <x:c r="I1354" s="29" t="n">
        <x:f>'Assumptions'!$D$11+'Assumptions'!$D$12*(0.5-(G1354+H1354)/2)</x:f>
        <x:v>0.23333333333333334</x:v>
      </x:c>
      <x:c r="J1354" s="27" t="n">
        <x:f>'Assumptions'!$D$8*EXP(-'Assumptions'!$D$9*('Fleet Engine'!E199-10))*'Assumptions'!E55*'Assumptions'!J36</x:f>
        <x:v>4965.853037914095</x:v>
      </x:c>
      <x:c r="K1354" s="27" t="n">
        <x:f>'Source Data'!F222+LN('Assumptions'!D55)+LN('Assumptions'!J35)</x:f>
        <x:v>8.0496367177205</x:v>
      </x:c>
      <x:c r="L1354" s="27" t="n">
        <x:f>J1354*(1-I1354*(1-'Carrier Engine'!E97))</x:f>
        <x:v>3853.5019574213375</x:v>
      </x:c>
      <x:c r="M1354" s="29" t="n">
        <x:f>NORM.S.DIST((LN(L1354)-K1354)/'Assumptions'!$D$10,TRUE)</x:f>
        <x:v>0.5524659710850595</x:v>
      </x:c>
      <x:c r="N1354" s="30" t="n">
        <x:f>MAX(0,H1354-MAX(G1354,M1354))</x:f>
        <x:v>0.11111111111111105</x:v>
      </x:c>
      <x:c r="O1354" s="28" t="n">
        <x:f>J1354*I1354</x:f>
        <x:v>1158.6990421799555</x:v>
      </x:c>
      <x:c r="P1354" s="27" t="n">
        <x:f>(VLOOKUP(O1354,'Fee Data'!$C$6:$G$50,2,TRUE)+O1354*VLOOKUP(O1354,'Fee Data'!$C$6:$G$50,3,TRUE)+VLOOKUP(O1354,'Fee Data'!$I$6:$J$14,2,TRUE)+'Fee Data'!$J$20+'Fee Data'!$J$21)*'Assumptions'!J37</x:f>
        <x:v>560</x:v>
      </x:c>
      <x:c r="Q1354" s="27" t="n">
        <x:f>(VLOOKUP(O1354,'Fee Data'!$C$6:$G$50,4,TRUE)+O1354*VLOOKUP(O1354,'Fee Data'!$C$6:$G$50,5,TRUE)+VLOOKUP(O1354,'Fee Data'!$I$6:$J$14,2,TRUE)+'Fee Data'!$J$20+'Fee Data'!$J$21)*'Assumptions'!J37</x:f>
        <x:v>435</x:v>
      </x:c>
      <x:c r="R1354" s="27" t="n">
        <x:f>P1354*(1-'Assumptions'!$D$14)+Q1354*'Assumptions'!$D$14</x:f>
        <x:v>497.5</x:v>
      </x:c>
      <x:c r="S1354" s="27" t="n">
        <x:f>O1354*'Carrier Engine'!E97</x:f>
        <x:v>46.34796168719823</x:v>
      </x:c>
      <x:c r="T1354" s="28" t="n">
        <x:f>R1354+S1354</x:f>
        <x:v>543.8479616871982</x:v>
      </x:c>
      <x:c r="U1354" s="27" t="n">
        <x:f>N1354*'Fleet Engine'!L199</x:f>
        <x:v>2018.4901988615643</x:v>
      </x:c>
      <x:c r="V1354" s="28" t="n">
        <x:f>U1354*T1354</x:f>
        <x:v>1097751.7803364492</x:v>
      </x:c>
      <x:c r="W1354" s="28" t="n">
        <x:f>U1354*O1354</x:f>
        <x:v>2338822.6600705227</x:v>
      </x:c>
    </x:row>
    <x:row r="1355" ht="19" customHeight="1">
      <x:c r="A1355" s="2"/>
      <x:c r="B1355" s="2"/>
      <x:c r="C1355" s="46" t="n">
        <x:v>6</x:v>
      </x:c>
      <x:c r="D1355" s="46" t="n">
        <x:v>5</x:v>
      </x:c>
      <x:c r="E1355" s="46" t="n">
        <x:v>0</x:v>
      </x:c>
      <x:c r="F1355" s="46" t="n">
        <x:v>5</x:v>
      </x:c>
      <x:c r="G1355" s="12" t="n">
        <x:v>0.8888888888888888</x:v>
      </x:c>
      <x:c r="H1355" s="12" t="n">
        <x:v>1</x:v>
      </x:c>
      <x:c r="I1355" s="29" t="n">
        <x:f>'Assumptions'!$D$11+'Assumptions'!$D$12*(0.5-(G1355+H1355)/2)</x:f>
        <x:v>0.21111111111111108</x:v>
      </x:c>
      <x:c r="J1355" s="27" t="n">
        <x:f>'Assumptions'!$D$8*EXP(-'Assumptions'!$D$9*('Fleet Engine'!E199-10))*'Assumptions'!E55*'Assumptions'!J36</x:f>
        <x:v>4965.853037914095</x:v>
      </x:c>
      <x:c r="K1355" s="27" t="n">
        <x:f>'Source Data'!F222+LN('Assumptions'!D55)+LN('Assumptions'!J35)</x:f>
        <x:v>8.0496367177205</x:v>
      </x:c>
      <x:c r="L1355" s="27" t="n">
        <x:f>J1355*(1-I1355*(1-'Carrier Engine'!E97))</x:f>
        <x:v>3959.440155563505</x:v>
      </x:c>
      <x:c r="M1355" s="29" t="n">
        <x:f>NORM.S.DIST((LN(L1355)-K1355)/'Assumptions'!$D$10,TRUE)</x:f>
        <x:v>0.5592886412015461</x:v>
      </x:c>
      <x:c r="N1355" s="30" t="n">
        <x:f>MAX(0,H1355-MAX(G1355,M1355))</x:f>
        <x:v>0.11111111111111116</x:v>
      </x:c>
      <x:c r="O1355" s="28" t="n">
        <x:f>J1355*I1355</x:f>
        <x:v>1048.3467524485309</x:v>
      </x:c>
      <x:c r="P1355" s="27" t="n">
        <x:f>(VLOOKUP(O1355,'Fee Data'!$C$6:$G$50,2,TRUE)+O1355*VLOOKUP(O1355,'Fee Data'!$C$6:$G$50,3,TRUE)+VLOOKUP(O1355,'Fee Data'!$I$6:$J$14,2,TRUE)+'Fee Data'!$J$20+'Fee Data'!$J$21)*'Assumptions'!J37</x:f>
        <x:v>560</x:v>
      </x:c>
      <x:c r="Q1355" s="27" t="n">
        <x:f>(VLOOKUP(O1355,'Fee Data'!$C$6:$G$50,4,TRUE)+O1355*VLOOKUP(O1355,'Fee Data'!$C$6:$G$50,5,TRUE)+VLOOKUP(O1355,'Fee Data'!$I$6:$J$14,2,TRUE)+'Fee Data'!$J$20+'Fee Data'!$J$21)*'Assumptions'!J37</x:f>
        <x:v>435</x:v>
      </x:c>
      <x:c r="R1355" s="27" t="n">
        <x:f>P1355*(1-'Assumptions'!$D$14)+Q1355*'Assumptions'!$D$14</x:f>
        <x:v>497.5</x:v>
      </x:c>
      <x:c r="S1355" s="27" t="n">
        <x:f>O1355*'Carrier Engine'!E97</x:f>
        <x:v>41.933870097941245</x:v>
      </x:c>
      <x:c r="T1355" s="28" t="n">
        <x:f>R1355+S1355</x:f>
        <x:v>539.4338700979413</x:v>
      </x:c>
      <x:c r="U1355" s="27" t="n">
        <x:f>N1355*'Fleet Engine'!L199</x:f>
        <x:v>2018.4901988615663</x:v>
      </x:c>
      <x:c r="V1355" s="28" t="n">
        <x:f>U1355*T1355</x:f>
        <x:v>1088841.9797266577</x:v>
      </x:c>
      <x:c r="W1355" s="28" t="n">
        <x:f>U1355*O1355</x:f>
        <x:v>2116077.6448257123</x:v>
      </x:c>
    </x:row>
    <x:row r="1356" ht="19" customHeight="1">
      <x:c r="A1356" s="2"/>
      <x:c r="B1356" s="2"/>
      <x:c r="C1356" s="46" t="n">
        <x:v>6</x:v>
      </x:c>
      <x:c r="D1356" s="46" t="n">
        <x:v>6</x:v>
      </x:c>
      <x:c r="E1356" s="46" t="n">
        <x:v>1</x:v>
      </x:c>
      <x:c r="F1356" s="46" t="n">
        <x:v>0</x:v>
      </x:c>
      <x:c r="G1356" s="12" t="n">
        <x:v>0</x:v>
      </x:c>
      <x:c r="H1356" s="12" t="n">
        <x:v>0.1111111111111111</x:v>
      </x:c>
      <x:c r="I1356" s="29" t="n">
        <x:f>'Assumptions'!$D$11+'Assumptions'!$D$12*(0.5-(G1356+H1356)/2)</x:f>
        <x:v>0.3888888888888889</x:v>
      </x:c>
      <x:c r="J1356" s="27" t="n">
        <x:f>'Assumptions'!$D$8*EXP(-'Assumptions'!$D$9*('Fleet Engine'!E200-10))*'Assumptions'!E56*'Assumptions'!J36</x:f>
        <x:v>30662.21902501803</x:v>
      </x:c>
      <x:c r="K1356" s="27" t="n">
        <x:f>'Source Data'!F217+LN('Assumptions'!D56)+LN('Assumptions'!J35)</x:f>
        <x:v>8.031104662881733</x:v>
      </x:c>
      <x:c r="L1356" s="27" t="n">
        <x:f>J1356*(1-I1356*(1-'Carrier Engine'!E97))</x:f>
        <x:v>19214.9905890113</x:v>
      </x:c>
      <x:c r="M1356" s="29" t="n">
        <x:f>NORM.S.DIST((LN(L1356)-K1356)/'Assumptions'!$D$10,TRUE)</x:f>
        <x:v>0.8783833710855731</x:v>
      </x:c>
      <x:c r="N1356" s="30" t="n">
        <x:f>MAX(0,H1356-MAX(G1356,M1356))</x:f>
        <x:v>0</x:v>
      </x:c>
      <x:c r="O1356" s="28" t="n">
        <x:f>J1356*I1356</x:f>
        <x:v>11924.196287507011</x:v>
      </x:c>
      <x:c r="P1356" s="27" t="n">
        <x:f>(VLOOKUP(O1356,'Fee Data'!$C$6:$G$50,2,TRUE)+O1356*VLOOKUP(O1356,'Fee Data'!$C$6:$G$50,3,TRUE)+VLOOKUP(O1356,'Fee Data'!$I$6:$J$14,2,TRUE)+'Fee Data'!$J$20+'Fee Data'!$J$21)*'Assumptions'!J37</x:f>
        <x:v>1250</x:v>
      </x:c>
      <x:c r="Q1356" s="27" t="n">
        <x:f>(VLOOKUP(O1356,'Fee Data'!$C$6:$G$50,4,TRUE)+O1356*VLOOKUP(O1356,'Fee Data'!$C$6:$G$50,5,TRUE)+VLOOKUP(O1356,'Fee Data'!$I$6:$J$14,2,TRUE)+'Fee Data'!$J$20+'Fee Data'!$J$21)*'Assumptions'!J37</x:f>
        <x:v>1110</x:v>
      </x:c>
      <x:c r="R1356" s="27" t="n">
        <x:f>P1356*(1-'Assumptions'!$D$14)+Q1356*'Assumptions'!$D$14</x:f>
        <x:v>1180</x:v>
      </x:c>
      <x:c r="S1356" s="27" t="n">
        <x:f>O1356*'Carrier Engine'!E97</x:f>
        <x:v>476.9678515002805</x:v>
      </x:c>
      <x:c r="T1356" s="28" t="n">
        <x:f>R1356+S1356</x:f>
        <x:v>1656.9678515002806</x:v>
      </x:c>
      <x:c r="U1356" s="27" t="n">
        <x:f>N1356*'Fleet Engine'!L200</x:f>
        <x:v>0</x:v>
      </x:c>
      <x:c r="V1356" s="28" t="n">
        <x:f>U1356*T1356</x:f>
        <x:v>0</x:v>
      </x:c>
      <x:c r="W1356" s="28" t="n">
        <x:f>U1356*O1356</x:f>
        <x:v>0</x:v>
      </x:c>
    </x:row>
    <x:row r="1357" ht="19" customHeight="1">
      <x:c r="A1357" s="2"/>
      <x:c r="B1357" s="2"/>
      <x:c r="C1357" s="46" t="n">
        <x:v>6</x:v>
      </x:c>
      <x:c r="D1357" s="46" t="n">
        <x:v>6</x:v>
      </x:c>
      <x:c r="E1357" s="46" t="n">
        <x:v>1</x:v>
      </x:c>
      <x:c r="F1357" s="46" t="n">
        <x:v>0</x:v>
      </x:c>
      <x:c r="G1357" s="12" t="n">
        <x:v>0.1111111111111111</x:v>
      </x:c>
      <x:c r="H1357" s="12" t="n">
        <x:v>0.2222222222222222</x:v>
      </x:c>
      <x:c r="I1357" s="29" t="n">
        <x:f>'Assumptions'!$D$11+'Assumptions'!$D$12*(0.5-(G1357+H1357)/2)</x:f>
        <x:v>0.3666666666666667</x:v>
      </x:c>
      <x:c r="J1357" s="27" t="n">
        <x:f>'Assumptions'!$D$8*EXP(-'Assumptions'!$D$9*('Fleet Engine'!E200-10))*'Assumptions'!E56*'Assumptions'!J36</x:f>
        <x:v>30662.21902501803</x:v>
      </x:c>
      <x:c r="K1357" s="27" t="n">
        <x:f>'Source Data'!F217+LN('Assumptions'!D56)+LN('Assumptions'!J35)</x:f>
        <x:v>8.031104662881733</x:v>
      </x:c>
      <x:c r="L1357" s="27" t="n">
        <x:f>J1357*(1-I1357*(1-'Carrier Engine'!E97))</x:f>
        <x:v>19869.11792821168</x:v>
      </x:c>
      <x:c r="M1357" s="29" t="n">
        <x:f>NORM.S.DIST((LN(L1357)-K1357)/'Assumptions'!$D$10,TRUE)</x:f>
        <x:v>0.8826350510019572</x:v>
      </x:c>
      <x:c r="N1357" s="30" t="n">
        <x:f>MAX(0,H1357-MAX(G1357,M1357))</x:f>
        <x:v>0</x:v>
      </x:c>
      <x:c r="O1357" s="28" t="n">
        <x:f>J1357*I1357</x:f>
        <x:v>11242.813642506611</x:v>
      </x:c>
      <x:c r="P1357" s="27" t="n">
        <x:f>(VLOOKUP(O1357,'Fee Data'!$C$6:$G$50,2,TRUE)+O1357*VLOOKUP(O1357,'Fee Data'!$C$6:$G$50,3,TRUE)+VLOOKUP(O1357,'Fee Data'!$I$6:$J$14,2,TRUE)+'Fee Data'!$J$20+'Fee Data'!$J$21)*'Assumptions'!J37</x:f>
        <x:v>1250</x:v>
      </x:c>
      <x:c r="Q1357" s="27" t="n">
        <x:f>(VLOOKUP(O1357,'Fee Data'!$C$6:$G$50,4,TRUE)+O1357*VLOOKUP(O1357,'Fee Data'!$C$6:$G$50,5,TRUE)+VLOOKUP(O1357,'Fee Data'!$I$6:$J$14,2,TRUE)+'Fee Data'!$J$20+'Fee Data'!$J$21)*'Assumptions'!J37</x:f>
        <x:v>1100</x:v>
      </x:c>
      <x:c r="R1357" s="27" t="n">
        <x:f>P1357*(1-'Assumptions'!$D$14)+Q1357*'Assumptions'!$D$14</x:f>
        <x:v>1175</x:v>
      </x:c>
      <x:c r="S1357" s="27" t="n">
        <x:f>O1357*'Carrier Engine'!E97</x:f>
        <x:v>449.7125457002645</x:v>
      </x:c>
      <x:c r="T1357" s="28" t="n">
        <x:f>R1357+S1357</x:f>
        <x:v>1624.7125457002644</x:v>
      </x:c>
      <x:c r="U1357" s="27" t="n">
        <x:f>N1357*'Fleet Engine'!L200</x:f>
        <x:v>0</x:v>
      </x:c>
      <x:c r="V1357" s="28" t="n">
        <x:f>U1357*T1357</x:f>
        <x:v>0</x:v>
      </x:c>
      <x:c r="W1357" s="28" t="n">
        <x:f>U1357*O1357</x:f>
        <x:v>0</x:v>
      </x:c>
    </x:row>
    <x:row r="1358" ht="19" customHeight="1">
      <x:c r="A1358" s="2"/>
      <x:c r="B1358" s="2"/>
      <x:c r="C1358" s="46" t="n">
        <x:v>6</x:v>
      </x:c>
      <x:c r="D1358" s="46" t="n">
        <x:v>6</x:v>
      </x:c>
      <x:c r="E1358" s="46" t="n">
        <x:v>1</x:v>
      </x:c>
      <x:c r="F1358" s="46" t="n">
        <x:v>0</x:v>
      </x:c>
      <x:c r="G1358" s="12" t="n">
        <x:v>0.2222222222222222</x:v>
      </x:c>
      <x:c r="H1358" s="12" t="n">
        <x:v>0.3333333333333333</x:v>
      </x:c>
      <x:c r="I1358" s="29" t="n">
        <x:f>'Assumptions'!$D$11+'Assumptions'!$D$12*(0.5-(G1358+H1358)/2)</x:f>
        <x:v>0.34444444444444444</x:v>
      </x:c>
      <x:c r="J1358" s="27" t="n">
        <x:f>'Assumptions'!$D$8*EXP(-'Assumptions'!$D$9*('Fleet Engine'!E200-10))*'Assumptions'!E56*'Assumptions'!J36</x:f>
        <x:v>30662.21902501803</x:v>
      </x:c>
      <x:c r="K1358" s="27" t="n">
        <x:f>'Source Data'!F217+LN('Assumptions'!D56)+LN('Assumptions'!J35)</x:f>
        <x:v>8.031104662881733</x:v>
      </x:c>
      <x:c r="L1358" s="27" t="n">
        <x:f>J1358*(1-I1358*(1-'Carrier Engine'!E97))</x:f>
        <x:v>20523.24526741207</x:v>
      </x:c>
      <x:c r="M1358" s="29" t="n">
        <x:f>NORM.S.DIST((LN(L1358)-K1358)/'Assumptions'!$D$10,TRUE)</x:f>
        <x:v>0.8866477524669126</x:v>
      </x:c>
      <x:c r="N1358" s="30" t="n">
        <x:f>MAX(0,H1358-MAX(G1358,M1358))</x:f>
        <x:v>0</x:v>
      </x:c>
      <x:c r="O1358" s="28" t="n">
        <x:f>J1358*I1358</x:f>
        <x:v>10561.43099750621</x:v>
      </x:c>
      <x:c r="P1358" s="27" t="n">
        <x:f>(VLOOKUP(O1358,'Fee Data'!$C$6:$G$50,2,TRUE)+O1358*VLOOKUP(O1358,'Fee Data'!$C$6:$G$50,3,TRUE)+VLOOKUP(O1358,'Fee Data'!$I$6:$J$14,2,TRUE)+'Fee Data'!$J$20+'Fee Data'!$J$21)*'Assumptions'!J37</x:f>
        <x:v>1250</x:v>
      </x:c>
      <x:c r="Q1358" s="27" t="n">
        <x:f>(VLOOKUP(O1358,'Fee Data'!$C$6:$G$50,4,TRUE)+O1358*VLOOKUP(O1358,'Fee Data'!$C$6:$G$50,5,TRUE)+VLOOKUP(O1358,'Fee Data'!$I$6:$J$14,2,TRUE)+'Fee Data'!$J$20+'Fee Data'!$J$21)*'Assumptions'!J37</x:f>
        <x:v>1100</x:v>
      </x:c>
      <x:c r="R1358" s="27" t="n">
        <x:f>P1358*(1-'Assumptions'!$D$14)+Q1358*'Assumptions'!$D$14</x:f>
        <x:v>1175</x:v>
      </x:c>
      <x:c r="S1358" s="27" t="n">
        <x:f>O1358*'Carrier Engine'!E97</x:f>
        <x:v>422.45723990024845</x:v>
      </x:c>
      <x:c r="T1358" s="28" t="n">
        <x:f>R1358+S1358</x:f>
        <x:v>1597.4572399002484</x:v>
      </x:c>
      <x:c r="U1358" s="27" t="n">
        <x:f>N1358*'Fleet Engine'!L200</x:f>
        <x:v>0</x:v>
      </x:c>
      <x:c r="V1358" s="28" t="n">
        <x:f>U1358*T1358</x:f>
        <x:v>0</x:v>
      </x:c>
      <x:c r="W1358" s="28" t="n">
        <x:f>U1358*O1358</x:f>
        <x:v>0</x:v>
      </x:c>
    </x:row>
    <x:row r="1359" ht="19" customHeight="1">
      <x:c r="A1359" s="2"/>
      <x:c r="B1359" s="2"/>
      <x:c r="C1359" s="46" t="n">
        <x:v>6</x:v>
      </x:c>
      <x:c r="D1359" s="46" t="n">
        <x:v>6</x:v>
      </x:c>
      <x:c r="E1359" s="46" t="n">
        <x:v>1</x:v>
      </x:c>
      <x:c r="F1359" s="46" t="n">
        <x:v>0</x:v>
      </x:c>
      <x:c r="G1359" s="12" t="n">
        <x:v>0.3333333333333333</x:v>
      </x:c>
      <x:c r="H1359" s="12" t="n">
        <x:v>0.4444444444444444</x:v>
      </x:c>
      <x:c r="I1359" s="29" t="n">
        <x:f>'Assumptions'!$D$11+'Assumptions'!$D$12*(0.5-(G1359+H1359)/2)</x:f>
        <x:v>0.32222222222222224</x:v>
      </x:c>
      <x:c r="J1359" s="27" t="n">
        <x:f>'Assumptions'!$D$8*EXP(-'Assumptions'!$D$9*('Fleet Engine'!E200-10))*'Assumptions'!E56*'Assumptions'!J36</x:f>
        <x:v>30662.21902501803</x:v>
      </x:c>
      <x:c r="K1359" s="27" t="n">
        <x:f>'Source Data'!F217+LN('Assumptions'!D56)+LN('Assumptions'!J35)</x:f>
        <x:v>8.031104662881733</x:v>
      </x:c>
      <x:c r="L1359" s="27" t="n">
        <x:f>J1359*(1-I1359*(1-'Carrier Engine'!E97))</x:f>
        <x:v>21177.37260661245</x:v>
      </x:c>
      <x:c r="M1359" s="29" t="n">
        <x:f>NORM.S.DIST((LN(L1359)-K1359)/'Assumptions'!$D$10,TRUE)</x:f>
        <x:v>0.8904403113358262</x:v>
      </x:c>
      <x:c r="N1359" s="30" t="n">
        <x:f>MAX(0,H1359-MAX(G1359,M1359))</x:f>
        <x:v>0</x:v>
      </x:c>
      <x:c r="O1359" s="28" t="n">
        <x:f>J1359*I1359</x:f>
        <x:v>9880.04835250581</x:v>
      </x:c>
      <x:c r="P1359" s="27" t="n">
        <x:f>(VLOOKUP(O1359,'Fee Data'!$C$6:$G$50,2,TRUE)+O1359*VLOOKUP(O1359,'Fee Data'!$C$6:$G$50,3,TRUE)+VLOOKUP(O1359,'Fee Data'!$I$6:$J$14,2,TRUE)+'Fee Data'!$J$20+'Fee Data'!$J$21)*'Assumptions'!J37</x:f>
        <x:v>1195</x:v>
      </x:c>
      <x:c r="Q1359" s="27" t="n">
        <x:f>(VLOOKUP(O1359,'Fee Data'!$C$6:$G$50,4,TRUE)+O1359*VLOOKUP(O1359,'Fee Data'!$C$6:$G$50,5,TRUE)+VLOOKUP(O1359,'Fee Data'!$I$6:$J$14,2,TRUE)+'Fee Data'!$J$20+'Fee Data'!$J$21)*'Assumptions'!J37</x:f>
        <x:v>1070</x:v>
      </x:c>
      <x:c r="R1359" s="27" t="n">
        <x:f>P1359*(1-'Assumptions'!$D$14)+Q1359*'Assumptions'!$D$14</x:f>
        <x:v>1132.5</x:v>
      </x:c>
      <x:c r="S1359" s="27" t="n">
        <x:f>O1359*'Carrier Engine'!E97</x:f>
        <x:v>395.20193410023245</x:v>
      </x:c>
      <x:c r="T1359" s="28" t="n">
        <x:f>R1359+S1359</x:f>
        <x:v>1527.7019341002324</x:v>
      </x:c>
      <x:c r="U1359" s="27" t="n">
        <x:f>N1359*'Fleet Engine'!L200</x:f>
        <x:v>0</x:v>
      </x:c>
      <x:c r="V1359" s="28" t="n">
        <x:f>U1359*T1359</x:f>
        <x:v>0</x:v>
      </x:c>
      <x:c r="W1359" s="28" t="n">
        <x:f>U1359*O1359</x:f>
        <x:v>0</x:v>
      </x:c>
    </x:row>
    <x:row r="1360" ht="19" customHeight="1">
      <x:c r="A1360" s="2"/>
      <x:c r="B1360" s="2"/>
      <x:c r="C1360" s="46" t="n">
        <x:v>6</x:v>
      </x:c>
      <x:c r="D1360" s="46" t="n">
        <x:v>6</x:v>
      </x:c>
      <x:c r="E1360" s="46" t="n">
        <x:v>1</x:v>
      </x:c>
      <x:c r="F1360" s="46" t="n">
        <x:v>0</x:v>
      </x:c>
      <x:c r="G1360" s="12" t="n">
        <x:v>0.4444444444444444</x:v>
      </x:c>
      <x:c r="H1360" s="12" t="n">
        <x:v>0.5555555555555556</x:v>
      </x:c>
      <x:c r="I1360" s="29" t="n">
        <x:f>'Assumptions'!$D$11+'Assumptions'!$D$12*(0.5-(G1360+H1360)/2)</x:f>
        <x:v>0.3</x:v>
      </x:c>
      <x:c r="J1360" s="27" t="n">
        <x:f>'Assumptions'!$D$8*EXP(-'Assumptions'!$D$9*('Fleet Engine'!E200-10))*'Assumptions'!E56*'Assumptions'!J36</x:f>
        <x:v>30662.21902501803</x:v>
      </x:c>
      <x:c r="K1360" s="27" t="n">
        <x:f>'Source Data'!F217+LN('Assumptions'!D56)+LN('Assumptions'!J35)</x:f>
        <x:v>8.031104662881733</x:v>
      </x:c>
      <x:c r="L1360" s="27" t="n">
        <x:f>J1360*(1-I1360*(1-'Carrier Engine'!E97))</x:f>
        <x:v>21831.499945812837</x:v>
      </x:c>
      <x:c r="M1360" s="29" t="n">
        <x:f>NORM.S.DIST((LN(L1360)-K1360)/'Assumptions'!$D$10,TRUE)</x:f>
        <x:v>0.8940296485335917</x:v>
      </x:c>
      <x:c r="N1360" s="30" t="n">
        <x:f>MAX(0,H1360-MAX(G1360,M1360))</x:f>
        <x:v>0</x:v>
      </x:c>
      <x:c r="O1360" s="28" t="n">
        <x:f>J1360*I1360</x:f>
        <x:v>9198.665707505408</x:v>
      </x:c>
      <x:c r="P1360" s="27" t="n">
        <x:f>(VLOOKUP(O1360,'Fee Data'!$C$6:$G$50,2,TRUE)+O1360*VLOOKUP(O1360,'Fee Data'!$C$6:$G$50,3,TRUE)+VLOOKUP(O1360,'Fee Data'!$I$6:$J$14,2,TRUE)+'Fee Data'!$J$20+'Fee Data'!$J$21)*'Assumptions'!J37</x:f>
        <x:v>1195</x:v>
      </x:c>
      <x:c r="Q1360" s="27" t="n">
        <x:f>(VLOOKUP(O1360,'Fee Data'!$C$6:$G$50,4,TRUE)+O1360*VLOOKUP(O1360,'Fee Data'!$C$6:$G$50,5,TRUE)+VLOOKUP(O1360,'Fee Data'!$I$6:$J$14,2,TRUE)+'Fee Data'!$J$20+'Fee Data'!$J$21)*'Assumptions'!J37</x:f>
        <x:v>1070</x:v>
      </x:c>
      <x:c r="R1360" s="27" t="n">
        <x:f>P1360*(1-'Assumptions'!$D$14)+Q1360*'Assumptions'!$D$14</x:f>
        <x:v>1132.5</x:v>
      </x:c>
      <x:c r="S1360" s="27" t="n">
        <x:f>O1360*'Carrier Engine'!E97</x:f>
        <x:v>367.9466283002164</x:v>
      </x:c>
      <x:c r="T1360" s="28" t="n">
        <x:f>R1360+S1360</x:f>
        <x:v>1500.4466283002164</x:v>
      </x:c>
      <x:c r="U1360" s="27" t="n">
        <x:f>N1360*'Fleet Engine'!L200</x:f>
        <x:v>0</x:v>
      </x:c>
      <x:c r="V1360" s="28" t="n">
        <x:f>U1360*T1360</x:f>
        <x:v>0</x:v>
      </x:c>
      <x:c r="W1360" s="28" t="n">
        <x:f>U1360*O1360</x:f>
        <x:v>0</x:v>
      </x:c>
    </x:row>
    <x:row r="1361" ht="19" customHeight="1">
      <x:c r="A1361" s="2"/>
      <x:c r="B1361" s="2"/>
      <x:c r="C1361" s="46" t="n">
        <x:v>6</x:v>
      </x:c>
      <x:c r="D1361" s="46" t="n">
        <x:v>6</x:v>
      </x:c>
      <x:c r="E1361" s="46" t="n">
        <x:v>1</x:v>
      </x:c>
      <x:c r="F1361" s="46" t="n">
        <x:v>0</x:v>
      </x:c>
      <x:c r="G1361" s="12" t="n">
        <x:v>0.5555555555555556</x:v>
      </x:c>
      <x:c r="H1361" s="12" t="n">
        <x:v>0.6666666666666666</x:v>
      </x:c>
      <x:c r="I1361" s="29" t="n">
        <x:f>'Assumptions'!$D$11+'Assumptions'!$D$12*(0.5-(G1361+H1361)/2)</x:f>
        <x:v>0.27777777777777773</x:v>
      </x:c>
      <x:c r="J1361" s="27" t="n">
        <x:f>'Assumptions'!$D$8*EXP(-'Assumptions'!$D$9*('Fleet Engine'!E200-10))*'Assumptions'!E56*'Assumptions'!J36</x:f>
        <x:v>30662.21902501803</x:v>
      </x:c>
      <x:c r="K1361" s="27" t="n">
        <x:f>'Source Data'!F217+LN('Assumptions'!D56)+LN('Assumptions'!J35)</x:f>
        <x:v>8.031104662881733</x:v>
      </x:c>
      <x:c r="L1361" s="27" t="n">
        <x:f>J1361*(1-I1361*(1-'Carrier Engine'!E97))</x:f>
        <x:v>22485.627285013223</x:v>
      </x:c>
      <x:c r="M1361" s="29" t="n">
        <x:f>NORM.S.DIST((LN(L1361)-K1361)/'Assumptions'!$D$10,TRUE)</x:f>
        <x:v>0.8974310078578442</x:v>
      </x:c>
      <x:c r="N1361" s="30" t="n">
        <x:f>MAX(0,H1361-MAX(G1361,M1361))</x:f>
        <x:v>0</x:v>
      </x:c>
      <x:c r="O1361" s="28" t="n">
        <x:f>J1361*I1361</x:f>
        <x:v>8517.283062505006</x:v>
      </x:c>
      <x:c r="P1361" s="27" t="n">
        <x:f>(VLOOKUP(O1361,'Fee Data'!$C$6:$G$50,2,TRUE)+O1361*VLOOKUP(O1361,'Fee Data'!$C$6:$G$50,3,TRUE)+VLOOKUP(O1361,'Fee Data'!$I$6:$J$14,2,TRUE)+'Fee Data'!$J$20+'Fee Data'!$J$21)*'Assumptions'!J37</x:f>
        <x:v>1195</x:v>
      </x:c>
      <x:c r="Q1361" s="27" t="n">
        <x:f>(VLOOKUP(O1361,'Fee Data'!$C$6:$G$50,4,TRUE)+O1361*VLOOKUP(O1361,'Fee Data'!$C$6:$G$50,5,TRUE)+VLOOKUP(O1361,'Fee Data'!$I$6:$J$14,2,TRUE)+'Fee Data'!$J$20+'Fee Data'!$J$21)*'Assumptions'!J37</x:f>
        <x:v>1070</x:v>
      </x:c>
      <x:c r="R1361" s="27" t="n">
        <x:f>P1361*(1-'Assumptions'!$D$14)+Q1361*'Assumptions'!$D$14</x:f>
        <x:v>1132.5</x:v>
      </x:c>
      <x:c r="S1361" s="27" t="n">
        <x:f>O1361*'Carrier Engine'!E97</x:f>
        <x:v>340.69132250020033</x:v>
      </x:c>
      <x:c r="T1361" s="28" t="n">
        <x:f>R1361+S1361</x:f>
        <x:v>1473.1913225002004</x:v>
      </x:c>
      <x:c r="U1361" s="27" t="n">
        <x:f>N1361*'Fleet Engine'!L200</x:f>
        <x:v>0</x:v>
      </x:c>
      <x:c r="V1361" s="28" t="n">
        <x:f>U1361*T1361</x:f>
        <x:v>0</x:v>
      </x:c>
      <x:c r="W1361" s="28" t="n">
        <x:f>U1361*O1361</x:f>
        <x:v>0</x:v>
      </x:c>
    </x:row>
    <x:row r="1362" ht="19" customHeight="1">
      <x:c r="A1362" s="2"/>
      <x:c r="B1362" s="2"/>
      <x:c r="C1362" s="46" t="n">
        <x:v>6</x:v>
      </x:c>
      <x:c r="D1362" s="46" t="n">
        <x:v>6</x:v>
      </x:c>
      <x:c r="E1362" s="46" t="n">
        <x:v>1</x:v>
      </x:c>
      <x:c r="F1362" s="46" t="n">
        <x:v>0</x:v>
      </x:c>
      <x:c r="G1362" s="12" t="n">
        <x:v>0.6666666666666666</x:v>
      </x:c>
      <x:c r="H1362" s="12" t="n">
        <x:v>0.7777777777777778</x:v>
      </x:c>
      <x:c r="I1362" s="29" t="n">
        <x:f>'Assumptions'!$D$11+'Assumptions'!$D$12*(0.5-(G1362+H1362)/2)</x:f>
        <x:v>0.25555555555555554</x:v>
      </x:c>
      <x:c r="J1362" s="27" t="n">
        <x:f>'Assumptions'!$D$8*EXP(-'Assumptions'!$D$9*('Fleet Engine'!E200-10))*'Assumptions'!E56*'Assumptions'!J36</x:f>
        <x:v>30662.21902501803</x:v>
      </x:c>
      <x:c r="K1362" s="27" t="n">
        <x:f>'Source Data'!F217+LN('Assumptions'!D56)+LN('Assumptions'!J35)</x:f>
        <x:v>8.031104662881733</x:v>
      </x:c>
      <x:c r="L1362" s="27" t="n">
        <x:f>J1362*(1-I1362*(1-'Carrier Engine'!E97))</x:f>
        <x:v>23139.754624213605</x:v>
      </x:c>
      <x:c r="M1362" s="29" t="n">
        <x:f>NORM.S.DIST((LN(L1362)-K1362)/'Assumptions'!$D$10,TRUE)</x:f>
        <x:v>0.9006581590391973</x:v>
      </x:c>
      <x:c r="N1362" s="30" t="n">
        <x:f>MAX(0,H1362-MAX(G1362,M1362))</x:f>
        <x:v>0</x:v>
      </x:c>
      <x:c r="O1362" s="28" t="n">
        <x:f>J1362*I1362</x:f>
        <x:v>7835.900417504607</x:v>
      </x:c>
      <x:c r="P1362" s="27" t="n">
        <x:f>(VLOOKUP(O1362,'Fee Data'!$C$6:$G$50,2,TRUE)+O1362*VLOOKUP(O1362,'Fee Data'!$C$6:$G$50,3,TRUE)+VLOOKUP(O1362,'Fee Data'!$I$6:$J$14,2,TRUE)+'Fee Data'!$J$20+'Fee Data'!$J$21)*'Assumptions'!J37</x:f>
        <x:v>1135</x:v>
      </x:c>
      <x:c r="Q1362" s="27" t="n">
        <x:f>(VLOOKUP(O1362,'Fee Data'!$C$6:$G$50,4,TRUE)+O1362*VLOOKUP(O1362,'Fee Data'!$C$6:$G$50,5,TRUE)+VLOOKUP(O1362,'Fee Data'!$I$6:$J$14,2,TRUE)+'Fee Data'!$J$20+'Fee Data'!$J$21)*'Assumptions'!J37</x:f>
        <x:v>1010</x:v>
      </x:c>
      <x:c r="R1362" s="27" t="n">
        <x:f>P1362*(1-'Assumptions'!$D$14)+Q1362*'Assumptions'!$D$14</x:f>
        <x:v>1072.5</x:v>
      </x:c>
      <x:c r="S1362" s="27" t="n">
        <x:f>O1362*'Carrier Engine'!E97</x:f>
        <x:v>313.4360167001843</x:v>
      </x:c>
      <x:c r="T1362" s="28" t="n">
        <x:f>R1362+S1362</x:f>
        <x:v>1385.9360167001844</x:v>
      </x:c>
      <x:c r="U1362" s="27" t="n">
        <x:f>N1362*'Fleet Engine'!L200</x:f>
        <x:v>0</x:v>
      </x:c>
      <x:c r="V1362" s="28" t="n">
        <x:f>U1362*T1362</x:f>
        <x:v>0</x:v>
      </x:c>
      <x:c r="W1362" s="28" t="n">
        <x:f>U1362*O1362</x:f>
        <x:v>0</x:v>
      </x:c>
    </x:row>
    <x:row r="1363" ht="19" customHeight="1">
      <x:c r="A1363" s="2"/>
      <x:c r="B1363" s="2"/>
      <x:c r="C1363" s="46" t="n">
        <x:v>6</x:v>
      </x:c>
      <x:c r="D1363" s="46" t="n">
        <x:v>6</x:v>
      </x:c>
      <x:c r="E1363" s="46" t="n">
        <x:v>1</x:v>
      </x:c>
      <x:c r="F1363" s="46" t="n">
        <x:v>0</x:v>
      </x:c>
      <x:c r="G1363" s="12" t="n">
        <x:v>0.7777777777777778</x:v>
      </x:c>
      <x:c r="H1363" s="12" t="n">
        <x:v>0.8888888888888888</x:v>
      </x:c>
      <x:c r="I1363" s="29" t="n">
        <x:f>'Assumptions'!$D$11+'Assumptions'!$D$12*(0.5-(G1363+H1363)/2)</x:f>
        <x:v>0.23333333333333334</x:v>
      </x:c>
      <x:c r="J1363" s="27" t="n">
        <x:f>'Assumptions'!$D$8*EXP(-'Assumptions'!$D$9*('Fleet Engine'!E200-10))*'Assumptions'!E56*'Assumptions'!J36</x:f>
        <x:v>30662.21902501803</x:v>
      </x:c>
      <x:c r="K1363" s="27" t="n">
        <x:f>'Source Data'!F217+LN('Assumptions'!D56)+LN('Assumptions'!J35)</x:f>
        <x:v>8.031104662881733</x:v>
      </x:c>
      <x:c r="L1363" s="27" t="n">
        <x:f>J1363*(1-I1363*(1-'Carrier Engine'!E97))</x:f>
        <x:v>23793.88196341399</x:v>
      </x:c>
      <x:c r="M1363" s="29" t="n">
        <x:f>NORM.S.DIST((LN(L1363)-K1363)/'Assumptions'!$D$10,TRUE)</x:f>
        <x:v>0.9037235718702767</x:v>
      </x:c>
      <x:c r="N1363" s="30" t="n">
        <x:f>MAX(0,H1363-MAX(G1363,M1363))</x:f>
        <x:v>0</x:v>
      </x:c>
      <x:c r="O1363" s="28" t="n">
        <x:f>J1363*I1363</x:f>
        <x:v>7154.517772504207</x:v>
      </x:c>
      <x:c r="P1363" s="27" t="n">
        <x:f>(VLOOKUP(O1363,'Fee Data'!$C$6:$G$50,2,TRUE)+O1363*VLOOKUP(O1363,'Fee Data'!$C$6:$G$50,3,TRUE)+VLOOKUP(O1363,'Fee Data'!$I$6:$J$14,2,TRUE)+'Fee Data'!$J$20+'Fee Data'!$J$21)*'Assumptions'!J37</x:f>
        <x:v>1115</x:v>
      </x:c>
      <x:c r="Q1363" s="27" t="n">
        <x:f>(VLOOKUP(O1363,'Fee Data'!$C$6:$G$50,4,TRUE)+O1363*VLOOKUP(O1363,'Fee Data'!$C$6:$G$50,5,TRUE)+VLOOKUP(O1363,'Fee Data'!$I$6:$J$14,2,TRUE)+'Fee Data'!$J$20+'Fee Data'!$J$21)*'Assumptions'!J37</x:f>
        <x:v>990</x:v>
      </x:c>
      <x:c r="R1363" s="27" t="n">
        <x:f>P1363*(1-'Assumptions'!$D$14)+Q1363*'Assumptions'!$D$14</x:f>
        <x:v>1052.5</x:v>
      </x:c>
      <x:c r="S1363" s="27" t="n">
        <x:f>O1363*'Carrier Engine'!E97</x:f>
        <x:v>286.1807109001683</x:v>
      </x:c>
      <x:c r="T1363" s="28" t="n">
        <x:f>R1363+S1363</x:f>
        <x:v>1338.6807109001684</x:v>
      </x:c>
      <x:c r="U1363" s="27" t="n">
        <x:f>N1363*'Fleet Engine'!L200</x:f>
        <x:v>0</x:v>
      </x:c>
      <x:c r="V1363" s="28" t="n">
        <x:f>U1363*T1363</x:f>
        <x:v>0</x:v>
      </x:c>
      <x:c r="W1363" s="28" t="n">
        <x:f>U1363*O1363</x:f>
        <x:v>0</x:v>
      </x:c>
    </x:row>
    <x:row r="1364" ht="19" customHeight="1">
      <x:c r="A1364" s="2"/>
      <x:c r="B1364" s="2"/>
      <x:c r="C1364" s="46" t="n">
        <x:v>6</x:v>
      </x:c>
      <x:c r="D1364" s="46" t="n">
        <x:v>6</x:v>
      </x:c>
      <x:c r="E1364" s="46" t="n">
        <x:v>1</x:v>
      </x:c>
      <x:c r="F1364" s="46" t="n">
        <x:v>0</x:v>
      </x:c>
      <x:c r="G1364" s="12" t="n">
        <x:v>0.8888888888888888</x:v>
      </x:c>
      <x:c r="H1364" s="12" t="n">
        <x:v>1</x:v>
      </x:c>
      <x:c r="I1364" s="29" t="n">
        <x:f>'Assumptions'!$D$11+'Assumptions'!$D$12*(0.5-(G1364+H1364)/2)</x:f>
        <x:v>0.21111111111111108</x:v>
      </x:c>
      <x:c r="J1364" s="27" t="n">
        <x:f>'Assumptions'!$D$8*EXP(-'Assumptions'!$D$9*('Fleet Engine'!E200-10))*'Assumptions'!E56*'Assumptions'!J36</x:f>
        <x:v>30662.21902501803</x:v>
      </x:c>
      <x:c r="K1364" s="27" t="n">
        <x:f>'Source Data'!F217+LN('Assumptions'!D56)+LN('Assumptions'!J35)</x:f>
        <x:v>8.031104662881733</x:v>
      </x:c>
      <x:c r="L1364" s="27" t="n">
        <x:f>J1364*(1-I1364*(1-'Carrier Engine'!E97))</x:f>
        <x:v>24448.009302614373</x:v>
      </x:c>
      <x:c r="M1364" s="29" t="n">
        <x:f>NORM.S.DIST((LN(L1364)-K1364)/'Assumptions'!$D$10,TRUE)</x:f>
        <x:v>0.9066385661246656</x:v>
      </x:c>
      <x:c r="N1364" s="30" t="n">
        <x:f>MAX(0,H1364-MAX(G1364,M1364))</x:f>
        <x:v>0.09336143387533435</x:v>
      </x:c>
      <x:c r="O1364" s="28" t="n">
        <x:f>J1364*I1364</x:f>
        <x:v>6473.135127503805</x:v>
      </x:c>
      <x:c r="P1364" s="27" t="n">
        <x:f>(VLOOKUP(O1364,'Fee Data'!$C$6:$G$50,2,TRUE)+O1364*VLOOKUP(O1364,'Fee Data'!$C$6:$G$50,3,TRUE)+VLOOKUP(O1364,'Fee Data'!$I$6:$J$14,2,TRUE)+'Fee Data'!$J$20+'Fee Data'!$J$21)*'Assumptions'!J37</x:f>
        <x:v>1060</x:v>
      </x:c>
      <x:c r="Q1364" s="27" t="n">
        <x:f>(VLOOKUP(O1364,'Fee Data'!$C$6:$G$50,4,TRUE)+O1364*VLOOKUP(O1364,'Fee Data'!$C$6:$G$50,5,TRUE)+VLOOKUP(O1364,'Fee Data'!$I$6:$J$14,2,TRUE)+'Fee Data'!$J$20+'Fee Data'!$J$21)*'Assumptions'!J37</x:f>
        <x:v>935</x:v>
      </x:c>
      <x:c r="R1364" s="27" t="n">
        <x:f>P1364*(1-'Assumptions'!$D$14)+Q1364*'Assumptions'!$D$14</x:f>
        <x:v>997.5</x:v>
      </x:c>
      <x:c r="S1364" s="27" t="n">
        <x:f>O1364*'Carrier Engine'!E97</x:f>
        <x:v>258.92540510015226</x:v>
      </x:c>
      <x:c r="T1364" s="28" t="n">
        <x:f>R1364+S1364</x:f>
        <x:v>1256.4254051001521</x:v>
      </x:c>
      <x:c r="U1364" s="27" t="n">
        <x:f>N1364*'Fleet Engine'!L200</x:f>
        <x:v>442.3526289463109</x:v>
      </x:c>
      <x:c r="V1364" s="28" t="n">
        <x:f>U1364*T1364</x:f>
        <x:v>555783.081020986</x:v>
      </x:c>
      <x:c r="W1364" s="28" t="n">
        <x:f>U1364*O1364</x:f>
        <x:v>2863408.341176022</x:v>
      </x:c>
    </x:row>
    <x:row r="1365" ht="19" customHeight="1">
      <x:c r="A1365" s="2"/>
      <x:c r="B1365" s="2"/>
      <x:c r="C1365" s="46" t="n">
        <x:v>6</x:v>
      </x:c>
      <x:c r="D1365" s="46" t="n">
        <x:v>7</x:v>
      </x:c>
      <x:c r="E1365" s="46" t="n">
        <x:v>1</x:v>
      </x:c>
      <x:c r="F1365" s="46" t="n">
        <x:v>1</x:v>
      </x:c>
      <x:c r="G1365" s="12" t="n">
        <x:v>0</x:v>
      </x:c>
      <x:c r="H1365" s="12" t="n">
        <x:v>0.1111111111111111</x:v>
      </x:c>
      <x:c r="I1365" s="29" t="n">
        <x:f>'Assumptions'!$D$11+'Assumptions'!$D$12*(0.5-(G1365+H1365)/2)</x:f>
        <x:v>0.3888888888888889</x:v>
      </x:c>
      <x:c r="J1365" s="27" t="n">
        <x:f>'Assumptions'!$D$8*EXP(-'Assumptions'!$D$9*('Fleet Engine'!E201-10))*'Assumptions'!E56*'Assumptions'!J36</x:f>
        <x:v>25104.101673395035</x:v>
      </x:c>
      <x:c r="K1365" s="27" t="n">
        <x:f>'Source Data'!F218+LN('Assumptions'!D56)+LN('Assumptions'!J35)</x:f>
        <x:v>7.916663861337495</x:v>
      </x:c>
      <x:c r="L1365" s="27" t="n">
        <x:f>J1365*(1-I1365*(1-'Carrier Engine'!E97))</x:f>
        <x:v>15731.903715327557</x:v>
      </x:c>
      <x:c r="M1365" s="29" t="n">
        <x:f>NORM.S.DIST((LN(L1365)-K1365)/'Assumptions'!$D$10,TRUE)</x:f>
        <x:v>0.867028537246276</x:v>
      </x:c>
      <x:c r="N1365" s="30" t="n">
        <x:f>MAX(0,H1365-MAX(G1365,M1365))</x:f>
        <x:v>0</x:v>
      </x:c>
      <x:c r="O1365" s="28" t="n">
        <x:f>J1365*I1365</x:f>
        <x:v>9762.706206320292</x:v>
      </x:c>
      <x:c r="P1365" s="27" t="n">
        <x:f>(VLOOKUP(O1365,'Fee Data'!$C$6:$G$50,2,TRUE)+O1365*VLOOKUP(O1365,'Fee Data'!$C$6:$G$50,3,TRUE)+VLOOKUP(O1365,'Fee Data'!$I$6:$J$14,2,TRUE)+'Fee Data'!$J$20+'Fee Data'!$J$21)*'Assumptions'!J37</x:f>
        <x:v>1195</x:v>
      </x:c>
      <x:c r="Q1365" s="27" t="n">
        <x:f>(VLOOKUP(O1365,'Fee Data'!$C$6:$G$50,4,TRUE)+O1365*VLOOKUP(O1365,'Fee Data'!$C$6:$G$50,5,TRUE)+VLOOKUP(O1365,'Fee Data'!$I$6:$J$14,2,TRUE)+'Fee Data'!$J$20+'Fee Data'!$J$21)*'Assumptions'!J37</x:f>
        <x:v>1070</x:v>
      </x:c>
      <x:c r="R1365" s="27" t="n">
        <x:f>P1365*(1-'Assumptions'!$D$14)+Q1365*'Assumptions'!$D$14</x:f>
        <x:v>1132.5</x:v>
      </x:c>
      <x:c r="S1365" s="27" t="n">
        <x:f>O1365*'Carrier Engine'!E97</x:f>
        <x:v>390.50824825281177</x:v>
      </x:c>
      <x:c r="T1365" s="28" t="n">
        <x:f>R1365+S1365</x:f>
        <x:v>1523.0082482528119</x:v>
      </x:c>
      <x:c r="U1365" s="27" t="n">
        <x:f>N1365*'Fleet Engine'!L201</x:f>
        <x:v>0</x:v>
      </x:c>
      <x:c r="V1365" s="28" t="n">
        <x:f>U1365*T1365</x:f>
        <x:v>0</x:v>
      </x:c>
      <x:c r="W1365" s="28" t="n">
        <x:f>U1365*O1365</x:f>
        <x:v>0</x:v>
      </x:c>
    </x:row>
    <x:row r="1366" ht="19" customHeight="1">
      <x:c r="A1366" s="2"/>
      <x:c r="B1366" s="2"/>
      <x:c r="C1366" s="46" t="n">
        <x:v>6</x:v>
      </x:c>
      <x:c r="D1366" s="46" t="n">
        <x:v>7</x:v>
      </x:c>
      <x:c r="E1366" s="46" t="n">
        <x:v>1</x:v>
      </x:c>
      <x:c r="F1366" s="46" t="n">
        <x:v>1</x:v>
      </x:c>
      <x:c r="G1366" s="12" t="n">
        <x:v>0.1111111111111111</x:v>
      </x:c>
      <x:c r="H1366" s="12" t="n">
        <x:v>0.2222222222222222</x:v>
      </x:c>
      <x:c r="I1366" s="29" t="n">
        <x:f>'Assumptions'!$D$11+'Assumptions'!$D$12*(0.5-(G1366+H1366)/2)</x:f>
        <x:v>0.3666666666666667</x:v>
      </x:c>
      <x:c r="J1366" s="27" t="n">
        <x:f>'Assumptions'!$D$8*EXP(-'Assumptions'!$D$9*('Fleet Engine'!E201-10))*'Assumptions'!E56*'Assumptions'!J36</x:f>
        <x:v>25104.101673395035</x:v>
      </x:c>
      <x:c r="K1366" s="27" t="n">
        <x:f>'Source Data'!F218+LN('Assumptions'!D56)+LN('Assumptions'!J35)</x:f>
        <x:v>7.916663861337495</x:v>
      </x:c>
      <x:c r="L1366" s="27" t="n">
        <x:f>J1366*(1-I1366*(1-'Carrier Engine'!E97))</x:f>
        <x:v>16267.45788435998</x:v>
      </x:c>
      <x:c r="M1366" s="29" t="n">
        <x:f>NORM.S.DIST((LN(L1366)-K1366)/'Assumptions'!$D$10,TRUE)</x:f>
        <x:v>0.8715552402854367</x:v>
      </x:c>
      <x:c r="N1366" s="30" t="n">
        <x:f>MAX(0,H1366-MAX(G1366,M1366))</x:f>
        <x:v>0</x:v>
      </x:c>
      <x:c r="O1366" s="28" t="n">
        <x:f>J1366*I1366</x:f>
        <x:v>9204.837280244847</x:v>
      </x:c>
      <x:c r="P1366" s="27" t="n">
        <x:f>(VLOOKUP(O1366,'Fee Data'!$C$6:$G$50,2,TRUE)+O1366*VLOOKUP(O1366,'Fee Data'!$C$6:$G$50,3,TRUE)+VLOOKUP(O1366,'Fee Data'!$I$6:$J$14,2,TRUE)+'Fee Data'!$J$20+'Fee Data'!$J$21)*'Assumptions'!J37</x:f>
        <x:v>1195</x:v>
      </x:c>
      <x:c r="Q1366" s="27" t="n">
        <x:f>(VLOOKUP(O1366,'Fee Data'!$C$6:$G$50,4,TRUE)+O1366*VLOOKUP(O1366,'Fee Data'!$C$6:$G$50,5,TRUE)+VLOOKUP(O1366,'Fee Data'!$I$6:$J$14,2,TRUE)+'Fee Data'!$J$20+'Fee Data'!$J$21)*'Assumptions'!J37</x:f>
        <x:v>1070</x:v>
      </x:c>
      <x:c r="R1366" s="27" t="n">
        <x:f>P1366*(1-'Assumptions'!$D$14)+Q1366*'Assumptions'!$D$14</x:f>
        <x:v>1132.5</x:v>
      </x:c>
      <x:c r="S1366" s="27" t="n">
        <x:f>O1366*'Carrier Engine'!E97</x:f>
        <x:v>368.19349120979393</x:v>
      </x:c>
      <x:c r="T1366" s="28" t="n">
        <x:f>R1366+S1366</x:f>
        <x:v>1500.693491209794</x:v>
      </x:c>
      <x:c r="U1366" s="27" t="n">
        <x:f>N1366*'Fleet Engine'!L201</x:f>
        <x:v>0</x:v>
      </x:c>
      <x:c r="V1366" s="28" t="n">
        <x:f>U1366*T1366</x:f>
        <x:v>0</x:v>
      </x:c>
      <x:c r="W1366" s="28" t="n">
        <x:f>U1366*O1366</x:f>
        <x:v>0</x:v>
      </x:c>
    </x:row>
    <x:row r="1367" ht="19" customHeight="1">
      <x:c r="A1367" s="2"/>
      <x:c r="B1367" s="2"/>
      <x:c r="C1367" s="46" t="n">
        <x:v>6</x:v>
      </x:c>
      <x:c r="D1367" s="46" t="n">
        <x:v>7</x:v>
      </x:c>
      <x:c r="E1367" s="46" t="n">
        <x:v>1</x:v>
      </x:c>
      <x:c r="F1367" s="46" t="n">
        <x:v>1</x:v>
      </x:c>
      <x:c r="G1367" s="12" t="n">
        <x:v>0.2222222222222222</x:v>
      </x:c>
      <x:c r="H1367" s="12" t="n">
        <x:v>0.3333333333333333</x:v>
      </x:c>
      <x:c r="I1367" s="29" t="n">
        <x:f>'Assumptions'!$D$11+'Assumptions'!$D$12*(0.5-(G1367+H1367)/2)</x:f>
        <x:v>0.34444444444444444</x:v>
      </x:c>
      <x:c r="J1367" s="27" t="n">
        <x:f>'Assumptions'!$D$8*EXP(-'Assumptions'!$D$9*('Fleet Engine'!E201-10))*'Assumptions'!E56*'Assumptions'!J36</x:f>
        <x:v>25104.101673395035</x:v>
      </x:c>
      <x:c r="K1367" s="27" t="n">
        <x:f>'Source Data'!F218+LN('Assumptions'!D56)+LN('Assumptions'!J35)</x:f>
        <x:v>7.916663861337495</x:v>
      </x:c>
      <x:c r="L1367" s="27" t="n">
        <x:f>J1367*(1-I1367*(1-'Carrier Engine'!E97))</x:f>
        <x:v>16803.01205339241</x:v>
      </x:c>
      <x:c r="M1367" s="29" t="n">
        <x:f>NORM.S.DIST((LN(L1367)-K1367)/'Assumptions'!$D$10,TRUE)</x:f>
        <x:v>0.8758323922514895</x:v>
      </x:c>
      <x:c r="N1367" s="30" t="n">
        <x:f>MAX(0,H1367-MAX(G1367,M1367))</x:f>
        <x:v>0</x:v>
      </x:c>
      <x:c r="O1367" s="28" t="n">
        <x:f>J1367*I1367</x:f>
        <x:v>8646.968354169401</x:v>
      </x:c>
      <x:c r="P1367" s="27" t="n">
        <x:f>(VLOOKUP(O1367,'Fee Data'!$C$6:$G$50,2,TRUE)+O1367*VLOOKUP(O1367,'Fee Data'!$C$6:$G$50,3,TRUE)+VLOOKUP(O1367,'Fee Data'!$I$6:$J$14,2,TRUE)+'Fee Data'!$J$20+'Fee Data'!$J$21)*'Assumptions'!J37</x:f>
        <x:v>1195</x:v>
      </x:c>
      <x:c r="Q1367" s="27" t="n">
        <x:f>(VLOOKUP(O1367,'Fee Data'!$C$6:$G$50,4,TRUE)+O1367*VLOOKUP(O1367,'Fee Data'!$C$6:$G$50,5,TRUE)+VLOOKUP(O1367,'Fee Data'!$I$6:$J$14,2,TRUE)+'Fee Data'!$J$20+'Fee Data'!$J$21)*'Assumptions'!J37</x:f>
        <x:v>1070</x:v>
      </x:c>
      <x:c r="R1367" s="27" t="n">
        <x:f>P1367*(1-'Assumptions'!$D$14)+Q1367*'Assumptions'!$D$14</x:f>
        <x:v>1132.5</x:v>
      </x:c>
      <x:c r="S1367" s="27" t="n">
        <x:f>O1367*'Carrier Engine'!E97</x:f>
        <x:v>345.8787341667761</x:v>
      </x:c>
      <x:c r="T1367" s="28" t="n">
        <x:f>R1367+S1367</x:f>
        <x:v>1478.3787341667762</x:v>
      </x:c>
      <x:c r="U1367" s="27" t="n">
        <x:f>N1367*'Fleet Engine'!L201</x:f>
        <x:v>0</x:v>
      </x:c>
      <x:c r="V1367" s="28" t="n">
        <x:f>U1367*T1367</x:f>
        <x:v>0</x:v>
      </x:c>
      <x:c r="W1367" s="28" t="n">
        <x:f>U1367*O1367</x:f>
        <x:v>0</x:v>
      </x:c>
    </x:row>
    <x:row r="1368" ht="19" customHeight="1">
      <x:c r="A1368" s="2"/>
      <x:c r="B1368" s="2"/>
      <x:c r="C1368" s="46" t="n">
        <x:v>6</x:v>
      </x:c>
      <x:c r="D1368" s="46" t="n">
        <x:v>7</x:v>
      </x:c>
      <x:c r="E1368" s="46" t="n">
        <x:v>1</x:v>
      </x:c>
      <x:c r="F1368" s="46" t="n">
        <x:v>1</x:v>
      </x:c>
      <x:c r="G1368" s="12" t="n">
        <x:v>0.3333333333333333</x:v>
      </x:c>
      <x:c r="H1368" s="12" t="n">
        <x:v>0.4444444444444444</x:v>
      </x:c>
      <x:c r="I1368" s="29" t="n">
        <x:f>'Assumptions'!$D$11+'Assumptions'!$D$12*(0.5-(G1368+H1368)/2)</x:f>
        <x:v>0.32222222222222224</x:v>
      </x:c>
      <x:c r="J1368" s="27" t="n">
        <x:f>'Assumptions'!$D$8*EXP(-'Assumptions'!$D$9*('Fleet Engine'!E201-10))*'Assumptions'!E56*'Assumptions'!J36</x:f>
        <x:v>25104.101673395035</x:v>
      </x:c>
      <x:c r="K1368" s="27" t="n">
        <x:f>'Source Data'!F218+LN('Assumptions'!D56)+LN('Assumptions'!J35)</x:f>
        <x:v>7.916663861337495</x:v>
      </x:c>
      <x:c r="L1368" s="27" t="n">
        <x:f>J1368*(1-I1368*(1-'Carrier Engine'!E97))</x:f>
        <x:v>17338.566222424837</x:v>
      </x:c>
      <x:c r="M1368" s="29" t="n">
        <x:f>NORM.S.DIST((LN(L1368)-K1368)/'Assumptions'!$D$10,TRUE)</x:f>
        <x:v>0.8798793690489362</x:v>
      </x:c>
      <x:c r="N1368" s="30" t="n">
        <x:f>MAX(0,H1368-MAX(G1368,M1368))</x:f>
        <x:v>0</x:v>
      </x:c>
      <x:c r="O1368" s="28" t="n">
        <x:f>J1368*I1368</x:f>
        <x:v>8089.099428093956</x:v>
      </x:c>
      <x:c r="P1368" s="27" t="n">
        <x:f>(VLOOKUP(O1368,'Fee Data'!$C$6:$G$50,2,TRUE)+O1368*VLOOKUP(O1368,'Fee Data'!$C$6:$G$50,3,TRUE)+VLOOKUP(O1368,'Fee Data'!$I$6:$J$14,2,TRUE)+'Fee Data'!$J$20+'Fee Data'!$J$21)*'Assumptions'!J37</x:f>
        <x:v>1175</x:v>
      </x:c>
      <x:c r="Q1368" s="27" t="n">
        <x:f>(VLOOKUP(O1368,'Fee Data'!$C$6:$G$50,4,TRUE)+O1368*VLOOKUP(O1368,'Fee Data'!$C$6:$G$50,5,TRUE)+VLOOKUP(O1368,'Fee Data'!$I$6:$J$14,2,TRUE)+'Fee Data'!$J$20+'Fee Data'!$J$21)*'Assumptions'!J37</x:f>
        <x:v>1050</x:v>
      </x:c>
      <x:c r="R1368" s="27" t="n">
        <x:f>P1368*(1-'Assumptions'!$D$14)+Q1368*'Assumptions'!$D$14</x:f>
        <x:v>1112.5</x:v>
      </x:c>
      <x:c r="S1368" s="27" t="n">
        <x:f>O1368*'Carrier Engine'!E97</x:f>
        <x:v>323.5639771237583</x:v>
      </x:c>
      <x:c r="T1368" s="28" t="n">
        <x:f>R1368+S1368</x:f>
        <x:v>1436.0639771237584</x:v>
      </x:c>
      <x:c r="U1368" s="27" t="n">
        <x:f>N1368*'Fleet Engine'!L201</x:f>
        <x:v>0</x:v>
      </x:c>
      <x:c r="V1368" s="28" t="n">
        <x:f>U1368*T1368</x:f>
        <x:v>0</x:v>
      </x:c>
      <x:c r="W1368" s="28" t="n">
        <x:f>U1368*O1368</x:f>
        <x:v>0</x:v>
      </x:c>
    </x:row>
    <x:row r="1369" ht="19" customHeight="1">
      <x:c r="A1369" s="2"/>
      <x:c r="B1369" s="2"/>
      <x:c r="C1369" s="46" t="n">
        <x:v>6</x:v>
      </x:c>
      <x:c r="D1369" s="46" t="n">
        <x:v>7</x:v>
      </x:c>
      <x:c r="E1369" s="46" t="n">
        <x:v>1</x:v>
      </x:c>
      <x:c r="F1369" s="46" t="n">
        <x:v>1</x:v>
      </x:c>
      <x:c r="G1369" s="12" t="n">
        <x:v>0.4444444444444444</x:v>
      </x:c>
      <x:c r="H1369" s="12" t="n">
        <x:v>0.5555555555555556</x:v>
      </x:c>
      <x:c r="I1369" s="29" t="n">
        <x:f>'Assumptions'!$D$11+'Assumptions'!$D$12*(0.5-(G1369+H1369)/2)</x:f>
        <x:v>0.3</x:v>
      </x:c>
      <x:c r="J1369" s="27" t="n">
        <x:f>'Assumptions'!$D$8*EXP(-'Assumptions'!$D$9*('Fleet Engine'!E201-10))*'Assumptions'!E56*'Assumptions'!J36</x:f>
        <x:v>25104.101673395035</x:v>
      </x:c>
      <x:c r="K1369" s="27" t="n">
        <x:f>'Source Data'!F218+LN('Assumptions'!D56)+LN('Assumptions'!J35)</x:f>
        <x:v>7.916663861337495</x:v>
      </x:c>
      <x:c r="L1369" s="27" t="n">
        <x:f>J1369*(1-I1369*(1-'Carrier Engine'!E97))</x:f>
        <x:v>17874.120391457265</x:v>
      </x:c>
      <x:c r="M1369" s="29" t="n">
        <x:f>NORM.S.DIST((LN(L1369)-K1369)/'Assumptions'!$D$10,TRUE)</x:f>
        <x:v>0.883713600649329</x:v>
      </x:c>
      <x:c r="N1369" s="30" t="n">
        <x:f>MAX(0,H1369-MAX(G1369,M1369))</x:f>
        <x:v>0</x:v>
      </x:c>
      <x:c r="O1369" s="28" t="n">
        <x:f>J1369*I1369</x:f>
        <x:v>7531.23050201851</x:v>
      </x:c>
      <x:c r="P1369" s="27" t="n">
        <x:f>(VLOOKUP(O1369,'Fee Data'!$C$6:$G$50,2,TRUE)+O1369*VLOOKUP(O1369,'Fee Data'!$C$6:$G$50,3,TRUE)+VLOOKUP(O1369,'Fee Data'!$I$6:$J$14,2,TRUE)+'Fee Data'!$J$20+'Fee Data'!$J$21)*'Assumptions'!J37</x:f>
        <x:v>1135</x:v>
      </x:c>
      <x:c r="Q1369" s="27" t="n">
        <x:f>(VLOOKUP(O1369,'Fee Data'!$C$6:$G$50,4,TRUE)+O1369*VLOOKUP(O1369,'Fee Data'!$C$6:$G$50,5,TRUE)+VLOOKUP(O1369,'Fee Data'!$I$6:$J$14,2,TRUE)+'Fee Data'!$J$20+'Fee Data'!$J$21)*'Assumptions'!J37</x:f>
        <x:v>1010</x:v>
      </x:c>
      <x:c r="R1369" s="27" t="n">
        <x:f>P1369*(1-'Assumptions'!$D$14)+Q1369*'Assumptions'!$D$14</x:f>
        <x:v>1072.5</x:v>
      </x:c>
      <x:c r="S1369" s="27" t="n">
        <x:f>O1369*'Carrier Engine'!E97</x:f>
        <x:v>301.2492200807405</x:v>
      </x:c>
      <x:c r="T1369" s="28" t="n">
        <x:f>R1369+S1369</x:f>
        <x:v>1373.7492200807405</x:v>
      </x:c>
      <x:c r="U1369" s="27" t="n">
        <x:f>N1369*'Fleet Engine'!L201</x:f>
        <x:v>0</x:v>
      </x:c>
      <x:c r="V1369" s="28" t="n">
        <x:f>U1369*T1369</x:f>
        <x:v>0</x:v>
      </x:c>
      <x:c r="W1369" s="28" t="n">
        <x:f>U1369*O1369</x:f>
        <x:v>0</x:v>
      </x:c>
    </x:row>
    <x:row r="1370" ht="19" customHeight="1">
      <x:c r="A1370" s="2"/>
      <x:c r="B1370" s="2"/>
      <x:c r="C1370" s="46" t="n">
        <x:v>6</x:v>
      </x:c>
      <x:c r="D1370" s="46" t="n">
        <x:v>7</x:v>
      </x:c>
      <x:c r="E1370" s="46" t="n">
        <x:v>1</x:v>
      </x:c>
      <x:c r="F1370" s="46" t="n">
        <x:v>1</x:v>
      </x:c>
      <x:c r="G1370" s="12" t="n">
        <x:v>0.5555555555555556</x:v>
      </x:c>
      <x:c r="H1370" s="12" t="n">
        <x:v>0.6666666666666666</x:v>
      </x:c>
      <x:c r="I1370" s="29" t="n">
        <x:f>'Assumptions'!$D$11+'Assumptions'!$D$12*(0.5-(G1370+H1370)/2)</x:f>
        <x:v>0.27777777777777773</x:v>
      </x:c>
      <x:c r="J1370" s="27" t="n">
        <x:f>'Assumptions'!$D$8*EXP(-'Assumptions'!$D$9*('Fleet Engine'!E201-10))*'Assumptions'!E56*'Assumptions'!J36</x:f>
        <x:v>25104.101673395035</x:v>
      </x:c>
      <x:c r="K1370" s="27" t="n">
        <x:f>'Source Data'!F218+LN('Assumptions'!D56)+LN('Assumptions'!J35)</x:f>
        <x:v>7.916663861337495</x:v>
      </x:c>
      <x:c r="L1370" s="27" t="n">
        <x:f>J1370*(1-I1370*(1-'Carrier Engine'!E97))</x:f>
        <x:v>18409.674560489693</x:v>
      </x:c>
      <x:c r="M1370" s="29" t="n">
        <x:f>NORM.S.DIST((LN(L1370)-K1370)/'Assumptions'!$D$10,TRUE)</x:f>
        <x:v>0.8873508102719798</x:v>
      </x:c>
      <x:c r="N1370" s="30" t="n">
        <x:f>MAX(0,H1370-MAX(G1370,M1370))</x:f>
        <x:v>0</x:v>
      </x:c>
      <x:c r="O1370" s="28" t="n">
        <x:f>J1370*I1370</x:f>
        <x:v>6973.361575943064</x:v>
      </x:c>
      <x:c r="P1370" s="27" t="n">
        <x:f>(VLOOKUP(O1370,'Fee Data'!$C$6:$G$50,2,TRUE)+O1370*VLOOKUP(O1370,'Fee Data'!$C$6:$G$50,3,TRUE)+VLOOKUP(O1370,'Fee Data'!$I$6:$J$14,2,TRUE)+'Fee Data'!$J$20+'Fee Data'!$J$21)*'Assumptions'!J37</x:f>
        <x:v>1080</x:v>
      </x:c>
      <x:c r="Q1370" s="27" t="n">
        <x:f>(VLOOKUP(O1370,'Fee Data'!$C$6:$G$50,4,TRUE)+O1370*VLOOKUP(O1370,'Fee Data'!$C$6:$G$50,5,TRUE)+VLOOKUP(O1370,'Fee Data'!$I$6:$J$14,2,TRUE)+'Fee Data'!$J$20+'Fee Data'!$J$21)*'Assumptions'!J37</x:f>
        <x:v>955</x:v>
      </x:c>
      <x:c r="R1370" s="27" t="n">
        <x:f>P1370*(1-'Assumptions'!$D$14)+Q1370*'Assumptions'!$D$14</x:f>
        <x:v>1017.5</x:v>
      </x:c>
      <x:c r="S1370" s="27" t="n">
        <x:f>O1370*'Carrier Engine'!E97</x:f>
        <x:v>278.9344630377226</x:v>
      </x:c>
      <x:c r="T1370" s="28" t="n">
        <x:f>R1370+S1370</x:f>
        <x:v>1296.4344630377227</x:v>
      </x:c>
      <x:c r="U1370" s="27" t="n">
        <x:f>N1370*'Fleet Engine'!L201</x:f>
        <x:v>0</x:v>
      </x:c>
      <x:c r="V1370" s="28" t="n">
        <x:f>U1370*T1370</x:f>
        <x:v>0</x:v>
      </x:c>
      <x:c r="W1370" s="28" t="n">
        <x:f>U1370*O1370</x:f>
        <x:v>0</x:v>
      </x:c>
    </x:row>
    <x:row r="1371" ht="19" customHeight="1">
      <x:c r="A1371" s="2"/>
      <x:c r="B1371" s="2"/>
      <x:c r="C1371" s="46" t="n">
        <x:v>6</x:v>
      </x:c>
      <x:c r="D1371" s="46" t="n">
        <x:v>7</x:v>
      </x:c>
      <x:c r="E1371" s="46" t="n">
        <x:v>1</x:v>
      </x:c>
      <x:c r="F1371" s="46" t="n">
        <x:v>1</x:v>
      </x:c>
      <x:c r="G1371" s="12" t="n">
        <x:v>0.6666666666666666</x:v>
      </x:c>
      <x:c r="H1371" s="12" t="n">
        <x:v>0.7777777777777778</x:v>
      </x:c>
      <x:c r="I1371" s="29" t="n">
        <x:f>'Assumptions'!$D$11+'Assumptions'!$D$12*(0.5-(G1371+H1371)/2)</x:f>
        <x:v>0.25555555555555554</x:v>
      </x:c>
      <x:c r="J1371" s="27" t="n">
        <x:f>'Assumptions'!$D$8*EXP(-'Assumptions'!$D$9*('Fleet Engine'!E201-10))*'Assumptions'!E56*'Assumptions'!J36</x:f>
        <x:v>25104.101673395035</x:v>
      </x:c>
      <x:c r="K1371" s="27" t="n">
        <x:f>'Source Data'!F218+LN('Assumptions'!D56)+LN('Assumptions'!J35)</x:f>
        <x:v>7.916663861337495</x:v>
      </x:c>
      <x:c r="L1371" s="27" t="n">
        <x:f>J1371*(1-I1371*(1-'Carrier Engine'!E97))</x:f>
        <x:v>18945.22872952212</x:v>
      </x:c>
      <x:c r="M1371" s="29" t="n">
        <x:f>NORM.S.DIST((LN(L1371)-K1371)/'Assumptions'!$D$10,TRUE)</x:f>
        <x:v>0.8908052189301703</x:v>
      </x:c>
      <x:c r="N1371" s="30" t="n">
        <x:f>MAX(0,H1371-MAX(G1371,M1371))</x:f>
        <x:v>0</x:v>
      </x:c>
      <x:c r="O1371" s="28" t="n">
        <x:f>J1371*I1371</x:f>
        <x:v>6415.49264986762</x:v>
      </x:c>
      <x:c r="P1371" s="27" t="n">
        <x:f>(VLOOKUP(O1371,'Fee Data'!$C$6:$G$50,2,TRUE)+O1371*VLOOKUP(O1371,'Fee Data'!$C$6:$G$50,3,TRUE)+VLOOKUP(O1371,'Fee Data'!$I$6:$J$14,2,TRUE)+'Fee Data'!$J$20+'Fee Data'!$J$21)*'Assumptions'!J37</x:f>
        <x:v>1060</x:v>
      </x:c>
      <x:c r="Q1371" s="27" t="n">
        <x:f>(VLOOKUP(O1371,'Fee Data'!$C$6:$G$50,4,TRUE)+O1371*VLOOKUP(O1371,'Fee Data'!$C$6:$G$50,5,TRUE)+VLOOKUP(O1371,'Fee Data'!$I$6:$J$14,2,TRUE)+'Fee Data'!$J$20+'Fee Data'!$J$21)*'Assumptions'!J37</x:f>
        <x:v>935</x:v>
      </x:c>
      <x:c r="R1371" s="27" t="n">
        <x:f>P1371*(1-'Assumptions'!$D$14)+Q1371*'Assumptions'!$D$14</x:f>
        <x:v>997.5</x:v>
      </x:c>
      <x:c r="S1371" s="27" t="n">
        <x:f>O1371*'Carrier Engine'!E97</x:f>
        <x:v>256.6197059947048</x:v>
      </x:c>
      <x:c r="T1371" s="28" t="n">
        <x:f>R1371+S1371</x:f>
        <x:v>1254.1197059947049</x:v>
      </x:c>
      <x:c r="U1371" s="27" t="n">
        <x:f>N1371*'Fleet Engine'!L201</x:f>
        <x:v>0</x:v>
      </x:c>
      <x:c r="V1371" s="28" t="n">
        <x:f>U1371*T1371</x:f>
        <x:v>0</x:v>
      </x:c>
      <x:c r="W1371" s="28" t="n">
        <x:f>U1371*O1371</x:f>
        <x:v>0</x:v>
      </x:c>
    </x:row>
    <x:row r="1372" ht="19" customHeight="1">
      <x:c r="A1372" s="2"/>
      <x:c r="B1372" s="2"/>
      <x:c r="C1372" s="46" t="n">
        <x:v>6</x:v>
      </x:c>
      <x:c r="D1372" s="46" t="n">
        <x:v>7</x:v>
      </x:c>
      <x:c r="E1372" s="46" t="n">
        <x:v>1</x:v>
      </x:c>
      <x:c r="F1372" s="46" t="n">
        <x:v>1</x:v>
      </x:c>
      <x:c r="G1372" s="12" t="n">
        <x:v>0.7777777777777778</x:v>
      </x:c>
      <x:c r="H1372" s="12" t="n">
        <x:v>0.8888888888888888</x:v>
      </x:c>
      <x:c r="I1372" s="29" t="n">
        <x:f>'Assumptions'!$D$11+'Assumptions'!$D$12*(0.5-(G1372+H1372)/2)</x:f>
        <x:v>0.23333333333333334</x:v>
      </x:c>
      <x:c r="J1372" s="27" t="n">
        <x:f>'Assumptions'!$D$8*EXP(-'Assumptions'!$D$9*('Fleet Engine'!E201-10))*'Assumptions'!E56*'Assumptions'!J36</x:f>
        <x:v>25104.101673395035</x:v>
      </x:c>
      <x:c r="K1372" s="27" t="n">
        <x:f>'Source Data'!F218+LN('Assumptions'!D56)+LN('Assumptions'!J35)</x:f>
        <x:v>7.916663861337495</x:v>
      </x:c>
      <x:c r="L1372" s="27" t="n">
        <x:f>J1372*(1-I1372*(1-'Carrier Engine'!E97))</x:f>
        <x:v>19480.782898554546</x:v>
      </x:c>
      <x:c r="M1372" s="29" t="n">
        <x:f>NORM.S.DIST((LN(L1372)-K1372)/'Assumptions'!$D$10,TRUE)</x:f>
        <x:v>0.8940897210910779</x:v>
      </x:c>
      <x:c r="N1372" s="30" t="n">
        <x:f>MAX(0,H1372-MAX(G1372,M1372))</x:f>
        <x:v>0</x:v>
      </x:c>
      <x:c r="O1372" s="28" t="n">
        <x:f>J1372*I1372</x:f>
        <x:v>5857.623723792175</x:v>
      </x:c>
      <x:c r="P1372" s="27" t="n">
        <x:f>(VLOOKUP(O1372,'Fee Data'!$C$6:$G$50,2,TRUE)+O1372*VLOOKUP(O1372,'Fee Data'!$C$6:$G$50,3,TRUE)+VLOOKUP(O1372,'Fee Data'!$I$6:$J$14,2,TRUE)+'Fee Data'!$J$20+'Fee Data'!$J$21)*'Assumptions'!J37</x:f>
        <x:v>1020</x:v>
      </x:c>
      <x:c r="Q1372" s="27" t="n">
        <x:f>(VLOOKUP(O1372,'Fee Data'!$C$6:$G$50,4,TRUE)+O1372*VLOOKUP(O1372,'Fee Data'!$C$6:$G$50,5,TRUE)+VLOOKUP(O1372,'Fee Data'!$I$6:$J$14,2,TRUE)+'Fee Data'!$J$20+'Fee Data'!$J$21)*'Assumptions'!J37</x:f>
        <x:v>895</x:v>
      </x:c>
      <x:c r="R1372" s="27" t="n">
        <x:f>P1372*(1-'Assumptions'!$D$14)+Q1372*'Assumptions'!$D$14</x:f>
        <x:v>957.5</x:v>
      </x:c>
      <x:c r="S1372" s="27" t="n">
        <x:f>O1372*'Carrier Engine'!E97</x:f>
        <x:v>234.30494895168704</x:v>
      </x:c>
      <x:c r="T1372" s="28" t="n">
        <x:f>R1372+S1372</x:f>
        <x:v>1191.804948951687</x:v>
      </x:c>
      <x:c r="U1372" s="27" t="n">
        <x:f>N1372*'Fleet Engine'!L201</x:f>
        <x:v>0</x:v>
      </x:c>
      <x:c r="V1372" s="28" t="n">
        <x:f>U1372*T1372</x:f>
        <x:v>0</x:v>
      </x:c>
      <x:c r="W1372" s="28" t="n">
        <x:f>U1372*O1372</x:f>
        <x:v>0</x:v>
      </x:c>
    </x:row>
    <x:row r="1373" ht="19" customHeight="1">
      <x:c r="A1373" s="2"/>
      <x:c r="B1373" s="2"/>
      <x:c r="C1373" s="46" t="n">
        <x:v>6</x:v>
      </x:c>
      <x:c r="D1373" s="46" t="n">
        <x:v>7</x:v>
      </x:c>
      <x:c r="E1373" s="46" t="n">
        <x:v>1</x:v>
      </x:c>
      <x:c r="F1373" s="46" t="n">
        <x:v>1</x:v>
      </x:c>
      <x:c r="G1373" s="12" t="n">
        <x:v>0.8888888888888888</x:v>
      </x:c>
      <x:c r="H1373" s="12" t="n">
        <x:v>1</x:v>
      </x:c>
      <x:c r="I1373" s="29" t="n">
        <x:f>'Assumptions'!$D$11+'Assumptions'!$D$12*(0.5-(G1373+H1373)/2)</x:f>
        <x:v>0.21111111111111108</x:v>
      </x:c>
      <x:c r="J1373" s="27" t="n">
        <x:f>'Assumptions'!$D$8*EXP(-'Assumptions'!$D$9*('Fleet Engine'!E201-10))*'Assumptions'!E56*'Assumptions'!J36</x:f>
        <x:v>25104.101673395035</x:v>
      </x:c>
      <x:c r="K1373" s="27" t="n">
        <x:f>'Source Data'!F218+LN('Assumptions'!D56)+LN('Assumptions'!J35)</x:f>
        <x:v>7.916663861337495</x:v>
      </x:c>
      <x:c r="L1373" s="27" t="n">
        <x:f>J1373*(1-I1373*(1-'Carrier Engine'!E97))</x:f>
        <x:v>20016.337067586974</x:v>
      </x:c>
      <x:c r="M1373" s="29" t="n">
        <x:f>NORM.S.DIST((LN(L1373)-K1373)/'Assumptions'!$D$10,TRUE)</x:f>
        <x:v>0.897216036126494</x:v>
      </x:c>
      <x:c r="N1373" s="30" t="n">
        <x:f>MAX(0,H1373-MAX(G1373,M1373))</x:f>
        <x:v>0.10278396387350597</x:v>
      </x:c>
      <x:c r="O1373" s="28" t="n">
        <x:f>J1373*I1373</x:f>
        <x:v>5299.754797716729</x:v>
      </x:c>
      <x:c r="P1373" s="27" t="n">
        <x:f>(VLOOKUP(O1373,'Fee Data'!$C$6:$G$50,2,TRUE)+O1373*VLOOKUP(O1373,'Fee Data'!$C$6:$G$50,3,TRUE)+VLOOKUP(O1373,'Fee Data'!$I$6:$J$14,2,TRUE)+'Fee Data'!$J$20+'Fee Data'!$J$21)*'Assumptions'!J37</x:f>
        <x:v>995</x:v>
      </x:c>
      <x:c r="Q1373" s="27" t="n">
        <x:f>(VLOOKUP(O1373,'Fee Data'!$C$6:$G$50,4,TRUE)+O1373*VLOOKUP(O1373,'Fee Data'!$C$6:$G$50,5,TRUE)+VLOOKUP(O1373,'Fee Data'!$I$6:$J$14,2,TRUE)+'Fee Data'!$J$20+'Fee Data'!$J$21)*'Assumptions'!J37</x:f>
        <x:v>870</x:v>
      </x:c>
      <x:c r="R1373" s="27" t="n">
        <x:f>P1373*(1-'Assumptions'!$D$14)+Q1373*'Assumptions'!$D$14</x:f>
        <x:v>932.5</x:v>
      </x:c>
      <x:c r="S1373" s="27" t="n">
        <x:f>O1373*'Carrier Engine'!E97</x:f>
        <x:v>211.9901919086692</x:v>
      </x:c>
      <x:c r="T1373" s="28" t="n">
        <x:f>R1373+S1373</x:f>
        <x:v>1144.4901919086692</x:v>
      </x:c>
      <x:c r="U1373" s="27" t="n">
        <x:f>N1373*'Fleet Engine'!L201</x:f>
        <x:v>2764.137327897302</x:v>
      </x:c>
      <x:c r="V1373" s="28" t="n">
        <x:f>U1373*T1373</x:f>
        <x:v>3163528.060867099</x:v>
      </x:c>
      <x:c r="W1373" s="28" t="n">
        <x:f>U1373*O1373</x:f>
        <x:v>14649250.065071624</x:v>
      </x:c>
    </x:row>
    <x:row r="1374" ht="19" customHeight="1">
      <x:c r="A1374" s="2"/>
      <x:c r="B1374" s="2"/>
      <x:c r="C1374" s="46" t="n">
        <x:v>6</x:v>
      </x:c>
      <x:c r="D1374" s="46" t="n">
        <x:v>8</x:v>
      </x:c>
      <x:c r="E1374" s="46" t="n">
        <x:v>1</x:v>
      </x:c>
      <x:c r="F1374" s="46" t="n">
        <x:v>2</x:v>
      </x:c>
      <x:c r="G1374" s="12" t="n">
        <x:v>0</x:v>
      </x:c>
      <x:c r="H1374" s="12" t="n">
        <x:v>0.1111111111111111</x:v>
      </x:c>
      <x:c r="I1374" s="29" t="n">
        <x:f>'Assumptions'!$D$11+'Assumptions'!$D$12*(0.5-(G1374+H1374)/2)</x:f>
        <x:v>0.3888888888888889</x:v>
      </x:c>
      <x:c r="J1374" s="27" t="n">
        <x:f>'Assumptions'!$D$8*EXP(-'Assumptions'!$D$9*('Fleet Engine'!E202-10))*'Assumptions'!E56*'Assumptions'!J36</x:f>
        <x:v>18597.575933497446</x:v>
      </x:c>
      <x:c r="K1374" s="27" t="n">
        <x:f>'Source Data'!F219+LN('Assumptions'!D56)+LN('Assumptions'!J35)</x:f>
        <x:v>7.962345702623303</x:v>
      </x:c>
      <x:c r="L1374" s="27" t="n">
        <x:f>J1374*(1-I1374*(1-'Carrier Engine'!E97))</x:f>
        <x:v>11654.480918325067</x:v>
      </x:c>
      <x:c r="M1374" s="29" t="n">
        <x:f>NORM.S.DIST((LN(L1374)-K1374)/'Assumptions'!$D$10,TRUE)</x:f>
        <x:v>0.8138848687134156</x:v>
      </x:c>
      <x:c r="N1374" s="30" t="n">
        <x:f>MAX(0,H1374-MAX(G1374,M1374))</x:f>
        <x:v>0</x:v>
      </x:c>
      <x:c r="O1374" s="28" t="n">
        <x:f>J1374*I1374</x:f>
        <x:v>7232.390640804562</x:v>
      </x:c>
      <x:c r="P1374" s="27" t="n">
        <x:f>(VLOOKUP(O1374,'Fee Data'!$C$6:$G$50,2,TRUE)+O1374*VLOOKUP(O1374,'Fee Data'!$C$6:$G$50,3,TRUE)+VLOOKUP(O1374,'Fee Data'!$I$6:$J$14,2,TRUE)+'Fee Data'!$J$20+'Fee Data'!$J$21)*'Assumptions'!J37</x:f>
        <x:v>1115</x:v>
      </x:c>
      <x:c r="Q1374" s="27" t="n">
        <x:f>(VLOOKUP(O1374,'Fee Data'!$C$6:$G$50,4,TRUE)+O1374*VLOOKUP(O1374,'Fee Data'!$C$6:$G$50,5,TRUE)+VLOOKUP(O1374,'Fee Data'!$I$6:$J$14,2,TRUE)+'Fee Data'!$J$20+'Fee Data'!$J$21)*'Assumptions'!J37</x:f>
        <x:v>990</x:v>
      </x:c>
      <x:c r="R1374" s="27" t="n">
        <x:f>P1374*(1-'Assumptions'!$D$14)+Q1374*'Assumptions'!$D$14</x:f>
        <x:v>1052.5</x:v>
      </x:c>
      <x:c r="S1374" s="27" t="n">
        <x:f>O1374*'Carrier Engine'!E97</x:f>
        <x:v>289.2956256321825</x:v>
      </x:c>
      <x:c r="T1374" s="28" t="n">
        <x:f>R1374+S1374</x:f>
        <x:v>1341.7956256321825</x:v>
      </x:c>
      <x:c r="U1374" s="27" t="n">
        <x:f>N1374*'Fleet Engine'!L202</x:f>
        <x:v>0</x:v>
      </x:c>
      <x:c r="V1374" s="28" t="n">
        <x:f>U1374*T1374</x:f>
        <x:v>0</x:v>
      </x:c>
      <x:c r="W1374" s="28" t="n">
        <x:f>U1374*O1374</x:f>
        <x:v>0</x:v>
      </x:c>
    </x:row>
    <x:row r="1375" ht="19" customHeight="1">
      <x:c r="A1375" s="2"/>
      <x:c r="B1375" s="2"/>
      <x:c r="C1375" s="46" t="n">
        <x:v>6</x:v>
      </x:c>
      <x:c r="D1375" s="46" t="n">
        <x:v>8</x:v>
      </x:c>
      <x:c r="E1375" s="46" t="n">
        <x:v>1</x:v>
      </x:c>
      <x:c r="F1375" s="46" t="n">
        <x:v>2</x:v>
      </x:c>
      <x:c r="G1375" s="12" t="n">
        <x:v>0.1111111111111111</x:v>
      </x:c>
      <x:c r="H1375" s="12" t="n">
        <x:v>0.2222222222222222</x:v>
      </x:c>
      <x:c r="I1375" s="29" t="n">
        <x:f>'Assumptions'!$D$11+'Assumptions'!$D$12*(0.5-(G1375+H1375)/2)</x:f>
        <x:v>0.3666666666666667</x:v>
      </x:c>
      <x:c r="J1375" s="27" t="n">
        <x:f>'Assumptions'!$D$8*EXP(-'Assumptions'!$D$9*('Fleet Engine'!E202-10))*'Assumptions'!E56*'Assumptions'!J36</x:f>
        <x:v>18597.575933497446</x:v>
      </x:c>
      <x:c r="K1375" s="27" t="n">
        <x:f>'Source Data'!F219+LN('Assumptions'!D56)+LN('Assumptions'!J35)</x:f>
        <x:v>7.962345702623303</x:v>
      </x:c>
      <x:c r="L1375" s="27" t="n">
        <x:f>J1375*(1-I1375*(1-'Carrier Engine'!E97))</x:f>
        <x:v>12051.229204906344</x:v>
      </x:c>
      <x:c r="M1375" s="29" t="n">
        <x:f>NORM.S.DIST((LN(L1375)-K1375)/'Assumptions'!$D$10,TRUE)</x:f>
        <x:v>0.8195425068236845</x:v>
      </x:c>
      <x:c r="N1375" s="30" t="n">
        <x:f>MAX(0,H1375-MAX(G1375,M1375))</x:f>
        <x:v>0</x:v>
      </x:c>
      <x:c r="O1375" s="28" t="n">
        <x:f>J1375*I1375</x:f>
        <x:v>6819.111175615731</x:v>
      </x:c>
      <x:c r="P1375" s="27" t="n">
        <x:f>(VLOOKUP(O1375,'Fee Data'!$C$6:$G$50,2,TRUE)+O1375*VLOOKUP(O1375,'Fee Data'!$C$6:$G$50,3,TRUE)+VLOOKUP(O1375,'Fee Data'!$I$6:$J$14,2,TRUE)+'Fee Data'!$J$20+'Fee Data'!$J$21)*'Assumptions'!J37</x:f>
        <x:v>1080</x:v>
      </x:c>
      <x:c r="Q1375" s="27" t="n">
        <x:f>(VLOOKUP(O1375,'Fee Data'!$C$6:$G$50,4,TRUE)+O1375*VLOOKUP(O1375,'Fee Data'!$C$6:$G$50,5,TRUE)+VLOOKUP(O1375,'Fee Data'!$I$6:$J$14,2,TRUE)+'Fee Data'!$J$20+'Fee Data'!$J$21)*'Assumptions'!J37</x:f>
        <x:v>955</x:v>
      </x:c>
      <x:c r="R1375" s="27" t="n">
        <x:f>P1375*(1-'Assumptions'!$D$14)+Q1375*'Assumptions'!$D$14</x:f>
        <x:v>1017.5</x:v>
      </x:c>
      <x:c r="S1375" s="27" t="n">
        <x:f>O1375*'Carrier Engine'!E97</x:f>
        <x:v>272.7644470246293</x:v>
      </x:c>
      <x:c r="T1375" s="28" t="n">
        <x:f>R1375+S1375</x:f>
        <x:v>1290.2644470246294</x:v>
      </x:c>
      <x:c r="U1375" s="27" t="n">
        <x:f>N1375*'Fleet Engine'!L202</x:f>
        <x:v>0</x:v>
      </x:c>
      <x:c r="V1375" s="28" t="n">
        <x:f>U1375*T1375</x:f>
        <x:v>0</x:v>
      </x:c>
      <x:c r="W1375" s="28" t="n">
        <x:f>U1375*O1375</x:f>
        <x:v>0</x:v>
      </x:c>
    </x:row>
    <x:row r="1376" ht="19" customHeight="1">
      <x:c r="A1376" s="2"/>
      <x:c r="B1376" s="2"/>
      <x:c r="C1376" s="46" t="n">
        <x:v>6</x:v>
      </x:c>
      <x:c r="D1376" s="46" t="n">
        <x:v>8</x:v>
      </x:c>
      <x:c r="E1376" s="46" t="n">
        <x:v>1</x:v>
      </x:c>
      <x:c r="F1376" s="46" t="n">
        <x:v>2</x:v>
      </x:c>
      <x:c r="G1376" s="12" t="n">
        <x:v>0.2222222222222222</x:v>
      </x:c>
      <x:c r="H1376" s="12" t="n">
        <x:v>0.3333333333333333</x:v>
      </x:c>
      <x:c r="I1376" s="29" t="n">
        <x:f>'Assumptions'!$D$11+'Assumptions'!$D$12*(0.5-(G1376+H1376)/2)</x:f>
        <x:v>0.34444444444444444</x:v>
      </x:c>
      <x:c r="J1376" s="27" t="n">
        <x:f>'Assumptions'!$D$8*EXP(-'Assumptions'!$D$9*('Fleet Engine'!E202-10))*'Assumptions'!E56*'Assumptions'!J36</x:f>
        <x:v>18597.575933497446</x:v>
      </x:c>
      <x:c r="K1376" s="27" t="n">
        <x:f>'Source Data'!F219+LN('Assumptions'!D56)+LN('Assumptions'!J35)</x:f>
        <x:v>7.962345702623303</x:v>
      </x:c>
      <x:c r="L1376" s="27" t="n">
        <x:f>J1376*(1-I1376*(1-'Carrier Engine'!E97))</x:f>
        <x:v>12447.977491487623</x:v>
      </x:c>
      <x:c r="M1376" s="29" t="n">
        <x:f>NORM.S.DIST((LN(L1376)-K1376)/'Assumptions'!$D$10,TRUE)</x:f>
        <x:v>0.8249129898049964</x:v>
      </x:c>
      <x:c r="N1376" s="30" t="n">
        <x:f>MAX(0,H1376-MAX(G1376,M1376))</x:f>
        <x:v>0</x:v>
      </x:c>
      <x:c r="O1376" s="28" t="n">
        <x:f>J1376*I1376</x:f>
        <x:v>6405.831710426898</x:v>
      </x:c>
      <x:c r="P1376" s="27" t="n">
        <x:f>(VLOOKUP(O1376,'Fee Data'!$C$6:$G$50,2,TRUE)+O1376*VLOOKUP(O1376,'Fee Data'!$C$6:$G$50,3,TRUE)+VLOOKUP(O1376,'Fee Data'!$I$6:$J$14,2,TRUE)+'Fee Data'!$J$20+'Fee Data'!$J$21)*'Assumptions'!J37</x:f>
        <x:v>1060</x:v>
      </x:c>
      <x:c r="Q1376" s="27" t="n">
        <x:f>(VLOOKUP(O1376,'Fee Data'!$C$6:$G$50,4,TRUE)+O1376*VLOOKUP(O1376,'Fee Data'!$C$6:$G$50,5,TRUE)+VLOOKUP(O1376,'Fee Data'!$I$6:$J$14,2,TRUE)+'Fee Data'!$J$20+'Fee Data'!$J$21)*'Assumptions'!J37</x:f>
        <x:v>935</x:v>
      </x:c>
      <x:c r="R1376" s="27" t="n">
        <x:f>P1376*(1-'Assumptions'!$D$14)+Q1376*'Assumptions'!$D$14</x:f>
        <x:v>997.5</x:v>
      </x:c>
      <x:c r="S1376" s="27" t="n">
        <x:f>O1376*'Carrier Engine'!E97</x:f>
        <x:v>256.233268417076</x:v>
      </x:c>
      <x:c r="T1376" s="28" t="n">
        <x:f>R1376+S1376</x:f>
        <x:v>1253.733268417076</x:v>
      </x:c>
      <x:c r="U1376" s="27" t="n">
        <x:f>N1376*'Fleet Engine'!L202</x:f>
        <x:v>0</x:v>
      </x:c>
      <x:c r="V1376" s="28" t="n">
        <x:f>U1376*T1376</x:f>
        <x:v>0</x:v>
      </x:c>
      <x:c r="W1376" s="28" t="n">
        <x:f>U1376*O1376</x:f>
        <x:v>0</x:v>
      </x:c>
    </x:row>
    <x:row r="1377" ht="19" customHeight="1">
      <x:c r="A1377" s="2"/>
      <x:c r="B1377" s="2"/>
      <x:c r="C1377" s="46" t="n">
        <x:v>6</x:v>
      </x:c>
      <x:c r="D1377" s="46" t="n">
        <x:v>8</x:v>
      </x:c>
      <x:c r="E1377" s="46" t="n">
        <x:v>1</x:v>
      </x:c>
      <x:c r="F1377" s="46" t="n">
        <x:v>2</x:v>
      </x:c>
      <x:c r="G1377" s="12" t="n">
        <x:v>0.3333333333333333</x:v>
      </x:c>
      <x:c r="H1377" s="12" t="n">
        <x:v>0.4444444444444444</x:v>
      </x:c>
      <x:c r="I1377" s="29" t="n">
        <x:f>'Assumptions'!$D$11+'Assumptions'!$D$12*(0.5-(G1377+H1377)/2)</x:f>
        <x:v>0.32222222222222224</x:v>
      </x:c>
      <x:c r="J1377" s="27" t="n">
        <x:f>'Assumptions'!$D$8*EXP(-'Assumptions'!$D$9*('Fleet Engine'!E202-10))*'Assumptions'!E56*'Assumptions'!J36</x:f>
        <x:v>18597.575933497446</x:v>
      </x:c>
      <x:c r="K1377" s="27" t="n">
        <x:f>'Source Data'!F219+LN('Assumptions'!D56)+LN('Assumptions'!J35)</x:f>
        <x:v>7.962345702623303</x:v>
      </x:c>
      <x:c r="L1377" s="27" t="n">
        <x:f>J1377*(1-I1377*(1-'Carrier Engine'!E97))</x:f>
        <x:v>12844.725778068903</x:v>
      </x:c>
      <x:c r="M1377" s="29" t="n">
        <x:f>NORM.S.DIST((LN(L1377)-K1377)/'Assumptions'!$D$10,TRUE)</x:f>
        <x:v>0.8300172277569353</x:v>
      </x:c>
      <x:c r="N1377" s="30" t="n">
        <x:f>MAX(0,H1377-MAX(G1377,M1377))</x:f>
        <x:v>0</x:v>
      </x:c>
      <x:c r="O1377" s="28" t="n">
        <x:f>J1377*I1377</x:f>
        <x:v>5992.5522452380665</x:v>
      </x:c>
      <x:c r="P1377" s="27" t="n">
        <x:f>(VLOOKUP(O1377,'Fee Data'!$C$6:$G$50,2,TRUE)+O1377*VLOOKUP(O1377,'Fee Data'!$C$6:$G$50,3,TRUE)+VLOOKUP(O1377,'Fee Data'!$I$6:$J$14,2,TRUE)+'Fee Data'!$J$20+'Fee Data'!$J$21)*'Assumptions'!J37</x:f>
        <x:v>1020</x:v>
      </x:c>
      <x:c r="Q1377" s="27" t="n">
        <x:f>(VLOOKUP(O1377,'Fee Data'!$C$6:$G$50,4,TRUE)+O1377*VLOOKUP(O1377,'Fee Data'!$C$6:$G$50,5,TRUE)+VLOOKUP(O1377,'Fee Data'!$I$6:$J$14,2,TRUE)+'Fee Data'!$J$20+'Fee Data'!$J$21)*'Assumptions'!J37</x:f>
        <x:v>895</x:v>
      </x:c>
      <x:c r="R1377" s="27" t="n">
        <x:f>P1377*(1-'Assumptions'!$D$14)+Q1377*'Assumptions'!$D$14</x:f>
        <x:v>957.5</x:v>
      </x:c>
      <x:c r="S1377" s="27" t="n">
        <x:f>O1377*'Carrier Engine'!E97</x:f>
        <x:v>239.7020898095227</x:v>
      </x:c>
      <x:c r="T1377" s="28" t="n">
        <x:f>R1377+S1377</x:f>
        <x:v>1197.2020898095227</x:v>
      </x:c>
      <x:c r="U1377" s="27" t="n">
        <x:f>N1377*'Fleet Engine'!L202</x:f>
        <x:v>0</x:v>
      </x:c>
      <x:c r="V1377" s="28" t="n">
        <x:f>U1377*T1377</x:f>
        <x:v>0</x:v>
      </x:c>
      <x:c r="W1377" s="28" t="n">
        <x:f>U1377*O1377</x:f>
        <x:v>0</x:v>
      </x:c>
    </x:row>
    <x:row r="1378" ht="19" customHeight="1">
      <x:c r="A1378" s="2"/>
      <x:c r="B1378" s="2"/>
      <x:c r="C1378" s="46" t="n">
        <x:v>6</x:v>
      </x:c>
      <x:c r="D1378" s="46" t="n">
        <x:v>8</x:v>
      </x:c>
      <x:c r="E1378" s="46" t="n">
        <x:v>1</x:v>
      </x:c>
      <x:c r="F1378" s="46" t="n">
        <x:v>2</x:v>
      </x:c>
      <x:c r="G1378" s="12" t="n">
        <x:v>0.4444444444444444</x:v>
      </x:c>
      <x:c r="H1378" s="12" t="n">
        <x:v>0.5555555555555556</x:v>
      </x:c>
      <x:c r="I1378" s="29" t="n">
        <x:f>'Assumptions'!$D$11+'Assumptions'!$D$12*(0.5-(G1378+H1378)/2)</x:f>
        <x:v>0.3</x:v>
      </x:c>
      <x:c r="J1378" s="27" t="n">
        <x:f>'Assumptions'!$D$8*EXP(-'Assumptions'!$D$9*('Fleet Engine'!E202-10))*'Assumptions'!E56*'Assumptions'!J36</x:f>
        <x:v>18597.575933497446</x:v>
      </x:c>
      <x:c r="K1378" s="27" t="n">
        <x:f>'Source Data'!F219+LN('Assumptions'!D56)+LN('Assumptions'!J35)</x:f>
        <x:v>7.962345702623303</x:v>
      </x:c>
      <x:c r="L1378" s="27" t="n">
        <x:f>J1378*(1-I1378*(1-'Carrier Engine'!E97))</x:f>
        <x:v>13241.474064650181</x:v>
      </x:c>
      <x:c r="M1378" s="29" t="n">
        <x:f>NORM.S.DIST((LN(L1378)-K1378)/'Assumptions'!$D$10,TRUE)</x:f>
        <x:v>0.8348741378031481</x:v>
      </x:c>
      <x:c r="N1378" s="30" t="n">
        <x:f>MAX(0,H1378-MAX(G1378,M1378))</x:f>
        <x:v>0</x:v>
      </x:c>
      <x:c r="O1378" s="28" t="n">
        <x:f>J1378*I1378</x:f>
        <x:v>5579.272780049234</x:v>
      </x:c>
      <x:c r="P1378" s="27" t="n">
        <x:f>(VLOOKUP(O1378,'Fee Data'!$C$6:$G$50,2,TRUE)+O1378*VLOOKUP(O1378,'Fee Data'!$C$6:$G$50,3,TRUE)+VLOOKUP(O1378,'Fee Data'!$I$6:$J$14,2,TRUE)+'Fee Data'!$J$20+'Fee Data'!$J$21)*'Assumptions'!J37</x:f>
        <x:v>1020</x:v>
      </x:c>
      <x:c r="Q1378" s="27" t="n">
        <x:f>(VLOOKUP(O1378,'Fee Data'!$C$6:$G$50,4,TRUE)+O1378*VLOOKUP(O1378,'Fee Data'!$C$6:$G$50,5,TRUE)+VLOOKUP(O1378,'Fee Data'!$I$6:$J$14,2,TRUE)+'Fee Data'!$J$20+'Fee Data'!$J$21)*'Assumptions'!J37</x:f>
        <x:v>895</x:v>
      </x:c>
      <x:c r="R1378" s="27" t="n">
        <x:f>P1378*(1-'Assumptions'!$D$14)+Q1378*'Assumptions'!$D$14</x:f>
        <x:v>957.5</x:v>
      </x:c>
      <x:c r="S1378" s="27" t="n">
        <x:f>O1378*'Carrier Engine'!E97</x:f>
        <x:v>223.1709112019694</x:v>
      </x:c>
      <x:c r="T1378" s="28" t="n">
        <x:f>R1378+S1378</x:f>
        <x:v>1180.6709112019694</x:v>
      </x:c>
      <x:c r="U1378" s="27" t="n">
        <x:f>N1378*'Fleet Engine'!L202</x:f>
        <x:v>0</x:v>
      </x:c>
      <x:c r="V1378" s="28" t="n">
        <x:f>U1378*T1378</x:f>
        <x:v>0</x:v>
      </x:c>
      <x:c r="W1378" s="28" t="n">
        <x:f>U1378*O1378</x:f>
        <x:v>0</x:v>
      </x:c>
    </x:row>
    <x:row r="1379" ht="19" customHeight="1">
      <x:c r="A1379" s="2"/>
      <x:c r="B1379" s="2"/>
      <x:c r="C1379" s="46" t="n">
        <x:v>6</x:v>
      </x:c>
      <x:c r="D1379" s="46" t="n">
        <x:v>8</x:v>
      </x:c>
      <x:c r="E1379" s="46" t="n">
        <x:v>1</x:v>
      </x:c>
      <x:c r="F1379" s="46" t="n">
        <x:v>2</x:v>
      </x:c>
      <x:c r="G1379" s="12" t="n">
        <x:v>0.5555555555555556</x:v>
      </x:c>
      <x:c r="H1379" s="12" t="n">
        <x:v>0.6666666666666666</x:v>
      </x:c>
      <x:c r="I1379" s="29" t="n">
        <x:f>'Assumptions'!$D$11+'Assumptions'!$D$12*(0.5-(G1379+H1379)/2)</x:f>
        <x:v>0.27777777777777773</x:v>
      </x:c>
      <x:c r="J1379" s="27" t="n">
        <x:f>'Assumptions'!$D$8*EXP(-'Assumptions'!$D$9*('Fleet Engine'!E202-10))*'Assumptions'!E56*'Assumptions'!J36</x:f>
        <x:v>18597.575933497446</x:v>
      </x:c>
      <x:c r="K1379" s="27" t="n">
        <x:f>'Source Data'!F219+LN('Assumptions'!D56)+LN('Assumptions'!J35)</x:f>
        <x:v>7.962345702623303</x:v>
      </x:c>
      <x:c r="L1379" s="27" t="n">
        <x:f>J1379*(1-I1379*(1-'Carrier Engine'!E97))</x:f>
        <x:v>13638.222351231461</x:v>
      </x:c>
      <x:c r="M1379" s="29" t="n">
        <x:f>NORM.S.DIST((LN(L1379)-K1379)/'Assumptions'!$D$10,TRUE)</x:f>
        <x:v>0.839500878443892</x:v>
      </x:c>
      <x:c r="N1379" s="30" t="n">
        <x:f>MAX(0,H1379-MAX(G1379,M1379))</x:f>
        <x:v>0</x:v>
      </x:c>
      <x:c r="O1379" s="28" t="n">
        <x:f>J1379*I1379</x:f>
        <x:v>5165.993314860401</x:v>
      </x:c>
      <x:c r="P1379" s="27" t="n">
        <x:f>(VLOOKUP(O1379,'Fee Data'!$C$6:$G$50,2,TRUE)+O1379*VLOOKUP(O1379,'Fee Data'!$C$6:$G$50,3,TRUE)+VLOOKUP(O1379,'Fee Data'!$I$6:$J$14,2,TRUE)+'Fee Data'!$J$20+'Fee Data'!$J$21)*'Assumptions'!J37</x:f>
        <x:v>995</x:v>
      </x:c>
      <x:c r="Q1379" s="27" t="n">
        <x:f>(VLOOKUP(O1379,'Fee Data'!$C$6:$G$50,4,TRUE)+O1379*VLOOKUP(O1379,'Fee Data'!$C$6:$G$50,5,TRUE)+VLOOKUP(O1379,'Fee Data'!$I$6:$J$14,2,TRUE)+'Fee Data'!$J$20+'Fee Data'!$J$21)*'Assumptions'!J37</x:f>
        <x:v>870</x:v>
      </x:c>
      <x:c r="R1379" s="27" t="n">
        <x:f>P1379*(1-'Assumptions'!$D$14)+Q1379*'Assumptions'!$D$14</x:f>
        <x:v>932.5</x:v>
      </x:c>
      <x:c r="S1379" s="27" t="n">
        <x:f>O1379*'Carrier Engine'!E97</x:f>
        <x:v>206.6397325944161</x:v>
      </x:c>
      <x:c r="T1379" s="28" t="n">
        <x:f>R1379+S1379</x:f>
        <x:v>1139.139732594416</x:v>
      </x:c>
      <x:c r="U1379" s="27" t="n">
        <x:f>N1379*'Fleet Engine'!L202</x:f>
        <x:v>0</x:v>
      </x:c>
      <x:c r="V1379" s="28" t="n">
        <x:f>U1379*T1379</x:f>
        <x:v>0</x:v>
      </x:c>
      <x:c r="W1379" s="28" t="n">
        <x:f>U1379*O1379</x:f>
        <x:v>0</x:v>
      </x:c>
    </x:row>
    <x:row r="1380" ht="19" customHeight="1">
      <x:c r="A1380" s="2"/>
      <x:c r="B1380" s="2"/>
      <x:c r="C1380" s="46" t="n">
        <x:v>6</x:v>
      </x:c>
      <x:c r="D1380" s="46" t="n">
        <x:v>8</x:v>
      </x:c>
      <x:c r="E1380" s="46" t="n">
        <x:v>1</x:v>
      </x:c>
      <x:c r="F1380" s="46" t="n">
        <x:v>2</x:v>
      </x:c>
      <x:c r="G1380" s="12" t="n">
        <x:v>0.6666666666666666</x:v>
      </x:c>
      <x:c r="H1380" s="12" t="n">
        <x:v>0.7777777777777778</x:v>
      </x:c>
      <x:c r="I1380" s="29" t="n">
        <x:f>'Assumptions'!$D$11+'Assumptions'!$D$12*(0.5-(G1380+H1380)/2)</x:f>
        <x:v>0.25555555555555554</x:v>
      </x:c>
      <x:c r="J1380" s="27" t="n">
        <x:f>'Assumptions'!$D$8*EXP(-'Assumptions'!$D$9*('Fleet Engine'!E202-10))*'Assumptions'!E56*'Assumptions'!J36</x:f>
        <x:v>18597.575933497446</x:v>
      </x:c>
      <x:c r="K1380" s="27" t="n">
        <x:f>'Source Data'!F219+LN('Assumptions'!D56)+LN('Assumptions'!J35)</x:f>
        <x:v>7.962345702623303</x:v>
      </x:c>
      <x:c r="L1380" s="27" t="n">
        <x:f>J1380*(1-I1380*(1-'Carrier Engine'!E97))</x:f>
        <x:v>14034.970637812741</x:v>
      </x:c>
      <x:c r="M1380" s="29" t="n">
        <x:f>NORM.S.DIST((LN(L1380)-K1380)/'Assumptions'!$D$10,TRUE)</x:f>
        <x:v>0.8439130512567272</x:v>
      </x:c>
      <x:c r="N1380" s="30" t="n">
        <x:f>MAX(0,H1380-MAX(G1380,M1380))</x:f>
        <x:v>0</x:v>
      </x:c>
      <x:c r="O1380" s="28" t="n">
        <x:f>J1380*I1380</x:f>
        <x:v>4752.713849671569</x:v>
      </x:c>
      <x:c r="P1380" s="27" t="n">
        <x:f>(VLOOKUP(O1380,'Fee Data'!$C$6:$G$50,2,TRUE)+O1380*VLOOKUP(O1380,'Fee Data'!$C$6:$G$50,3,TRUE)+VLOOKUP(O1380,'Fee Data'!$I$6:$J$14,2,TRUE)+'Fee Data'!$J$20+'Fee Data'!$J$21)*'Assumptions'!J37</x:f>
        <x:v>970</x:v>
      </x:c>
      <x:c r="Q1380" s="27" t="n">
        <x:f>(VLOOKUP(O1380,'Fee Data'!$C$6:$G$50,4,TRUE)+O1380*VLOOKUP(O1380,'Fee Data'!$C$6:$G$50,5,TRUE)+VLOOKUP(O1380,'Fee Data'!$I$6:$J$14,2,TRUE)+'Fee Data'!$J$20+'Fee Data'!$J$21)*'Assumptions'!J37</x:f>
        <x:v>845</x:v>
      </x:c>
      <x:c r="R1380" s="27" t="n">
        <x:f>P1380*(1-'Assumptions'!$D$14)+Q1380*'Assumptions'!$D$14</x:f>
        <x:v>907.5</x:v>
      </x:c>
      <x:c r="S1380" s="27" t="n">
        <x:f>O1380*'Carrier Engine'!E97</x:f>
        <x:v>190.1085539868628</x:v>
      </x:c>
      <x:c r="T1380" s="28" t="n">
        <x:f>R1380+S1380</x:f>
        <x:v>1097.6085539868627</x:v>
      </x:c>
      <x:c r="U1380" s="27" t="n">
        <x:f>N1380*'Fleet Engine'!L202</x:f>
        <x:v>0</x:v>
      </x:c>
      <x:c r="V1380" s="28" t="n">
        <x:f>U1380*T1380</x:f>
        <x:v>0</x:v>
      </x:c>
      <x:c r="W1380" s="28" t="n">
        <x:f>U1380*O1380</x:f>
        <x:v>0</x:v>
      </x:c>
    </x:row>
    <x:row r="1381" ht="19" customHeight="1">
      <x:c r="A1381" s="2"/>
      <x:c r="B1381" s="2"/>
      <x:c r="C1381" s="46" t="n">
        <x:v>6</x:v>
      </x:c>
      <x:c r="D1381" s="46" t="n">
        <x:v>8</x:v>
      </x:c>
      <x:c r="E1381" s="46" t="n">
        <x:v>1</x:v>
      </x:c>
      <x:c r="F1381" s="46" t="n">
        <x:v>2</x:v>
      </x:c>
      <x:c r="G1381" s="12" t="n">
        <x:v>0.7777777777777778</x:v>
      </x:c>
      <x:c r="H1381" s="12" t="n">
        <x:v>0.8888888888888888</x:v>
      </x:c>
      <x:c r="I1381" s="29" t="n">
        <x:f>'Assumptions'!$D$11+'Assumptions'!$D$12*(0.5-(G1381+H1381)/2)</x:f>
        <x:v>0.23333333333333334</x:v>
      </x:c>
      <x:c r="J1381" s="27" t="n">
        <x:f>'Assumptions'!$D$8*EXP(-'Assumptions'!$D$9*('Fleet Engine'!E202-10))*'Assumptions'!E56*'Assumptions'!J36</x:f>
        <x:v>18597.575933497446</x:v>
      </x:c>
      <x:c r="K1381" s="27" t="n">
        <x:f>'Source Data'!F219+LN('Assumptions'!D56)+LN('Assumptions'!J35)</x:f>
        <x:v>7.962345702623303</x:v>
      </x:c>
      <x:c r="L1381" s="27" t="n">
        <x:f>J1381*(1-I1381*(1-'Carrier Engine'!E97))</x:f>
        <x:v>14431.71892439402</x:v>
      </x:c>
      <x:c r="M1381" s="29" t="n">
        <x:f>NORM.S.DIST((LN(L1381)-K1381)/'Assumptions'!$D$10,TRUE)</x:f>
        <x:v>0.8481248751817181</x:v>
      </x:c>
      <x:c r="N1381" s="30" t="n">
        <x:f>MAX(0,H1381-MAX(G1381,M1381))</x:f>
        <x:v>0.040764013707170754</x:v>
      </x:c>
      <x:c r="O1381" s="28" t="n">
        <x:f>J1381*I1381</x:f>
        <x:v>4339.434384482737</x:v>
      </x:c>
      <x:c r="P1381" s="27" t="n">
        <x:f>(VLOOKUP(O1381,'Fee Data'!$C$6:$G$50,2,TRUE)+O1381*VLOOKUP(O1381,'Fee Data'!$C$6:$G$50,3,TRUE)+VLOOKUP(O1381,'Fee Data'!$I$6:$J$14,2,TRUE)+'Fee Data'!$J$20+'Fee Data'!$J$21)*'Assumptions'!J37</x:f>
        <x:v>945</x:v>
      </x:c>
      <x:c r="Q1381" s="27" t="n">
        <x:f>(VLOOKUP(O1381,'Fee Data'!$C$6:$G$50,4,TRUE)+O1381*VLOOKUP(O1381,'Fee Data'!$C$6:$G$50,5,TRUE)+VLOOKUP(O1381,'Fee Data'!$I$6:$J$14,2,TRUE)+'Fee Data'!$J$20+'Fee Data'!$J$21)*'Assumptions'!J37</x:f>
        <x:v>820</x:v>
      </x:c>
      <x:c r="R1381" s="27" t="n">
        <x:f>P1381*(1-'Assumptions'!$D$14)+Q1381*'Assumptions'!$D$14</x:f>
        <x:v>882.5</x:v>
      </x:c>
      <x:c r="S1381" s="27" t="n">
        <x:f>O1381*'Carrier Engine'!E97</x:f>
        <x:v>173.57737537930953</x:v>
      </x:c>
      <x:c r="T1381" s="28" t="n">
        <x:f>R1381+S1381</x:f>
        <x:v>1056.0773753793096</x:v>
      </x:c>
      <x:c r="U1381" s="27" t="n">
        <x:f>N1381*'Fleet Engine'!L202</x:f>
        <x:v>916.4290395314582</x:v>
      </x:c>
      <x:c r="V1381" s="28" t="n">
        <x:f>U1381*T1381</x:f>
        <x:v>967819.9747897639</x:v>
      </x:c>
      <x:c r="W1381" s="28" t="n">
        <x:f>U1381*O1381</x:f>
        <x:v>3976783.6850812994</x:v>
      </x:c>
    </x:row>
    <x:row r="1382" ht="19" customHeight="1">
      <x:c r="A1382" s="2"/>
      <x:c r="B1382" s="2"/>
      <x:c r="C1382" s="46" t="n">
        <x:v>6</x:v>
      </x:c>
      <x:c r="D1382" s="46" t="n">
        <x:v>8</x:v>
      </x:c>
      <x:c r="E1382" s="46" t="n">
        <x:v>1</x:v>
      </x:c>
      <x:c r="F1382" s="46" t="n">
        <x:v>2</x:v>
      </x:c>
      <x:c r="G1382" s="12" t="n">
        <x:v>0.8888888888888888</x:v>
      </x:c>
      <x:c r="H1382" s="12" t="n">
        <x:v>1</x:v>
      </x:c>
      <x:c r="I1382" s="29" t="n">
        <x:f>'Assumptions'!$D$11+'Assumptions'!$D$12*(0.5-(G1382+H1382)/2)</x:f>
        <x:v>0.21111111111111108</x:v>
      </x:c>
      <x:c r="J1382" s="27" t="n">
        <x:f>'Assumptions'!$D$8*EXP(-'Assumptions'!$D$9*('Fleet Engine'!E202-10))*'Assumptions'!E56*'Assumptions'!J36</x:f>
        <x:v>18597.575933497446</x:v>
      </x:c>
      <x:c r="K1382" s="27" t="n">
        <x:f>'Source Data'!F219+LN('Assumptions'!D56)+LN('Assumptions'!J35)</x:f>
        <x:v>7.962345702623303</x:v>
      </x:c>
      <x:c r="L1382" s="27" t="n">
        <x:f>J1382*(1-I1382*(1-'Carrier Engine'!E97))</x:f>
        <x:v>14828.467210975297</x:v>
      </x:c>
      <x:c r="M1382" s="29" t="n">
        <x:f>NORM.S.DIST((LN(L1382)-K1382)/'Assumptions'!$D$10,TRUE)</x:f>
        <x:v>0.8521493376815981</x:v>
      </x:c>
      <x:c r="N1382" s="30" t="n">
        <x:f>MAX(0,H1382-MAX(G1382,M1382))</x:f>
        <x:v>0.11111111111111116</x:v>
      </x:c>
      <x:c r="O1382" s="28" t="n">
        <x:f>J1382*I1382</x:f>
        <x:v>3926.1549192939046</x:v>
      </x:c>
      <x:c r="P1382" s="27" t="n">
        <x:f>(VLOOKUP(O1382,'Fee Data'!$C$6:$G$50,2,TRUE)+O1382*VLOOKUP(O1382,'Fee Data'!$C$6:$G$50,3,TRUE)+VLOOKUP(O1382,'Fee Data'!$I$6:$J$14,2,TRUE)+'Fee Data'!$J$20+'Fee Data'!$J$21)*'Assumptions'!J37</x:f>
        <x:v>915</x:v>
      </x:c>
      <x:c r="Q1382" s="27" t="n">
        <x:f>(VLOOKUP(O1382,'Fee Data'!$C$6:$G$50,4,TRUE)+O1382*VLOOKUP(O1382,'Fee Data'!$C$6:$G$50,5,TRUE)+VLOOKUP(O1382,'Fee Data'!$I$6:$J$14,2,TRUE)+'Fee Data'!$J$20+'Fee Data'!$J$21)*'Assumptions'!J37</x:f>
        <x:v>765</x:v>
      </x:c>
      <x:c r="R1382" s="27" t="n">
        <x:f>P1382*(1-'Assumptions'!$D$14)+Q1382*'Assumptions'!$D$14</x:f>
        <x:v>840</x:v>
      </x:c>
      <x:c r="S1382" s="27" t="n">
        <x:f>O1382*'Carrier Engine'!E97</x:f>
        <x:v>157.04619677175623</x:v>
      </x:c>
      <x:c r="T1382" s="28" t="n">
        <x:f>R1382+S1382</x:f>
        <x:v>997.0461967717563</x:v>
      </x:c>
      <x:c r="U1382" s="27" t="n">
        <x:f>N1382*'Fleet Engine'!L202</x:f>
        <x:v>2497.924997481706</x:v>
      </x:c>
      <x:c r="V1382" s="28" t="n">
        <x:f>U1382*T1382</x:f>
        <x:v>2490546.618560234</x:v>
      </x:c>
      <x:c r="W1382" s="28" t="n">
        <x:f>U1382*O1382</x:f>
        <x:v>9807240.516890015</x:v>
      </x:c>
    </x:row>
    <x:row r="1383" ht="19" customHeight="1">
      <x:c r="A1383" s="2"/>
      <x:c r="B1383" s="2"/>
      <x:c r="C1383" s="46" t="n">
        <x:v>6</x:v>
      </x:c>
      <x:c r="D1383" s="46" t="n">
        <x:v>9</x:v>
      </x:c>
      <x:c r="E1383" s="46" t="n">
        <x:v>1</x:v>
      </x:c>
      <x:c r="F1383" s="46" t="n">
        <x:v>3</x:v>
      </x:c>
      <x:c r="G1383" s="12" t="n">
        <x:v>0</x:v>
      </x:c>
      <x:c r="H1383" s="12" t="n">
        <x:v>0.1111111111111111</x:v>
      </x:c>
      <x:c r="I1383" s="29" t="n">
        <x:f>'Assumptions'!$D$11+'Assumptions'!$D$12*(0.5-(G1383+H1383)/2)</x:f>
        <x:v>0.3888888888888889</x:v>
      </x:c>
      <x:c r="J1383" s="27" t="n">
        <x:f>'Assumptions'!$D$8*EXP(-'Assumptions'!$D$9*('Fleet Engine'!E203-10))*'Assumptions'!E56*'Assumptions'!J36</x:f>
        <x:v>13777.423112046714</x:v>
      </x:c>
      <x:c r="K1383" s="27" t="n">
        <x:f>'Source Data'!F220+LN('Assumptions'!D56)+LN('Assumptions'!J35)</x:f>
        <x:v>8.069478273890956</x:v>
      </x:c>
      <x:c r="L1383" s="27" t="n">
        <x:f>J1383*(1-I1383*(1-'Carrier Engine'!E97))</x:f>
        <x:v>8633.851816882609</x:v>
      </x:c>
      <x:c r="M1383" s="29" t="n">
        <x:f>NORM.S.DIST((LN(L1383)-K1383)/'Assumptions'!$D$10,TRUE)</x:f>
        <x:v>0.7366388707689671</x:v>
      </x:c>
      <x:c r="N1383" s="30" t="n">
        <x:f>MAX(0,H1383-MAX(G1383,M1383))</x:f>
        <x:v>0</x:v>
      </x:c>
      <x:c r="O1383" s="28" t="n">
        <x:f>J1383*I1383</x:f>
        <x:v>5357.8867657959445</x:v>
      </x:c>
      <x:c r="P1383" s="27" t="n">
        <x:f>(VLOOKUP(O1383,'Fee Data'!$C$6:$G$50,2,TRUE)+O1383*VLOOKUP(O1383,'Fee Data'!$C$6:$G$50,3,TRUE)+VLOOKUP(O1383,'Fee Data'!$I$6:$J$14,2,TRUE)+'Fee Data'!$J$20+'Fee Data'!$J$21)*'Assumptions'!J37</x:f>
        <x:v>995</x:v>
      </x:c>
      <x:c r="Q1383" s="27" t="n">
        <x:f>(VLOOKUP(O1383,'Fee Data'!$C$6:$G$50,4,TRUE)+O1383*VLOOKUP(O1383,'Fee Data'!$C$6:$G$50,5,TRUE)+VLOOKUP(O1383,'Fee Data'!$I$6:$J$14,2,TRUE)+'Fee Data'!$J$20+'Fee Data'!$J$21)*'Assumptions'!J37</x:f>
        <x:v>870</x:v>
      </x:c>
      <x:c r="R1383" s="27" t="n">
        <x:f>P1383*(1-'Assumptions'!$D$14)+Q1383*'Assumptions'!$D$14</x:f>
        <x:v>932.5</x:v>
      </x:c>
      <x:c r="S1383" s="27" t="n">
        <x:f>O1383*'Carrier Engine'!E97</x:f>
        <x:v>214.31547063183783</x:v>
      </x:c>
      <x:c r="T1383" s="28" t="n">
        <x:f>R1383+S1383</x:f>
        <x:v>1146.8154706318378</x:v>
      </x:c>
      <x:c r="U1383" s="27" t="n">
        <x:f>N1383*'Fleet Engine'!L203</x:f>
        <x:v>0</x:v>
      </x:c>
      <x:c r="V1383" s="28" t="n">
        <x:f>U1383*T1383</x:f>
        <x:v>0</x:v>
      </x:c>
      <x:c r="W1383" s="28" t="n">
        <x:f>U1383*O1383</x:f>
        <x:v>0</x:v>
      </x:c>
    </x:row>
    <x:row r="1384" ht="19" customHeight="1">
      <x:c r="A1384" s="2"/>
      <x:c r="B1384" s="2"/>
      <x:c r="C1384" s="46" t="n">
        <x:v>6</x:v>
      </x:c>
      <x:c r="D1384" s="46" t="n">
        <x:v>9</x:v>
      </x:c>
      <x:c r="E1384" s="46" t="n">
        <x:v>1</x:v>
      </x:c>
      <x:c r="F1384" s="46" t="n">
        <x:v>3</x:v>
      </x:c>
      <x:c r="G1384" s="12" t="n">
        <x:v>0.1111111111111111</x:v>
      </x:c>
      <x:c r="H1384" s="12" t="n">
        <x:v>0.2222222222222222</x:v>
      </x:c>
      <x:c r="I1384" s="29" t="n">
        <x:f>'Assumptions'!$D$11+'Assumptions'!$D$12*(0.5-(G1384+H1384)/2)</x:f>
        <x:v>0.3666666666666667</x:v>
      </x:c>
      <x:c r="J1384" s="27" t="n">
        <x:f>'Assumptions'!$D$8*EXP(-'Assumptions'!$D$9*('Fleet Engine'!E203-10))*'Assumptions'!E56*'Assumptions'!J36</x:f>
        <x:v>13777.423112046714</x:v>
      </x:c>
      <x:c r="K1384" s="27" t="n">
        <x:f>'Source Data'!F220+LN('Assumptions'!D56)+LN('Assumptions'!J35)</x:f>
        <x:v>8.069478273890956</x:v>
      </x:c>
      <x:c r="L1384" s="27" t="n">
        <x:f>J1384*(1-I1384*(1-'Carrier Engine'!E97))</x:f>
        <x:v>8927.77017660627</x:v>
      </x:c>
      <x:c r="M1384" s="29" t="n">
        <x:f>NORM.S.DIST((LN(L1384)-K1384)/'Assumptions'!$D$10,TRUE)</x:f>
        <x:v>0.7435526063287266</x:v>
      </x:c>
      <x:c r="N1384" s="30" t="n">
        <x:f>MAX(0,H1384-MAX(G1384,M1384))</x:f>
        <x:v>0</x:v>
      </x:c>
      <x:c r="O1384" s="28" t="n">
        <x:f>J1384*I1384</x:f>
        <x:v>5051.721807750462</x:v>
      </x:c>
      <x:c r="P1384" s="27" t="n">
        <x:f>(VLOOKUP(O1384,'Fee Data'!$C$6:$G$50,2,TRUE)+O1384*VLOOKUP(O1384,'Fee Data'!$C$6:$G$50,3,TRUE)+VLOOKUP(O1384,'Fee Data'!$I$6:$J$14,2,TRUE)+'Fee Data'!$J$20+'Fee Data'!$J$21)*'Assumptions'!J37</x:f>
        <x:v>995</x:v>
      </x:c>
      <x:c r="Q1384" s="27" t="n">
        <x:f>(VLOOKUP(O1384,'Fee Data'!$C$6:$G$50,4,TRUE)+O1384*VLOOKUP(O1384,'Fee Data'!$C$6:$G$50,5,TRUE)+VLOOKUP(O1384,'Fee Data'!$I$6:$J$14,2,TRUE)+'Fee Data'!$J$20+'Fee Data'!$J$21)*'Assumptions'!J37</x:f>
        <x:v>870</x:v>
      </x:c>
      <x:c r="R1384" s="27" t="n">
        <x:f>P1384*(1-'Assumptions'!$D$14)+Q1384*'Assumptions'!$D$14</x:f>
        <x:v>932.5</x:v>
      </x:c>
      <x:c r="S1384" s="27" t="n">
        <x:f>O1384*'Carrier Engine'!E97</x:f>
        <x:v>202.06887231001852</x:v>
      </x:c>
      <x:c r="T1384" s="28" t="n">
        <x:f>R1384+S1384</x:f>
        <x:v>1134.5688723100186</x:v>
      </x:c>
      <x:c r="U1384" s="27" t="n">
        <x:f>N1384*'Fleet Engine'!L203</x:f>
        <x:v>0</x:v>
      </x:c>
      <x:c r="V1384" s="28" t="n">
        <x:f>U1384*T1384</x:f>
        <x:v>0</x:v>
      </x:c>
      <x:c r="W1384" s="28" t="n">
        <x:f>U1384*O1384</x:f>
        <x:v>0</x:v>
      </x:c>
    </x:row>
    <x:row r="1385" ht="19" customHeight="1">
      <x:c r="A1385" s="2"/>
      <x:c r="B1385" s="2"/>
      <x:c r="C1385" s="46" t="n">
        <x:v>6</x:v>
      </x:c>
      <x:c r="D1385" s="46" t="n">
        <x:v>9</x:v>
      </x:c>
      <x:c r="E1385" s="46" t="n">
        <x:v>1</x:v>
      </x:c>
      <x:c r="F1385" s="46" t="n">
        <x:v>3</x:v>
      </x:c>
      <x:c r="G1385" s="12" t="n">
        <x:v>0.2222222222222222</x:v>
      </x:c>
      <x:c r="H1385" s="12" t="n">
        <x:v>0.3333333333333333</x:v>
      </x:c>
      <x:c r="I1385" s="29" t="n">
        <x:f>'Assumptions'!$D$11+'Assumptions'!$D$12*(0.5-(G1385+H1385)/2)</x:f>
        <x:v>0.34444444444444444</x:v>
      </x:c>
      <x:c r="J1385" s="27" t="n">
        <x:f>'Assumptions'!$D$8*EXP(-'Assumptions'!$D$9*('Fleet Engine'!E203-10))*'Assumptions'!E56*'Assumptions'!J36</x:f>
        <x:v>13777.423112046714</x:v>
      </x:c>
      <x:c r="K1385" s="27" t="n">
        <x:f>'Source Data'!F220+LN('Assumptions'!D56)+LN('Assumptions'!J35)</x:f>
        <x:v>8.069478273890956</x:v>
      </x:c>
      <x:c r="L1385" s="27" t="n">
        <x:f>J1385*(1-I1385*(1-'Carrier Engine'!E97))</x:f>
        <x:v>9221.688536329933</x:v>
      </x:c>
      <x:c r="M1385" s="29" t="n">
        <x:f>NORM.S.DIST((LN(L1385)-K1385)/'Assumptions'!$D$10,TRUE)</x:f>
        <x:v>0.7501512229331906</x:v>
      </x:c>
      <x:c r="N1385" s="30" t="n">
        <x:f>MAX(0,H1385-MAX(G1385,M1385))</x:f>
        <x:v>0</x:v>
      </x:c>
      <x:c r="O1385" s="28" t="n">
        <x:f>J1385*I1385</x:f>
        <x:v>4745.556849704979</x:v>
      </x:c>
      <x:c r="P1385" s="27" t="n">
        <x:f>(VLOOKUP(O1385,'Fee Data'!$C$6:$G$50,2,TRUE)+O1385*VLOOKUP(O1385,'Fee Data'!$C$6:$G$50,3,TRUE)+VLOOKUP(O1385,'Fee Data'!$I$6:$J$14,2,TRUE)+'Fee Data'!$J$20+'Fee Data'!$J$21)*'Assumptions'!J37</x:f>
        <x:v>970</x:v>
      </x:c>
      <x:c r="Q1385" s="27" t="n">
        <x:f>(VLOOKUP(O1385,'Fee Data'!$C$6:$G$50,4,TRUE)+O1385*VLOOKUP(O1385,'Fee Data'!$C$6:$G$50,5,TRUE)+VLOOKUP(O1385,'Fee Data'!$I$6:$J$14,2,TRUE)+'Fee Data'!$J$20+'Fee Data'!$J$21)*'Assumptions'!J37</x:f>
        <x:v>845</x:v>
      </x:c>
      <x:c r="R1385" s="27" t="n">
        <x:f>P1385*(1-'Assumptions'!$D$14)+Q1385*'Assumptions'!$D$14</x:f>
        <x:v>907.5</x:v>
      </x:c>
      <x:c r="S1385" s="27" t="n">
        <x:f>O1385*'Carrier Engine'!E97</x:f>
        <x:v>189.82227398819919</x:v>
      </x:c>
      <x:c r="T1385" s="28" t="n">
        <x:f>R1385+S1385</x:f>
        <x:v>1097.3222739881992</x:v>
      </x:c>
      <x:c r="U1385" s="27" t="n">
        <x:f>N1385*'Fleet Engine'!L203</x:f>
        <x:v>0</x:v>
      </x:c>
      <x:c r="V1385" s="28" t="n">
        <x:f>U1385*T1385</x:f>
        <x:v>0</x:v>
      </x:c>
      <x:c r="W1385" s="28" t="n">
        <x:f>U1385*O1385</x:f>
        <x:v>0</x:v>
      </x:c>
    </x:row>
    <x:row r="1386" ht="19" customHeight="1">
      <x:c r="A1386" s="2"/>
      <x:c r="B1386" s="2"/>
      <x:c r="C1386" s="46" t="n">
        <x:v>6</x:v>
      </x:c>
      <x:c r="D1386" s="46" t="n">
        <x:v>9</x:v>
      </x:c>
      <x:c r="E1386" s="46" t="n">
        <x:v>1</x:v>
      </x:c>
      <x:c r="F1386" s="46" t="n">
        <x:v>3</x:v>
      </x:c>
      <x:c r="G1386" s="12" t="n">
        <x:v>0.3333333333333333</x:v>
      </x:c>
      <x:c r="H1386" s="12" t="n">
        <x:v>0.4444444444444444</x:v>
      </x:c>
      <x:c r="I1386" s="29" t="n">
        <x:f>'Assumptions'!$D$11+'Assumptions'!$D$12*(0.5-(G1386+H1386)/2)</x:f>
        <x:v>0.32222222222222224</x:v>
      </x:c>
      <x:c r="J1386" s="27" t="n">
        <x:f>'Assumptions'!$D$8*EXP(-'Assumptions'!$D$9*('Fleet Engine'!E203-10))*'Assumptions'!E56*'Assumptions'!J36</x:f>
        <x:v>13777.423112046714</x:v>
      </x:c>
      <x:c r="K1386" s="27" t="n">
        <x:f>'Source Data'!F220+LN('Assumptions'!D56)+LN('Assumptions'!J35)</x:f>
        <x:v>8.069478273890956</x:v>
      </x:c>
      <x:c r="L1386" s="27" t="n">
        <x:f>J1386*(1-I1386*(1-'Carrier Engine'!E97))</x:f>
        <x:v>9515.606896053598</x:v>
      </x:c>
      <x:c r="M1386" s="29" t="n">
        <x:f>NORM.S.DIST((LN(L1386)-K1386)/'Assumptions'!$D$10,TRUE)</x:f>
        <x:v>0.7564558162657599</x:v>
      </x:c>
      <x:c r="N1386" s="30" t="n">
        <x:f>MAX(0,H1386-MAX(G1386,M1386))</x:f>
        <x:v>0</x:v>
      </x:c>
      <x:c r="O1386" s="28" t="n">
        <x:f>J1386*I1386</x:f>
        <x:v>4439.391891659497</x:v>
      </x:c>
      <x:c r="P1386" s="27" t="n">
        <x:f>(VLOOKUP(O1386,'Fee Data'!$C$6:$G$50,2,TRUE)+O1386*VLOOKUP(O1386,'Fee Data'!$C$6:$G$50,3,TRUE)+VLOOKUP(O1386,'Fee Data'!$I$6:$J$14,2,TRUE)+'Fee Data'!$J$20+'Fee Data'!$J$21)*'Assumptions'!J37</x:f>
        <x:v>945</x:v>
      </x:c>
      <x:c r="Q1386" s="27" t="n">
        <x:f>(VLOOKUP(O1386,'Fee Data'!$C$6:$G$50,4,TRUE)+O1386*VLOOKUP(O1386,'Fee Data'!$C$6:$G$50,5,TRUE)+VLOOKUP(O1386,'Fee Data'!$I$6:$J$14,2,TRUE)+'Fee Data'!$J$20+'Fee Data'!$J$21)*'Assumptions'!J37</x:f>
        <x:v>820</x:v>
      </x:c>
      <x:c r="R1386" s="27" t="n">
        <x:f>P1386*(1-'Assumptions'!$D$14)+Q1386*'Assumptions'!$D$14</x:f>
        <x:v>882.5</x:v>
      </x:c>
      <x:c r="S1386" s="27" t="n">
        <x:f>O1386*'Carrier Engine'!E97</x:f>
        <x:v>177.5756756663799</x:v>
      </x:c>
      <x:c r="T1386" s="28" t="n">
        <x:f>R1386+S1386</x:f>
        <x:v>1060.07567566638</x:v>
      </x:c>
      <x:c r="U1386" s="27" t="n">
        <x:f>N1386*'Fleet Engine'!L203</x:f>
        <x:v>0</x:v>
      </x:c>
      <x:c r="V1386" s="28" t="n">
        <x:f>U1386*T1386</x:f>
        <x:v>0</x:v>
      </x:c>
      <x:c r="W1386" s="28" t="n">
        <x:f>U1386*O1386</x:f>
        <x:v>0</x:v>
      </x:c>
    </x:row>
    <x:row r="1387" ht="19" customHeight="1">
      <x:c r="A1387" s="2"/>
      <x:c r="B1387" s="2"/>
      <x:c r="C1387" s="46" t="n">
        <x:v>6</x:v>
      </x:c>
      <x:c r="D1387" s="46" t="n">
        <x:v>9</x:v>
      </x:c>
      <x:c r="E1387" s="46" t="n">
        <x:v>1</x:v>
      </x:c>
      <x:c r="F1387" s="46" t="n">
        <x:v>3</x:v>
      </x:c>
      <x:c r="G1387" s="12" t="n">
        <x:v>0.4444444444444444</x:v>
      </x:c>
      <x:c r="H1387" s="12" t="n">
        <x:v>0.5555555555555556</x:v>
      </x:c>
      <x:c r="I1387" s="29" t="n">
        <x:f>'Assumptions'!$D$11+'Assumptions'!$D$12*(0.5-(G1387+H1387)/2)</x:f>
        <x:v>0.3</x:v>
      </x:c>
      <x:c r="J1387" s="27" t="n">
        <x:f>'Assumptions'!$D$8*EXP(-'Assumptions'!$D$9*('Fleet Engine'!E203-10))*'Assumptions'!E56*'Assumptions'!J36</x:f>
        <x:v>13777.423112046714</x:v>
      </x:c>
      <x:c r="K1387" s="27" t="n">
        <x:f>'Source Data'!F220+LN('Assumptions'!D56)+LN('Assumptions'!J35)</x:f>
        <x:v>8.069478273890956</x:v>
      </x:c>
      <x:c r="L1387" s="27" t="n">
        <x:f>J1387*(1-I1387*(1-'Carrier Engine'!E97))</x:f>
        <x:v>9809.52525577726</x:v>
      </x:c>
      <x:c r="M1387" s="29" t="n">
        <x:f>NORM.S.DIST((LN(L1387)-K1387)/'Assumptions'!$D$10,TRUE)</x:f>
        <x:v>0.7624856059429846</x:v>
      </x:c>
      <x:c r="N1387" s="30" t="n">
        <x:f>MAX(0,H1387-MAX(G1387,M1387))</x:f>
        <x:v>0</x:v>
      </x:c>
      <x:c r="O1387" s="28" t="n">
        <x:f>J1387*I1387</x:f>
        <x:v>4133.226933614014</x:v>
      </x:c>
      <x:c r="P1387" s="27" t="n">
        <x:f>(VLOOKUP(O1387,'Fee Data'!$C$6:$G$50,2,TRUE)+O1387*VLOOKUP(O1387,'Fee Data'!$C$6:$G$50,3,TRUE)+VLOOKUP(O1387,'Fee Data'!$I$6:$J$14,2,TRUE)+'Fee Data'!$J$20+'Fee Data'!$J$21)*'Assumptions'!J37</x:f>
        <x:v>945</x:v>
      </x:c>
      <x:c r="Q1387" s="27" t="n">
        <x:f>(VLOOKUP(O1387,'Fee Data'!$C$6:$G$50,4,TRUE)+O1387*VLOOKUP(O1387,'Fee Data'!$C$6:$G$50,5,TRUE)+VLOOKUP(O1387,'Fee Data'!$I$6:$J$14,2,TRUE)+'Fee Data'!$J$20+'Fee Data'!$J$21)*'Assumptions'!J37</x:f>
        <x:v>820</x:v>
      </x:c>
      <x:c r="R1387" s="27" t="n">
        <x:f>P1387*(1-'Assumptions'!$D$14)+Q1387*'Assumptions'!$D$14</x:f>
        <x:v>882.5</x:v>
      </x:c>
      <x:c r="S1387" s="27" t="n">
        <x:f>O1387*'Carrier Engine'!E97</x:f>
        <x:v>165.3290773445606</x:v>
      </x:c>
      <x:c r="T1387" s="28" t="n">
        <x:f>R1387+S1387</x:f>
        <x:v>1047.8290773445606</x:v>
      </x:c>
      <x:c r="U1387" s="27" t="n">
        <x:f>N1387*'Fleet Engine'!L203</x:f>
        <x:v>0</x:v>
      </x:c>
      <x:c r="V1387" s="28" t="n">
        <x:f>U1387*T1387</x:f>
        <x:v>0</x:v>
      </x:c>
      <x:c r="W1387" s="28" t="n">
        <x:f>U1387*O1387</x:f>
        <x:v>0</x:v>
      </x:c>
    </x:row>
    <x:row r="1388" ht="19" customHeight="1">
      <x:c r="A1388" s="2"/>
      <x:c r="B1388" s="2"/>
      <x:c r="C1388" s="46" t="n">
        <x:v>6</x:v>
      </x:c>
      <x:c r="D1388" s="46" t="n">
        <x:v>9</x:v>
      </x:c>
      <x:c r="E1388" s="46" t="n">
        <x:v>1</x:v>
      </x:c>
      <x:c r="F1388" s="46" t="n">
        <x:v>3</x:v>
      </x:c>
      <x:c r="G1388" s="12" t="n">
        <x:v>0.5555555555555556</x:v>
      </x:c>
      <x:c r="H1388" s="12" t="n">
        <x:v>0.6666666666666666</x:v>
      </x:c>
      <x:c r="I1388" s="29" t="n">
        <x:f>'Assumptions'!$D$11+'Assumptions'!$D$12*(0.5-(G1388+H1388)/2)</x:f>
        <x:v>0.27777777777777773</x:v>
      </x:c>
      <x:c r="J1388" s="27" t="n">
        <x:f>'Assumptions'!$D$8*EXP(-'Assumptions'!$D$9*('Fleet Engine'!E203-10))*'Assumptions'!E56*'Assumptions'!J36</x:f>
        <x:v>13777.423112046714</x:v>
      </x:c>
      <x:c r="K1388" s="27" t="n">
        <x:f>'Source Data'!F220+LN('Assumptions'!D56)+LN('Assumptions'!J35)</x:f>
        <x:v>8.069478273890956</x:v>
      </x:c>
      <x:c r="L1388" s="27" t="n">
        <x:f>J1388*(1-I1388*(1-'Carrier Engine'!E97))</x:f>
        <x:v>10103.443615500924</x:v>
      </x:c>
      <x:c r="M1388" s="29" t="n">
        <x:f>NORM.S.DIST((LN(L1388)-K1388)/'Assumptions'!$D$10,TRUE)</x:f>
        <x:v>0.7682581433884235</x:v>
      </x:c>
      <x:c r="N1388" s="30" t="n">
        <x:f>MAX(0,H1388-MAX(G1388,M1388))</x:f>
        <x:v>0</x:v>
      </x:c>
      <x:c r="O1388" s="28" t="n">
        <x:f>J1388*I1388</x:f>
        <x:v>3827.061975568531</x:v>
      </x:c>
      <x:c r="P1388" s="27" t="n">
        <x:f>(VLOOKUP(O1388,'Fee Data'!$C$6:$G$50,2,TRUE)+O1388*VLOOKUP(O1388,'Fee Data'!$C$6:$G$50,3,TRUE)+VLOOKUP(O1388,'Fee Data'!$I$6:$J$14,2,TRUE)+'Fee Data'!$J$20+'Fee Data'!$J$21)*'Assumptions'!J37</x:f>
        <x:v>915</x:v>
      </x:c>
      <x:c r="Q1388" s="27" t="n">
        <x:f>(VLOOKUP(O1388,'Fee Data'!$C$6:$G$50,4,TRUE)+O1388*VLOOKUP(O1388,'Fee Data'!$C$6:$G$50,5,TRUE)+VLOOKUP(O1388,'Fee Data'!$I$6:$J$14,2,TRUE)+'Fee Data'!$J$20+'Fee Data'!$J$21)*'Assumptions'!J37</x:f>
        <x:v>765</x:v>
      </x:c>
      <x:c r="R1388" s="27" t="n">
        <x:f>P1388*(1-'Assumptions'!$D$14)+Q1388*'Assumptions'!$D$14</x:f>
        <x:v>840</x:v>
      </x:c>
      <x:c r="S1388" s="27" t="n">
        <x:f>O1388*'Carrier Engine'!E97</x:f>
        <x:v>153.08247902274127</x:v>
      </x:c>
      <x:c r="T1388" s="28" t="n">
        <x:f>R1388+S1388</x:f>
        <x:v>993.0824790227413</x:v>
      </x:c>
      <x:c r="U1388" s="27" t="n">
        <x:f>N1388*'Fleet Engine'!L203</x:f>
        <x:v>0</x:v>
      </x:c>
      <x:c r="V1388" s="28" t="n">
        <x:f>U1388*T1388</x:f>
        <x:v>0</x:v>
      </x:c>
      <x:c r="W1388" s="28" t="n">
        <x:f>U1388*O1388</x:f>
        <x:v>0</x:v>
      </x:c>
    </x:row>
    <x:row r="1389" ht="19" customHeight="1">
      <x:c r="A1389" s="2"/>
      <x:c r="B1389" s="2"/>
      <x:c r="C1389" s="46" t="n">
        <x:v>6</x:v>
      </x:c>
      <x:c r="D1389" s="46" t="n">
        <x:v>9</x:v>
      </x:c>
      <x:c r="E1389" s="46" t="n">
        <x:v>1</x:v>
      </x:c>
      <x:c r="F1389" s="46" t="n">
        <x:v>3</x:v>
      </x:c>
      <x:c r="G1389" s="12" t="n">
        <x:v>0.6666666666666666</x:v>
      </x:c>
      <x:c r="H1389" s="12" t="n">
        <x:v>0.7777777777777778</x:v>
      </x:c>
      <x:c r="I1389" s="29" t="n">
        <x:f>'Assumptions'!$D$11+'Assumptions'!$D$12*(0.5-(G1389+H1389)/2)</x:f>
        <x:v>0.25555555555555554</x:v>
      </x:c>
      <x:c r="J1389" s="27" t="n">
        <x:f>'Assumptions'!$D$8*EXP(-'Assumptions'!$D$9*('Fleet Engine'!E203-10))*'Assumptions'!E56*'Assumptions'!J36</x:f>
        <x:v>13777.423112046714</x:v>
      </x:c>
      <x:c r="K1389" s="27" t="n">
        <x:f>'Source Data'!F220+LN('Assumptions'!D56)+LN('Assumptions'!J35)</x:f>
        <x:v>8.069478273890956</x:v>
      </x:c>
      <x:c r="L1389" s="27" t="n">
        <x:f>J1389*(1-I1389*(1-'Carrier Engine'!E97))</x:f>
        <x:v>10397.361975224587</x:v>
      </x:c>
      <x:c r="M1389" s="29" t="n">
        <x:f>NORM.S.DIST((LN(L1389)-K1389)/'Assumptions'!$D$10,TRUE)</x:f>
        <x:v>0.7737894922279166</x:v>
      </x:c>
      <x:c r="N1389" s="30" t="n">
        <x:f>MAX(0,H1389-MAX(G1389,M1389))</x:f>
        <x:v>0.0039882855498611924</x:v>
      </x:c>
      <x:c r="O1389" s="28" t="n">
        <x:f>J1389*I1389</x:f>
        <x:v>3520.897017523049</x:v>
      </x:c>
      <x:c r="P1389" s="27" t="n">
        <x:f>(VLOOKUP(O1389,'Fee Data'!$C$6:$G$50,2,TRUE)+O1389*VLOOKUP(O1389,'Fee Data'!$C$6:$G$50,3,TRUE)+VLOOKUP(O1389,'Fee Data'!$I$6:$J$14,2,TRUE)+'Fee Data'!$J$20+'Fee Data'!$J$21)*'Assumptions'!J37</x:f>
        <x:v>915</x:v>
      </x:c>
      <x:c r="Q1389" s="27" t="n">
        <x:f>(VLOOKUP(O1389,'Fee Data'!$C$6:$G$50,4,TRUE)+O1389*VLOOKUP(O1389,'Fee Data'!$C$6:$G$50,5,TRUE)+VLOOKUP(O1389,'Fee Data'!$I$6:$J$14,2,TRUE)+'Fee Data'!$J$20+'Fee Data'!$J$21)*'Assumptions'!J37</x:f>
        <x:v>765</x:v>
      </x:c>
      <x:c r="R1389" s="27" t="n">
        <x:f>P1389*(1-'Assumptions'!$D$14)+Q1389*'Assumptions'!$D$14</x:f>
        <x:v>840</x:v>
      </x:c>
      <x:c r="S1389" s="27" t="n">
        <x:f>O1389*'Carrier Engine'!E97</x:f>
        <x:v>140.835880700922</x:v>
      </x:c>
      <x:c r="T1389" s="28" t="n">
        <x:f>R1389+S1389</x:f>
        <x:v>980.835880700922</x:v>
      </x:c>
      <x:c r="U1389" s="27" t="n">
        <x:f>N1389*'Fleet Engine'!L203</x:f>
        <x:v>73.26095623516369</x:v>
      </x:c>
      <x:c r="V1389" s="28" t="n">
        <x:f>U1389*T1389</x:f>
        <x:v>71856.97452990848</x:v>
      </x:c>
      <x:c r="W1389" s="28" t="n">
        <x:f>U1389*O1389</x:f>
        <x:v>257944.28230927445</x:v>
      </x:c>
    </x:row>
    <x:row r="1390" ht="19" customHeight="1">
      <x:c r="A1390" s="2"/>
      <x:c r="B1390" s="2"/>
      <x:c r="C1390" s="46" t="n">
        <x:v>6</x:v>
      </x:c>
      <x:c r="D1390" s="46" t="n">
        <x:v>9</x:v>
      </x:c>
      <x:c r="E1390" s="46" t="n">
        <x:v>1</x:v>
      </x:c>
      <x:c r="F1390" s="46" t="n">
        <x:v>3</x:v>
      </x:c>
      <x:c r="G1390" s="12" t="n">
        <x:v>0.7777777777777778</x:v>
      </x:c>
      <x:c r="H1390" s="12" t="n">
        <x:v>0.8888888888888888</x:v>
      </x:c>
      <x:c r="I1390" s="29" t="n">
        <x:f>'Assumptions'!$D$11+'Assumptions'!$D$12*(0.5-(G1390+H1390)/2)</x:f>
        <x:v>0.23333333333333334</x:v>
      </x:c>
      <x:c r="J1390" s="27" t="n">
        <x:f>'Assumptions'!$D$8*EXP(-'Assumptions'!$D$9*('Fleet Engine'!E203-10))*'Assumptions'!E56*'Assumptions'!J36</x:f>
        <x:v>13777.423112046714</x:v>
      </x:c>
      <x:c r="K1390" s="27" t="n">
        <x:f>'Source Data'!F220+LN('Assumptions'!D56)+LN('Assumptions'!J35)</x:f>
        <x:v>8.069478273890956</x:v>
      </x:c>
      <x:c r="L1390" s="27" t="n">
        <x:f>J1390*(1-I1390*(1-'Carrier Engine'!E97))</x:f>
        <x:v>10691.280334948251</x:v>
      </x:c>
      <x:c r="M1390" s="29" t="n">
        <x:f>NORM.S.DIST((LN(L1390)-K1390)/'Assumptions'!$D$10,TRUE)</x:f>
        <x:v>0.7790943854078269</x:v>
      </x:c>
      <x:c r="N1390" s="30" t="n">
        <x:f>MAX(0,H1390-MAX(G1390,M1390))</x:f>
        <x:v>0.1097945034810619</x:v>
      </x:c>
      <x:c r="O1390" s="28" t="n">
        <x:f>J1390*I1390</x:f>
        <x:v>3214.7320594775665</x:v>
      </x:c>
      <x:c r="P1390" s="27" t="n">
        <x:f>(VLOOKUP(O1390,'Fee Data'!$C$6:$G$50,2,TRUE)+O1390*VLOOKUP(O1390,'Fee Data'!$C$6:$G$50,3,TRUE)+VLOOKUP(O1390,'Fee Data'!$I$6:$J$14,2,TRUE)+'Fee Data'!$J$20+'Fee Data'!$J$21)*'Assumptions'!J37</x:f>
        <x:v>865</x:v>
      </x:c>
      <x:c r="Q1390" s="27" t="n">
        <x:f>(VLOOKUP(O1390,'Fee Data'!$C$6:$G$50,4,TRUE)+O1390*VLOOKUP(O1390,'Fee Data'!$C$6:$G$50,5,TRUE)+VLOOKUP(O1390,'Fee Data'!$I$6:$J$14,2,TRUE)+'Fee Data'!$J$20+'Fee Data'!$J$21)*'Assumptions'!J37</x:f>
        <x:v>715</x:v>
      </x:c>
      <x:c r="R1390" s="27" t="n">
        <x:f>P1390*(1-'Assumptions'!$D$14)+Q1390*'Assumptions'!$D$14</x:f>
        <x:v>790</x:v>
      </x:c>
      <x:c r="S1390" s="27" t="n">
        <x:f>O1390*'Carrier Engine'!E97</x:f>
        <x:v>128.58928237910268</x:v>
      </x:c>
      <x:c r="T1390" s="28" t="n">
        <x:f>R1390+S1390</x:f>
        <x:v>918.5892823791027</x:v>
      </x:c>
      <x:c r="U1390" s="27" t="n">
        <x:f>N1390*'Fleet Engine'!L203</x:f>
        <x:v>2016.81906017676</x:v>
      </x:c>
      <x:c r="V1390" s="28" t="n">
        <x:f>U1390*T1390</x:f>
        <x:v>1852628.3731762662</x:v>
      </x:c>
      <x:c r="W1390" s="28" t="n">
        <x:f>U1390*O1390</x:f>
        <x:v>6483532.890915646</x:v>
      </x:c>
    </x:row>
    <x:row r="1391" ht="19" customHeight="1">
      <x:c r="A1391" s="2"/>
      <x:c r="B1391" s="2"/>
      <x:c r="C1391" s="46" t="n">
        <x:v>6</x:v>
      </x:c>
      <x:c r="D1391" s="46" t="n">
        <x:v>9</x:v>
      </x:c>
      <x:c r="E1391" s="46" t="n">
        <x:v>1</x:v>
      </x:c>
      <x:c r="F1391" s="46" t="n">
        <x:v>3</x:v>
      </x:c>
      <x:c r="G1391" s="12" t="n">
        <x:v>0.8888888888888888</x:v>
      </x:c>
      <x:c r="H1391" s="12" t="n">
        <x:v>1</x:v>
      </x:c>
      <x:c r="I1391" s="29" t="n">
        <x:f>'Assumptions'!$D$11+'Assumptions'!$D$12*(0.5-(G1391+H1391)/2)</x:f>
        <x:v>0.21111111111111108</x:v>
      </x:c>
      <x:c r="J1391" s="27" t="n">
        <x:f>'Assumptions'!$D$8*EXP(-'Assumptions'!$D$9*('Fleet Engine'!E203-10))*'Assumptions'!E56*'Assumptions'!J36</x:f>
        <x:v>13777.423112046714</x:v>
      </x:c>
      <x:c r="K1391" s="27" t="n">
        <x:f>'Source Data'!F220+LN('Assumptions'!D56)+LN('Assumptions'!J35)</x:f>
        <x:v>8.069478273890956</x:v>
      </x:c>
      <x:c r="L1391" s="27" t="n">
        <x:f>J1391*(1-I1391*(1-'Carrier Engine'!E97))</x:f>
        <x:v>10985.198694671913</x:v>
      </x:c>
      <x:c r="M1391" s="29" t="n">
        <x:f>NORM.S.DIST((LN(L1391)-K1391)/'Assumptions'!$D$10,TRUE)</x:f>
        <x:v>0.7841863625115301</x:v>
      </x:c>
      <x:c r="N1391" s="30" t="n">
        <x:f>MAX(0,H1391-MAX(G1391,M1391))</x:f>
        <x:v>0.11111111111111116</x:v>
      </x:c>
      <x:c r="O1391" s="28" t="n">
        <x:f>J1391*I1391</x:f>
        <x:v>2908.5671014320837</x:v>
      </x:c>
      <x:c r="P1391" s="27" t="n">
        <x:f>(VLOOKUP(O1391,'Fee Data'!$C$6:$G$50,2,TRUE)+O1391*VLOOKUP(O1391,'Fee Data'!$C$6:$G$50,3,TRUE)+VLOOKUP(O1391,'Fee Data'!$I$6:$J$14,2,TRUE)+'Fee Data'!$J$20+'Fee Data'!$J$21)*'Assumptions'!J37</x:f>
        <x:v>820</x:v>
      </x:c>
      <x:c r="Q1391" s="27" t="n">
        <x:f>(VLOOKUP(O1391,'Fee Data'!$C$6:$G$50,4,TRUE)+O1391*VLOOKUP(O1391,'Fee Data'!$C$6:$G$50,5,TRUE)+VLOOKUP(O1391,'Fee Data'!$I$6:$J$14,2,TRUE)+'Fee Data'!$J$20+'Fee Data'!$J$21)*'Assumptions'!J37</x:f>
        <x:v>670</x:v>
      </x:c>
      <x:c r="R1391" s="27" t="n">
        <x:f>P1391*(1-'Assumptions'!$D$14)+Q1391*'Assumptions'!$D$14</x:f>
        <x:v>745</x:v>
      </x:c>
      <x:c r="S1391" s="27" t="n">
        <x:f>O1391*'Carrier Engine'!E97</x:f>
        <x:v>116.34268405728338</x:v>
      </x:c>
      <x:c r="T1391" s="28" t="n">
        <x:f>R1391+S1391</x:f>
        <x:v>861.3426840572833</x:v>
      </x:c>
      <x:c r="U1391" s="27" t="n">
        <x:f>N1391*'Fleet Engine'!L203</x:f>
        <x:v>2041.0038716096522</x:v>
      </x:c>
      <x:c r="V1391" s="28" t="n">
        <x:f>U1391*T1391</x:f>
        <x:v>1758003.7529435647</x:v>
      </x:c>
      <x:c r="W1391" s="28" t="n">
        <x:f>U1391*O1391</x:f>
        <x:v>5936396.714859347</x:v>
      </x:c>
    </x:row>
    <x:row r="1392" ht="19" customHeight="1">
      <x:c r="A1392" s="2"/>
      <x:c r="B1392" s="2"/>
      <x:c r="C1392" s="46" t="n">
        <x:v>6</x:v>
      </x:c>
      <x:c r="D1392" s="46" t="n">
        <x:v>10</x:v>
      </x:c>
      <x:c r="E1392" s="46" t="n">
        <x:v>1</x:v>
      </x:c>
      <x:c r="F1392" s="46" t="n">
        <x:v>4</x:v>
      </x:c>
      <x:c r="G1392" s="12" t="n">
        <x:v>0</x:v>
      </x:c>
      <x:c r="H1392" s="12" t="n">
        <x:v>0.1111111111111111</x:v>
      </x:c>
      <x:c r="I1392" s="29" t="n">
        <x:f>'Assumptions'!$D$11+'Assumptions'!$D$12*(0.5-(G1392+H1392)/2)</x:f>
        <x:v>0.3888888888888889</x:v>
      </x:c>
      <x:c r="J1392" s="27" t="n">
        <x:f>'Assumptions'!$D$8*EXP(-'Assumptions'!$D$9*('Fleet Engine'!E204-10))*'Assumptions'!E56*'Assumptions'!J36</x:f>
        <x:v>10206.566075445622</x:v>
      </x:c>
      <x:c r="K1392" s="27" t="n">
        <x:f>'Source Data'!F221+LN('Assumptions'!D56)+LN('Assumptions'!J35)</x:f>
        <x:v>8.155326402806208</x:v>
      </x:c>
      <x:c r="L1392" s="27" t="n">
        <x:f>J1392*(1-I1392*(1-'Carrier Engine'!E97))</x:f>
        <x:v>6396.11474061259</x:v>
      </x:c>
      <x:c r="M1392" s="29" t="n">
        <x:f>NORM.S.DIST((LN(L1392)-K1392)/'Assumptions'!$D$10,TRUE)</x:f>
        <x:v>0.6507279511537387</x:v>
      </x:c>
      <x:c r="N1392" s="30" t="n">
        <x:f>MAX(0,H1392-MAX(G1392,M1392))</x:f>
        <x:v>0</x:v>
      </x:c>
      <x:c r="O1392" s="28" t="n">
        <x:f>J1392*I1392</x:f>
        <x:v>3969.220140451075</x:v>
      </x:c>
      <x:c r="P1392" s="27" t="n">
        <x:f>(VLOOKUP(O1392,'Fee Data'!$C$6:$G$50,2,TRUE)+O1392*VLOOKUP(O1392,'Fee Data'!$C$6:$G$50,3,TRUE)+VLOOKUP(O1392,'Fee Data'!$I$6:$J$14,2,TRUE)+'Fee Data'!$J$20+'Fee Data'!$J$21)*'Assumptions'!J37</x:f>
        <x:v>915</x:v>
      </x:c>
      <x:c r="Q1392" s="27" t="n">
        <x:f>(VLOOKUP(O1392,'Fee Data'!$C$6:$G$50,4,TRUE)+O1392*VLOOKUP(O1392,'Fee Data'!$C$6:$G$50,5,TRUE)+VLOOKUP(O1392,'Fee Data'!$I$6:$J$14,2,TRUE)+'Fee Data'!$J$20+'Fee Data'!$J$21)*'Assumptions'!J37</x:f>
        <x:v>765</x:v>
      </x:c>
      <x:c r="R1392" s="27" t="n">
        <x:f>P1392*(1-'Assumptions'!$D$14)+Q1392*'Assumptions'!$D$14</x:f>
        <x:v>840</x:v>
      </x:c>
      <x:c r="S1392" s="27" t="n">
        <x:f>O1392*'Carrier Engine'!E97</x:f>
        <x:v>158.76880561804305</x:v>
      </x:c>
      <x:c r="T1392" s="28" t="n">
        <x:f>R1392+S1392</x:f>
        <x:v>998.7688056180431</x:v>
      </x:c>
      <x:c r="U1392" s="27" t="n">
        <x:f>N1392*'Fleet Engine'!L204</x:f>
        <x:v>0</x:v>
      </x:c>
      <x:c r="V1392" s="28" t="n">
        <x:f>U1392*T1392</x:f>
        <x:v>0</x:v>
      </x:c>
      <x:c r="W1392" s="28" t="n">
        <x:f>U1392*O1392</x:f>
        <x:v>0</x:v>
      </x:c>
    </x:row>
    <x:row r="1393" ht="19" customHeight="1">
      <x:c r="A1393" s="2"/>
      <x:c r="B1393" s="2"/>
      <x:c r="C1393" s="46" t="n">
        <x:v>6</x:v>
      </x:c>
      <x:c r="D1393" s="46" t="n">
        <x:v>10</x:v>
      </x:c>
      <x:c r="E1393" s="46" t="n">
        <x:v>1</x:v>
      </x:c>
      <x:c r="F1393" s="46" t="n">
        <x:v>4</x:v>
      </x:c>
      <x:c r="G1393" s="12" t="n">
        <x:v>0.1111111111111111</x:v>
      </x:c>
      <x:c r="H1393" s="12" t="n">
        <x:v>0.2222222222222222</x:v>
      </x:c>
      <x:c r="I1393" s="29" t="n">
        <x:f>'Assumptions'!$D$11+'Assumptions'!$D$12*(0.5-(G1393+H1393)/2)</x:f>
        <x:v>0.3666666666666667</x:v>
      </x:c>
      <x:c r="J1393" s="27" t="n">
        <x:f>'Assumptions'!$D$8*EXP(-'Assumptions'!$D$9*('Fleet Engine'!E204-10))*'Assumptions'!E56*'Assumptions'!J36</x:f>
        <x:v>10206.566075445622</x:v>
      </x:c>
      <x:c r="K1393" s="27" t="n">
        <x:f>'Source Data'!F221+LN('Assumptions'!D56)+LN('Assumptions'!J35)</x:f>
        <x:v>8.155326402806208</x:v>
      </x:c>
      <x:c r="L1393" s="27" t="n">
        <x:f>J1393*(1-I1393*(1-'Carrier Engine'!E97))</x:f>
        <x:v>6613.854816888762</x:v>
      </x:c>
      <x:c r="M1393" s="29" t="n">
        <x:f>NORM.S.DIST((LN(L1393)-K1393)/'Assumptions'!$D$10,TRUE)</x:f>
        <x:v>0.658585579143658</x:v>
      </x:c>
      <x:c r="N1393" s="30" t="n">
        <x:f>MAX(0,H1393-MAX(G1393,M1393))</x:f>
        <x:v>0</x:v>
      </x:c>
      <x:c r="O1393" s="28" t="n">
        <x:f>J1393*I1393</x:f>
        <x:v>3742.4075609967285</x:v>
      </x:c>
      <x:c r="P1393" s="27" t="n">
        <x:f>(VLOOKUP(O1393,'Fee Data'!$C$6:$G$50,2,TRUE)+O1393*VLOOKUP(O1393,'Fee Data'!$C$6:$G$50,3,TRUE)+VLOOKUP(O1393,'Fee Data'!$I$6:$J$14,2,TRUE)+'Fee Data'!$J$20+'Fee Data'!$J$21)*'Assumptions'!J37</x:f>
        <x:v>915</x:v>
      </x:c>
      <x:c r="Q1393" s="27" t="n">
        <x:f>(VLOOKUP(O1393,'Fee Data'!$C$6:$G$50,4,TRUE)+O1393*VLOOKUP(O1393,'Fee Data'!$C$6:$G$50,5,TRUE)+VLOOKUP(O1393,'Fee Data'!$I$6:$J$14,2,TRUE)+'Fee Data'!$J$20+'Fee Data'!$J$21)*'Assumptions'!J37</x:f>
        <x:v>765</x:v>
      </x:c>
      <x:c r="R1393" s="27" t="n">
        <x:f>P1393*(1-'Assumptions'!$D$14)+Q1393*'Assumptions'!$D$14</x:f>
        <x:v>840</x:v>
      </x:c>
      <x:c r="S1393" s="27" t="n">
        <x:f>O1393*'Carrier Engine'!E97</x:f>
        <x:v>149.69630243986916</x:v>
      </x:c>
      <x:c r="T1393" s="28" t="n">
        <x:f>R1393+S1393</x:f>
        <x:v>989.6963024398692</x:v>
      </x:c>
      <x:c r="U1393" s="27" t="n">
        <x:f>N1393*'Fleet Engine'!L204</x:f>
        <x:v>0</x:v>
      </x:c>
      <x:c r="V1393" s="28" t="n">
        <x:f>U1393*T1393</x:f>
        <x:v>0</x:v>
      </x:c>
      <x:c r="W1393" s="28" t="n">
        <x:f>U1393*O1393</x:f>
        <x:v>0</x:v>
      </x:c>
    </x:row>
    <x:row r="1394" ht="19" customHeight="1">
      <x:c r="A1394" s="2"/>
      <x:c r="B1394" s="2"/>
      <x:c r="C1394" s="46" t="n">
        <x:v>6</x:v>
      </x:c>
      <x:c r="D1394" s="46" t="n">
        <x:v>10</x:v>
      </x:c>
      <x:c r="E1394" s="46" t="n">
        <x:v>1</x:v>
      </x:c>
      <x:c r="F1394" s="46" t="n">
        <x:v>4</x:v>
      </x:c>
      <x:c r="G1394" s="12" t="n">
        <x:v>0.2222222222222222</x:v>
      </x:c>
      <x:c r="H1394" s="12" t="n">
        <x:v>0.3333333333333333</x:v>
      </x:c>
      <x:c r="I1394" s="29" t="n">
        <x:f>'Assumptions'!$D$11+'Assumptions'!$D$12*(0.5-(G1394+H1394)/2)</x:f>
        <x:v>0.34444444444444444</x:v>
      </x:c>
      <x:c r="J1394" s="27" t="n">
        <x:f>'Assumptions'!$D$8*EXP(-'Assumptions'!$D$9*('Fleet Engine'!E204-10))*'Assumptions'!E56*'Assumptions'!J36</x:f>
        <x:v>10206.566075445622</x:v>
      </x:c>
      <x:c r="K1394" s="27" t="n">
        <x:f>'Source Data'!F221+LN('Assumptions'!D56)+LN('Assumptions'!J35)</x:f>
        <x:v>8.155326402806208</x:v>
      </x:c>
      <x:c r="L1394" s="27" t="n">
        <x:f>J1394*(1-I1394*(1-'Carrier Engine'!E97))</x:f>
        <x:v>6831.594893164936</x:v>
      </x:c>
      <x:c r="M1394" s="29" t="n">
        <x:f>NORM.S.DIST((LN(L1394)-K1394)/'Assumptions'!$D$10,TRUE)</x:f>
        <x:v>0.6661238198441306</x:v>
      </x:c>
      <x:c r="N1394" s="30" t="n">
        <x:f>MAX(0,H1394-MAX(G1394,M1394))</x:f>
        <x:v>0</x:v>
      </x:c>
      <x:c r="O1394" s="28" t="n">
        <x:f>J1394*I1394</x:f>
        <x:v>3515.594981542381</x:v>
      </x:c>
      <x:c r="P1394" s="27" t="n">
        <x:f>(VLOOKUP(O1394,'Fee Data'!$C$6:$G$50,2,TRUE)+O1394*VLOOKUP(O1394,'Fee Data'!$C$6:$G$50,3,TRUE)+VLOOKUP(O1394,'Fee Data'!$I$6:$J$14,2,TRUE)+'Fee Data'!$J$20+'Fee Data'!$J$21)*'Assumptions'!J37</x:f>
        <x:v>915</x:v>
      </x:c>
      <x:c r="Q1394" s="27" t="n">
        <x:f>(VLOOKUP(O1394,'Fee Data'!$C$6:$G$50,4,TRUE)+O1394*VLOOKUP(O1394,'Fee Data'!$C$6:$G$50,5,TRUE)+VLOOKUP(O1394,'Fee Data'!$I$6:$J$14,2,TRUE)+'Fee Data'!$J$20+'Fee Data'!$J$21)*'Assumptions'!J37</x:f>
        <x:v>765</x:v>
      </x:c>
      <x:c r="R1394" s="27" t="n">
        <x:f>P1394*(1-'Assumptions'!$D$14)+Q1394*'Assumptions'!$D$14</x:f>
        <x:v>840</x:v>
      </x:c>
      <x:c r="S1394" s="27" t="n">
        <x:f>O1394*'Carrier Engine'!E97</x:f>
        <x:v>140.62379926169527</x:v>
      </x:c>
      <x:c r="T1394" s="28" t="n">
        <x:f>R1394+S1394</x:f>
        <x:v>980.6237992616952</x:v>
      </x:c>
      <x:c r="U1394" s="27" t="n">
        <x:f>N1394*'Fleet Engine'!L204</x:f>
        <x:v>0</x:v>
      </x:c>
      <x:c r="V1394" s="28" t="n">
        <x:f>U1394*T1394</x:f>
        <x:v>0</x:v>
      </x:c>
      <x:c r="W1394" s="28" t="n">
        <x:f>U1394*O1394</x:f>
        <x:v>0</x:v>
      </x:c>
    </x:row>
    <x:row r="1395" ht="19" customHeight="1">
      <x:c r="A1395" s="2"/>
      <x:c r="B1395" s="2"/>
      <x:c r="C1395" s="46" t="n">
        <x:v>6</x:v>
      </x:c>
      <x:c r="D1395" s="46" t="n">
        <x:v>10</x:v>
      </x:c>
      <x:c r="E1395" s="46" t="n">
        <x:v>1</x:v>
      </x:c>
      <x:c r="F1395" s="46" t="n">
        <x:v>4</x:v>
      </x:c>
      <x:c r="G1395" s="12" t="n">
        <x:v>0.3333333333333333</x:v>
      </x:c>
      <x:c r="H1395" s="12" t="n">
        <x:v>0.4444444444444444</x:v>
      </x:c>
      <x:c r="I1395" s="29" t="n">
        <x:f>'Assumptions'!$D$11+'Assumptions'!$D$12*(0.5-(G1395+H1395)/2)</x:f>
        <x:v>0.32222222222222224</x:v>
      </x:c>
      <x:c r="J1395" s="27" t="n">
        <x:f>'Assumptions'!$D$8*EXP(-'Assumptions'!$D$9*('Fleet Engine'!E204-10))*'Assumptions'!E56*'Assumptions'!J36</x:f>
        <x:v>10206.566075445622</x:v>
      </x:c>
      <x:c r="K1395" s="27" t="n">
        <x:f>'Source Data'!F221+LN('Assumptions'!D56)+LN('Assumptions'!J35)</x:f>
        <x:v>8.155326402806208</x:v>
      </x:c>
      <x:c r="L1395" s="27" t="n">
        <x:f>J1395*(1-I1395*(1-'Carrier Engine'!E97))</x:f>
        <x:v>7049.33496944111</x:v>
      </x:c>
      <x:c r="M1395" s="29" t="n">
        <x:f>NORM.S.DIST((LN(L1395)-K1395)/'Assumptions'!$D$10,TRUE)</x:f>
        <x:v>0.6733621968258094</x:v>
      </x:c>
      <x:c r="N1395" s="30" t="n">
        <x:f>MAX(0,H1395-MAX(G1395,M1395))</x:f>
        <x:v>0</x:v>
      </x:c>
      <x:c r="O1395" s="28" t="n">
        <x:f>J1395*I1395</x:f>
        <x:v>3288.782402088034</x:v>
      </x:c>
      <x:c r="P1395" s="27" t="n">
        <x:f>(VLOOKUP(O1395,'Fee Data'!$C$6:$G$50,2,TRUE)+O1395*VLOOKUP(O1395,'Fee Data'!$C$6:$G$50,3,TRUE)+VLOOKUP(O1395,'Fee Data'!$I$6:$J$14,2,TRUE)+'Fee Data'!$J$20+'Fee Data'!$J$21)*'Assumptions'!J37</x:f>
        <x:v>865</x:v>
      </x:c>
      <x:c r="Q1395" s="27" t="n">
        <x:f>(VLOOKUP(O1395,'Fee Data'!$C$6:$G$50,4,TRUE)+O1395*VLOOKUP(O1395,'Fee Data'!$C$6:$G$50,5,TRUE)+VLOOKUP(O1395,'Fee Data'!$I$6:$J$14,2,TRUE)+'Fee Data'!$J$20+'Fee Data'!$J$21)*'Assumptions'!J37</x:f>
        <x:v>715</x:v>
      </x:c>
      <x:c r="R1395" s="27" t="n">
        <x:f>P1395*(1-'Assumptions'!$D$14)+Q1395*'Assumptions'!$D$14</x:f>
        <x:v>790</x:v>
      </x:c>
      <x:c r="S1395" s="27" t="n">
        <x:f>O1395*'Carrier Engine'!E97</x:f>
        <x:v>131.55129608352138</x:v>
      </x:c>
      <x:c r="T1395" s="28" t="n">
        <x:f>R1395+S1395</x:f>
        <x:v>921.5512960835214</x:v>
      </x:c>
      <x:c r="U1395" s="27" t="n">
        <x:f>N1395*'Fleet Engine'!L204</x:f>
        <x:v>0</x:v>
      </x:c>
      <x:c r="V1395" s="28" t="n">
        <x:f>U1395*T1395</x:f>
        <x:v>0</x:v>
      </x:c>
      <x:c r="W1395" s="28" t="n">
        <x:f>U1395*O1395</x:f>
        <x:v>0</x:v>
      </x:c>
    </x:row>
    <x:row r="1396" ht="19" customHeight="1">
      <x:c r="A1396" s="2"/>
      <x:c r="B1396" s="2"/>
      <x:c r="C1396" s="46" t="n">
        <x:v>6</x:v>
      </x:c>
      <x:c r="D1396" s="46" t="n">
        <x:v>10</x:v>
      </x:c>
      <x:c r="E1396" s="46" t="n">
        <x:v>1</x:v>
      </x:c>
      <x:c r="F1396" s="46" t="n">
        <x:v>4</x:v>
      </x:c>
      <x:c r="G1396" s="12" t="n">
        <x:v>0.4444444444444444</x:v>
      </x:c>
      <x:c r="H1396" s="12" t="n">
        <x:v>0.5555555555555556</x:v>
      </x:c>
      <x:c r="I1396" s="29" t="n">
        <x:f>'Assumptions'!$D$11+'Assumptions'!$D$12*(0.5-(G1396+H1396)/2)</x:f>
        <x:v>0.3</x:v>
      </x:c>
      <x:c r="J1396" s="27" t="n">
        <x:f>'Assumptions'!$D$8*EXP(-'Assumptions'!$D$9*('Fleet Engine'!E204-10))*'Assumptions'!E56*'Assumptions'!J36</x:f>
        <x:v>10206.566075445622</x:v>
      </x:c>
      <x:c r="K1396" s="27" t="n">
        <x:f>'Source Data'!F221+LN('Assumptions'!D56)+LN('Assumptions'!J35)</x:f>
        <x:v>8.155326402806208</x:v>
      </x:c>
      <x:c r="L1396" s="27" t="n">
        <x:f>J1396*(1-I1396*(1-'Carrier Engine'!E97))</x:f>
        <x:v>7267.075045717283</x:v>
      </x:c>
      <x:c r="M1396" s="29" t="n">
        <x:f>NORM.S.DIST((LN(L1396)-K1396)/'Assumptions'!$D$10,TRUE)</x:f>
        <x:v>0.680318625246847</x:v>
      </x:c>
      <x:c r="N1396" s="30" t="n">
        <x:f>MAX(0,H1396-MAX(G1396,M1396))</x:f>
        <x:v>0</x:v>
      </x:c>
      <x:c r="O1396" s="28" t="n">
        <x:f>J1396*I1396</x:f>
        <x:v>3061.9698226336864</x:v>
      </x:c>
      <x:c r="P1396" s="27" t="n">
        <x:f>(VLOOKUP(O1396,'Fee Data'!$C$6:$G$50,2,TRUE)+O1396*VLOOKUP(O1396,'Fee Data'!$C$6:$G$50,3,TRUE)+VLOOKUP(O1396,'Fee Data'!$I$6:$J$14,2,TRUE)+'Fee Data'!$J$20+'Fee Data'!$J$21)*'Assumptions'!J37</x:f>
        <x:v>865</x:v>
      </x:c>
      <x:c r="Q1396" s="27" t="n">
        <x:f>(VLOOKUP(O1396,'Fee Data'!$C$6:$G$50,4,TRUE)+O1396*VLOOKUP(O1396,'Fee Data'!$C$6:$G$50,5,TRUE)+VLOOKUP(O1396,'Fee Data'!$I$6:$J$14,2,TRUE)+'Fee Data'!$J$20+'Fee Data'!$J$21)*'Assumptions'!J37</x:f>
        <x:v>715</x:v>
      </x:c>
      <x:c r="R1396" s="27" t="n">
        <x:f>P1396*(1-'Assumptions'!$D$14)+Q1396*'Assumptions'!$D$14</x:f>
        <x:v>790</x:v>
      </x:c>
      <x:c r="S1396" s="27" t="n">
        <x:f>O1396*'Carrier Engine'!E97</x:f>
        <x:v>122.47879290534748</x:v>
      </x:c>
      <x:c r="T1396" s="28" t="n">
        <x:f>R1396+S1396</x:f>
        <x:v>912.4787929053475</x:v>
      </x:c>
      <x:c r="U1396" s="27" t="n">
        <x:f>N1396*'Fleet Engine'!L204</x:f>
        <x:v>0</x:v>
      </x:c>
      <x:c r="V1396" s="28" t="n">
        <x:f>U1396*T1396</x:f>
        <x:v>0</x:v>
      </x:c>
      <x:c r="W1396" s="28" t="n">
        <x:f>U1396*O1396</x:f>
        <x:v>0</x:v>
      </x:c>
    </x:row>
    <x:row r="1397" ht="19" customHeight="1">
      <x:c r="A1397" s="2"/>
      <x:c r="B1397" s="2"/>
      <x:c r="C1397" s="46" t="n">
        <x:v>6</x:v>
      </x:c>
      <x:c r="D1397" s="46" t="n">
        <x:v>10</x:v>
      </x:c>
      <x:c r="E1397" s="46" t="n">
        <x:v>1</x:v>
      </x:c>
      <x:c r="F1397" s="46" t="n">
        <x:v>4</x:v>
      </x:c>
      <x:c r="G1397" s="12" t="n">
        <x:v>0.5555555555555556</x:v>
      </x:c>
      <x:c r="H1397" s="12" t="n">
        <x:v>0.6666666666666666</x:v>
      </x:c>
      <x:c r="I1397" s="29" t="n">
        <x:f>'Assumptions'!$D$11+'Assumptions'!$D$12*(0.5-(G1397+H1397)/2)</x:f>
        <x:v>0.27777777777777773</x:v>
      </x:c>
      <x:c r="J1397" s="27" t="n">
        <x:f>'Assumptions'!$D$8*EXP(-'Assumptions'!$D$9*('Fleet Engine'!E204-10))*'Assumptions'!E56*'Assumptions'!J36</x:f>
        <x:v>10206.566075445622</x:v>
      </x:c>
      <x:c r="K1397" s="27" t="n">
        <x:f>'Source Data'!F221+LN('Assumptions'!D56)+LN('Assumptions'!J35)</x:f>
        <x:v>8.155326402806208</x:v>
      </x:c>
      <x:c r="L1397" s="27" t="n">
        <x:f>J1397*(1-I1397*(1-'Carrier Engine'!E97))</x:f>
        <x:v>7484.815121993457</x:v>
      </x:c>
      <x:c r="M1397" s="29" t="n">
        <x:f>NORM.S.DIST((LN(L1397)-K1397)/'Assumptions'!$D$10,TRUE)</x:f>
        <x:v>0.687009578457402</x:v>
      </x:c>
      <x:c r="N1397" s="30" t="n">
        <x:f>MAX(0,H1397-MAX(G1397,M1397))</x:f>
        <x:v>0</x:v>
      </x:c>
      <x:c r="O1397" s="28" t="n">
        <x:f>J1397*I1397</x:f>
        <x:v>2835.157243179339</x:v>
      </x:c>
      <x:c r="P1397" s="27" t="n">
        <x:f>(VLOOKUP(O1397,'Fee Data'!$C$6:$G$50,2,TRUE)+O1397*VLOOKUP(O1397,'Fee Data'!$C$6:$G$50,3,TRUE)+VLOOKUP(O1397,'Fee Data'!$I$6:$J$14,2,TRUE)+'Fee Data'!$J$20+'Fee Data'!$J$21)*'Assumptions'!J37</x:f>
        <x:v>820</x:v>
      </x:c>
      <x:c r="Q1397" s="27" t="n">
        <x:f>(VLOOKUP(O1397,'Fee Data'!$C$6:$G$50,4,TRUE)+O1397*VLOOKUP(O1397,'Fee Data'!$C$6:$G$50,5,TRUE)+VLOOKUP(O1397,'Fee Data'!$I$6:$J$14,2,TRUE)+'Fee Data'!$J$20+'Fee Data'!$J$21)*'Assumptions'!J37</x:f>
        <x:v>670</x:v>
      </x:c>
      <x:c r="R1397" s="27" t="n">
        <x:f>P1397*(1-'Assumptions'!$D$14)+Q1397*'Assumptions'!$D$14</x:f>
        <x:v>745</x:v>
      </x:c>
      <x:c r="S1397" s="27" t="n">
        <x:f>O1397*'Carrier Engine'!E97</x:f>
        <x:v>113.40628972717357</x:v>
      </x:c>
      <x:c r="T1397" s="28" t="n">
        <x:f>R1397+S1397</x:f>
        <x:v>858.4062897271735</x:v>
      </x:c>
      <x:c r="U1397" s="27" t="n">
        <x:f>N1397*'Fleet Engine'!L204</x:f>
        <x:v>0</x:v>
      </x:c>
      <x:c r="V1397" s="28" t="n">
        <x:f>U1397*T1397</x:f>
        <x:v>0</x:v>
      </x:c>
      <x:c r="W1397" s="28" t="n">
        <x:f>U1397*O1397</x:f>
        <x:v>0</x:v>
      </x:c>
    </x:row>
    <x:row r="1398" ht="19" customHeight="1">
      <x:c r="A1398" s="2"/>
      <x:c r="B1398" s="2"/>
      <x:c r="C1398" s="46" t="n">
        <x:v>6</x:v>
      </x:c>
      <x:c r="D1398" s="46" t="n">
        <x:v>10</x:v>
      </x:c>
      <x:c r="E1398" s="46" t="n">
        <x:v>1</x:v>
      </x:c>
      <x:c r="F1398" s="46" t="n">
        <x:v>4</x:v>
      </x:c>
      <x:c r="G1398" s="12" t="n">
        <x:v>0.6666666666666666</x:v>
      </x:c>
      <x:c r="H1398" s="12" t="n">
        <x:v>0.7777777777777778</x:v>
      </x:c>
      <x:c r="I1398" s="29" t="n">
        <x:f>'Assumptions'!$D$11+'Assumptions'!$D$12*(0.5-(G1398+H1398)/2)</x:f>
        <x:v>0.25555555555555554</x:v>
      </x:c>
      <x:c r="J1398" s="27" t="n">
        <x:f>'Assumptions'!$D$8*EXP(-'Assumptions'!$D$9*('Fleet Engine'!E204-10))*'Assumptions'!E56*'Assumptions'!J36</x:f>
        <x:v>10206.566075445622</x:v>
      </x:c>
      <x:c r="K1398" s="27" t="n">
        <x:f>'Source Data'!F221+LN('Assumptions'!D56)+LN('Assumptions'!J35)</x:f>
        <x:v>8.155326402806208</x:v>
      </x:c>
      <x:c r="L1398" s="27" t="n">
        <x:f>J1398*(1-I1398*(1-'Carrier Engine'!E97))</x:f>
        <x:v>7702.55519826963</x:v>
      </x:c>
      <x:c r="M1398" s="29" t="n">
        <x:f>NORM.S.DIST((LN(L1398)-K1398)/'Assumptions'!$D$10,TRUE)</x:f>
        <x:v>0.6934502338952844</x:v>
      </x:c>
      <x:c r="N1398" s="30" t="n">
        <x:f>MAX(0,H1398-MAX(G1398,M1398))</x:f>
        <x:v>0.08432754388249342</x:v>
      </x:c>
      <x:c r="O1398" s="28" t="n">
        <x:f>J1398*I1398</x:f>
        <x:v>2608.344663724992</x:v>
      </x:c>
      <x:c r="P1398" s="27" t="n">
        <x:f>(VLOOKUP(O1398,'Fee Data'!$C$6:$G$50,2,TRUE)+O1398*VLOOKUP(O1398,'Fee Data'!$C$6:$G$50,3,TRUE)+VLOOKUP(O1398,'Fee Data'!$I$6:$J$14,2,TRUE)+'Fee Data'!$J$20+'Fee Data'!$J$21)*'Assumptions'!J37</x:f>
        <x:v>820</x:v>
      </x:c>
      <x:c r="Q1398" s="27" t="n">
        <x:f>(VLOOKUP(O1398,'Fee Data'!$C$6:$G$50,4,TRUE)+O1398*VLOOKUP(O1398,'Fee Data'!$C$6:$G$50,5,TRUE)+VLOOKUP(O1398,'Fee Data'!$I$6:$J$14,2,TRUE)+'Fee Data'!$J$20+'Fee Data'!$J$21)*'Assumptions'!J37</x:f>
        <x:v>670</x:v>
      </x:c>
      <x:c r="R1398" s="27" t="n">
        <x:f>P1398*(1-'Assumptions'!$D$14)+Q1398*'Assumptions'!$D$14</x:f>
        <x:v>745</x:v>
      </x:c>
      <x:c r="S1398" s="27" t="n">
        <x:f>O1398*'Carrier Engine'!E97</x:f>
        <x:v>104.33378654899971</x:v>
      </x:c>
      <x:c r="T1398" s="28" t="n">
        <x:f>R1398+S1398</x:f>
        <x:v>849.3337865489997</x:v>
      </x:c>
      <x:c r="U1398" s="27" t="n">
        <x:f>N1398*'Fleet Engine'!L204</x:f>
        <x:v>888.665501132456</x:v>
      </x:c>
      <x:c r="V1398" s="28" t="n">
        <x:f>U1398*T1398</x:f>
        <x:v>754773.6350522932</x:v>
      </x:c>
      <x:c r="W1398" s="28" t="n">
        <x:f>U1398*O1398</x:f>
        <x:v>2317945.9177153376</x:v>
      </x:c>
    </x:row>
    <x:row r="1399" ht="19" customHeight="1">
      <x:c r="A1399" s="2"/>
      <x:c r="B1399" s="2"/>
      <x:c r="C1399" s="46" t="n">
        <x:v>6</x:v>
      </x:c>
      <x:c r="D1399" s="46" t="n">
        <x:v>10</x:v>
      </x:c>
      <x:c r="E1399" s="46" t="n">
        <x:v>1</x:v>
      </x:c>
      <x:c r="F1399" s="46" t="n">
        <x:v>4</x:v>
      </x:c>
      <x:c r="G1399" s="12" t="n">
        <x:v>0.7777777777777778</x:v>
      </x:c>
      <x:c r="H1399" s="12" t="n">
        <x:v>0.8888888888888888</x:v>
      </x:c>
      <x:c r="I1399" s="29" t="n">
        <x:f>'Assumptions'!$D$11+'Assumptions'!$D$12*(0.5-(G1399+H1399)/2)</x:f>
        <x:v>0.23333333333333334</x:v>
      </x:c>
      <x:c r="J1399" s="27" t="n">
        <x:f>'Assumptions'!$D$8*EXP(-'Assumptions'!$D$9*('Fleet Engine'!E204-10))*'Assumptions'!E56*'Assumptions'!J36</x:f>
        <x:v>10206.566075445622</x:v>
      </x:c>
      <x:c r="K1399" s="27" t="n">
        <x:f>'Source Data'!F221+LN('Assumptions'!D56)+LN('Assumptions'!J35)</x:f>
        <x:v>8.155326402806208</x:v>
      </x:c>
      <x:c r="L1399" s="27" t="n">
        <x:f>J1399*(1-I1399*(1-'Carrier Engine'!E97))</x:f>
        <x:v>7920.295274545803</x:v>
      </x:c>
      <x:c r="M1399" s="29" t="n">
        <x:f>NORM.S.DIST((LN(L1399)-K1399)/'Assumptions'!$D$10,TRUE)</x:f>
        <x:v>0.699654601261197</x:v>
      </x:c>
      <x:c r="N1399" s="30" t="n">
        <x:f>MAX(0,H1399-MAX(G1399,M1399))</x:f>
        <x:v>0.11111111111111105</x:v>
      </x:c>
      <x:c r="O1399" s="28" t="n">
        <x:f>J1399*I1399</x:f>
        <x:v>2381.532084270645</x:v>
      </x:c>
      <x:c r="P1399" s="27" t="n">
        <x:f>(VLOOKUP(O1399,'Fee Data'!$C$6:$G$50,2,TRUE)+O1399*VLOOKUP(O1399,'Fee Data'!$C$6:$G$50,3,TRUE)+VLOOKUP(O1399,'Fee Data'!$I$6:$J$14,2,TRUE)+'Fee Data'!$J$20+'Fee Data'!$J$21)*'Assumptions'!J37</x:f>
        <x:v>745</x:v>
      </x:c>
      <x:c r="Q1399" s="27" t="n">
        <x:f>(VLOOKUP(O1399,'Fee Data'!$C$6:$G$50,4,TRUE)+O1399*VLOOKUP(O1399,'Fee Data'!$C$6:$G$50,5,TRUE)+VLOOKUP(O1399,'Fee Data'!$I$6:$J$14,2,TRUE)+'Fee Data'!$J$20+'Fee Data'!$J$21)*'Assumptions'!J37</x:f>
        <x:v>600</x:v>
      </x:c>
      <x:c r="R1399" s="27" t="n">
        <x:f>P1399*(1-'Assumptions'!$D$14)+Q1399*'Assumptions'!$D$14</x:f>
        <x:v>672.5</x:v>
      </x:c>
      <x:c r="S1399" s="27" t="n">
        <x:f>O1399*'Carrier Engine'!E97</x:f>
        <x:v>95.26128337082582</x:v>
      </x:c>
      <x:c r="T1399" s="28" t="n">
        <x:f>R1399+S1399</x:f>
        <x:v>767.7612833708258</x:v>
      </x:c>
      <x:c r="U1399" s="27" t="n">
        <x:f>N1399*'Fleet Engine'!L204</x:f>
        <x:v>1170.9176704414638</x:v>
      </x:c>
      <x:c r="V1399" s="28" t="n">
        <x:f>U1399*T1399</x:f>
        <x:v>898985.253379716</x:v>
      </x:c>
      <x:c r="W1399" s="28" t="n">
        <x:f>U1399*O1399</x:f>
        <x:v>2788578.0001957878</x:v>
      </x:c>
    </x:row>
    <x:row r="1400" ht="19" customHeight="1">
      <x:c r="A1400" s="2"/>
      <x:c r="B1400" s="2"/>
      <x:c r="C1400" s="46" t="n">
        <x:v>6</x:v>
      </x:c>
      <x:c r="D1400" s="46" t="n">
        <x:v>10</x:v>
      </x:c>
      <x:c r="E1400" s="46" t="n">
        <x:v>1</x:v>
      </x:c>
      <x:c r="F1400" s="46" t="n">
        <x:v>4</x:v>
      </x:c>
      <x:c r="G1400" s="12" t="n">
        <x:v>0.8888888888888888</x:v>
      </x:c>
      <x:c r="H1400" s="12" t="n">
        <x:v>1</x:v>
      </x:c>
      <x:c r="I1400" s="29" t="n">
        <x:f>'Assumptions'!$D$11+'Assumptions'!$D$12*(0.5-(G1400+H1400)/2)</x:f>
        <x:v>0.21111111111111108</x:v>
      </x:c>
      <x:c r="J1400" s="27" t="n">
        <x:f>'Assumptions'!$D$8*EXP(-'Assumptions'!$D$9*('Fleet Engine'!E204-10))*'Assumptions'!E56*'Assumptions'!J36</x:f>
        <x:v>10206.566075445622</x:v>
      </x:c>
      <x:c r="K1400" s="27" t="n">
        <x:f>'Source Data'!F221+LN('Assumptions'!D56)+LN('Assumptions'!J35)</x:f>
        <x:v>8.155326402806208</x:v>
      </x:c>
      <x:c r="L1400" s="27" t="n">
        <x:f>J1400*(1-I1400*(1-'Carrier Engine'!E97))</x:f>
        <x:v>8138.035350821976</x:v>
      </x:c>
      <x:c r="M1400" s="29" t="n">
        <x:f>NORM.S.DIST((LN(L1400)-K1400)/'Assumptions'!$D$10,TRUE)</x:f>
        <x:v>0.7056356354734394</x:v>
      </x:c>
      <x:c r="N1400" s="30" t="n">
        <x:f>MAX(0,H1400-MAX(G1400,M1400))</x:f>
        <x:v>0.11111111111111116</x:v>
      </x:c>
      <x:c r="O1400" s="28" t="n">
        <x:f>J1400*I1400</x:f>
        <x:v>2154.7195048162976</x:v>
      </x:c>
      <x:c r="P1400" s="27" t="n">
        <x:f>(VLOOKUP(O1400,'Fee Data'!$C$6:$G$50,2,TRUE)+O1400*VLOOKUP(O1400,'Fee Data'!$C$6:$G$50,3,TRUE)+VLOOKUP(O1400,'Fee Data'!$I$6:$J$14,2,TRUE)+'Fee Data'!$J$20+'Fee Data'!$J$21)*'Assumptions'!J37</x:f>
        <x:v>745</x:v>
      </x:c>
      <x:c r="Q1400" s="27" t="n">
        <x:f>(VLOOKUP(O1400,'Fee Data'!$C$6:$G$50,4,TRUE)+O1400*VLOOKUP(O1400,'Fee Data'!$C$6:$G$50,5,TRUE)+VLOOKUP(O1400,'Fee Data'!$I$6:$J$14,2,TRUE)+'Fee Data'!$J$20+'Fee Data'!$J$21)*'Assumptions'!J37</x:f>
        <x:v>600</x:v>
      </x:c>
      <x:c r="R1400" s="27" t="n">
        <x:f>P1400*(1-'Assumptions'!$D$14)+Q1400*'Assumptions'!$D$14</x:f>
        <x:v>672.5</x:v>
      </x:c>
      <x:c r="S1400" s="27" t="n">
        <x:f>O1400*'Carrier Engine'!E97</x:f>
        <x:v>86.18878019265192</x:v>
      </x:c>
      <x:c r="T1400" s="28" t="n">
        <x:f>R1400+S1400</x:f>
        <x:v>758.688780192652</x:v>
      </x:c>
      <x:c r="U1400" s="27" t="n">
        <x:f>N1400*'Fleet Engine'!L204</x:f>
        <x:v>1170.917670441465</x:v>
      </x:c>
      <x:c r="V1400" s="28" t="n">
        <x:f>U1400*T1400</x:f>
        <x:v>888362.0990932566</x:v>
      </x:c>
      <x:c r="W1400" s="28" t="n">
        <x:f>U1400*O1400</x:f>
        <x:v>2522999.143034286</x:v>
      </x:c>
    </x:row>
    <x:row r="1401" ht="19" customHeight="1">
      <x:c r="A1401" s="2"/>
      <x:c r="B1401" s="2"/>
      <x:c r="C1401" s="46" t="n">
        <x:v>6</x:v>
      </x:c>
      <x:c r="D1401" s="46" t="n">
        <x:v>11</x:v>
      </x:c>
      <x:c r="E1401" s="46" t="n">
        <x:v>1</x:v>
      </x:c>
      <x:c r="F1401" s="46" t="n">
        <x:v>5</x:v>
      </x:c>
      <x:c r="G1401" s="12" t="n">
        <x:v>0</x:v>
      </x:c>
      <x:c r="H1401" s="12" t="n">
        <x:v>0.1111111111111111</x:v>
      </x:c>
      <x:c r="I1401" s="29" t="n">
        <x:f>'Assumptions'!$D$11+'Assumptions'!$D$12*(0.5-(G1401+H1401)/2)</x:f>
        <x:v>0.3888888888888889</x:v>
      </x:c>
      <x:c r="J1401" s="27" t="n">
        <x:f>'Assumptions'!$D$8*EXP(-'Assumptions'!$D$9*('Fleet Engine'!E205-10))*'Assumptions'!E56*'Assumptions'!J36</x:f>
        <x:v>5601.482226767098</x:v>
      </x:c>
      <x:c r="K1401" s="27" t="n">
        <x:f>'Source Data'!F222+LN('Assumptions'!D56)+LN('Assumptions'!J35)</x:f>
        <x:v>8.056397553082528</x:v>
      </x:c>
      <x:c r="L1401" s="27" t="n">
        <x:f>J1401*(1-I1401*(1-'Carrier Engine'!E97))</x:f>
        <x:v>3510.262195440715</x:v>
      </x:c>
      <x:c r="M1401" s="29" t="n">
        <x:f>NORM.S.DIST((LN(L1401)-K1401)/'Assumptions'!$D$10,TRUE)</x:f>
        <x:v>0.5271767523756574</x:v>
      </x:c>
      <x:c r="N1401" s="30" t="n">
        <x:f>MAX(0,H1401-MAX(G1401,M1401))</x:f>
        <x:v>0</x:v>
      </x:c>
      <x:c r="O1401" s="28" t="n">
        <x:f>J1401*I1401</x:f>
        <x:v>2178.354199298316</x:v>
      </x:c>
      <x:c r="P1401" s="27" t="n">
        <x:f>(VLOOKUP(O1401,'Fee Data'!$C$6:$G$50,2,TRUE)+O1401*VLOOKUP(O1401,'Fee Data'!$C$6:$G$50,3,TRUE)+VLOOKUP(O1401,'Fee Data'!$I$6:$J$14,2,TRUE)+'Fee Data'!$J$20+'Fee Data'!$J$21)*'Assumptions'!J37</x:f>
        <x:v>745</x:v>
      </x:c>
      <x:c r="Q1401" s="27" t="n">
        <x:f>(VLOOKUP(O1401,'Fee Data'!$C$6:$G$50,4,TRUE)+O1401*VLOOKUP(O1401,'Fee Data'!$C$6:$G$50,5,TRUE)+VLOOKUP(O1401,'Fee Data'!$I$6:$J$14,2,TRUE)+'Fee Data'!$J$20+'Fee Data'!$J$21)*'Assumptions'!J37</x:f>
        <x:v>600</x:v>
      </x:c>
      <x:c r="R1401" s="27" t="n">
        <x:f>P1401*(1-'Assumptions'!$D$14)+Q1401*'Assumptions'!$D$14</x:f>
        <x:v>672.5</x:v>
      </x:c>
      <x:c r="S1401" s="27" t="n">
        <x:f>O1401*'Carrier Engine'!E97</x:f>
        <x:v>87.13416797193265</x:v>
      </x:c>
      <x:c r="T1401" s="28" t="n">
        <x:f>R1401+S1401</x:f>
        <x:v>759.6341679719327</x:v>
      </x:c>
      <x:c r="U1401" s="27" t="n">
        <x:f>N1401*'Fleet Engine'!L205</x:f>
        <x:v>0</x:v>
      </x:c>
      <x:c r="V1401" s="28" t="n">
        <x:f>U1401*T1401</x:f>
        <x:v>0</x:v>
      </x:c>
      <x:c r="W1401" s="28" t="n">
        <x:f>U1401*O1401</x:f>
        <x:v>0</x:v>
      </x:c>
    </x:row>
    <x:row r="1402" ht="19" customHeight="1">
      <x:c r="A1402" s="2"/>
      <x:c r="B1402" s="2"/>
      <x:c r="C1402" s="46" t="n">
        <x:v>6</x:v>
      </x:c>
      <x:c r="D1402" s="46" t="n">
        <x:v>11</x:v>
      </x:c>
      <x:c r="E1402" s="46" t="n">
        <x:v>1</x:v>
      </x:c>
      <x:c r="F1402" s="46" t="n">
        <x:v>5</x:v>
      </x:c>
      <x:c r="G1402" s="12" t="n">
        <x:v>0.1111111111111111</x:v>
      </x:c>
      <x:c r="H1402" s="12" t="n">
        <x:v>0.2222222222222222</x:v>
      </x:c>
      <x:c r="I1402" s="29" t="n">
        <x:f>'Assumptions'!$D$11+'Assumptions'!$D$12*(0.5-(G1402+H1402)/2)</x:f>
        <x:v>0.3666666666666667</x:v>
      </x:c>
      <x:c r="J1402" s="27" t="n">
        <x:f>'Assumptions'!$D$8*EXP(-'Assumptions'!$D$9*('Fleet Engine'!E205-10))*'Assumptions'!E56*'Assumptions'!J36</x:f>
        <x:v>5601.482226767098</x:v>
      </x:c>
      <x:c r="K1402" s="27" t="n">
        <x:f>'Source Data'!F222+LN('Assumptions'!D56)+LN('Assumptions'!J35)</x:f>
        <x:v>8.056397553082528</x:v>
      </x:c>
      <x:c r="L1402" s="27" t="n">
        <x:f>J1402*(1-I1402*(1-'Carrier Engine'!E97))</x:f>
        <x:v>3629.760482945079</x:v>
      </x:c>
      <x:c r="M1402" s="29" t="n">
        <x:f>NORM.S.DIST((LN(L1402)-K1402)/'Assumptions'!$D$10,TRUE)</x:f>
        <x:v>0.5356554348338565</x:v>
      </x:c>
      <x:c r="N1402" s="30" t="n">
        <x:f>MAX(0,H1402-MAX(G1402,M1402))</x:f>
        <x:v>0</x:v>
      </x:c>
      <x:c r="O1402" s="28" t="n">
        <x:f>J1402*I1402</x:f>
        <x:v>2053.8768164812695</x:v>
      </x:c>
      <x:c r="P1402" s="27" t="n">
        <x:f>(VLOOKUP(O1402,'Fee Data'!$C$6:$G$50,2,TRUE)+O1402*VLOOKUP(O1402,'Fee Data'!$C$6:$G$50,3,TRUE)+VLOOKUP(O1402,'Fee Data'!$I$6:$J$14,2,TRUE)+'Fee Data'!$J$20+'Fee Data'!$J$21)*'Assumptions'!J37</x:f>
        <x:v>745</x:v>
      </x:c>
      <x:c r="Q1402" s="27" t="n">
        <x:f>(VLOOKUP(O1402,'Fee Data'!$C$6:$G$50,4,TRUE)+O1402*VLOOKUP(O1402,'Fee Data'!$C$6:$G$50,5,TRUE)+VLOOKUP(O1402,'Fee Data'!$I$6:$J$14,2,TRUE)+'Fee Data'!$J$20+'Fee Data'!$J$21)*'Assumptions'!J37</x:f>
        <x:v>600</x:v>
      </x:c>
      <x:c r="R1402" s="27" t="n">
        <x:f>P1402*(1-'Assumptions'!$D$14)+Q1402*'Assumptions'!$D$14</x:f>
        <x:v>672.5</x:v>
      </x:c>
      <x:c r="S1402" s="27" t="n">
        <x:f>O1402*'Carrier Engine'!E97</x:f>
        <x:v>82.15507265925079</x:v>
      </x:c>
      <x:c r="T1402" s="28" t="n">
        <x:f>R1402+S1402</x:f>
        <x:v>754.6550726592508</x:v>
      </x:c>
      <x:c r="U1402" s="27" t="n">
        <x:f>N1402*'Fleet Engine'!L205</x:f>
        <x:v>0</x:v>
      </x:c>
      <x:c r="V1402" s="28" t="n">
        <x:f>U1402*T1402</x:f>
        <x:v>0</x:v>
      </x:c>
      <x:c r="W1402" s="28" t="n">
        <x:f>U1402*O1402</x:f>
        <x:v>0</x:v>
      </x:c>
    </x:row>
    <x:row r="1403" ht="19" customHeight="1">
      <x:c r="A1403" s="2"/>
      <x:c r="B1403" s="2"/>
      <x:c r="C1403" s="46" t="n">
        <x:v>6</x:v>
      </x:c>
      <x:c r="D1403" s="46" t="n">
        <x:v>11</x:v>
      </x:c>
      <x:c r="E1403" s="46" t="n">
        <x:v>1</x:v>
      </x:c>
      <x:c r="F1403" s="46" t="n">
        <x:v>5</x:v>
      </x:c>
      <x:c r="G1403" s="12" t="n">
        <x:v>0.2222222222222222</x:v>
      </x:c>
      <x:c r="H1403" s="12" t="n">
        <x:v>0.3333333333333333</x:v>
      </x:c>
      <x:c r="I1403" s="29" t="n">
        <x:f>'Assumptions'!$D$11+'Assumptions'!$D$12*(0.5-(G1403+H1403)/2)</x:f>
        <x:v>0.34444444444444444</x:v>
      </x:c>
      <x:c r="J1403" s="27" t="n">
        <x:f>'Assumptions'!$D$8*EXP(-'Assumptions'!$D$9*('Fleet Engine'!E205-10))*'Assumptions'!E56*'Assumptions'!J36</x:f>
        <x:v>5601.482226767098</x:v>
      </x:c>
      <x:c r="K1403" s="27" t="n">
        <x:f>'Source Data'!F222+LN('Assumptions'!D56)+LN('Assumptions'!J35)</x:f>
        <x:v>8.056397553082528</x:v>
      </x:c>
      <x:c r="L1403" s="27" t="n">
        <x:f>J1403*(1-I1403*(1-'Carrier Engine'!E97))</x:f>
        <x:v>3749.258770449444</x:v>
      </x:c>
      <x:c r="M1403" s="29" t="n">
        <x:f>NORM.S.DIST((LN(L1403)-K1403)/'Assumptions'!$D$10,TRUE)</x:f>
        <x:v>0.5438441102581311</x:v>
      </x:c>
      <x:c r="N1403" s="30" t="n">
        <x:f>MAX(0,H1403-MAX(G1403,M1403))</x:f>
        <x:v>0</x:v>
      </x:c>
      <x:c r="O1403" s="28" t="n">
        <x:f>J1403*I1403</x:f>
        <x:v>1929.3994336642227</x:v>
      </x:c>
      <x:c r="P1403" s="27" t="n">
        <x:f>(VLOOKUP(O1403,'Fee Data'!$C$6:$G$50,2,TRUE)+O1403*VLOOKUP(O1403,'Fee Data'!$C$6:$G$50,3,TRUE)+VLOOKUP(O1403,'Fee Data'!$I$6:$J$14,2,TRUE)+'Fee Data'!$J$20+'Fee Data'!$J$21)*'Assumptions'!J37</x:f>
        <x:v>705</x:v>
      </x:c>
      <x:c r="Q1403" s="27" t="n">
        <x:f>(VLOOKUP(O1403,'Fee Data'!$C$6:$G$50,4,TRUE)+O1403*VLOOKUP(O1403,'Fee Data'!$C$6:$G$50,5,TRUE)+VLOOKUP(O1403,'Fee Data'!$I$6:$J$14,2,TRUE)+'Fee Data'!$J$20+'Fee Data'!$J$21)*'Assumptions'!J37</x:f>
        <x:v>565</x:v>
      </x:c>
      <x:c r="R1403" s="27" t="n">
        <x:f>P1403*(1-'Assumptions'!$D$14)+Q1403*'Assumptions'!$D$14</x:f>
        <x:v>635</x:v>
      </x:c>
      <x:c r="S1403" s="27" t="n">
        <x:f>O1403*'Carrier Engine'!E97</x:f>
        <x:v>77.17597734656893</x:v>
      </x:c>
      <x:c r="T1403" s="28" t="n">
        <x:f>R1403+S1403</x:f>
        <x:v>712.175977346569</x:v>
      </x:c>
      <x:c r="U1403" s="27" t="n">
        <x:f>N1403*'Fleet Engine'!L205</x:f>
        <x:v>0</x:v>
      </x:c>
      <x:c r="V1403" s="28" t="n">
        <x:f>U1403*T1403</x:f>
        <x:v>0</x:v>
      </x:c>
      <x:c r="W1403" s="28" t="n">
        <x:f>U1403*O1403</x:f>
        <x:v>0</x:v>
      </x:c>
    </x:row>
    <x:row r="1404" ht="19" customHeight="1">
      <x:c r="A1404" s="2"/>
      <x:c r="B1404" s="2"/>
      <x:c r="C1404" s="46" t="n">
        <x:v>6</x:v>
      </x:c>
      <x:c r="D1404" s="46" t="n">
        <x:v>11</x:v>
      </x:c>
      <x:c r="E1404" s="46" t="n">
        <x:v>1</x:v>
      </x:c>
      <x:c r="F1404" s="46" t="n">
        <x:v>5</x:v>
      </x:c>
      <x:c r="G1404" s="12" t="n">
        <x:v>0.3333333333333333</x:v>
      </x:c>
      <x:c r="H1404" s="12" t="n">
        <x:v>0.4444444444444444</x:v>
      </x:c>
      <x:c r="I1404" s="29" t="n">
        <x:f>'Assumptions'!$D$11+'Assumptions'!$D$12*(0.5-(G1404+H1404)/2)</x:f>
        <x:v>0.32222222222222224</x:v>
      </x:c>
      <x:c r="J1404" s="27" t="n">
        <x:f>'Assumptions'!$D$8*EXP(-'Assumptions'!$D$9*('Fleet Engine'!E205-10))*'Assumptions'!E56*'Assumptions'!J36</x:f>
        <x:v>5601.482226767098</x:v>
      </x:c>
      <x:c r="K1404" s="27" t="n">
        <x:f>'Source Data'!F222+LN('Assumptions'!D56)+LN('Assumptions'!J35)</x:f>
        <x:v>8.056397553082528</x:v>
      </x:c>
      <x:c r="L1404" s="27" t="n">
        <x:f>J1404*(1-I1404*(1-'Carrier Engine'!E97))</x:f>
        <x:v>3868.7570579538087</x:v>
      </x:c>
      <x:c r="M1404" s="29" t="n">
        <x:f>NORM.S.DIST((LN(L1404)-K1404)/'Assumptions'!$D$10,TRUE)</x:f>
        <x:v>0.5517581623199981</x:v>
      </x:c>
      <x:c r="N1404" s="30" t="n">
        <x:f>MAX(0,H1404-MAX(G1404,M1404))</x:f>
        <x:v>0</x:v>
      </x:c>
      <x:c r="O1404" s="28" t="n">
        <x:f>J1404*I1404</x:f>
        <x:v>1804.922050847176</x:v>
      </x:c>
      <x:c r="P1404" s="27" t="n">
        <x:f>(VLOOKUP(O1404,'Fee Data'!$C$6:$G$50,2,TRUE)+O1404*VLOOKUP(O1404,'Fee Data'!$C$6:$G$50,3,TRUE)+VLOOKUP(O1404,'Fee Data'!$I$6:$J$14,2,TRUE)+'Fee Data'!$J$20+'Fee Data'!$J$21)*'Assumptions'!J37</x:f>
        <x:v>705</x:v>
      </x:c>
      <x:c r="Q1404" s="27" t="n">
        <x:f>(VLOOKUP(O1404,'Fee Data'!$C$6:$G$50,4,TRUE)+O1404*VLOOKUP(O1404,'Fee Data'!$C$6:$G$50,5,TRUE)+VLOOKUP(O1404,'Fee Data'!$I$6:$J$14,2,TRUE)+'Fee Data'!$J$20+'Fee Data'!$J$21)*'Assumptions'!J37</x:f>
        <x:v>565</x:v>
      </x:c>
      <x:c r="R1404" s="27" t="n">
        <x:f>P1404*(1-'Assumptions'!$D$14)+Q1404*'Assumptions'!$D$14</x:f>
        <x:v>635</x:v>
      </x:c>
      <x:c r="S1404" s="27" t="n">
        <x:f>O1404*'Carrier Engine'!E97</x:f>
        <x:v>72.19688203388705</x:v>
      </x:c>
      <x:c r="T1404" s="28" t="n">
        <x:f>R1404+S1404</x:f>
        <x:v>707.196882033887</x:v>
      </x:c>
      <x:c r="U1404" s="27" t="n">
        <x:f>N1404*'Fleet Engine'!L205</x:f>
        <x:v>0</x:v>
      </x:c>
      <x:c r="V1404" s="28" t="n">
        <x:f>U1404*T1404</x:f>
        <x:v>0</x:v>
      </x:c>
      <x:c r="W1404" s="28" t="n">
        <x:f>U1404*O1404</x:f>
        <x:v>0</x:v>
      </x:c>
    </x:row>
    <x:row r="1405" ht="19" customHeight="1">
      <x:c r="A1405" s="2"/>
      <x:c r="B1405" s="2"/>
      <x:c r="C1405" s="46" t="n">
        <x:v>6</x:v>
      </x:c>
      <x:c r="D1405" s="46" t="n">
        <x:v>11</x:v>
      </x:c>
      <x:c r="E1405" s="46" t="n">
        <x:v>1</x:v>
      </x:c>
      <x:c r="F1405" s="46" t="n">
        <x:v>5</x:v>
      </x:c>
      <x:c r="G1405" s="12" t="n">
        <x:v>0.4444444444444444</x:v>
      </x:c>
      <x:c r="H1405" s="12" t="n">
        <x:v>0.5555555555555556</x:v>
      </x:c>
      <x:c r="I1405" s="29" t="n">
        <x:f>'Assumptions'!$D$11+'Assumptions'!$D$12*(0.5-(G1405+H1405)/2)</x:f>
        <x:v>0.3</x:v>
      </x:c>
      <x:c r="J1405" s="27" t="n">
        <x:f>'Assumptions'!$D$8*EXP(-'Assumptions'!$D$9*('Fleet Engine'!E205-10))*'Assumptions'!E56*'Assumptions'!J36</x:f>
        <x:v>5601.482226767098</x:v>
      </x:c>
      <x:c r="K1405" s="27" t="n">
        <x:f>'Source Data'!F222+LN('Assumptions'!D56)+LN('Assumptions'!J35)</x:f>
        <x:v>8.056397553082528</x:v>
      </x:c>
      <x:c r="L1405" s="27" t="n">
        <x:f>J1405*(1-I1405*(1-'Carrier Engine'!E97))</x:f>
        <x:v>3988.2553454581735</x:v>
      </x:c>
      <x:c r="M1405" s="29" t="n">
        <x:f>NORM.S.DIST((LN(L1405)-K1405)/'Assumptions'!$D$10,TRUE)</x:f>
        <x:v>0.559411856481953</x:v>
      </x:c>
      <x:c r="N1405" s="30" t="n">
        <x:f>MAX(0,H1405-MAX(G1405,M1405))</x:f>
        <x:v>0</x:v>
      </x:c>
      <x:c r="O1405" s="28" t="n">
        <x:f>J1405*I1405</x:f>
        <x:v>1680.4446680301294</x:v>
      </x:c>
      <x:c r="P1405" s="27" t="n">
        <x:f>(VLOOKUP(O1405,'Fee Data'!$C$6:$G$50,2,TRUE)+O1405*VLOOKUP(O1405,'Fee Data'!$C$6:$G$50,3,TRUE)+VLOOKUP(O1405,'Fee Data'!$I$6:$J$14,2,TRUE)+'Fee Data'!$J$20+'Fee Data'!$J$21)*'Assumptions'!J37</x:f>
        <x:v>660</x:v>
      </x:c>
      <x:c r="Q1405" s="27" t="n">
        <x:f>(VLOOKUP(O1405,'Fee Data'!$C$6:$G$50,4,TRUE)+O1405*VLOOKUP(O1405,'Fee Data'!$C$6:$G$50,5,TRUE)+VLOOKUP(O1405,'Fee Data'!$I$6:$J$14,2,TRUE)+'Fee Data'!$J$20+'Fee Data'!$J$21)*'Assumptions'!J37</x:f>
        <x:v>525</x:v>
      </x:c>
      <x:c r="R1405" s="27" t="n">
        <x:f>P1405*(1-'Assumptions'!$D$14)+Q1405*'Assumptions'!$D$14</x:f>
        <x:v>592.5</x:v>
      </x:c>
      <x:c r="S1405" s="27" t="n">
        <x:f>O1405*'Carrier Engine'!E97</x:f>
        <x:v>67.21778672120519</x:v>
      </x:c>
      <x:c r="T1405" s="28" t="n">
        <x:f>R1405+S1405</x:f>
        <x:v>659.7177867212051</x:v>
      </x:c>
      <x:c r="U1405" s="27" t="n">
        <x:f>N1405*'Fleet Engine'!L205</x:f>
        <x:v>0</x:v>
      </x:c>
      <x:c r="V1405" s="28" t="n">
        <x:f>U1405*T1405</x:f>
        <x:v>0</x:v>
      </x:c>
      <x:c r="W1405" s="28" t="n">
        <x:f>U1405*O1405</x:f>
        <x:v>0</x:v>
      </x:c>
    </x:row>
    <x:row r="1406" ht="19" customHeight="1">
      <x:c r="A1406" s="2"/>
      <x:c r="B1406" s="2"/>
      <x:c r="C1406" s="46" t="n">
        <x:v>6</x:v>
      </x:c>
      <x:c r="D1406" s="46" t="n">
        <x:v>11</x:v>
      </x:c>
      <x:c r="E1406" s="46" t="n">
        <x:v>1</x:v>
      </x:c>
      <x:c r="F1406" s="46" t="n">
        <x:v>5</x:v>
      </x:c>
      <x:c r="G1406" s="12" t="n">
        <x:v>0.5555555555555556</x:v>
      </x:c>
      <x:c r="H1406" s="12" t="n">
        <x:v>0.6666666666666666</x:v>
      </x:c>
      <x:c r="I1406" s="29" t="n">
        <x:f>'Assumptions'!$D$11+'Assumptions'!$D$12*(0.5-(G1406+H1406)/2)</x:f>
        <x:v>0.27777777777777773</x:v>
      </x:c>
      <x:c r="J1406" s="27" t="n">
        <x:f>'Assumptions'!$D$8*EXP(-'Assumptions'!$D$9*('Fleet Engine'!E205-10))*'Assumptions'!E56*'Assumptions'!J36</x:f>
        <x:v>5601.482226767098</x:v>
      </x:c>
      <x:c r="K1406" s="27" t="n">
        <x:f>'Source Data'!F222+LN('Assumptions'!D56)+LN('Assumptions'!J35)</x:f>
        <x:v>8.056397553082528</x:v>
      </x:c>
      <x:c r="L1406" s="27" t="n">
        <x:f>J1406*(1-I1406*(1-'Carrier Engine'!E97))</x:f>
        <x:v>4107.753632962539</x:v>
      </x:c>
      <x:c r="M1406" s="29" t="n">
        <x:f>NORM.S.DIST((LN(L1406)-K1406)/'Assumptions'!$D$10,TRUE)</x:f>
        <x:v>0.5668184429915024</x:v>
      </x:c>
      <x:c r="N1406" s="30" t="n">
        <x:f>MAX(0,H1406-MAX(G1406,M1406))</x:f>
        <x:v>0.09984822367516422</x:v>
      </x:c>
      <x:c r="O1406" s="28" t="n">
        <x:f>J1406*I1406</x:f>
        <x:v>1555.9672852130825</x:v>
      </x:c>
      <x:c r="P1406" s="27" t="n">
        <x:f>(VLOOKUP(O1406,'Fee Data'!$C$6:$G$50,2,TRUE)+O1406*VLOOKUP(O1406,'Fee Data'!$C$6:$G$50,3,TRUE)+VLOOKUP(O1406,'Fee Data'!$I$6:$J$14,2,TRUE)+'Fee Data'!$J$20+'Fee Data'!$J$21)*'Assumptions'!J37</x:f>
        <x:v>640</x:v>
      </x:c>
      <x:c r="Q1406" s="27" t="n">
        <x:f>(VLOOKUP(O1406,'Fee Data'!$C$6:$G$50,4,TRUE)+O1406*VLOOKUP(O1406,'Fee Data'!$C$6:$G$50,5,TRUE)+VLOOKUP(O1406,'Fee Data'!$I$6:$J$14,2,TRUE)+'Fee Data'!$J$20+'Fee Data'!$J$21)*'Assumptions'!J37</x:f>
        <x:v>510</x:v>
      </x:c>
      <x:c r="R1406" s="27" t="n">
        <x:f>P1406*(1-'Assumptions'!$D$14)+Q1406*'Assumptions'!$D$14</x:f>
        <x:v>575</x:v>
      </x:c>
      <x:c r="S1406" s="27" t="n">
        <x:f>O1406*'Carrier Engine'!E97</x:f>
        <x:v>62.238691408523316</x:v>
      </x:c>
      <x:c r="T1406" s="28" t="n">
        <x:f>R1406+S1406</x:f>
        <x:v>637.2386914085233</x:v>
      </x:c>
      <x:c r="U1406" s="27" t="n">
        <x:f>N1406*'Fleet Engine'!L205</x:f>
        <x:v>1186.1189724703047</x:v>
      </x:c>
      <x:c r="V1406" s="28" t="n">
        <x:f>U1406*T1406</x:f>
        <x:v>755840.9018717993</x:v>
      </x:c>
      <x:c r="W1406" s="28" t="n">
        <x:f>U1406*O1406</x:f>
        <x:v>1845562.317534351</x:v>
      </x:c>
    </x:row>
    <x:row r="1407" ht="19" customHeight="1">
      <x:c r="A1407" s="2"/>
      <x:c r="B1407" s="2"/>
      <x:c r="C1407" s="46" t="n">
        <x:v>6</x:v>
      </x:c>
      <x:c r="D1407" s="46" t="n">
        <x:v>11</x:v>
      </x:c>
      <x:c r="E1407" s="46" t="n">
        <x:v>1</x:v>
      </x:c>
      <x:c r="F1407" s="46" t="n">
        <x:v>5</x:v>
      </x:c>
      <x:c r="G1407" s="12" t="n">
        <x:v>0.6666666666666666</x:v>
      </x:c>
      <x:c r="H1407" s="12" t="n">
        <x:v>0.7777777777777778</x:v>
      </x:c>
      <x:c r="I1407" s="29" t="n">
        <x:f>'Assumptions'!$D$11+'Assumptions'!$D$12*(0.5-(G1407+H1407)/2)</x:f>
        <x:v>0.25555555555555554</x:v>
      </x:c>
      <x:c r="J1407" s="27" t="n">
        <x:f>'Assumptions'!$D$8*EXP(-'Assumptions'!$D$9*('Fleet Engine'!E205-10))*'Assumptions'!E56*'Assumptions'!J36</x:f>
        <x:v>5601.482226767098</x:v>
      </x:c>
      <x:c r="K1407" s="27" t="n">
        <x:f>'Source Data'!F222+LN('Assumptions'!D56)+LN('Assumptions'!J35)</x:f>
        <x:v>8.056397553082528</x:v>
      </x:c>
      <x:c r="L1407" s="27" t="n">
        <x:f>J1407*(1-I1407*(1-'Carrier Engine'!E97))</x:f>
        <x:v>4227.251920466903</x:v>
      </x:c>
      <x:c r="M1407" s="29" t="n">
        <x:f>NORM.S.DIST((LN(L1407)-K1407)/'Assumptions'!$D$10,TRUE)</x:f>
        <x:v>0.5739902484750252</x:v>
      </x:c>
      <x:c r="N1407" s="30" t="n">
        <x:f>MAX(0,H1407-MAX(G1407,M1407))</x:f>
        <x:v>0.11111111111111116</x:v>
      </x:c>
      <x:c r="O1407" s="28" t="n">
        <x:f>J1407*I1407</x:f>
        <x:v>1431.489902396036</x:v>
      </x:c>
      <x:c r="P1407" s="27" t="n">
        <x:f>(VLOOKUP(O1407,'Fee Data'!$C$6:$G$50,2,TRUE)+O1407*VLOOKUP(O1407,'Fee Data'!$C$6:$G$50,3,TRUE)+VLOOKUP(O1407,'Fee Data'!$I$6:$J$14,2,TRUE)+'Fee Data'!$J$20+'Fee Data'!$J$21)*'Assumptions'!J37</x:f>
        <x:v>615</x:v>
      </x:c>
      <x:c r="Q1407" s="27" t="n">
        <x:f>(VLOOKUP(O1407,'Fee Data'!$C$6:$G$50,4,TRUE)+O1407*VLOOKUP(O1407,'Fee Data'!$C$6:$G$50,5,TRUE)+VLOOKUP(O1407,'Fee Data'!$I$6:$J$14,2,TRUE)+'Fee Data'!$J$20+'Fee Data'!$J$21)*'Assumptions'!J37</x:f>
        <x:v>485</x:v>
      </x:c>
      <x:c r="R1407" s="27" t="n">
        <x:f>P1407*(1-'Assumptions'!$D$14)+Q1407*'Assumptions'!$D$14</x:f>
        <x:v>550</x:v>
      </x:c>
      <x:c r="S1407" s="27" t="n">
        <x:f>O1407*'Carrier Engine'!E97</x:f>
        <x:v>57.25959609584145</x:v>
      </x:c>
      <x:c r="T1407" s="28" t="n">
        <x:f>R1407+S1407</x:f>
        <x:v>607.2595960958414</x:v>
      </x:c>
      <x:c r="U1407" s="27" t="n">
        <x:f>N1407*'Fleet Engine'!L205</x:f>
        <x:v>1319.913285286878</x:v>
      </x:c>
      <x:c r="V1407" s="28" t="n">
        <x:f>U1407*T1407</x:f>
        <x:v>801530.0085048446</x:v>
      </x:c>
      <x:c r="W1407" s="28" t="n">
        <x:f>U1407*O1407</x:f>
        <x:v>1889442.5399265443</x:v>
      </x:c>
    </x:row>
    <x:row r="1408" ht="19" customHeight="1">
      <x:c r="A1408" s="2"/>
      <x:c r="B1408" s="2"/>
      <x:c r="C1408" s="46" t="n">
        <x:v>6</x:v>
      </x:c>
      <x:c r="D1408" s="46" t="n">
        <x:v>11</x:v>
      </x:c>
      <x:c r="E1408" s="46" t="n">
        <x:v>1</x:v>
      </x:c>
      <x:c r="F1408" s="46" t="n">
        <x:v>5</x:v>
      </x:c>
      <x:c r="G1408" s="12" t="n">
        <x:v>0.7777777777777778</x:v>
      </x:c>
      <x:c r="H1408" s="12" t="n">
        <x:v>0.8888888888888888</x:v>
      </x:c>
      <x:c r="I1408" s="29" t="n">
        <x:f>'Assumptions'!$D$11+'Assumptions'!$D$12*(0.5-(G1408+H1408)/2)</x:f>
        <x:v>0.23333333333333334</x:v>
      </x:c>
      <x:c r="J1408" s="27" t="n">
        <x:f>'Assumptions'!$D$8*EXP(-'Assumptions'!$D$9*('Fleet Engine'!E205-10))*'Assumptions'!E56*'Assumptions'!J36</x:f>
        <x:v>5601.482226767098</x:v>
      </x:c>
      <x:c r="K1408" s="27" t="n">
        <x:f>'Source Data'!F222+LN('Assumptions'!D56)+LN('Assumptions'!J35)</x:f>
        <x:v>8.056397553082528</x:v>
      </x:c>
      <x:c r="L1408" s="27" t="n">
        <x:f>J1408*(1-I1408*(1-'Carrier Engine'!E97))</x:f>
        <x:v>4346.7502079712685</x:v>
      </x:c>
      <x:c r="M1408" s="29" t="n">
        <x:f>NORM.S.DIST((LN(L1408)-K1408)/'Assumptions'!$D$10,TRUE)</x:f>
        <x:v>0.5809387575906335</x:v>
      </x:c>
      <x:c r="N1408" s="30" t="n">
        <x:f>MAX(0,H1408-MAX(G1408,M1408))</x:f>
        <x:v>0.11111111111111105</x:v>
      </x:c>
      <x:c r="O1408" s="28" t="n">
        <x:f>J1408*I1408</x:f>
        <x:v>1307.0125195789894</x:v>
      </x:c>
      <x:c r="P1408" s="27" t="n">
        <x:f>(VLOOKUP(O1408,'Fee Data'!$C$6:$G$50,2,TRUE)+O1408*VLOOKUP(O1408,'Fee Data'!$C$6:$G$50,3,TRUE)+VLOOKUP(O1408,'Fee Data'!$I$6:$J$14,2,TRUE)+'Fee Data'!$J$20+'Fee Data'!$J$21)*'Assumptions'!J37</x:f>
        <x:v>595</x:v>
      </x:c>
      <x:c r="Q1408" s="27" t="n">
        <x:f>(VLOOKUP(O1408,'Fee Data'!$C$6:$G$50,4,TRUE)+O1408*VLOOKUP(O1408,'Fee Data'!$C$6:$G$50,5,TRUE)+VLOOKUP(O1408,'Fee Data'!$I$6:$J$14,2,TRUE)+'Fee Data'!$J$20+'Fee Data'!$J$21)*'Assumptions'!J37</x:f>
        <x:v>470</x:v>
      </x:c>
      <x:c r="R1408" s="27" t="n">
        <x:f>P1408*(1-'Assumptions'!$D$14)+Q1408*'Assumptions'!$D$14</x:f>
        <x:v>532.5</x:v>
      </x:c>
      <x:c r="S1408" s="27" t="n">
        <x:f>O1408*'Carrier Engine'!E97</x:f>
        <x:v>52.28050078315959</x:v>
      </x:c>
      <x:c r="T1408" s="28" t="n">
        <x:f>R1408+S1408</x:f>
        <x:v>584.7805007831596</x:v>
      </x:c>
      <x:c r="U1408" s="27" t="n">
        <x:f>N1408*'Fleet Engine'!L205</x:f>
        <x:v>1319.9132852868768</x:v>
      </x:c>
      <x:c r="V1408" s="28" t="n">
        <x:f>U1408*T1408</x:f>
        <x:v>771859.5519604052</x:v>
      </x:c>
      <x:c r="W1408" s="28" t="n">
        <x:f>U1408*O1408</x:f>
        <x:v>1725143.1886285823</x:v>
      </x:c>
    </x:row>
    <x:row r="1409" ht="19" customHeight="1">
      <x:c r="A1409" s="2"/>
      <x:c r="B1409" s="2"/>
      <x:c r="C1409" s="46" t="n">
        <x:v>6</x:v>
      </x:c>
      <x:c r="D1409" s="46" t="n">
        <x:v>11</x:v>
      </x:c>
      <x:c r="E1409" s="46" t="n">
        <x:v>1</x:v>
      </x:c>
      <x:c r="F1409" s="46" t="n">
        <x:v>5</x:v>
      </x:c>
      <x:c r="G1409" s="12" t="n">
        <x:v>0.8888888888888888</x:v>
      </x:c>
      <x:c r="H1409" s="12" t="n">
        <x:v>1</x:v>
      </x:c>
      <x:c r="I1409" s="29" t="n">
        <x:f>'Assumptions'!$D$11+'Assumptions'!$D$12*(0.5-(G1409+H1409)/2)</x:f>
        <x:v>0.21111111111111108</x:v>
      </x:c>
      <x:c r="J1409" s="27" t="n">
        <x:f>'Assumptions'!$D$8*EXP(-'Assumptions'!$D$9*('Fleet Engine'!E205-10))*'Assumptions'!E56*'Assumptions'!J36</x:f>
        <x:v>5601.482226767098</x:v>
      </x:c>
      <x:c r="K1409" s="27" t="n">
        <x:f>'Source Data'!F222+LN('Assumptions'!D56)+LN('Assumptions'!J35)</x:f>
        <x:v>8.056397553082528</x:v>
      </x:c>
      <x:c r="L1409" s="27" t="n">
        <x:f>J1409*(1-I1409*(1-'Carrier Engine'!E97))</x:f>
        <x:v>4466.248495475633</x:v>
      </x:c>
      <x:c r="M1409" s="29" t="n">
        <x:f>NORM.S.DIST((LN(L1409)-K1409)/'Assumptions'!$D$10,TRUE)</x:f>
        <x:v>0.5876746859896276</x:v>
      </x:c>
      <x:c r="N1409" s="30" t="n">
        <x:f>MAX(0,H1409-MAX(G1409,M1409))</x:f>
        <x:v>0.11111111111111116</x:v>
      </x:c>
      <x:c r="O1409" s="28" t="n">
        <x:f>J1409*I1409</x:f>
        <x:v>1182.5351367619428</x:v>
      </x:c>
      <x:c r="P1409" s="27" t="n">
        <x:f>(VLOOKUP(O1409,'Fee Data'!$C$6:$G$50,2,TRUE)+O1409*VLOOKUP(O1409,'Fee Data'!$C$6:$G$50,3,TRUE)+VLOOKUP(O1409,'Fee Data'!$I$6:$J$14,2,TRUE)+'Fee Data'!$J$20+'Fee Data'!$J$21)*'Assumptions'!J37</x:f>
        <x:v>560</x:v>
      </x:c>
      <x:c r="Q1409" s="27" t="n">
        <x:f>(VLOOKUP(O1409,'Fee Data'!$C$6:$G$50,4,TRUE)+O1409*VLOOKUP(O1409,'Fee Data'!$C$6:$G$50,5,TRUE)+VLOOKUP(O1409,'Fee Data'!$I$6:$J$14,2,TRUE)+'Fee Data'!$J$20+'Fee Data'!$J$21)*'Assumptions'!J37</x:f>
        <x:v>435</x:v>
      </x:c>
      <x:c r="R1409" s="27" t="n">
        <x:f>P1409*(1-'Assumptions'!$D$14)+Q1409*'Assumptions'!$D$14</x:f>
        <x:v>497.5</x:v>
      </x:c>
      <x:c r="S1409" s="27" t="n">
        <x:f>O1409*'Carrier Engine'!E97</x:f>
        <x:v>47.30140547047772</x:v>
      </x:c>
      <x:c r="T1409" s="28" t="n">
        <x:f>R1409+S1409</x:f>
        <x:v>544.8014054704777</x:v>
      </x:c>
      <x:c r="U1409" s="27" t="n">
        <x:f>N1409*'Fleet Engine'!L205</x:f>
        <x:v>1319.913285286878</x:v>
      </x:c>
      <x:c r="V1409" s="28" t="n">
        <x:f>U1409*T1409</x:f>
        <x:v>719090.6129234467</x:v>
      </x:c>
      <x:c r="W1409" s="28" t="n">
        <x:f>U1409*O1409</x:f>
        <x:v>1560843.8373306233</x:v>
      </x:c>
    </x:row>
    <x:row r="1410" ht="19" customHeight="1">
      <x:c r="A1410" s="2"/>
      <x:c r="B1410" s="2"/>
      <x:c r="C1410" s="46" t="n">
        <x:v>6</x:v>
      </x:c>
      <x:c r="D1410" s="46" t="n">
        <x:v>12</x:v>
      </x:c>
      <x:c r="E1410" s="46" t="n">
        <x:v>2</x:v>
      </x:c>
      <x:c r="F1410" s="46" t="n">
        <x:v>0</x:v>
      </x:c>
      <x:c r="G1410" s="12" t="n">
        <x:v>0</x:v>
      </x:c>
      <x:c r="H1410" s="12" t="n">
        <x:v>0.1111111111111111</x:v>
      </x:c>
      <x:c r="I1410" s="29" t="n">
        <x:f>'Assumptions'!$D$11+'Assumptions'!$D$12*(0.5-(G1410+H1410)/2)</x:f>
        <x:v>0.3888888888888889</x:v>
      </x:c>
      <x:c r="J1410" s="27" t="n">
        <x:f>'Assumptions'!$D$8*EXP(-'Assumptions'!$D$9*('Fleet Engine'!E206-10))*'Assumptions'!E57*'Assumptions'!J36</x:f>
        <x:v>40583.94769889355</x:v>
      </x:c>
      <x:c r="K1410" s="27" t="n">
        <x:f>'Source Data'!F217+LN('Assumptions'!D57)+LN('Assumptions'!J35)</x:f>
        <x:v>8.2942644758604</x:v>
      </x:c>
      <x:c r="L1410" s="27" t="n">
        <x:f>J1410*(1-I1410*(1-'Carrier Engine'!E97))</x:f>
        <x:v>25432.60722463996</x:v>
      </x:c>
      <x:c r="M1410" s="29" t="n">
        <x:f>NORM.S.DIST((LN(L1410)-K1410)/'Assumptions'!$D$10,TRUE)</x:f>
        <x:v>0.8805788825170106</x:v>
      </x:c>
      <x:c r="N1410" s="30" t="n">
        <x:f>MAX(0,H1410-MAX(G1410,M1410))</x:f>
        <x:v>0</x:v>
      </x:c>
      <x:c r="O1410" s="28" t="n">
        <x:f>J1410*I1410</x:f>
        <x:v>15782.646327347491</x:v>
      </x:c>
      <x:c r="P1410" s="27" t="n">
        <x:f>(VLOOKUP(O1410,'Fee Data'!$C$6:$G$50,2,TRUE)+O1410*VLOOKUP(O1410,'Fee Data'!$C$6:$G$50,3,TRUE)+VLOOKUP(O1410,'Fee Data'!$I$6:$J$14,2,TRUE)+'Fee Data'!$J$20+'Fee Data'!$J$21)*'Assumptions'!J37</x:f>
        <x:v>1433.6984745510617</x:v>
      </x:c>
      <x:c r="Q1410" s="27" t="n">
        <x:f>(VLOOKUP(O1410,'Fee Data'!$C$6:$G$50,4,TRUE)+O1410*VLOOKUP(O1410,'Fee Data'!$C$6:$G$50,5,TRUE)+VLOOKUP(O1410,'Fee Data'!$I$6:$J$14,2,TRUE)+'Fee Data'!$J$20+'Fee Data'!$J$21)*'Assumptions'!J37</x:f>
        <x:v>1196.9587796408496</x:v>
      </x:c>
      <x:c r="R1410" s="27" t="n">
        <x:f>P1410*(1-'Assumptions'!$D$14)+Q1410*'Assumptions'!$D$14</x:f>
        <x:v>1315.3286270959557</x:v>
      </x:c>
      <x:c r="S1410" s="27" t="n">
        <x:f>O1410*'Carrier Engine'!E97</x:f>
        <x:v>631.3058530938997</x:v>
      </x:c>
      <x:c r="T1410" s="28" t="n">
        <x:f>R1410+S1410</x:f>
        <x:v>1946.6344801898554</x:v>
      </x:c>
      <x:c r="U1410" s="27" t="n">
        <x:f>N1410*'Fleet Engine'!L206</x:f>
        <x:v>0</x:v>
      </x:c>
      <x:c r="V1410" s="28" t="n">
        <x:f>U1410*T1410</x:f>
        <x:v>0</x:v>
      </x:c>
      <x:c r="W1410" s="28" t="n">
        <x:f>U1410*O1410</x:f>
        <x:v>0</x:v>
      </x:c>
    </x:row>
    <x:row r="1411" ht="19" customHeight="1">
      <x:c r="A1411" s="2"/>
      <x:c r="B1411" s="2"/>
      <x:c r="C1411" s="46" t="n">
        <x:v>6</x:v>
      </x:c>
      <x:c r="D1411" s="46" t="n">
        <x:v>12</x:v>
      </x:c>
      <x:c r="E1411" s="46" t="n">
        <x:v>2</x:v>
      </x:c>
      <x:c r="F1411" s="46" t="n">
        <x:v>0</x:v>
      </x:c>
      <x:c r="G1411" s="12" t="n">
        <x:v>0.1111111111111111</x:v>
      </x:c>
      <x:c r="H1411" s="12" t="n">
        <x:v>0.2222222222222222</x:v>
      </x:c>
      <x:c r="I1411" s="29" t="n">
        <x:f>'Assumptions'!$D$11+'Assumptions'!$D$12*(0.5-(G1411+H1411)/2)</x:f>
        <x:v>0.3666666666666667</x:v>
      </x:c>
      <x:c r="J1411" s="27" t="n">
        <x:f>'Assumptions'!$D$8*EXP(-'Assumptions'!$D$9*('Fleet Engine'!E206-10))*'Assumptions'!E57*'Assumptions'!J36</x:f>
        <x:v>40583.94769889355</x:v>
      </x:c>
      <x:c r="K1411" s="27" t="n">
        <x:f>'Source Data'!F217+LN('Assumptions'!D57)+LN('Assumptions'!J35)</x:f>
        <x:v>8.2942644758604</x:v>
      </x:c>
      <x:c r="L1411" s="27" t="n">
        <x:f>J1411*(1-I1411*(1-'Carrier Engine'!E97))</x:f>
        <x:v>26298.398108883015</x:v>
      </x:c>
      <x:c r="M1411" s="29" t="n">
        <x:f>NORM.S.DIST((LN(L1411)-K1411)/'Assumptions'!$D$10,TRUE)</x:f>
        <x:v>0.8847758792317063</x:v>
      </x:c>
      <x:c r="N1411" s="30" t="n">
        <x:f>MAX(0,H1411-MAX(G1411,M1411))</x:f>
        <x:v>0</x:v>
      </x:c>
      <x:c r="O1411" s="28" t="n">
        <x:f>J1411*I1411</x:f>
        <x:v>14880.780822927636</x:v>
      </x:c>
      <x:c r="P1411" s="27" t="n">
        <x:f>(VLOOKUP(O1411,'Fee Data'!$C$6:$G$50,2,TRUE)+O1411*VLOOKUP(O1411,'Fee Data'!$C$6:$G$50,3,TRUE)+VLOOKUP(O1411,'Fee Data'!$I$6:$J$14,2,TRUE)+'Fee Data'!$J$20+'Fee Data'!$J$21)*'Assumptions'!J37</x:f>
        <x:v>1250</x:v>
      </x:c>
      <x:c r="Q1411" s="27" t="n">
        <x:f>(VLOOKUP(O1411,'Fee Data'!$C$6:$G$50,4,TRUE)+O1411*VLOOKUP(O1411,'Fee Data'!$C$6:$G$50,5,TRUE)+VLOOKUP(O1411,'Fee Data'!$I$6:$J$14,2,TRUE)+'Fee Data'!$J$20+'Fee Data'!$J$21)*'Assumptions'!J37</x:f>
        <x:v>1140</x:v>
      </x:c>
      <x:c r="R1411" s="27" t="n">
        <x:f>P1411*(1-'Assumptions'!$D$14)+Q1411*'Assumptions'!$D$14</x:f>
        <x:v>1195</x:v>
      </x:c>
      <x:c r="S1411" s="27" t="n">
        <x:f>O1411*'Carrier Engine'!E97</x:f>
        <x:v>595.2312329171056</x:v>
      </x:c>
      <x:c r="T1411" s="28" t="n">
        <x:f>R1411+S1411</x:f>
        <x:v>1790.2312329171054</x:v>
      </x:c>
      <x:c r="U1411" s="27" t="n">
        <x:f>N1411*'Fleet Engine'!L206</x:f>
        <x:v>0</x:v>
      </x:c>
      <x:c r="V1411" s="28" t="n">
        <x:f>U1411*T1411</x:f>
        <x:v>0</x:v>
      </x:c>
      <x:c r="W1411" s="28" t="n">
        <x:f>U1411*O1411</x:f>
        <x:v>0</x:v>
      </x:c>
    </x:row>
    <x:row r="1412" ht="19" customHeight="1">
      <x:c r="A1412" s="2"/>
      <x:c r="B1412" s="2"/>
      <x:c r="C1412" s="46" t="n">
        <x:v>6</x:v>
      </x:c>
      <x:c r="D1412" s="46" t="n">
        <x:v>12</x:v>
      </x:c>
      <x:c r="E1412" s="46" t="n">
        <x:v>2</x:v>
      </x:c>
      <x:c r="F1412" s="46" t="n">
        <x:v>0</x:v>
      </x:c>
      <x:c r="G1412" s="12" t="n">
        <x:v>0.2222222222222222</x:v>
      </x:c>
      <x:c r="H1412" s="12" t="n">
        <x:v>0.3333333333333333</x:v>
      </x:c>
      <x:c r="I1412" s="29" t="n">
        <x:f>'Assumptions'!$D$11+'Assumptions'!$D$12*(0.5-(G1412+H1412)/2)</x:f>
        <x:v>0.34444444444444444</x:v>
      </x:c>
      <x:c r="J1412" s="27" t="n">
        <x:f>'Assumptions'!$D$8*EXP(-'Assumptions'!$D$9*('Fleet Engine'!E206-10))*'Assumptions'!E57*'Assumptions'!J36</x:f>
        <x:v>40583.94769889355</x:v>
      </x:c>
      <x:c r="K1412" s="27" t="n">
        <x:f>'Source Data'!F217+LN('Assumptions'!D57)+LN('Assumptions'!J35)</x:f>
        <x:v>8.2942644758604</x:v>
      </x:c>
      <x:c r="L1412" s="27" t="n">
        <x:f>J1412*(1-I1412*(1-'Carrier Engine'!E97))</x:f>
        <x:v>27164.18899312608</x:v>
      </x:c>
      <x:c r="M1412" s="29" t="n">
        <x:f>NORM.S.DIST((LN(L1412)-K1412)/'Assumptions'!$D$10,TRUE)</x:f>
        <x:v>0.888736062055902</x:v>
      </x:c>
      <x:c r="N1412" s="30" t="n">
        <x:f>MAX(0,H1412-MAX(G1412,M1412))</x:f>
        <x:v>0</x:v>
      </x:c>
      <x:c r="O1412" s="28" t="n">
        <x:f>J1412*I1412</x:f>
        <x:v>13978.915318507778</x:v>
      </x:c>
      <x:c r="P1412" s="27" t="n">
        <x:f>(VLOOKUP(O1412,'Fee Data'!$C$6:$G$50,2,TRUE)+O1412*VLOOKUP(O1412,'Fee Data'!$C$6:$G$50,3,TRUE)+VLOOKUP(O1412,'Fee Data'!$I$6:$J$14,2,TRUE)+'Fee Data'!$J$20+'Fee Data'!$J$21)*'Assumptions'!J37</x:f>
        <x:v>1250</x:v>
      </x:c>
      <x:c r="Q1412" s="27" t="n">
        <x:f>(VLOOKUP(O1412,'Fee Data'!$C$6:$G$50,4,TRUE)+O1412*VLOOKUP(O1412,'Fee Data'!$C$6:$G$50,5,TRUE)+VLOOKUP(O1412,'Fee Data'!$I$6:$J$14,2,TRUE)+'Fee Data'!$J$20+'Fee Data'!$J$21)*'Assumptions'!J37</x:f>
        <x:v>1140</x:v>
      </x:c>
      <x:c r="R1412" s="27" t="n">
        <x:f>P1412*(1-'Assumptions'!$D$14)+Q1412*'Assumptions'!$D$14</x:f>
        <x:v>1195</x:v>
      </x:c>
      <x:c r="S1412" s="27" t="n">
        <x:f>O1412*'Carrier Engine'!E97</x:f>
        <x:v>559.1566127403112</x:v>
      </x:c>
      <x:c r="T1412" s="28" t="n">
        <x:f>R1412+S1412</x:f>
        <x:v>1754.1566127403112</x:v>
      </x:c>
      <x:c r="U1412" s="27" t="n">
        <x:f>N1412*'Fleet Engine'!L206</x:f>
        <x:v>0</x:v>
      </x:c>
      <x:c r="V1412" s="28" t="n">
        <x:f>U1412*T1412</x:f>
        <x:v>0</x:v>
      </x:c>
      <x:c r="W1412" s="28" t="n">
        <x:f>U1412*O1412</x:f>
        <x:v>0</x:v>
      </x:c>
    </x:row>
    <x:row r="1413" ht="19" customHeight="1">
      <x:c r="A1413" s="2"/>
      <x:c r="B1413" s="2"/>
      <x:c r="C1413" s="46" t="n">
        <x:v>6</x:v>
      </x:c>
      <x:c r="D1413" s="46" t="n">
        <x:v>12</x:v>
      </x:c>
      <x:c r="E1413" s="46" t="n">
        <x:v>2</x:v>
      </x:c>
      <x:c r="F1413" s="46" t="n">
        <x:v>0</x:v>
      </x:c>
      <x:c r="G1413" s="12" t="n">
        <x:v>0.3333333333333333</x:v>
      </x:c>
      <x:c r="H1413" s="12" t="n">
        <x:v>0.4444444444444444</x:v>
      </x:c>
      <x:c r="I1413" s="29" t="n">
        <x:f>'Assumptions'!$D$11+'Assumptions'!$D$12*(0.5-(G1413+H1413)/2)</x:f>
        <x:v>0.32222222222222224</x:v>
      </x:c>
      <x:c r="J1413" s="27" t="n">
        <x:f>'Assumptions'!$D$8*EXP(-'Assumptions'!$D$9*('Fleet Engine'!E206-10))*'Assumptions'!E57*'Assumptions'!J36</x:f>
        <x:v>40583.94769889355</x:v>
      </x:c>
      <x:c r="K1413" s="27" t="n">
        <x:f>'Source Data'!F217+LN('Assumptions'!D57)+LN('Assumptions'!J35)</x:f>
        <x:v>8.2942644758604</x:v>
      </x:c>
      <x:c r="L1413" s="27" t="n">
        <x:f>J1413*(1-I1413*(1-'Carrier Engine'!E97))</x:f>
        <x:v>28029.979877369144</x:v>
      </x:c>
      <x:c r="M1413" s="29" t="n">
        <x:f>NORM.S.DIST((LN(L1413)-K1413)/'Assumptions'!$D$10,TRUE)</x:f>
        <x:v>0.8924781519277265</x:v>
      </x:c>
      <x:c r="N1413" s="30" t="n">
        <x:f>MAX(0,H1413-MAX(G1413,M1413))</x:f>
        <x:v>0</x:v>
      </x:c>
      <x:c r="O1413" s="28" t="n">
        <x:f>J1413*I1413</x:f>
        <x:v>13077.049814087923</x:v>
      </x:c>
      <x:c r="P1413" s="27" t="n">
        <x:f>(VLOOKUP(O1413,'Fee Data'!$C$6:$G$50,2,TRUE)+O1413*VLOOKUP(O1413,'Fee Data'!$C$6:$G$50,3,TRUE)+VLOOKUP(O1413,'Fee Data'!$I$6:$J$14,2,TRUE)+'Fee Data'!$J$20+'Fee Data'!$J$21)*'Assumptions'!J37</x:f>
        <x:v>1250</x:v>
      </x:c>
      <x:c r="Q1413" s="27" t="n">
        <x:f>(VLOOKUP(O1413,'Fee Data'!$C$6:$G$50,4,TRUE)+O1413*VLOOKUP(O1413,'Fee Data'!$C$6:$G$50,5,TRUE)+VLOOKUP(O1413,'Fee Data'!$I$6:$J$14,2,TRUE)+'Fee Data'!$J$20+'Fee Data'!$J$21)*'Assumptions'!J37</x:f>
        <x:v>1140</x:v>
      </x:c>
      <x:c r="R1413" s="27" t="n">
        <x:f>P1413*(1-'Assumptions'!$D$14)+Q1413*'Assumptions'!$D$14</x:f>
        <x:v>1195</x:v>
      </x:c>
      <x:c r="S1413" s="27" t="n">
        <x:f>O1413*'Carrier Engine'!E97</x:f>
        <x:v>523.081992563517</x:v>
      </x:c>
      <x:c r="T1413" s="28" t="n">
        <x:f>R1413+S1413</x:f>
        <x:v>1718.081992563517</x:v>
      </x:c>
      <x:c r="U1413" s="27" t="n">
        <x:f>N1413*'Fleet Engine'!L206</x:f>
        <x:v>0</x:v>
      </x:c>
      <x:c r="V1413" s="28" t="n">
        <x:f>U1413*T1413</x:f>
        <x:v>0</x:v>
      </x:c>
      <x:c r="W1413" s="28" t="n">
        <x:f>U1413*O1413</x:f>
        <x:v>0</x:v>
      </x:c>
    </x:row>
    <x:row r="1414" ht="19" customHeight="1">
      <x:c r="A1414" s="2"/>
      <x:c r="B1414" s="2"/>
      <x:c r="C1414" s="46" t="n">
        <x:v>6</x:v>
      </x:c>
      <x:c r="D1414" s="46" t="n">
        <x:v>12</x:v>
      </x:c>
      <x:c r="E1414" s="46" t="n">
        <x:v>2</x:v>
      </x:c>
      <x:c r="F1414" s="46" t="n">
        <x:v>0</x:v>
      </x:c>
      <x:c r="G1414" s="12" t="n">
        <x:v>0.4444444444444444</x:v>
      </x:c>
      <x:c r="H1414" s="12" t="n">
        <x:v>0.5555555555555556</x:v>
      </x:c>
      <x:c r="I1414" s="29" t="n">
        <x:f>'Assumptions'!$D$11+'Assumptions'!$D$12*(0.5-(G1414+H1414)/2)</x:f>
        <x:v>0.3</x:v>
      </x:c>
      <x:c r="J1414" s="27" t="n">
        <x:f>'Assumptions'!$D$8*EXP(-'Assumptions'!$D$9*('Fleet Engine'!E206-10))*'Assumptions'!E57*'Assumptions'!J36</x:f>
        <x:v>40583.94769889355</x:v>
      </x:c>
      <x:c r="K1414" s="27" t="n">
        <x:f>'Source Data'!F217+LN('Assumptions'!D57)+LN('Assumptions'!J35)</x:f>
        <x:v>8.2942644758604</x:v>
      </x:c>
      <x:c r="L1414" s="27" t="n">
        <x:f>J1414*(1-I1414*(1-'Carrier Engine'!E97))</x:f>
        <x:v>28895.770761612206</x:v>
      </x:c>
      <x:c r="M1414" s="29" t="n">
        <x:f>NORM.S.DIST((LN(L1414)-K1414)/'Assumptions'!$D$10,TRUE)</x:f>
        <x:v>0.8960189619269877</x:v>
      </x:c>
      <x:c r="N1414" s="30" t="n">
        <x:f>MAX(0,H1414-MAX(G1414,M1414))</x:f>
        <x:v>0</x:v>
      </x:c>
      <x:c r="O1414" s="28" t="n">
        <x:f>J1414*I1414</x:f>
        <x:v>12175.184309668064</x:v>
      </x:c>
      <x:c r="P1414" s="27" t="n">
        <x:f>(VLOOKUP(O1414,'Fee Data'!$C$6:$G$50,2,TRUE)+O1414*VLOOKUP(O1414,'Fee Data'!$C$6:$G$50,3,TRUE)+VLOOKUP(O1414,'Fee Data'!$I$6:$J$14,2,TRUE)+'Fee Data'!$J$20+'Fee Data'!$J$21)*'Assumptions'!J37</x:f>
        <x:v>1250</x:v>
      </x:c>
      <x:c r="Q1414" s="27" t="n">
        <x:f>(VLOOKUP(O1414,'Fee Data'!$C$6:$G$50,4,TRUE)+O1414*VLOOKUP(O1414,'Fee Data'!$C$6:$G$50,5,TRUE)+VLOOKUP(O1414,'Fee Data'!$I$6:$J$14,2,TRUE)+'Fee Data'!$J$20+'Fee Data'!$J$21)*'Assumptions'!J37</x:f>
        <x:v>1125</x:v>
      </x:c>
      <x:c r="R1414" s="27" t="n">
        <x:f>P1414*(1-'Assumptions'!$D$14)+Q1414*'Assumptions'!$D$14</x:f>
        <x:v>1187.5</x:v>
      </x:c>
      <x:c r="S1414" s="27" t="n">
        <x:f>O1414*'Carrier Engine'!E97</x:f>
        <x:v>487.00737238672264</x:v>
      </x:c>
      <x:c r="T1414" s="28" t="n">
        <x:f>R1414+S1414</x:f>
        <x:v>1674.5073723867226</x:v>
      </x:c>
      <x:c r="U1414" s="27" t="n">
        <x:f>N1414*'Fleet Engine'!L206</x:f>
        <x:v>0</x:v>
      </x:c>
      <x:c r="V1414" s="28" t="n">
        <x:f>U1414*T1414</x:f>
        <x:v>0</x:v>
      </x:c>
      <x:c r="W1414" s="28" t="n">
        <x:f>U1414*O1414</x:f>
        <x:v>0</x:v>
      </x:c>
    </x:row>
    <x:row r="1415" ht="19" customHeight="1">
      <x:c r="A1415" s="2"/>
      <x:c r="B1415" s="2"/>
      <x:c r="C1415" s="46" t="n">
        <x:v>6</x:v>
      </x:c>
      <x:c r="D1415" s="46" t="n">
        <x:v>12</x:v>
      </x:c>
      <x:c r="E1415" s="46" t="n">
        <x:v>2</x:v>
      </x:c>
      <x:c r="F1415" s="46" t="n">
        <x:v>0</x:v>
      </x:c>
      <x:c r="G1415" s="12" t="n">
        <x:v>0.5555555555555556</x:v>
      </x:c>
      <x:c r="H1415" s="12" t="n">
        <x:v>0.6666666666666666</x:v>
      </x:c>
      <x:c r="I1415" s="29" t="n">
        <x:f>'Assumptions'!$D$11+'Assumptions'!$D$12*(0.5-(G1415+H1415)/2)</x:f>
        <x:v>0.27777777777777773</x:v>
      </x:c>
      <x:c r="J1415" s="27" t="n">
        <x:f>'Assumptions'!$D$8*EXP(-'Assumptions'!$D$9*('Fleet Engine'!E206-10))*'Assumptions'!E57*'Assumptions'!J36</x:f>
        <x:v>40583.94769889355</x:v>
      </x:c>
      <x:c r="K1415" s="27" t="n">
        <x:f>'Source Data'!F217+LN('Assumptions'!D57)+LN('Assumptions'!J35)</x:f>
        <x:v>8.2942644758604</x:v>
      </x:c>
      <x:c r="L1415" s="27" t="n">
        <x:f>J1415*(1-I1415*(1-'Carrier Engine'!E97))</x:f>
        <x:v>29761.561645855272</x:v>
      </x:c>
      <x:c r="M1415" s="29" t="n">
        <x:f>NORM.S.DIST((LN(L1415)-K1415)/'Assumptions'!$D$10,TRUE)</x:f>
        <x:v>0.899373634683205</x:v>
      </x:c>
      <x:c r="N1415" s="30" t="n">
        <x:f>MAX(0,H1415-MAX(G1415,M1415))</x:f>
        <x:v>0</x:v>
      </x:c>
      <x:c r="O1415" s="28" t="n">
        <x:f>J1415*I1415</x:f>
        <x:v>11273.318805248206</x:v>
      </x:c>
      <x:c r="P1415" s="27" t="n">
        <x:f>(VLOOKUP(O1415,'Fee Data'!$C$6:$G$50,2,TRUE)+O1415*VLOOKUP(O1415,'Fee Data'!$C$6:$G$50,3,TRUE)+VLOOKUP(O1415,'Fee Data'!$I$6:$J$14,2,TRUE)+'Fee Data'!$J$20+'Fee Data'!$J$21)*'Assumptions'!J37</x:f>
        <x:v>1250</x:v>
      </x:c>
      <x:c r="Q1415" s="27" t="n">
        <x:f>(VLOOKUP(O1415,'Fee Data'!$C$6:$G$50,4,TRUE)+O1415*VLOOKUP(O1415,'Fee Data'!$C$6:$G$50,5,TRUE)+VLOOKUP(O1415,'Fee Data'!$I$6:$J$14,2,TRUE)+'Fee Data'!$J$20+'Fee Data'!$J$21)*'Assumptions'!J37</x:f>
        <x:v>1100</x:v>
      </x:c>
      <x:c r="R1415" s="27" t="n">
        <x:f>P1415*(1-'Assumptions'!$D$14)+Q1415*'Assumptions'!$D$14</x:f>
        <x:v>1175</x:v>
      </x:c>
      <x:c r="S1415" s="27" t="n">
        <x:f>O1415*'Carrier Engine'!E97</x:f>
        <x:v>450.9327522099283</x:v>
      </x:c>
      <x:c r="T1415" s="28" t="n">
        <x:f>R1415+S1415</x:f>
        <x:v>1625.9327522099284</x:v>
      </x:c>
      <x:c r="U1415" s="27" t="n">
        <x:f>N1415*'Fleet Engine'!L206</x:f>
        <x:v>0</x:v>
      </x:c>
      <x:c r="V1415" s="28" t="n">
        <x:f>U1415*T1415</x:f>
        <x:v>0</x:v>
      </x:c>
      <x:c r="W1415" s="28" t="n">
        <x:f>U1415*O1415</x:f>
        <x:v>0</x:v>
      </x:c>
    </x:row>
    <x:row r="1416" ht="19" customHeight="1">
      <x:c r="A1416" s="2"/>
      <x:c r="B1416" s="2"/>
      <x:c r="C1416" s="46" t="n">
        <x:v>6</x:v>
      </x:c>
      <x:c r="D1416" s="46" t="n">
        <x:v>12</x:v>
      </x:c>
      <x:c r="E1416" s="46" t="n">
        <x:v>2</x:v>
      </x:c>
      <x:c r="F1416" s="46" t="n">
        <x:v>0</x:v>
      </x:c>
      <x:c r="G1416" s="12" t="n">
        <x:v>0.6666666666666666</x:v>
      </x:c>
      <x:c r="H1416" s="12" t="n">
        <x:v>0.7777777777777778</x:v>
      </x:c>
      <x:c r="I1416" s="29" t="n">
        <x:f>'Assumptions'!$D$11+'Assumptions'!$D$12*(0.5-(G1416+H1416)/2)</x:f>
        <x:v>0.25555555555555554</x:v>
      </x:c>
      <x:c r="J1416" s="27" t="n">
        <x:f>'Assumptions'!$D$8*EXP(-'Assumptions'!$D$9*('Fleet Engine'!E206-10))*'Assumptions'!E57*'Assumptions'!J36</x:f>
        <x:v>40583.94769889355</x:v>
      </x:c>
      <x:c r="K1416" s="27" t="n">
        <x:f>'Source Data'!F217+LN('Assumptions'!D57)+LN('Assumptions'!J35)</x:f>
        <x:v>8.2942644758604</x:v>
      </x:c>
      <x:c r="L1416" s="27" t="n">
        <x:f>J1416*(1-I1416*(1-'Carrier Engine'!E97))</x:f>
        <x:v>30627.352530098335</x:v>
      </x:c>
      <x:c r="M1416" s="29" t="n">
        <x:f>NORM.S.DIST((LN(L1416)-K1416)/'Assumptions'!$D$10,TRUE)</x:f>
        <x:v>0.9025558450372322</x:v>
      </x:c>
      <x:c r="N1416" s="30" t="n">
        <x:f>MAX(0,H1416-MAX(G1416,M1416))</x:f>
        <x:v>0</x:v>
      </x:c>
      <x:c r="O1416" s="28" t="n">
        <x:f>J1416*I1416</x:f>
        <x:v>10371.45330082835</x:v>
      </x:c>
      <x:c r="P1416" s="27" t="n">
        <x:f>(VLOOKUP(O1416,'Fee Data'!$C$6:$G$50,2,TRUE)+O1416*VLOOKUP(O1416,'Fee Data'!$C$6:$G$50,3,TRUE)+VLOOKUP(O1416,'Fee Data'!$I$6:$J$14,2,TRUE)+'Fee Data'!$J$20+'Fee Data'!$J$21)*'Assumptions'!J37</x:f>
        <x:v>1250</x:v>
      </x:c>
      <x:c r="Q1416" s="27" t="n">
        <x:f>(VLOOKUP(O1416,'Fee Data'!$C$6:$G$50,4,TRUE)+O1416*VLOOKUP(O1416,'Fee Data'!$C$6:$G$50,5,TRUE)+VLOOKUP(O1416,'Fee Data'!$I$6:$J$14,2,TRUE)+'Fee Data'!$J$20+'Fee Data'!$J$21)*'Assumptions'!J37</x:f>
        <x:v>1100</x:v>
      </x:c>
      <x:c r="R1416" s="27" t="n">
        <x:f>P1416*(1-'Assumptions'!$D$14)+Q1416*'Assumptions'!$D$14</x:f>
        <x:v>1175</x:v>
      </x:c>
      <x:c r="S1416" s="27" t="n">
        <x:f>O1416*'Carrier Engine'!E97</x:f>
        <x:v>414.8581320331341</x:v>
      </x:c>
      <x:c r="T1416" s="28" t="n">
        <x:f>R1416+S1416</x:f>
        <x:v>1589.858132033134</x:v>
      </x:c>
      <x:c r="U1416" s="27" t="n">
        <x:f>N1416*'Fleet Engine'!L206</x:f>
        <x:v>0</x:v>
      </x:c>
      <x:c r="V1416" s="28" t="n">
        <x:f>U1416*T1416</x:f>
        <x:v>0</x:v>
      </x:c>
      <x:c r="W1416" s="28" t="n">
        <x:f>U1416*O1416</x:f>
        <x:v>0</x:v>
      </x:c>
    </x:row>
    <x:row r="1417" ht="19" customHeight="1">
      <x:c r="A1417" s="2"/>
      <x:c r="B1417" s="2"/>
      <x:c r="C1417" s="46" t="n">
        <x:v>6</x:v>
      </x:c>
      <x:c r="D1417" s="46" t="n">
        <x:v>12</x:v>
      </x:c>
      <x:c r="E1417" s="46" t="n">
        <x:v>2</x:v>
      </x:c>
      <x:c r="F1417" s="46" t="n">
        <x:v>0</x:v>
      </x:c>
      <x:c r="G1417" s="12" t="n">
        <x:v>0.7777777777777778</x:v>
      </x:c>
      <x:c r="H1417" s="12" t="n">
        <x:v>0.8888888888888888</x:v>
      </x:c>
      <x:c r="I1417" s="29" t="n">
        <x:f>'Assumptions'!$D$11+'Assumptions'!$D$12*(0.5-(G1417+H1417)/2)</x:f>
        <x:v>0.23333333333333334</x:v>
      </x:c>
      <x:c r="J1417" s="27" t="n">
        <x:f>'Assumptions'!$D$8*EXP(-'Assumptions'!$D$9*('Fleet Engine'!E206-10))*'Assumptions'!E57*'Assumptions'!J36</x:f>
        <x:v>40583.94769889355</x:v>
      </x:c>
      <x:c r="K1417" s="27" t="n">
        <x:f>'Source Data'!F217+LN('Assumptions'!D57)+LN('Assumptions'!J35)</x:f>
        <x:v>8.2942644758604</x:v>
      </x:c>
      <x:c r="L1417" s="27" t="n">
        <x:f>J1417*(1-I1417*(1-'Carrier Engine'!E97))</x:f>
        <x:v>31493.143414341394</x:v>
      </x:c>
      <x:c r="M1417" s="29" t="n">
        <x:f>NORM.S.DIST((LN(L1417)-K1417)/'Assumptions'!$D$10,TRUE)</x:f>
        <x:v>0.9055779737778874</x:v>
      </x:c>
      <x:c r="N1417" s="30" t="n">
        <x:f>MAX(0,H1417-MAX(G1417,M1417))</x:f>
        <x:v>0</x:v>
      </x:c>
      <x:c r="O1417" s="28" t="n">
        <x:f>J1417*I1417</x:f>
        <x:v>9469.587796408496</x:v>
      </x:c>
      <x:c r="P1417" s="27" t="n">
        <x:f>(VLOOKUP(O1417,'Fee Data'!$C$6:$G$50,2,TRUE)+O1417*VLOOKUP(O1417,'Fee Data'!$C$6:$G$50,3,TRUE)+VLOOKUP(O1417,'Fee Data'!$I$6:$J$14,2,TRUE)+'Fee Data'!$J$20+'Fee Data'!$J$21)*'Assumptions'!J37</x:f>
        <x:v>1195</x:v>
      </x:c>
      <x:c r="Q1417" s="27" t="n">
        <x:f>(VLOOKUP(O1417,'Fee Data'!$C$6:$G$50,4,TRUE)+O1417*VLOOKUP(O1417,'Fee Data'!$C$6:$G$50,5,TRUE)+VLOOKUP(O1417,'Fee Data'!$I$6:$J$14,2,TRUE)+'Fee Data'!$J$20+'Fee Data'!$J$21)*'Assumptions'!J37</x:f>
        <x:v>1070</x:v>
      </x:c>
      <x:c r="R1417" s="27" t="n">
        <x:f>P1417*(1-'Assumptions'!$D$14)+Q1417*'Assumptions'!$D$14</x:f>
        <x:v>1132.5</x:v>
      </x:c>
      <x:c r="S1417" s="27" t="n">
        <x:f>O1417*'Carrier Engine'!E97</x:f>
        <x:v>378.7835118563399</x:v>
      </x:c>
      <x:c r="T1417" s="28" t="n">
        <x:f>R1417+S1417</x:f>
        <x:v>1511.2835118563398</x:v>
      </x:c>
      <x:c r="U1417" s="27" t="n">
        <x:f>N1417*'Fleet Engine'!L206</x:f>
        <x:v>0</x:v>
      </x:c>
      <x:c r="V1417" s="28" t="n">
        <x:f>U1417*T1417</x:f>
        <x:v>0</x:v>
      </x:c>
      <x:c r="W1417" s="28" t="n">
        <x:f>U1417*O1417</x:f>
        <x:v>0</x:v>
      </x:c>
    </x:row>
    <x:row r="1418" ht="19" customHeight="1">
      <x:c r="A1418" s="2"/>
      <x:c r="B1418" s="2"/>
      <x:c r="C1418" s="46" t="n">
        <x:v>6</x:v>
      </x:c>
      <x:c r="D1418" s="46" t="n">
        <x:v>12</x:v>
      </x:c>
      <x:c r="E1418" s="46" t="n">
        <x:v>2</x:v>
      </x:c>
      <x:c r="F1418" s="46" t="n">
        <x:v>0</x:v>
      </x:c>
      <x:c r="G1418" s="12" t="n">
        <x:v>0.8888888888888888</x:v>
      </x:c>
      <x:c r="H1418" s="12" t="n">
        <x:v>1</x:v>
      </x:c>
      <x:c r="I1418" s="29" t="n">
        <x:f>'Assumptions'!$D$11+'Assumptions'!$D$12*(0.5-(G1418+H1418)/2)</x:f>
        <x:v>0.21111111111111108</x:v>
      </x:c>
      <x:c r="J1418" s="27" t="n">
        <x:f>'Assumptions'!$D$8*EXP(-'Assumptions'!$D$9*('Fleet Engine'!E206-10))*'Assumptions'!E57*'Assumptions'!J36</x:f>
        <x:v>40583.94769889355</x:v>
      </x:c>
      <x:c r="K1418" s="27" t="n">
        <x:f>'Source Data'!F217+LN('Assumptions'!D57)+LN('Assumptions'!J35)</x:f>
        <x:v>8.2942644758604</x:v>
      </x:c>
      <x:c r="L1418" s="27" t="n">
        <x:f>J1418*(1-I1418*(1-'Carrier Engine'!E97))</x:f>
        <x:v>32358.934298584456</x:v>
      </x:c>
      <x:c r="M1418" s="29" t="n">
        <x:f>NORM.S.DIST((LN(L1418)-K1418)/'Assumptions'!$D$10,TRUE)</x:f>
        <x:v>0.9084512571809873</x:v>
      </x:c>
      <x:c r="N1418" s="30" t="n">
        <x:f>MAX(0,H1418-MAX(G1418,M1418))</x:f>
        <x:v>0.09154874281901271</x:v>
      </x:c>
      <x:c r="O1418" s="28" t="n">
        <x:f>J1418*I1418</x:f>
        <x:v>8567.722291988637</x:v>
      </x:c>
      <x:c r="P1418" s="27" t="n">
        <x:f>(VLOOKUP(O1418,'Fee Data'!$C$6:$G$50,2,TRUE)+O1418*VLOOKUP(O1418,'Fee Data'!$C$6:$G$50,3,TRUE)+VLOOKUP(O1418,'Fee Data'!$I$6:$J$14,2,TRUE)+'Fee Data'!$J$20+'Fee Data'!$J$21)*'Assumptions'!J37</x:f>
        <x:v>1195</x:v>
      </x:c>
      <x:c r="Q1418" s="27" t="n">
        <x:f>(VLOOKUP(O1418,'Fee Data'!$C$6:$G$50,4,TRUE)+O1418*VLOOKUP(O1418,'Fee Data'!$C$6:$G$50,5,TRUE)+VLOOKUP(O1418,'Fee Data'!$I$6:$J$14,2,TRUE)+'Fee Data'!$J$20+'Fee Data'!$J$21)*'Assumptions'!J37</x:f>
        <x:v>1070</x:v>
      </x:c>
      <x:c r="R1418" s="27" t="n">
        <x:f>P1418*(1-'Assumptions'!$D$14)+Q1418*'Assumptions'!$D$14</x:f>
        <x:v>1132.5</x:v>
      </x:c>
      <x:c r="S1418" s="27" t="n">
        <x:f>O1418*'Carrier Engine'!E97</x:f>
        <x:v>342.70889167954556</x:v>
      </x:c>
      <x:c r="T1418" s="28" t="n">
        <x:f>R1418+S1418</x:f>
        <x:v>1475.2088916795456</x:v>
      </x:c>
      <x:c r="U1418" s="27" t="n">
        <x:f>N1418*'Fleet Engine'!L206</x:f>
        <x:v>115.59969128148599</x:v>
      </x:c>
      <x:c r="V1418" s="28" t="n">
        <x:f>U1418*T1418</x:f>
        <x:v>170533.69245385856</x:v>
      </x:c>
      <x:c r="W1418" s="28" t="n">
        <x:f>U1418*O1418</x:f>
        <x:v>990426.051939392</x:v>
      </x:c>
    </x:row>
    <x:row r="1419" ht="19" customHeight="1">
      <x:c r="A1419" s="2"/>
      <x:c r="B1419" s="2"/>
      <x:c r="C1419" s="46" t="n">
        <x:v>6</x:v>
      </x:c>
      <x:c r="D1419" s="46" t="n">
        <x:v>13</x:v>
      </x:c>
      <x:c r="E1419" s="46" t="n">
        <x:v>2</x:v>
      </x:c>
      <x:c r="F1419" s="46" t="n">
        <x:v>1</x:v>
      </x:c>
      <x:c r="G1419" s="12" t="n">
        <x:v>0</x:v>
      </x:c>
      <x:c r="H1419" s="12" t="n">
        <x:v>0.1111111111111111</x:v>
      </x:c>
      <x:c r="I1419" s="29" t="n">
        <x:f>'Assumptions'!$D$11+'Assumptions'!$D$12*(0.5-(G1419+H1419)/2)</x:f>
        <x:v>0.3888888888888889</x:v>
      </x:c>
      <x:c r="J1419" s="27" t="n">
        <x:f>'Assumptions'!$D$8*EXP(-'Assumptions'!$D$9*('Fleet Engine'!E207-10))*'Assumptions'!E57*'Assumptions'!J36</x:f>
        <x:v>33227.326062392545</x:v>
      </x:c>
      <x:c r="K1419" s="27" t="n">
        <x:f>'Source Data'!F218+LN('Assumptions'!D57)+LN('Assumptions'!J35)</x:f>
        <x:v>8.179823674316163</x:v>
      </x:c>
      <x:c r="L1419" s="27" t="n">
        <x:f>J1419*(1-I1419*(1-'Carrier Engine'!E97))</x:f>
        <x:v>20822.457665765996</x:v>
      </x:c>
      <x:c r="M1419" s="29" t="n">
        <x:f>NORM.S.DIST((LN(L1419)-K1419)/'Assumptions'!$D$10,TRUE)</x:f>
        <x:v>0.8693654103038547</x:v>
      </x:c>
      <x:c r="N1419" s="30" t="n">
        <x:f>MAX(0,H1419-MAX(G1419,M1419))</x:f>
        <x:v>0</x:v>
      </x:c>
      <x:c r="O1419" s="28" t="n">
        <x:f>J1419*I1419</x:f>
        <x:v>12921.737913152656</x:v>
      </x:c>
      <x:c r="P1419" s="27" t="n">
        <x:f>(VLOOKUP(O1419,'Fee Data'!$C$6:$G$50,2,TRUE)+O1419*VLOOKUP(O1419,'Fee Data'!$C$6:$G$50,3,TRUE)+VLOOKUP(O1419,'Fee Data'!$I$6:$J$14,2,TRUE)+'Fee Data'!$J$20+'Fee Data'!$J$21)*'Assumptions'!J37</x:f>
        <x:v>1250</x:v>
      </x:c>
      <x:c r="Q1419" s="27" t="n">
        <x:f>(VLOOKUP(O1419,'Fee Data'!$C$6:$G$50,4,TRUE)+O1419*VLOOKUP(O1419,'Fee Data'!$C$6:$G$50,5,TRUE)+VLOOKUP(O1419,'Fee Data'!$I$6:$J$14,2,TRUE)+'Fee Data'!$J$20+'Fee Data'!$J$21)*'Assumptions'!J37</x:f>
        <x:v>1140</x:v>
      </x:c>
      <x:c r="R1419" s="27" t="n">
        <x:f>P1419*(1-'Assumptions'!$D$14)+Q1419*'Assumptions'!$D$14</x:f>
        <x:v>1195</x:v>
      </x:c>
      <x:c r="S1419" s="27" t="n">
        <x:f>O1419*'Carrier Engine'!E97</x:f>
        <x:v>516.8695165261063</x:v>
      </x:c>
      <x:c r="T1419" s="28" t="n">
        <x:f>R1419+S1419</x:f>
        <x:v>1711.8695165261063</x:v>
      </x:c>
      <x:c r="U1419" s="27" t="n">
        <x:f>N1419*'Fleet Engine'!L207</x:f>
        <x:v>0</x:v>
      </x:c>
      <x:c r="V1419" s="28" t="n">
        <x:f>U1419*T1419</x:f>
        <x:v>0</x:v>
      </x:c>
      <x:c r="W1419" s="28" t="n">
        <x:f>U1419*O1419</x:f>
        <x:v>0</x:v>
      </x:c>
    </x:row>
    <x:row r="1420" ht="19" customHeight="1">
      <x:c r="A1420" s="2"/>
      <x:c r="B1420" s="2"/>
      <x:c r="C1420" s="46" t="n">
        <x:v>6</x:v>
      </x:c>
      <x:c r="D1420" s="46" t="n">
        <x:v>13</x:v>
      </x:c>
      <x:c r="E1420" s="46" t="n">
        <x:v>2</x:v>
      </x:c>
      <x:c r="F1420" s="46" t="n">
        <x:v>1</x:v>
      </x:c>
      <x:c r="G1420" s="12" t="n">
        <x:v>0.1111111111111111</x:v>
      </x:c>
      <x:c r="H1420" s="12" t="n">
        <x:v>0.2222222222222222</x:v>
      </x:c>
      <x:c r="I1420" s="29" t="n">
        <x:f>'Assumptions'!$D$11+'Assumptions'!$D$12*(0.5-(G1420+H1420)/2)</x:f>
        <x:v>0.3666666666666667</x:v>
      </x:c>
      <x:c r="J1420" s="27" t="n">
        <x:f>'Assumptions'!$D$8*EXP(-'Assumptions'!$D$9*('Fleet Engine'!E207-10))*'Assumptions'!E57*'Assumptions'!J36</x:f>
        <x:v>33227.326062392545</x:v>
      </x:c>
      <x:c r="K1420" s="27" t="n">
        <x:f>'Source Data'!F218+LN('Assumptions'!D57)+LN('Assumptions'!J35)</x:f>
        <x:v>8.179823674316163</x:v>
      </x:c>
      <x:c r="L1420" s="27" t="n">
        <x:f>J1420*(1-I1420*(1-'Carrier Engine'!E97))</x:f>
        <x:v>21531.307288430366</x:v>
      </x:c>
      <x:c r="M1420" s="29" t="n">
        <x:f>NORM.S.DIST((LN(L1420)-K1420)/'Assumptions'!$D$10,TRUE)</x:f>
        <x:v>0.8738365578665881</x:v>
      </x:c>
      <x:c r="N1420" s="30" t="n">
        <x:f>MAX(0,H1420-MAX(G1420,M1420))</x:f>
        <x:v>0</x:v>
      </x:c>
      <x:c r="O1420" s="28" t="n">
        <x:f>J1420*I1420</x:f>
        <x:v>12183.352889543934</x:v>
      </x:c>
      <x:c r="P1420" s="27" t="n">
        <x:f>(VLOOKUP(O1420,'Fee Data'!$C$6:$G$50,2,TRUE)+O1420*VLOOKUP(O1420,'Fee Data'!$C$6:$G$50,3,TRUE)+VLOOKUP(O1420,'Fee Data'!$I$6:$J$14,2,TRUE)+'Fee Data'!$J$20+'Fee Data'!$J$21)*'Assumptions'!J37</x:f>
        <x:v>1250</x:v>
      </x:c>
      <x:c r="Q1420" s="27" t="n">
        <x:f>(VLOOKUP(O1420,'Fee Data'!$C$6:$G$50,4,TRUE)+O1420*VLOOKUP(O1420,'Fee Data'!$C$6:$G$50,5,TRUE)+VLOOKUP(O1420,'Fee Data'!$I$6:$J$14,2,TRUE)+'Fee Data'!$J$20+'Fee Data'!$J$21)*'Assumptions'!J37</x:f>
        <x:v>1125</x:v>
      </x:c>
      <x:c r="R1420" s="27" t="n">
        <x:f>P1420*(1-'Assumptions'!$D$14)+Q1420*'Assumptions'!$D$14</x:f>
        <x:v>1187.5</x:v>
      </x:c>
      <x:c r="S1420" s="27" t="n">
        <x:f>O1420*'Carrier Engine'!E97</x:f>
        <x:v>487.33411558175743</x:v>
      </x:c>
      <x:c r="T1420" s="28" t="n">
        <x:f>R1420+S1420</x:f>
        <x:v>1674.8341155817575</x:v>
      </x:c>
      <x:c r="U1420" s="27" t="n">
        <x:f>N1420*'Fleet Engine'!L207</x:f>
        <x:v>0</x:v>
      </x:c>
      <x:c r="V1420" s="28" t="n">
        <x:f>U1420*T1420</x:f>
        <x:v>0</x:v>
      </x:c>
      <x:c r="W1420" s="28" t="n">
        <x:f>U1420*O1420</x:f>
        <x:v>0</x:v>
      </x:c>
    </x:row>
    <x:row r="1421" ht="19" customHeight="1">
      <x:c r="A1421" s="2"/>
      <x:c r="B1421" s="2"/>
      <x:c r="C1421" s="46" t="n">
        <x:v>6</x:v>
      </x:c>
      <x:c r="D1421" s="46" t="n">
        <x:v>13</x:v>
      </x:c>
      <x:c r="E1421" s="46" t="n">
        <x:v>2</x:v>
      </x:c>
      <x:c r="F1421" s="46" t="n">
        <x:v>1</x:v>
      </x:c>
      <x:c r="G1421" s="12" t="n">
        <x:v>0.2222222222222222</x:v>
      </x:c>
      <x:c r="H1421" s="12" t="n">
        <x:v>0.3333333333333333</x:v>
      </x:c>
      <x:c r="I1421" s="29" t="n">
        <x:f>'Assumptions'!$D$11+'Assumptions'!$D$12*(0.5-(G1421+H1421)/2)</x:f>
        <x:v>0.34444444444444444</x:v>
      </x:c>
      <x:c r="J1421" s="27" t="n">
        <x:f>'Assumptions'!$D$8*EXP(-'Assumptions'!$D$9*('Fleet Engine'!E207-10))*'Assumptions'!E57*'Assumptions'!J36</x:f>
        <x:v>33227.326062392545</x:v>
      </x:c>
      <x:c r="K1421" s="27" t="n">
        <x:f>'Source Data'!F218+LN('Assumptions'!D57)+LN('Assumptions'!J35)</x:f>
        <x:v>8.179823674316163</x:v>
      </x:c>
      <x:c r="L1421" s="27" t="n">
        <x:f>J1421*(1-I1421*(1-'Carrier Engine'!E97))</x:f>
        <x:v>22240.156911094742</x:v>
      </x:c>
      <x:c r="M1421" s="29" t="n">
        <x:f>NORM.S.DIST((LN(L1421)-K1421)/'Assumptions'!$D$10,TRUE)</x:f>
        <x:v>0.8780602474996113</x:v>
      </x:c>
      <x:c r="N1421" s="30" t="n">
        <x:f>MAX(0,H1421-MAX(G1421,M1421))</x:f>
        <x:v>0</x:v>
      </x:c>
      <x:c r="O1421" s="28" t="n">
        <x:f>J1421*I1421</x:f>
        <x:v>11444.96786593521</x:v>
      </x:c>
      <x:c r="P1421" s="27" t="n">
        <x:f>(VLOOKUP(O1421,'Fee Data'!$C$6:$G$50,2,TRUE)+O1421*VLOOKUP(O1421,'Fee Data'!$C$6:$G$50,3,TRUE)+VLOOKUP(O1421,'Fee Data'!$I$6:$J$14,2,TRUE)+'Fee Data'!$J$20+'Fee Data'!$J$21)*'Assumptions'!J37</x:f>
        <x:v>1250</x:v>
      </x:c>
      <x:c r="Q1421" s="27" t="n">
        <x:f>(VLOOKUP(O1421,'Fee Data'!$C$6:$G$50,4,TRUE)+O1421*VLOOKUP(O1421,'Fee Data'!$C$6:$G$50,5,TRUE)+VLOOKUP(O1421,'Fee Data'!$I$6:$J$14,2,TRUE)+'Fee Data'!$J$20+'Fee Data'!$J$21)*'Assumptions'!J37</x:f>
        <x:v>1100</x:v>
      </x:c>
      <x:c r="R1421" s="27" t="n">
        <x:f>P1421*(1-'Assumptions'!$D$14)+Q1421*'Assumptions'!$D$14</x:f>
        <x:v>1175</x:v>
      </x:c>
      <x:c r="S1421" s="27" t="n">
        <x:f>O1421*'Carrier Engine'!E97</x:f>
        <x:v>457.7987146374085</x:v>
      </x:c>
      <x:c r="T1421" s="28" t="n">
        <x:f>R1421+S1421</x:f>
        <x:v>1632.7987146374085</x:v>
      </x:c>
      <x:c r="U1421" s="27" t="n">
        <x:f>N1421*'Fleet Engine'!L207</x:f>
        <x:v>0</x:v>
      </x:c>
      <x:c r="V1421" s="28" t="n">
        <x:f>U1421*T1421</x:f>
        <x:v>0</x:v>
      </x:c>
      <x:c r="W1421" s="28" t="n">
        <x:f>U1421*O1421</x:f>
        <x:v>0</x:v>
      </x:c>
    </x:row>
    <x:row r="1422" ht="19" customHeight="1">
      <x:c r="A1422" s="2"/>
      <x:c r="B1422" s="2"/>
      <x:c r="C1422" s="46" t="n">
        <x:v>6</x:v>
      </x:c>
      <x:c r="D1422" s="46" t="n">
        <x:v>13</x:v>
      </x:c>
      <x:c r="E1422" s="46" t="n">
        <x:v>2</x:v>
      </x:c>
      <x:c r="F1422" s="46" t="n">
        <x:v>1</x:v>
      </x:c>
      <x:c r="G1422" s="12" t="n">
        <x:v>0.3333333333333333</x:v>
      </x:c>
      <x:c r="H1422" s="12" t="n">
        <x:v>0.4444444444444444</x:v>
      </x:c>
      <x:c r="I1422" s="29" t="n">
        <x:f>'Assumptions'!$D$11+'Assumptions'!$D$12*(0.5-(G1422+H1422)/2)</x:f>
        <x:v>0.32222222222222224</x:v>
      </x:c>
      <x:c r="J1422" s="27" t="n">
        <x:f>'Assumptions'!$D$8*EXP(-'Assumptions'!$D$9*('Fleet Engine'!E207-10))*'Assumptions'!E57*'Assumptions'!J36</x:f>
        <x:v>33227.326062392545</x:v>
      </x:c>
      <x:c r="K1422" s="27" t="n">
        <x:f>'Source Data'!F218+LN('Assumptions'!D57)+LN('Assumptions'!J35)</x:f>
        <x:v>8.179823674316163</x:v>
      </x:c>
      <x:c r="L1422" s="27" t="n">
        <x:f>J1422*(1-I1422*(1-'Carrier Engine'!E97))</x:f>
        <x:v>22949.00653375912</x:v>
      </x:c>
      <x:c r="M1422" s="29" t="n">
        <x:f>NORM.S.DIST((LN(L1422)-K1422)/'Assumptions'!$D$10,TRUE)</x:f>
        <x:v>0.8820557511267051</x:v>
      </x:c>
      <x:c r="N1422" s="30" t="n">
        <x:f>MAX(0,H1422-MAX(G1422,M1422))</x:f>
        <x:v>0</x:v>
      </x:c>
      <x:c r="O1422" s="28" t="n">
        <x:f>J1422*I1422</x:f>
        <x:v>10706.582842326488</x:v>
      </x:c>
      <x:c r="P1422" s="27" t="n">
        <x:f>(VLOOKUP(O1422,'Fee Data'!$C$6:$G$50,2,TRUE)+O1422*VLOOKUP(O1422,'Fee Data'!$C$6:$G$50,3,TRUE)+VLOOKUP(O1422,'Fee Data'!$I$6:$J$14,2,TRUE)+'Fee Data'!$J$20+'Fee Data'!$J$21)*'Assumptions'!J37</x:f>
        <x:v>1250</x:v>
      </x:c>
      <x:c r="Q1422" s="27" t="n">
        <x:f>(VLOOKUP(O1422,'Fee Data'!$C$6:$G$50,4,TRUE)+O1422*VLOOKUP(O1422,'Fee Data'!$C$6:$G$50,5,TRUE)+VLOOKUP(O1422,'Fee Data'!$I$6:$J$14,2,TRUE)+'Fee Data'!$J$20+'Fee Data'!$J$21)*'Assumptions'!J37</x:f>
        <x:v>1100</x:v>
      </x:c>
      <x:c r="R1422" s="27" t="n">
        <x:f>P1422*(1-'Assumptions'!$D$14)+Q1422*'Assumptions'!$D$14</x:f>
        <x:v>1175</x:v>
      </x:c>
      <x:c r="S1422" s="27" t="n">
        <x:f>O1422*'Carrier Engine'!E97</x:f>
        <x:v>428.2633136930596</x:v>
      </x:c>
      <x:c r="T1422" s="28" t="n">
        <x:f>R1422+S1422</x:f>
        <x:v>1603.2633136930597</x:v>
      </x:c>
      <x:c r="U1422" s="27" t="n">
        <x:f>N1422*'Fleet Engine'!L207</x:f>
        <x:v>0</x:v>
      </x:c>
      <x:c r="V1422" s="28" t="n">
        <x:f>U1422*T1422</x:f>
        <x:v>0</x:v>
      </x:c>
      <x:c r="W1422" s="28" t="n">
        <x:f>U1422*O1422</x:f>
        <x:v>0</x:v>
      </x:c>
    </x:row>
    <x:row r="1423" ht="19" customHeight="1">
      <x:c r="A1423" s="2"/>
      <x:c r="B1423" s="2"/>
      <x:c r="C1423" s="46" t="n">
        <x:v>6</x:v>
      </x:c>
      <x:c r="D1423" s="46" t="n">
        <x:v>13</x:v>
      </x:c>
      <x:c r="E1423" s="46" t="n">
        <x:v>2</x:v>
      </x:c>
      <x:c r="F1423" s="46" t="n">
        <x:v>1</x:v>
      </x:c>
      <x:c r="G1423" s="12" t="n">
        <x:v>0.4444444444444444</x:v>
      </x:c>
      <x:c r="H1423" s="12" t="n">
        <x:v>0.5555555555555556</x:v>
      </x:c>
      <x:c r="I1423" s="29" t="n">
        <x:f>'Assumptions'!$D$11+'Assumptions'!$D$12*(0.5-(G1423+H1423)/2)</x:f>
        <x:v>0.3</x:v>
      </x:c>
      <x:c r="J1423" s="27" t="n">
        <x:f>'Assumptions'!$D$8*EXP(-'Assumptions'!$D$9*('Fleet Engine'!E207-10))*'Assumptions'!E57*'Assumptions'!J36</x:f>
        <x:v>33227.326062392545</x:v>
      </x:c>
      <x:c r="K1423" s="27" t="n">
        <x:f>'Source Data'!F218+LN('Assumptions'!D57)+LN('Assumptions'!J35)</x:f>
        <x:v>8.179823674316163</x:v>
      </x:c>
      <x:c r="L1423" s="27" t="n">
        <x:f>J1423*(1-I1423*(1-'Carrier Engine'!E97))</x:f>
        <x:v>23657.85615642349</x:v>
      </x:c>
      <x:c r="M1423" s="29" t="n">
        <x:f>NORM.S.DIST((LN(L1423)-K1423)/'Assumptions'!$D$10,TRUE)</x:f>
        <x:v>0.8858404003889359</x:v>
      </x:c>
      <x:c r="N1423" s="30" t="n">
        <x:f>MAX(0,H1423-MAX(G1423,M1423))</x:f>
        <x:v>0</x:v>
      </x:c>
      <x:c r="O1423" s="28" t="n">
        <x:f>J1423*I1423</x:f>
        <x:v>9968.197818717763</x:v>
      </x:c>
      <x:c r="P1423" s="27" t="n">
        <x:f>(VLOOKUP(O1423,'Fee Data'!$C$6:$G$50,2,TRUE)+O1423*VLOOKUP(O1423,'Fee Data'!$C$6:$G$50,3,TRUE)+VLOOKUP(O1423,'Fee Data'!$I$6:$J$14,2,TRUE)+'Fee Data'!$J$20+'Fee Data'!$J$21)*'Assumptions'!J37</x:f>
        <x:v>1195</x:v>
      </x:c>
      <x:c r="Q1423" s="27" t="n">
        <x:f>(VLOOKUP(O1423,'Fee Data'!$C$6:$G$50,4,TRUE)+O1423*VLOOKUP(O1423,'Fee Data'!$C$6:$G$50,5,TRUE)+VLOOKUP(O1423,'Fee Data'!$I$6:$J$14,2,TRUE)+'Fee Data'!$J$20+'Fee Data'!$J$21)*'Assumptions'!J37</x:f>
        <x:v>1070</x:v>
      </x:c>
      <x:c r="R1423" s="27" t="n">
        <x:f>P1423*(1-'Assumptions'!$D$14)+Q1423*'Assumptions'!$D$14</x:f>
        <x:v>1132.5</x:v>
      </x:c>
      <x:c r="S1423" s="27" t="n">
        <x:f>O1423*'Carrier Engine'!E97</x:f>
        <x:v>398.7279127487106</x:v>
      </x:c>
      <x:c r="T1423" s="28" t="n">
        <x:f>R1423+S1423</x:f>
        <x:v>1531.2279127487107</x:v>
      </x:c>
      <x:c r="U1423" s="27" t="n">
        <x:f>N1423*'Fleet Engine'!L207</x:f>
        <x:v>0</x:v>
      </x:c>
      <x:c r="V1423" s="28" t="n">
        <x:f>U1423*T1423</x:f>
        <x:v>0</x:v>
      </x:c>
      <x:c r="W1423" s="28" t="n">
        <x:f>U1423*O1423</x:f>
        <x:v>0</x:v>
      </x:c>
    </x:row>
    <x:row r="1424" ht="19" customHeight="1">
      <x:c r="A1424" s="2"/>
      <x:c r="B1424" s="2"/>
      <x:c r="C1424" s="46" t="n">
        <x:v>6</x:v>
      </x:c>
      <x:c r="D1424" s="46" t="n">
        <x:v>13</x:v>
      </x:c>
      <x:c r="E1424" s="46" t="n">
        <x:v>2</x:v>
      </x:c>
      <x:c r="F1424" s="46" t="n">
        <x:v>1</x:v>
      </x:c>
      <x:c r="G1424" s="12" t="n">
        <x:v>0.5555555555555556</x:v>
      </x:c>
      <x:c r="H1424" s="12" t="n">
        <x:v>0.6666666666666666</x:v>
      </x:c>
      <x:c r="I1424" s="29" t="n">
        <x:f>'Assumptions'!$D$11+'Assumptions'!$D$12*(0.5-(G1424+H1424)/2)</x:f>
        <x:v>0.27777777777777773</x:v>
      </x:c>
      <x:c r="J1424" s="27" t="n">
        <x:f>'Assumptions'!$D$8*EXP(-'Assumptions'!$D$9*('Fleet Engine'!E207-10))*'Assumptions'!E57*'Assumptions'!J36</x:f>
        <x:v>33227.326062392545</x:v>
      </x:c>
      <x:c r="K1424" s="27" t="n">
        <x:f>'Source Data'!F218+LN('Assumptions'!D57)+LN('Assumptions'!J35)</x:f>
        <x:v>8.179823674316163</x:v>
      </x:c>
      <x:c r="L1424" s="27" t="n">
        <x:f>J1424*(1-I1424*(1-'Carrier Engine'!E97))</x:f>
        <x:v>24366.705779087868</x:v>
      </x:c>
      <x:c r="M1424" s="29" t="n">
        <x:f>NORM.S.DIST((LN(L1424)-K1424)/'Assumptions'!$D$10,TRUE)</x:f>
        <x:v>0.8894298256285628</x:v>
      </x:c>
      <x:c r="N1424" s="30" t="n">
        <x:f>MAX(0,H1424-MAX(G1424,M1424))</x:f>
        <x:v>0</x:v>
      </x:c>
      <x:c r="O1424" s="28" t="n">
        <x:f>J1424*I1424</x:f>
        <x:v>9229.81279510904</x:v>
      </x:c>
      <x:c r="P1424" s="27" t="n">
        <x:f>(VLOOKUP(O1424,'Fee Data'!$C$6:$G$50,2,TRUE)+O1424*VLOOKUP(O1424,'Fee Data'!$C$6:$G$50,3,TRUE)+VLOOKUP(O1424,'Fee Data'!$I$6:$J$14,2,TRUE)+'Fee Data'!$J$20+'Fee Data'!$J$21)*'Assumptions'!J37</x:f>
        <x:v>1195</x:v>
      </x:c>
      <x:c r="Q1424" s="27" t="n">
        <x:f>(VLOOKUP(O1424,'Fee Data'!$C$6:$G$50,4,TRUE)+O1424*VLOOKUP(O1424,'Fee Data'!$C$6:$G$50,5,TRUE)+VLOOKUP(O1424,'Fee Data'!$I$6:$J$14,2,TRUE)+'Fee Data'!$J$20+'Fee Data'!$J$21)*'Assumptions'!J37</x:f>
        <x:v>1070</x:v>
      </x:c>
      <x:c r="R1424" s="27" t="n">
        <x:f>P1424*(1-'Assumptions'!$D$14)+Q1424*'Assumptions'!$D$14</x:f>
        <x:v>1132.5</x:v>
      </x:c>
      <x:c r="S1424" s="27" t="n">
        <x:f>O1424*'Carrier Engine'!E97</x:f>
        <x:v>369.19251180436163</x:v>
      </x:c>
      <x:c r="T1424" s="28" t="n">
        <x:f>R1424+S1424</x:f>
        <x:v>1501.6925118043616</x:v>
      </x:c>
      <x:c r="U1424" s="27" t="n">
        <x:f>N1424*'Fleet Engine'!L207</x:f>
        <x:v>0</x:v>
      </x:c>
      <x:c r="V1424" s="28" t="n">
        <x:f>U1424*T1424</x:f>
        <x:v>0</x:v>
      </x:c>
      <x:c r="W1424" s="28" t="n">
        <x:f>U1424*O1424</x:f>
        <x:v>0</x:v>
      </x:c>
    </x:row>
    <x:row r="1425" ht="19" customHeight="1">
      <x:c r="A1425" s="2"/>
      <x:c r="B1425" s="2"/>
      <x:c r="C1425" s="46" t="n">
        <x:v>6</x:v>
      </x:c>
      <x:c r="D1425" s="46" t="n">
        <x:v>13</x:v>
      </x:c>
      <x:c r="E1425" s="46" t="n">
        <x:v>2</x:v>
      </x:c>
      <x:c r="F1425" s="46" t="n">
        <x:v>1</x:v>
      </x:c>
      <x:c r="G1425" s="12" t="n">
        <x:v>0.6666666666666666</x:v>
      </x:c>
      <x:c r="H1425" s="12" t="n">
        <x:v>0.7777777777777778</x:v>
      </x:c>
      <x:c r="I1425" s="29" t="n">
        <x:f>'Assumptions'!$D$11+'Assumptions'!$D$12*(0.5-(G1425+H1425)/2)</x:f>
        <x:v>0.25555555555555554</x:v>
      </x:c>
      <x:c r="J1425" s="27" t="n">
        <x:f>'Assumptions'!$D$8*EXP(-'Assumptions'!$D$9*('Fleet Engine'!E207-10))*'Assumptions'!E57*'Assumptions'!J36</x:f>
        <x:v>33227.326062392545</x:v>
      </x:c>
      <x:c r="K1425" s="27" t="n">
        <x:f>'Source Data'!F218+LN('Assumptions'!D57)+LN('Assumptions'!J35)</x:f>
        <x:v>8.179823674316163</x:v>
      </x:c>
      <x:c r="L1425" s="27" t="n">
        <x:f>J1425*(1-I1425*(1-'Carrier Engine'!E97))</x:f>
        <x:v>25075.55540175224</x:v>
      </x:c>
      <x:c r="M1425" s="29" t="n">
        <x:f>NORM.S.DIST((LN(L1425)-K1425)/'Assumptions'!$D$10,TRUE)</x:f>
        <x:v>0.8928381602043821</x:v>
      </x:c>
      <x:c r="N1425" s="30" t="n">
        <x:f>MAX(0,H1425-MAX(G1425,M1425))</x:f>
        <x:v>0</x:v>
      </x:c>
      <x:c r="O1425" s="28" t="n">
        <x:f>J1425*I1425</x:f>
        <x:v>8491.427771500317</x:v>
      </x:c>
      <x:c r="P1425" s="27" t="n">
        <x:f>(VLOOKUP(O1425,'Fee Data'!$C$6:$G$50,2,TRUE)+O1425*VLOOKUP(O1425,'Fee Data'!$C$6:$G$50,3,TRUE)+VLOOKUP(O1425,'Fee Data'!$I$6:$J$14,2,TRUE)+'Fee Data'!$J$20+'Fee Data'!$J$21)*'Assumptions'!J37</x:f>
        <x:v>1175</x:v>
      </x:c>
      <x:c r="Q1425" s="27" t="n">
        <x:f>(VLOOKUP(O1425,'Fee Data'!$C$6:$G$50,4,TRUE)+O1425*VLOOKUP(O1425,'Fee Data'!$C$6:$G$50,5,TRUE)+VLOOKUP(O1425,'Fee Data'!$I$6:$J$14,2,TRUE)+'Fee Data'!$J$20+'Fee Data'!$J$21)*'Assumptions'!J37</x:f>
        <x:v>1050</x:v>
      </x:c>
      <x:c r="R1425" s="27" t="n">
        <x:f>P1425*(1-'Assumptions'!$D$14)+Q1425*'Assumptions'!$D$14</x:f>
        <x:v>1112.5</x:v>
      </x:c>
      <x:c r="S1425" s="27" t="n">
        <x:f>O1425*'Carrier Engine'!E97</x:f>
        <x:v>339.6571108600128</x:v>
      </x:c>
      <x:c r="T1425" s="28" t="n">
        <x:f>R1425+S1425</x:f>
        <x:v>1452.1571108600128</x:v>
      </x:c>
      <x:c r="U1425" s="27" t="n">
        <x:f>N1425*'Fleet Engine'!L207</x:f>
        <x:v>0</x:v>
      </x:c>
      <x:c r="V1425" s="28" t="n">
        <x:f>U1425*T1425</x:f>
        <x:v>0</x:v>
      </x:c>
      <x:c r="W1425" s="28" t="n">
        <x:f>U1425*O1425</x:f>
        <x:v>0</x:v>
      </x:c>
    </x:row>
    <x:row r="1426" ht="19" customHeight="1">
      <x:c r="A1426" s="2"/>
      <x:c r="B1426" s="2"/>
      <x:c r="C1426" s="46" t="n">
        <x:v>6</x:v>
      </x:c>
      <x:c r="D1426" s="46" t="n">
        <x:v>13</x:v>
      </x:c>
      <x:c r="E1426" s="46" t="n">
        <x:v>2</x:v>
      </x:c>
      <x:c r="F1426" s="46" t="n">
        <x:v>1</x:v>
      </x:c>
      <x:c r="G1426" s="12" t="n">
        <x:v>0.7777777777777778</x:v>
      </x:c>
      <x:c r="H1426" s="12" t="n">
        <x:v>0.8888888888888888</x:v>
      </x:c>
      <x:c r="I1426" s="29" t="n">
        <x:f>'Assumptions'!$D$11+'Assumptions'!$D$12*(0.5-(G1426+H1426)/2)</x:f>
        <x:v>0.23333333333333334</x:v>
      </x:c>
      <x:c r="J1426" s="27" t="n">
        <x:f>'Assumptions'!$D$8*EXP(-'Assumptions'!$D$9*('Fleet Engine'!E207-10))*'Assumptions'!E57*'Assumptions'!J36</x:f>
        <x:v>33227.326062392545</x:v>
      </x:c>
      <x:c r="K1426" s="27" t="n">
        <x:f>'Source Data'!F218+LN('Assumptions'!D57)+LN('Assumptions'!J35)</x:f>
        <x:v>8.179823674316163</x:v>
      </x:c>
      <x:c r="L1426" s="27" t="n">
        <x:f>J1426*(1-I1426*(1-'Carrier Engine'!E97))</x:f>
        <x:v>25784.405024416617</x:v>
      </x:c>
      <x:c r="M1426" s="29" t="n">
        <x:f>NORM.S.DIST((LN(L1426)-K1426)/'Assumptions'!$D$10,TRUE)</x:f>
        <x:v>0.8960782159015883</x:v>
      </x:c>
      <x:c r="N1426" s="30" t="n">
        <x:f>MAX(0,H1426-MAX(G1426,M1426))</x:f>
        <x:v>0</x:v>
      </x:c>
      <x:c r="O1426" s="28" t="n">
        <x:f>J1426*I1426</x:f>
        <x:v>7753.042747891594</x:v>
      </x:c>
      <x:c r="P1426" s="27" t="n">
        <x:f>(VLOOKUP(O1426,'Fee Data'!$C$6:$G$50,2,TRUE)+O1426*VLOOKUP(O1426,'Fee Data'!$C$6:$G$50,3,TRUE)+VLOOKUP(O1426,'Fee Data'!$I$6:$J$14,2,TRUE)+'Fee Data'!$J$20+'Fee Data'!$J$21)*'Assumptions'!J37</x:f>
        <x:v>1135</x:v>
      </x:c>
      <x:c r="Q1426" s="27" t="n">
        <x:f>(VLOOKUP(O1426,'Fee Data'!$C$6:$G$50,4,TRUE)+O1426*VLOOKUP(O1426,'Fee Data'!$C$6:$G$50,5,TRUE)+VLOOKUP(O1426,'Fee Data'!$I$6:$J$14,2,TRUE)+'Fee Data'!$J$20+'Fee Data'!$J$21)*'Assumptions'!J37</x:f>
        <x:v>1010</x:v>
      </x:c>
      <x:c r="R1426" s="27" t="n">
        <x:f>P1426*(1-'Assumptions'!$D$14)+Q1426*'Assumptions'!$D$14</x:f>
        <x:v>1072.5</x:v>
      </x:c>
      <x:c r="S1426" s="27" t="n">
        <x:f>O1426*'Carrier Engine'!E97</x:f>
        <x:v>310.1217099156638</x:v>
      </x:c>
      <x:c r="T1426" s="28" t="n">
        <x:f>R1426+S1426</x:f>
        <x:v>1382.6217099156638</x:v>
      </x:c>
      <x:c r="U1426" s="27" t="n">
        <x:f>N1426*'Fleet Engine'!L207</x:f>
        <x:v>0</x:v>
      </x:c>
      <x:c r="V1426" s="28" t="n">
        <x:f>U1426*T1426</x:f>
        <x:v>0</x:v>
      </x:c>
      <x:c r="W1426" s="28" t="n">
        <x:f>U1426*O1426</x:f>
        <x:v>0</x:v>
      </x:c>
    </x:row>
    <x:row r="1427" ht="19" customHeight="1">
      <x:c r="A1427" s="2"/>
      <x:c r="B1427" s="2"/>
      <x:c r="C1427" s="46" t="n">
        <x:v>6</x:v>
      </x:c>
      <x:c r="D1427" s="46" t="n">
        <x:v>13</x:v>
      </x:c>
      <x:c r="E1427" s="46" t="n">
        <x:v>2</x:v>
      </x:c>
      <x:c r="F1427" s="46" t="n">
        <x:v>1</x:v>
      </x:c>
      <x:c r="G1427" s="12" t="n">
        <x:v>0.8888888888888888</x:v>
      </x:c>
      <x:c r="H1427" s="12" t="n">
        <x:v>1</x:v>
      </x:c>
      <x:c r="I1427" s="29" t="n">
        <x:f>'Assumptions'!$D$11+'Assumptions'!$D$12*(0.5-(G1427+H1427)/2)</x:f>
        <x:v>0.21111111111111108</x:v>
      </x:c>
      <x:c r="J1427" s="27" t="n">
        <x:f>'Assumptions'!$D$8*EXP(-'Assumptions'!$D$9*('Fleet Engine'!E207-10))*'Assumptions'!E57*'Assumptions'!J36</x:f>
        <x:v>33227.326062392545</x:v>
      </x:c>
      <x:c r="K1427" s="27" t="n">
        <x:f>'Source Data'!F218+LN('Assumptions'!D57)+LN('Assumptions'!J35)</x:f>
        <x:v>8.179823674316163</x:v>
      </x:c>
      <x:c r="L1427" s="27" t="n">
        <x:f>J1427*(1-I1427*(1-'Carrier Engine'!E97))</x:f>
        <x:v>26493.25464708099</x:v>
      </x:c>
      <x:c r="M1427" s="29" t="n">
        <x:f>NORM.S.DIST((LN(L1427)-K1427)/'Assumptions'!$D$10,TRUE)</x:f>
        <x:v>0.8991616341237623</x:v>
      </x:c>
      <x:c r="N1427" s="30" t="n">
        <x:f>MAX(0,H1427-MAX(G1427,M1427))</x:f>
        <x:v>0.10083836587623773</x:v>
      </x:c>
      <x:c r="O1427" s="28" t="n">
        <x:f>J1427*I1427</x:f>
        <x:v>7014.65772428287</x:v>
      </x:c>
      <x:c r="P1427" s="27" t="n">
        <x:f>(VLOOKUP(O1427,'Fee Data'!$C$6:$G$50,2,TRUE)+O1427*VLOOKUP(O1427,'Fee Data'!$C$6:$G$50,3,TRUE)+VLOOKUP(O1427,'Fee Data'!$I$6:$J$14,2,TRUE)+'Fee Data'!$J$20+'Fee Data'!$J$21)*'Assumptions'!J37</x:f>
        <x:v>1115</x:v>
      </x:c>
      <x:c r="Q1427" s="27" t="n">
        <x:f>(VLOOKUP(O1427,'Fee Data'!$C$6:$G$50,4,TRUE)+O1427*VLOOKUP(O1427,'Fee Data'!$C$6:$G$50,5,TRUE)+VLOOKUP(O1427,'Fee Data'!$I$6:$J$14,2,TRUE)+'Fee Data'!$J$20+'Fee Data'!$J$21)*'Assumptions'!J37</x:f>
        <x:v>990</x:v>
      </x:c>
      <x:c r="R1427" s="27" t="n">
        <x:f>P1427*(1-'Assumptions'!$D$14)+Q1427*'Assumptions'!$D$14</x:f>
        <x:v>1052.5</x:v>
      </x:c>
      <x:c r="S1427" s="27" t="n">
        <x:f>O1427*'Carrier Engine'!E97</x:f>
        <x:v>280.58630897131485</x:v>
      </x:c>
      <x:c r="T1427" s="28" t="n">
        <x:f>R1427+S1427</x:f>
        <x:v>1333.0863089713148</x:v>
      </x:c>
      <x:c r="U1427" s="27" t="n">
        <x:f>N1427*'Fleet Engine'!L207</x:f>
        <x:v>722.7086332075768</x:v>
      </x:c>
      <x:c r="V1427" s="28" t="n">
        <x:f>U1427*T1427</x:f>
        <x:v>963432.9843043924</x:v>
      </x:c>
      <x:c r="W1427" s="28" t="n">
        <x:f>U1427*O1427</x:f>
        <x:v>5069553.696335444</x:v>
      </x:c>
    </x:row>
    <x:row r="1428" ht="19" customHeight="1">
      <x:c r="A1428" s="2"/>
      <x:c r="B1428" s="2"/>
      <x:c r="C1428" s="46" t="n">
        <x:v>6</x:v>
      </x:c>
      <x:c r="D1428" s="46" t="n">
        <x:v>14</x:v>
      </x:c>
      <x:c r="E1428" s="46" t="n">
        <x:v>2</x:v>
      </x:c>
      <x:c r="F1428" s="46" t="n">
        <x:v>2</x:v>
      </x:c>
      <x:c r="G1428" s="12" t="n">
        <x:v>0</x:v>
      </x:c>
      <x:c r="H1428" s="12" t="n">
        <x:v>0.1111111111111111</x:v>
      </x:c>
      <x:c r="I1428" s="29" t="n">
        <x:f>'Assumptions'!$D$11+'Assumptions'!$D$12*(0.5-(G1428+H1428)/2)</x:f>
        <x:v>0.3888888888888889</x:v>
      </x:c>
      <x:c r="J1428" s="27" t="n">
        <x:f>'Assumptions'!$D$8*EXP(-'Assumptions'!$D$9*('Fleet Engine'!E208-10))*'Assumptions'!E57*'Assumptions'!J36</x:f>
        <x:v>24615.408571552918</x:v>
      </x:c>
      <x:c r="K1428" s="27" t="n">
        <x:f>'Source Data'!F219+LN('Assumptions'!D57)+LN('Assumptions'!J35)</x:f>
        <x:v>8.22550551560197</x:v>
      </x:c>
      <x:c r="L1428" s="27" t="n">
        <x:f>J1428*(1-I1428*(1-'Carrier Engine'!E97))</x:f>
        <x:v>15425.656038173163</x:v>
      </x:c>
      <x:c r="M1428" s="29" t="n">
        <x:f>NORM.S.DIST((LN(L1428)-K1428)/'Assumptions'!$D$10,TRUE)</x:f>
        <x:v>0.8168022614945112</x:v>
      </x:c>
      <x:c r="N1428" s="30" t="n">
        <x:f>MAX(0,H1428-MAX(G1428,M1428))</x:f>
        <x:v>0</x:v>
      </x:c>
      <x:c r="O1428" s="28" t="n">
        <x:f>J1428*I1428</x:f>
        <x:v>9572.658888937247</x:v>
      </x:c>
      <x:c r="P1428" s="27" t="n">
        <x:f>(VLOOKUP(O1428,'Fee Data'!$C$6:$G$50,2,TRUE)+O1428*VLOOKUP(O1428,'Fee Data'!$C$6:$G$50,3,TRUE)+VLOOKUP(O1428,'Fee Data'!$I$6:$J$14,2,TRUE)+'Fee Data'!$J$20+'Fee Data'!$J$21)*'Assumptions'!J37</x:f>
        <x:v>1195</x:v>
      </x:c>
      <x:c r="Q1428" s="27" t="n">
        <x:f>(VLOOKUP(O1428,'Fee Data'!$C$6:$G$50,4,TRUE)+O1428*VLOOKUP(O1428,'Fee Data'!$C$6:$G$50,5,TRUE)+VLOOKUP(O1428,'Fee Data'!$I$6:$J$14,2,TRUE)+'Fee Data'!$J$20+'Fee Data'!$J$21)*'Assumptions'!J37</x:f>
        <x:v>1070</x:v>
      </x:c>
      <x:c r="R1428" s="27" t="n">
        <x:f>P1428*(1-'Assumptions'!$D$14)+Q1428*'Assumptions'!$D$14</x:f>
        <x:v>1132.5</x:v>
      </x:c>
      <x:c r="S1428" s="27" t="n">
        <x:f>O1428*'Carrier Engine'!E97</x:f>
        <x:v>382.90635555749</x:v>
      </x:c>
      <x:c r="T1428" s="28" t="n">
        <x:f>R1428+S1428</x:f>
        <x:v>1515.4063555574899</x:v>
      </x:c>
      <x:c r="U1428" s="27" t="n">
        <x:f>N1428*'Fleet Engine'!L208</x:f>
        <x:v>0</x:v>
      </x:c>
      <x:c r="V1428" s="28" t="n">
        <x:f>U1428*T1428</x:f>
        <x:v>0</x:v>
      </x:c>
      <x:c r="W1428" s="28" t="n">
        <x:f>U1428*O1428</x:f>
        <x:v>0</x:v>
      </x:c>
    </x:row>
    <x:row r="1429" ht="19" customHeight="1">
      <x:c r="A1429" s="2"/>
      <x:c r="B1429" s="2"/>
      <x:c r="C1429" s="46" t="n">
        <x:v>6</x:v>
      </x:c>
      <x:c r="D1429" s="46" t="n">
        <x:v>14</x:v>
      </x:c>
      <x:c r="E1429" s="46" t="n">
        <x:v>2</x:v>
      </x:c>
      <x:c r="F1429" s="46" t="n">
        <x:v>2</x:v>
      </x:c>
      <x:c r="G1429" s="12" t="n">
        <x:v>0.1111111111111111</x:v>
      </x:c>
      <x:c r="H1429" s="12" t="n">
        <x:v>0.2222222222222222</x:v>
      </x:c>
      <x:c r="I1429" s="29" t="n">
        <x:f>'Assumptions'!$D$11+'Assumptions'!$D$12*(0.5-(G1429+H1429)/2)</x:f>
        <x:v>0.3666666666666667</x:v>
      </x:c>
      <x:c r="J1429" s="27" t="n">
        <x:f>'Assumptions'!$D$8*EXP(-'Assumptions'!$D$9*('Fleet Engine'!E208-10))*'Assumptions'!E57*'Assumptions'!J36</x:f>
        <x:v>24615.408571552918</x:v>
      </x:c>
      <x:c r="K1429" s="27" t="n">
        <x:f>'Source Data'!F219+LN('Assumptions'!D57)+LN('Assumptions'!J35)</x:f>
        <x:v>8.22550551560197</x:v>
      </x:c>
      <x:c r="L1429" s="27" t="n">
        <x:f>J1429*(1-I1429*(1-'Carrier Engine'!E97))</x:f>
        <x:v>15950.784754366288</x:v>
      </x:c>
      <x:c r="M1429" s="29" t="n">
        <x:f>NORM.S.DIST((LN(L1429)-K1429)/'Assumptions'!$D$10,TRUE)</x:f>
        <x:v>0.8224039417033224</x:v>
      </x:c>
      <x:c r="N1429" s="30" t="n">
        <x:f>MAX(0,H1429-MAX(G1429,M1429))</x:f>
        <x:v>0</x:v>
      </x:c>
      <x:c r="O1429" s="28" t="n">
        <x:f>J1429*I1429</x:f>
        <x:v>9025.649809569404</x:v>
      </x:c>
      <x:c r="P1429" s="27" t="n">
        <x:f>(VLOOKUP(O1429,'Fee Data'!$C$6:$G$50,2,TRUE)+O1429*VLOOKUP(O1429,'Fee Data'!$C$6:$G$50,3,TRUE)+VLOOKUP(O1429,'Fee Data'!$I$6:$J$14,2,TRUE)+'Fee Data'!$J$20+'Fee Data'!$J$21)*'Assumptions'!J37</x:f>
        <x:v>1195</x:v>
      </x:c>
      <x:c r="Q1429" s="27" t="n">
        <x:f>(VLOOKUP(O1429,'Fee Data'!$C$6:$G$50,4,TRUE)+O1429*VLOOKUP(O1429,'Fee Data'!$C$6:$G$50,5,TRUE)+VLOOKUP(O1429,'Fee Data'!$I$6:$J$14,2,TRUE)+'Fee Data'!$J$20+'Fee Data'!$J$21)*'Assumptions'!J37</x:f>
        <x:v>1070</x:v>
      </x:c>
      <x:c r="R1429" s="27" t="n">
        <x:f>P1429*(1-'Assumptions'!$D$14)+Q1429*'Assumptions'!$D$14</x:f>
        <x:v>1132.5</x:v>
      </x:c>
      <x:c r="S1429" s="27" t="n">
        <x:f>O1429*'Carrier Engine'!E97</x:f>
        <x:v>361.0259923827762</x:v>
      </x:c>
      <x:c r="T1429" s="28" t="n">
        <x:f>R1429+S1429</x:f>
        <x:v>1493.5259923827762</x:v>
      </x:c>
      <x:c r="U1429" s="27" t="n">
        <x:f>N1429*'Fleet Engine'!L208</x:f>
        <x:v>0</x:v>
      </x:c>
      <x:c r="V1429" s="28" t="n">
        <x:f>U1429*T1429</x:f>
        <x:v>0</x:v>
      </x:c>
      <x:c r="W1429" s="28" t="n">
        <x:f>U1429*O1429</x:f>
        <x:v>0</x:v>
      </x:c>
    </x:row>
    <x:row r="1430" ht="19" customHeight="1">
      <x:c r="A1430" s="2"/>
      <x:c r="B1430" s="2"/>
      <x:c r="C1430" s="46" t="n">
        <x:v>6</x:v>
      </x:c>
      <x:c r="D1430" s="46" t="n">
        <x:v>14</x:v>
      </x:c>
      <x:c r="E1430" s="46" t="n">
        <x:v>2</x:v>
      </x:c>
      <x:c r="F1430" s="46" t="n">
        <x:v>2</x:v>
      </x:c>
      <x:c r="G1430" s="12" t="n">
        <x:v>0.2222222222222222</x:v>
      </x:c>
      <x:c r="H1430" s="12" t="n">
        <x:v>0.3333333333333333</x:v>
      </x:c>
      <x:c r="I1430" s="29" t="n">
        <x:f>'Assumptions'!$D$11+'Assumptions'!$D$12*(0.5-(G1430+H1430)/2)</x:f>
        <x:v>0.34444444444444444</x:v>
      </x:c>
      <x:c r="J1430" s="27" t="n">
        <x:f>'Assumptions'!$D$8*EXP(-'Assumptions'!$D$9*('Fleet Engine'!E208-10))*'Assumptions'!E57*'Assumptions'!J36</x:f>
        <x:v>24615.408571552918</x:v>
      </x:c>
      <x:c r="K1430" s="27" t="n">
        <x:f>'Source Data'!F219+LN('Assumptions'!D57)+LN('Assumptions'!J35)</x:f>
        <x:v>8.22550551560197</x:v>
      </x:c>
      <x:c r="L1430" s="27" t="n">
        <x:f>J1430*(1-I1430*(1-'Carrier Engine'!E97))</x:f>
        <x:v>16475.91347055942</x:v>
      </x:c>
      <x:c r="M1430" s="29" t="n">
        <x:f>NORM.S.DIST((LN(L1430)-K1430)/'Assumptions'!$D$10,TRUE)</x:f>
        <x:v>0.8277200866436032</x:v>
      </x:c>
      <x:c r="N1430" s="30" t="n">
        <x:f>MAX(0,H1430-MAX(G1430,M1430))</x:f>
        <x:v>0</x:v>
      </x:c>
      <x:c r="O1430" s="28" t="n">
        <x:f>J1430*I1430</x:f>
        <x:v>8478.640730201561</x:v>
      </x:c>
      <x:c r="P1430" s="27" t="n">
        <x:f>(VLOOKUP(O1430,'Fee Data'!$C$6:$G$50,2,TRUE)+O1430*VLOOKUP(O1430,'Fee Data'!$C$6:$G$50,3,TRUE)+VLOOKUP(O1430,'Fee Data'!$I$6:$J$14,2,TRUE)+'Fee Data'!$J$20+'Fee Data'!$J$21)*'Assumptions'!J37</x:f>
        <x:v>1175</x:v>
      </x:c>
      <x:c r="Q1430" s="27" t="n">
        <x:f>(VLOOKUP(O1430,'Fee Data'!$C$6:$G$50,4,TRUE)+O1430*VLOOKUP(O1430,'Fee Data'!$C$6:$G$50,5,TRUE)+VLOOKUP(O1430,'Fee Data'!$I$6:$J$14,2,TRUE)+'Fee Data'!$J$20+'Fee Data'!$J$21)*'Assumptions'!J37</x:f>
        <x:v>1050</x:v>
      </x:c>
      <x:c r="R1430" s="27" t="n">
        <x:f>P1430*(1-'Assumptions'!$D$14)+Q1430*'Assumptions'!$D$14</x:f>
        <x:v>1112.5</x:v>
      </x:c>
      <x:c r="S1430" s="27" t="n">
        <x:f>O1430*'Carrier Engine'!E97</x:f>
        <x:v>339.14562920806253</x:v>
      </x:c>
      <x:c r="T1430" s="28" t="n">
        <x:f>R1430+S1430</x:f>
        <x:v>1451.6456292080625</x:v>
      </x:c>
      <x:c r="U1430" s="27" t="n">
        <x:f>N1430*'Fleet Engine'!L208</x:f>
        <x:v>0</x:v>
      </x:c>
      <x:c r="V1430" s="28" t="n">
        <x:f>U1430*T1430</x:f>
        <x:v>0</x:v>
      </x:c>
      <x:c r="W1430" s="28" t="n">
        <x:f>U1430*O1430</x:f>
        <x:v>0</x:v>
      </x:c>
    </x:row>
    <x:row r="1431" ht="19" customHeight="1">
      <x:c r="A1431" s="2"/>
      <x:c r="B1431" s="2"/>
      <x:c r="C1431" s="46" t="n">
        <x:v>6</x:v>
      </x:c>
      <x:c r="D1431" s="46" t="n">
        <x:v>14</x:v>
      </x:c>
      <x:c r="E1431" s="46" t="n">
        <x:v>2</x:v>
      </x:c>
      <x:c r="F1431" s="46" t="n">
        <x:v>2</x:v>
      </x:c>
      <x:c r="G1431" s="12" t="n">
        <x:v>0.3333333333333333</x:v>
      </x:c>
      <x:c r="H1431" s="12" t="n">
        <x:v>0.4444444444444444</x:v>
      </x:c>
      <x:c r="I1431" s="29" t="n">
        <x:f>'Assumptions'!$D$11+'Assumptions'!$D$12*(0.5-(G1431+H1431)/2)</x:f>
        <x:v>0.32222222222222224</x:v>
      </x:c>
      <x:c r="J1431" s="27" t="n">
        <x:f>'Assumptions'!$D$8*EXP(-'Assumptions'!$D$9*('Fleet Engine'!E208-10))*'Assumptions'!E57*'Assumptions'!J36</x:f>
        <x:v>24615.408571552918</x:v>
      </x:c>
      <x:c r="K1431" s="27" t="n">
        <x:f>'Source Data'!F219+LN('Assumptions'!D57)+LN('Assumptions'!J35)</x:f>
        <x:v>8.22550551560197</x:v>
      </x:c>
      <x:c r="L1431" s="27" t="n">
        <x:f>J1431*(1-I1431*(1-'Carrier Engine'!E97))</x:f>
        <x:v>17001.042186752547</x:v>
      </x:c>
      <x:c r="M1431" s="29" t="n">
        <x:f>NORM.S.DIST((LN(L1431)-K1431)/'Assumptions'!$D$10,TRUE)</x:f>
        <x:v>0.8327715578412461</x:v>
      </x:c>
      <x:c r="N1431" s="30" t="n">
        <x:f>MAX(0,H1431-MAX(G1431,M1431))</x:f>
        <x:v>0</x:v>
      </x:c>
      <x:c r="O1431" s="28" t="n">
        <x:f>J1431*I1431</x:f>
        <x:v>7931.631650833719</x:v>
      </x:c>
      <x:c r="P1431" s="27" t="n">
        <x:f>(VLOOKUP(O1431,'Fee Data'!$C$6:$G$50,2,TRUE)+O1431*VLOOKUP(O1431,'Fee Data'!$C$6:$G$50,3,TRUE)+VLOOKUP(O1431,'Fee Data'!$I$6:$J$14,2,TRUE)+'Fee Data'!$J$20+'Fee Data'!$J$21)*'Assumptions'!J37</x:f>
        <x:v>1135</x:v>
      </x:c>
      <x:c r="Q1431" s="27" t="n">
        <x:f>(VLOOKUP(O1431,'Fee Data'!$C$6:$G$50,4,TRUE)+O1431*VLOOKUP(O1431,'Fee Data'!$C$6:$G$50,5,TRUE)+VLOOKUP(O1431,'Fee Data'!$I$6:$J$14,2,TRUE)+'Fee Data'!$J$20+'Fee Data'!$J$21)*'Assumptions'!J37</x:f>
        <x:v>1010</x:v>
      </x:c>
      <x:c r="R1431" s="27" t="n">
        <x:f>P1431*(1-'Assumptions'!$D$14)+Q1431*'Assumptions'!$D$14</x:f>
        <x:v>1072.5</x:v>
      </x:c>
      <x:c r="S1431" s="27" t="n">
        <x:f>O1431*'Carrier Engine'!E97</x:f>
        <x:v>317.2652660333488</x:v>
      </x:c>
      <x:c r="T1431" s="28" t="n">
        <x:f>R1431+S1431</x:f>
        <x:v>1389.7652660333488</x:v>
      </x:c>
      <x:c r="U1431" s="27" t="n">
        <x:f>N1431*'Fleet Engine'!L208</x:f>
        <x:v>0</x:v>
      </x:c>
      <x:c r="V1431" s="28" t="n">
        <x:f>U1431*T1431</x:f>
        <x:v>0</x:v>
      </x:c>
      <x:c r="W1431" s="28" t="n">
        <x:f>U1431*O1431</x:f>
        <x:v>0</x:v>
      </x:c>
    </x:row>
    <x:row r="1432" ht="19" customHeight="1">
      <x:c r="A1432" s="2"/>
      <x:c r="B1432" s="2"/>
      <x:c r="C1432" s="46" t="n">
        <x:v>6</x:v>
      </x:c>
      <x:c r="D1432" s="46" t="n">
        <x:v>14</x:v>
      </x:c>
      <x:c r="E1432" s="46" t="n">
        <x:v>2</x:v>
      </x:c>
      <x:c r="F1432" s="46" t="n">
        <x:v>2</x:v>
      </x:c>
      <x:c r="G1432" s="12" t="n">
        <x:v>0.4444444444444444</x:v>
      </x:c>
      <x:c r="H1432" s="12" t="n">
        <x:v>0.5555555555555556</x:v>
      </x:c>
      <x:c r="I1432" s="29" t="n">
        <x:f>'Assumptions'!$D$11+'Assumptions'!$D$12*(0.5-(G1432+H1432)/2)</x:f>
        <x:v>0.3</x:v>
      </x:c>
      <x:c r="J1432" s="27" t="n">
        <x:f>'Assumptions'!$D$8*EXP(-'Assumptions'!$D$9*('Fleet Engine'!E208-10))*'Assumptions'!E57*'Assumptions'!J36</x:f>
        <x:v>24615.408571552918</x:v>
      </x:c>
      <x:c r="K1432" s="27" t="n">
        <x:f>'Source Data'!F219+LN('Assumptions'!D57)+LN('Assumptions'!J35)</x:f>
        <x:v>8.22550551560197</x:v>
      </x:c>
      <x:c r="L1432" s="27" t="n">
        <x:f>J1432*(1-I1432*(1-'Carrier Engine'!E97))</x:f>
        <x:v>17526.170902945676</x:v>
      </x:c>
      <x:c r="M1432" s="29" t="n">
        <x:f>NORM.S.DIST((LN(L1432)-K1432)/'Assumptions'!$D$10,TRUE)</x:f>
        <x:v>0.8375772230492653</x:v>
      </x:c>
      <x:c r="N1432" s="30" t="n">
        <x:f>MAX(0,H1432-MAX(G1432,M1432))</x:f>
        <x:v>0</x:v>
      </x:c>
      <x:c r="O1432" s="28" t="n">
        <x:f>J1432*I1432</x:f>
        <x:v>7384.622571465875</x:v>
      </x:c>
      <x:c r="P1432" s="27" t="n">
        <x:f>(VLOOKUP(O1432,'Fee Data'!$C$6:$G$50,2,TRUE)+O1432*VLOOKUP(O1432,'Fee Data'!$C$6:$G$50,3,TRUE)+VLOOKUP(O1432,'Fee Data'!$I$6:$J$14,2,TRUE)+'Fee Data'!$J$20+'Fee Data'!$J$21)*'Assumptions'!J37</x:f>
        <x:v>1115</x:v>
      </x:c>
      <x:c r="Q1432" s="27" t="n">
        <x:f>(VLOOKUP(O1432,'Fee Data'!$C$6:$G$50,4,TRUE)+O1432*VLOOKUP(O1432,'Fee Data'!$C$6:$G$50,5,TRUE)+VLOOKUP(O1432,'Fee Data'!$I$6:$J$14,2,TRUE)+'Fee Data'!$J$20+'Fee Data'!$J$21)*'Assumptions'!J37</x:f>
        <x:v>990</x:v>
      </x:c>
      <x:c r="R1432" s="27" t="n">
        <x:f>P1432*(1-'Assumptions'!$D$14)+Q1432*'Assumptions'!$D$14</x:f>
        <x:v>1052.5</x:v>
      </x:c>
      <x:c r="S1432" s="27" t="n">
        <x:f>O1432*'Carrier Engine'!E97</x:f>
        <x:v>295.38490285863503</x:v>
      </x:c>
      <x:c r="T1432" s="28" t="n">
        <x:f>R1432+S1432</x:f>
        <x:v>1347.884902858635</x:v>
      </x:c>
      <x:c r="U1432" s="27" t="n">
        <x:f>N1432*'Fleet Engine'!L208</x:f>
        <x:v>0</x:v>
      </x:c>
      <x:c r="V1432" s="28" t="n">
        <x:f>U1432*T1432</x:f>
        <x:v>0</x:v>
      </x:c>
      <x:c r="W1432" s="28" t="n">
        <x:f>U1432*O1432</x:f>
        <x:v>0</x:v>
      </x:c>
    </x:row>
    <x:row r="1433" ht="19" customHeight="1">
      <x:c r="A1433" s="2"/>
      <x:c r="B1433" s="2"/>
      <x:c r="C1433" s="46" t="n">
        <x:v>6</x:v>
      </x:c>
      <x:c r="D1433" s="46" t="n">
        <x:v>14</x:v>
      </x:c>
      <x:c r="E1433" s="46" t="n">
        <x:v>2</x:v>
      </x:c>
      <x:c r="F1433" s="46" t="n">
        <x:v>2</x:v>
      </x:c>
      <x:c r="G1433" s="12" t="n">
        <x:v>0.5555555555555556</x:v>
      </x:c>
      <x:c r="H1433" s="12" t="n">
        <x:v>0.6666666666666666</x:v>
      </x:c>
      <x:c r="I1433" s="29" t="n">
        <x:f>'Assumptions'!$D$11+'Assumptions'!$D$12*(0.5-(G1433+H1433)/2)</x:f>
        <x:v>0.27777777777777773</x:v>
      </x:c>
      <x:c r="J1433" s="27" t="n">
        <x:f>'Assumptions'!$D$8*EXP(-'Assumptions'!$D$9*('Fleet Engine'!E208-10))*'Assumptions'!E57*'Assumptions'!J36</x:f>
        <x:v>24615.408571552918</x:v>
      </x:c>
      <x:c r="K1433" s="27" t="n">
        <x:f>'Source Data'!F219+LN('Assumptions'!D57)+LN('Assumptions'!J35)</x:f>
        <x:v>8.22550551560197</x:v>
      </x:c>
      <x:c r="L1433" s="27" t="n">
        <x:f>J1433*(1-I1433*(1-'Carrier Engine'!E97))</x:f>
        <x:v>18051.29961913881</x:v>
      </x:c>
      <x:c r="M1433" s="29" t="n">
        <x:f>NORM.S.DIST((LN(L1433)-K1433)/'Assumptions'!$D$10,TRUE)</x:f>
        <x:v>0.8421541912379197</x:v>
      </x:c>
      <x:c r="N1433" s="30" t="n">
        <x:f>MAX(0,H1433-MAX(G1433,M1433))</x:f>
        <x:v>0</x:v>
      </x:c>
      <x:c r="O1433" s="28" t="n">
        <x:f>J1433*I1433</x:f>
        <x:v>6837.613492098032</x:v>
      </x:c>
      <x:c r="P1433" s="27" t="n">
        <x:f>(VLOOKUP(O1433,'Fee Data'!$C$6:$G$50,2,TRUE)+O1433*VLOOKUP(O1433,'Fee Data'!$C$6:$G$50,3,TRUE)+VLOOKUP(O1433,'Fee Data'!$I$6:$J$14,2,TRUE)+'Fee Data'!$J$20+'Fee Data'!$J$21)*'Assumptions'!J37</x:f>
        <x:v>1080</x:v>
      </x:c>
      <x:c r="Q1433" s="27" t="n">
        <x:f>(VLOOKUP(O1433,'Fee Data'!$C$6:$G$50,4,TRUE)+O1433*VLOOKUP(O1433,'Fee Data'!$C$6:$G$50,5,TRUE)+VLOOKUP(O1433,'Fee Data'!$I$6:$J$14,2,TRUE)+'Fee Data'!$J$20+'Fee Data'!$J$21)*'Assumptions'!J37</x:f>
        <x:v>955</x:v>
      </x:c>
      <x:c r="R1433" s="27" t="n">
        <x:f>P1433*(1-'Assumptions'!$D$14)+Q1433*'Assumptions'!$D$14</x:f>
        <x:v>1017.5</x:v>
      </x:c>
      <x:c r="S1433" s="27" t="n">
        <x:f>O1433*'Carrier Engine'!E97</x:f>
        <x:v>273.50453968392134</x:v>
      </x:c>
      <x:c r="T1433" s="28" t="n">
        <x:f>R1433+S1433</x:f>
        <x:v>1291.0045396839214</x:v>
      </x:c>
      <x:c r="U1433" s="27" t="n">
        <x:f>N1433*'Fleet Engine'!L208</x:f>
        <x:v>0</x:v>
      </x:c>
      <x:c r="V1433" s="28" t="n">
        <x:f>U1433*T1433</x:f>
        <x:v>0</x:v>
      </x:c>
      <x:c r="W1433" s="28" t="n">
        <x:f>U1433*O1433</x:f>
        <x:v>0</x:v>
      </x:c>
    </x:row>
    <x:row r="1434" ht="19" customHeight="1">
      <x:c r="A1434" s="2"/>
      <x:c r="B1434" s="2"/>
      <x:c r="C1434" s="46" t="n">
        <x:v>6</x:v>
      </x:c>
      <x:c r="D1434" s="46" t="n">
        <x:v>14</x:v>
      </x:c>
      <x:c r="E1434" s="46" t="n">
        <x:v>2</x:v>
      </x:c>
      <x:c r="F1434" s="46" t="n">
        <x:v>2</x:v>
      </x:c>
      <x:c r="G1434" s="12" t="n">
        <x:v>0.6666666666666666</x:v>
      </x:c>
      <x:c r="H1434" s="12" t="n">
        <x:v>0.7777777777777778</x:v>
      </x:c>
      <x:c r="I1434" s="29" t="n">
        <x:f>'Assumptions'!$D$11+'Assumptions'!$D$12*(0.5-(G1434+H1434)/2)</x:f>
        <x:v>0.25555555555555554</x:v>
      </x:c>
      <x:c r="J1434" s="27" t="n">
        <x:f>'Assumptions'!$D$8*EXP(-'Assumptions'!$D$9*('Fleet Engine'!E208-10))*'Assumptions'!E57*'Assumptions'!J36</x:f>
        <x:v>24615.408571552918</x:v>
      </x:c>
      <x:c r="K1434" s="27" t="n">
        <x:f>'Source Data'!F219+LN('Assumptions'!D57)+LN('Assumptions'!J35)</x:f>
        <x:v>8.22550551560197</x:v>
      </x:c>
      <x:c r="L1434" s="27" t="n">
        <x:f>J1434*(1-I1434*(1-'Carrier Engine'!E97))</x:f>
        <x:v>18576.428335331937</x:v>
      </x:c>
      <x:c r="M1434" s="29" t="n">
        <x:f>NORM.S.DIST((LN(L1434)-K1434)/'Assumptions'!$D$10,TRUE)</x:f>
        <x:v>0.8465180147776781</x:v>
      </x:c>
      <x:c r="N1434" s="30" t="n">
        <x:f>MAX(0,H1434-MAX(G1434,M1434))</x:f>
        <x:v>0</x:v>
      </x:c>
      <x:c r="O1434" s="28" t="n">
        <x:f>J1434*I1434</x:f>
        <x:v>6290.604412730189</x:v>
      </x:c>
      <x:c r="P1434" s="27" t="n">
        <x:f>(VLOOKUP(O1434,'Fee Data'!$C$6:$G$50,2,TRUE)+O1434*VLOOKUP(O1434,'Fee Data'!$C$6:$G$50,3,TRUE)+VLOOKUP(O1434,'Fee Data'!$I$6:$J$14,2,TRUE)+'Fee Data'!$J$20+'Fee Data'!$J$21)*'Assumptions'!J37</x:f>
        <x:v>1060</x:v>
      </x:c>
      <x:c r="Q1434" s="27" t="n">
        <x:f>(VLOOKUP(O1434,'Fee Data'!$C$6:$G$50,4,TRUE)+O1434*VLOOKUP(O1434,'Fee Data'!$C$6:$G$50,5,TRUE)+VLOOKUP(O1434,'Fee Data'!$I$6:$J$14,2,TRUE)+'Fee Data'!$J$20+'Fee Data'!$J$21)*'Assumptions'!J37</x:f>
        <x:v>935</x:v>
      </x:c>
      <x:c r="R1434" s="27" t="n">
        <x:f>P1434*(1-'Assumptions'!$D$14)+Q1434*'Assumptions'!$D$14</x:f>
        <x:v>997.5</x:v>
      </x:c>
      <x:c r="S1434" s="27" t="n">
        <x:f>O1434*'Carrier Engine'!E97</x:f>
        <x:v>251.62417650920762</x:v>
      </x:c>
      <x:c r="T1434" s="28" t="n">
        <x:f>R1434+S1434</x:f>
        <x:v>1249.1241765092077</x:v>
      </x:c>
      <x:c r="U1434" s="27" t="n">
        <x:f>N1434*'Fleet Engine'!L208</x:f>
        <x:v>0</x:v>
      </x:c>
      <x:c r="V1434" s="28" t="n">
        <x:f>U1434*T1434</x:f>
        <x:v>0</x:v>
      </x:c>
      <x:c r="W1434" s="28" t="n">
        <x:f>U1434*O1434</x:f>
        <x:v>0</x:v>
      </x:c>
    </x:row>
    <x:row r="1435" ht="19" customHeight="1">
      <x:c r="A1435" s="2"/>
      <x:c r="B1435" s="2"/>
      <x:c r="C1435" s="46" t="n">
        <x:v>6</x:v>
      </x:c>
      <x:c r="D1435" s="46" t="n">
        <x:v>14</x:v>
      </x:c>
      <x:c r="E1435" s="46" t="n">
        <x:v>2</x:v>
      </x:c>
      <x:c r="F1435" s="46" t="n">
        <x:v>2</x:v>
      </x:c>
      <x:c r="G1435" s="12" t="n">
        <x:v>0.7777777777777778</x:v>
      </x:c>
      <x:c r="H1435" s="12" t="n">
        <x:v>0.8888888888888888</x:v>
      </x:c>
      <x:c r="I1435" s="29" t="n">
        <x:f>'Assumptions'!$D$11+'Assumptions'!$D$12*(0.5-(G1435+H1435)/2)</x:f>
        <x:v>0.23333333333333334</x:v>
      </x:c>
      <x:c r="J1435" s="27" t="n">
        <x:f>'Assumptions'!$D$8*EXP(-'Assumptions'!$D$9*('Fleet Engine'!E208-10))*'Assumptions'!E57*'Assumptions'!J36</x:f>
        <x:v>24615.408571552918</x:v>
      </x:c>
      <x:c r="K1435" s="27" t="n">
        <x:f>'Source Data'!F219+LN('Assumptions'!D57)+LN('Assumptions'!J35)</x:f>
        <x:v>8.22550551560197</x:v>
      </x:c>
      <x:c r="L1435" s="27" t="n">
        <x:f>J1435*(1-I1435*(1-'Carrier Engine'!E97))</x:f>
        <x:v>19101.557051525066</x:v>
      </x:c>
      <x:c r="M1435" s="29" t="n">
        <x:f>NORM.S.DIST((LN(L1435)-K1435)/'Assumptions'!$D$10,TRUE)</x:f>
        <x:v>0.850682864085855</x:v>
      </x:c>
      <x:c r="N1435" s="30" t="n">
        <x:f>MAX(0,H1435-MAX(G1435,M1435))</x:f>
        <x:v>0.03820602480303381</x:v>
      </x:c>
      <x:c r="O1435" s="28" t="n">
        <x:f>J1435*I1435</x:f>
        <x:v>5743.595333362347</x:v>
      </x:c>
      <x:c r="P1435" s="27" t="n">
        <x:f>(VLOOKUP(O1435,'Fee Data'!$C$6:$G$50,2,TRUE)+O1435*VLOOKUP(O1435,'Fee Data'!$C$6:$G$50,3,TRUE)+VLOOKUP(O1435,'Fee Data'!$I$6:$J$14,2,TRUE)+'Fee Data'!$J$20+'Fee Data'!$J$21)*'Assumptions'!J37</x:f>
        <x:v>1020</x:v>
      </x:c>
      <x:c r="Q1435" s="27" t="n">
        <x:f>(VLOOKUP(O1435,'Fee Data'!$C$6:$G$50,4,TRUE)+O1435*VLOOKUP(O1435,'Fee Data'!$C$6:$G$50,5,TRUE)+VLOOKUP(O1435,'Fee Data'!$I$6:$J$14,2,TRUE)+'Fee Data'!$J$20+'Fee Data'!$J$21)*'Assumptions'!J37</x:f>
        <x:v>895</x:v>
      </x:c>
      <x:c r="R1435" s="27" t="n">
        <x:f>P1435*(1-'Assumptions'!$D$14)+Q1435*'Assumptions'!$D$14</x:f>
        <x:v>957.5</x:v>
      </x:c>
      <x:c r="S1435" s="27" t="n">
        <x:f>O1435*'Carrier Engine'!E97</x:f>
        <x:v>229.74381333449395</x:v>
      </x:c>
      <x:c r="T1435" s="28" t="n">
        <x:f>R1435+S1435</x:f>
        <x:v>1187.243813334494</x:v>
      </x:c>
      <x:c r="U1435" s="27" t="n">
        <x:f>N1435*'Fleet Engine'!L208</x:f>
        <x:v>228.90587898805867</x:v>
      </x:c>
      <x:c r="V1435" s="28" t="n">
        <x:f>U1435*T1435</x:f>
        <x:v>271767.088664467</x:v>
      </x:c>
      <x:c r="W1435" s="28" t="n">
        <x:f>U1435*O1435</x:f>
        <x:v>1314742.7383350201</x:v>
      </x:c>
    </x:row>
    <x:row r="1436" ht="19" customHeight="1">
      <x:c r="A1436" s="2"/>
      <x:c r="B1436" s="2"/>
      <x:c r="C1436" s="46" t="n">
        <x:v>6</x:v>
      </x:c>
      <x:c r="D1436" s="46" t="n">
        <x:v>14</x:v>
      </x:c>
      <x:c r="E1436" s="46" t="n">
        <x:v>2</x:v>
      </x:c>
      <x:c r="F1436" s="46" t="n">
        <x:v>2</x:v>
      </x:c>
      <x:c r="G1436" s="12" t="n">
        <x:v>0.8888888888888888</x:v>
      </x:c>
      <x:c r="H1436" s="12" t="n">
        <x:v>1</x:v>
      </x:c>
      <x:c r="I1436" s="29" t="n">
        <x:f>'Assumptions'!$D$11+'Assumptions'!$D$12*(0.5-(G1436+H1436)/2)</x:f>
        <x:v>0.21111111111111108</x:v>
      </x:c>
      <x:c r="J1436" s="27" t="n">
        <x:f>'Assumptions'!$D$8*EXP(-'Assumptions'!$D$9*('Fleet Engine'!E208-10))*'Assumptions'!E57*'Assumptions'!J36</x:f>
        <x:v>24615.408571552918</x:v>
      </x:c>
      <x:c r="K1436" s="27" t="n">
        <x:f>'Source Data'!F219+LN('Assumptions'!D57)+LN('Assumptions'!J35)</x:f>
        <x:v>8.22550551560197</x:v>
      </x:c>
      <x:c r="L1436" s="27" t="n">
        <x:f>J1436*(1-I1436*(1-'Carrier Engine'!E97))</x:f>
        <x:v>19626.685767718194</x:v>
      </x:c>
      <x:c r="M1436" s="29" t="n">
        <x:f>NORM.S.DIST((LN(L1436)-K1436)/'Assumptions'!$D$10,TRUE)</x:f>
        <x:v>0.8546616790540353</x:v>
      </x:c>
      <x:c r="N1436" s="30" t="n">
        <x:f>MAX(0,H1436-MAX(G1436,M1436))</x:f>
        <x:v>0.11111111111111116</x:v>
      </x:c>
      <x:c r="O1436" s="28" t="n">
        <x:f>J1436*I1436</x:f>
        <x:v>5196.586253994505</x:v>
      </x:c>
      <x:c r="P1436" s="27" t="n">
        <x:f>(VLOOKUP(O1436,'Fee Data'!$C$6:$G$50,2,TRUE)+O1436*VLOOKUP(O1436,'Fee Data'!$C$6:$G$50,3,TRUE)+VLOOKUP(O1436,'Fee Data'!$I$6:$J$14,2,TRUE)+'Fee Data'!$J$20+'Fee Data'!$J$21)*'Assumptions'!J37</x:f>
        <x:v>995</x:v>
      </x:c>
      <x:c r="Q1436" s="27" t="n">
        <x:f>(VLOOKUP(O1436,'Fee Data'!$C$6:$G$50,4,TRUE)+O1436*VLOOKUP(O1436,'Fee Data'!$C$6:$G$50,5,TRUE)+VLOOKUP(O1436,'Fee Data'!$I$6:$J$14,2,TRUE)+'Fee Data'!$J$20+'Fee Data'!$J$21)*'Assumptions'!J37</x:f>
        <x:v>870</x:v>
      </x:c>
      <x:c r="R1436" s="27" t="n">
        <x:f>P1436*(1-'Assumptions'!$D$14)+Q1436*'Assumptions'!$D$14</x:f>
        <x:v>932.5</x:v>
      </x:c>
      <x:c r="S1436" s="27" t="n">
        <x:f>O1436*'Carrier Engine'!E97</x:f>
        <x:v>207.86345015978023</x:v>
      </x:c>
      <x:c r="T1436" s="28" t="n">
        <x:f>R1436+S1436</x:f>
        <x:v>1140.3634501597803</x:v>
      </x:c>
      <x:c r="U1436" s="27" t="n">
        <x:f>N1436*'Fleet Engine'!L208</x:f>
        <x:v>665.7061729229974</x:v>
      </x:c>
      <x:c r="V1436" s="28" t="n">
        <x:f>U1436*T1436</x:f>
        <x:v>759146.9881471327</x:v>
      </x:c>
      <x:c r="W1436" s="28" t="n">
        <x:f>U1436*O1436</x:f>
        <x:v>3459399.547410937</x:v>
      </x:c>
    </x:row>
    <x:row r="1437" ht="19" customHeight="1">
      <x:c r="A1437" s="2"/>
      <x:c r="B1437" s="2"/>
      <x:c r="C1437" s="46" t="n">
        <x:v>6</x:v>
      </x:c>
      <x:c r="D1437" s="46" t="n">
        <x:v>15</x:v>
      </x:c>
      <x:c r="E1437" s="46" t="n">
        <x:v>2</x:v>
      </x:c>
      <x:c r="F1437" s="46" t="n">
        <x:v>3</x:v>
      </x:c>
      <x:c r="G1437" s="12" t="n">
        <x:v>0</x:v>
      </x:c>
      <x:c r="H1437" s="12" t="n">
        <x:v>0.1111111111111111</x:v>
      </x:c>
      <x:c r="I1437" s="29" t="n">
        <x:f>'Assumptions'!$D$11+'Assumptions'!$D$12*(0.5-(G1437+H1437)/2)</x:f>
        <x:v>0.3888888888888889</x:v>
      </x:c>
      <x:c r="J1437" s="27" t="n">
        <x:f>'Assumptions'!$D$8*EXP(-'Assumptions'!$D$9*('Fleet Engine'!E209-10))*'Assumptions'!E57*'Assumptions'!J36</x:f>
        <x:v>18235.543179331336</x:v>
      </x:c>
      <x:c r="K1437" s="27" t="n">
        <x:f>'Source Data'!F220+LN('Assumptions'!D57)+LN('Assumptions'!J35)</x:f>
        <x:v>8.332638086869624</x:v>
      </x:c>
      <x:c r="L1437" s="27" t="n">
        <x:f>J1437*(1-I1437*(1-'Carrier Engine'!E97))</x:f>
        <x:v>11427.607059047637</x:v>
      </x:c>
      <x:c r="M1437" s="29" t="n">
        <x:f>NORM.S.DIST((LN(L1437)-K1437)/'Assumptions'!$D$10,TRUE)</x:f>
        <x:v>0.7401992041625559</x:v>
      </x:c>
      <x:c r="N1437" s="30" t="n">
        <x:f>MAX(0,H1437-MAX(G1437,M1437))</x:f>
        <x:v>0</x:v>
      </x:c>
      <x:c r="O1437" s="28" t="n">
        <x:f>J1437*I1437</x:f>
        <x:v>7091.60012529552</x:v>
      </x:c>
      <x:c r="P1437" s="27" t="n">
        <x:f>(VLOOKUP(O1437,'Fee Data'!$C$6:$G$50,2,TRUE)+O1437*VLOOKUP(O1437,'Fee Data'!$C$6:$G$50,3,TRUE)+VLOOKUP(O1437,'Fee Data'!$I$6:$J$14,2,TRUE)+'Fee Data'!$J$20+'Fee Data'!$J$21)*'Assumptions'!J37</x:f>
        <x:v>1115</x:v>
      </x:c>
      <x:c r="Q1437" s="27" t="n">
        <x:f>(VLOOKUP(O1437,'Fee Data'!$C$6:$G$50,4,TRUE)+O1437*VLOOKUP(O1437,'Fee Data'!$C$6:$G$50,5,TRUE)+VLOOKUP(O1437,'Fee Data'!$I$6:$J$14,2,TRUE)+'Fee Data'!$J$20+'Fee Data'!$J$21)*'Assumptions'!J37</x:f>
        <x:v>990</x:v>
      </x:c>
      <x:c r="R1437" s="27" t="n">
        <x:f>P1437*(1-'Assumptions'!$D$14)+Q1437*'Assumptions'!$D$14</x:f>
        <x:v>1052.5</x:v>
      </x:c>
      <x:c r="S1437" s="27" t="n">
        <x:f>O1437*'Carrier Engine'!E97</x:f>
        <x:v>283.66400501182085</x:v>
      </x:c>
      <x:c r="T1437" s="28" t="n">
        <x:f>R1437+S1437</x:f>
        <x:v>1336.1640050118208</x:v>
      </x:c>
      <x:c r="U1437" s="27" t="n">
        <x:f>N1437*'Fleet Engine'!L209</x:f>
        <x:v>0</x:v>
      </x:c>
      <x:c r="V1437" s="28" t="n">
        <x:f>U1437*T1437</x:f>
        <x:v>0</x:v>
      </x:c>
      <x:c r="W1437" s="28" t="n">
        <x:f>U1437*O1437</x:f>
        <x:v>0</x:v>
      </x:c>
    </x:row>
    <x:row r="1438" ht="19" customHeight="1">
      <x:c r="A1438" s="2"/>
      <x:c r="B1438" s="2"/>
      <x:c r="C1438" s="46" t="n">
        <x:v>6</x:v>
      </x:c>
      <x:c r="D1438" s="46" t="n">
        <x:v>15</x:v>
      </x:c>
      <x:c r="E1438" s="46" t="n">
        <x:v>2</x:v>
      </x:c>
      <x:c r="F1438" s="46" t="n">
        <x:v>3</x:v>
      </x:c>
      <x:c r="G1438" s="12" t="n">
        <x:v>0.1111111111111111</x:v>
      </x:c>
      <x:c r="H1438" s="12" t="n">
        <x:v>0.2222222222222222</x:v>
      </x:c>
      <x:c r="I1438" s="29" t="n">
        <x:f>'Assumptions'!$D$11+'Assumptions'!$D$12*(0.5-(G1438+H1438)/2)</x:f>
        <x:v>0.3666666666666667</x:v>
      </x:c>
      <x:c r="J1438" s="27" t="n">
        <x:f>'Assumptions'!$D$8*EXP(-'Assumptions'!$D$9*('Fleet Engine'!E209-10))*'Assumptions'!E57*'Assumptions'!J36</x:f>
        <x:v>18235.543179331336</x:v>
      </x:c>
      <x:c r="K1438" s="27" t="n">
        <x:f>'Source Data'!F220+LN('Assumptions'!D57)+LN('Assumptions'!J35)</x:f>
        <x:v>8.332638086869624</x:v>
      </x:c>
      <x:c r="L1438" s="27" t="n">
        <x:f>J1438*(1-I1438*(1-'Carrier Engine'!E97))</x:f>
        <x:v>11816.631980206705</x:v>
      </x:c>
      <x:c r="M1438" s="29" t="n">
        <x:f>NORM.S.DIST((LN(L1438)-K1438)/'Assumptions'!$D$10,TRUE)</x:f>
        <x:v>0.7470640064168992</x:v>
      </x:c>
      <x:c r="N1438" s="30" t="n">
        <x:f>MAX(0,H1438-MAX(G1438,M1438))</x:f>
        <x:v>0</x:v>
      </x:c>
      <x:c r="O1438" s="28" t="n">
        <x:f>J1438*I1438</x:f>
        <x:v>6686.36583242149</x:v>
      </x:c>
      <x:c r="P1438" s="27" t="n">
        <x:f>(VLOOKUP(O1438,'Fee Data'!$C$6:$G$50,2,TRUE)+O1438*VLOOKUP(O1438,'Fee Data'!$C$6:$G$50,3,TRUE)+VLOOKUP(O1438,'Fee Data'!$I$6:$J$14,2,TRUE)+'Fee Data'!$J$20+'Fee Data'!$J$21)*'Assumptions'!J37</x:f>
        <x:v>1080</x:v>
      </x:c>
      <x:c r="Q1438" s="27" t="n">
        <x:f>(VLOOKUP(O1438,'Fee Data'!$C$6:$G$50,4,TRUE)+O1438*VLOOKUP(O1438,'Fee Data'!$C$6:$G$50,5,TRUE)+VLOOKUP(O1438,'Fee Data'!$I$6:$J$14,2,TRUE)+'Fee Data'!$J$20+'Fee Data'!$J$21)*'Assumptions'!J37</x:f>
        <x:v>955</x:v>
      </x:c>
      <x:c r="R1438" s="27" t="n">
        <x:f>P1438*(1-'Assumptions'!$D$14)+Q1438*'Assumptions'!$D$14</x:f>
        <x:v>1017.5</x:v>
      </x:c>
      <x:c r="S1438" s="27" t="n">
        <x:f>O1438*'Carrier Engine'!E97</x:f>
        <x:v>267.45463329685964</x:v>
      </x:c>
      <x:c r="T1438" s="28" t="n">
        <x:f>R1438+S1438</x:f>
        <x:v>1284.9546332968596</x:v>
      </x:c>
      <x:c r="U1438" s="27" t="n">
        <x:f>N1438*'Fleet Engine'!L209</x:f>
        <x:v>0</x:v>
      </x:c>
      <x:c r="V1438" s="28" t="n">
        <x:f>U1438*T1438</x:f>
        <x:v>0</x:v>
      </x:c>
      <x:c r="W1438" s="28" t="n">
        <x:f>U1438*O1438</x:f>
        <x:v>0</x:v>
      </x:c>
    </x:row>
    <x:row r="1439" ht="19" customHeight="1">
      <x:c r="A1439" s="2"/>
      <x:c r="B1439" s="2"/>
      <x:c r="C1439" s="46" t="n">
        <x:v>6</x:v>
      </x:c>
      <x:c r="D1439" s="46" t="n">
        <x:v>15</x:v>
      </x:c>
      <x:c r="E1439" s="46" t="n">
        <x:v>2</x:v>
      </x:c>
      <x:c r="F1439" s="46" t="n">
        <x:v>3</x:v>
      </x:c>
      <x:c r="G1439" s="12" t="n">
        <x:v>0.2222222222222222</x:v>
      </x:c>
      <x:c r="H1439" s="12" t="n">
        <x:v>0.3333333333333333</x:v>
      </x:c>
      <x:c r="I1439" s="29" t="n">
        <x:f>'Assumptions'!$D$11+'Assumptions'!$D$12*(0.5-(G1439+H1439)/2)</x:f>
        <x:v>0.34444444444444444</x:v>
      </x:c>
      <x:c r="J1439" s="27" t="n">
        <x:f>'Assumptions'!$D$8*EXP(-'Assumptions'!$D$9*('Fleet Engine'!E209-10))*'Assumptions'!E57*'Assumptions'!J36</x:f>
        <x:v>18235.543179331336</x:v>
      </x:c>
      <x:c r="K1439" s="27" t="n">
        <x:f>'Source Data'!F220+LN('Assumptions'!D57)+LN('Assumptions'!J35)</x:f>
        <x:v>8.332638086869624</x:v>
      </x:c>
      <x:c r="L1439" s="27" t="n">
        <x:f>J1439*(1-I1439*(1-'Carrier Engine'!E97))</x:f>
        <x:v>12205.656901365775</x:v>
      </x:c>
      <x:c r="M1439" s="29" t="n">
        <x:f>NORM.S.DIST((LN(L1439)-K1439)/'Assumptions'!$D$10,TRUE)</x:f>
        <x:v>0.7536144164560518</x:v>
      </x:c>
      <x:c r="N1439" s="30" t="n">
        <x:f>MAX(0,H1439-MAX(G1439,M1439))</x:f>
        <x:v>0</x:v>
      </x:c>
      <x:c r="O1439" s="28" t="n">
        <x:f>J1439*I1439</x:f>
        <x:v>6281.13153954746</x:v>
      </x:c>
      <x:c r="P1439" s="27" t="n">
        <x:f>(VLOOKUP(O1439,'Fee Data'!$C$6:$G$50,2,TRUE)+O1439*VLOOKUP(O1439,'Fee Data'!$C$6:$G$50,3,TRUE)+VLOOKUP(O1439,'Fee Data'!$I$6:$J$14,2,TRUE)+'Fee Data'!$J$20+'Fee Data'!$J$21)*'Assumptions'!J37</x:f>
        <x:v>1060</x:v>
      </x:c>
      <x:c r="Q1439" s="27" t="n">
        <x:f>(VLOOKUP(O1439,'Fee Data'!$C$6:$G$50,4,TRUE)+O1439*VLOOKUP(O1439,'Fee Data'!$C$6:$G$50,5,TRUE)+VLOOKUP(O1439,'Fee Data'!$I$6:$J$14,2,TRUE)+'Fee Data'!$J$20+'Fee Data'!$J$21)*'Assumptions'!J37</x:f>
        <x:v>935</x:v>
      </x:c>
      <x:c r="R1439" s="27" t="n">
        <x:f>P1439*(1-'Assumptions'!$D$14)+Q1439*'Assumptions'!$D$14</x:f>
        <x:v>997.5</x:v>
      </x:c>
      <x:c r="S1439" s="27" t="n">
        <x:f>O1439*'Carrier Engine'!E97</x:f>
        <x:v>251.24526158189846</x:v>
      </x:c>
      <x:c r="T1439" s="28" t="n">
        <x:f>R1439+S1439</x:f>
        <x:v>1248.7452615818984</x:v>
      </x:c>
      <x:c r="U1439" s="27" t="n">
        <x:f>N1439*'Fleet Engine'!L209</x:f>
        <x:v>0</x:v>
      </x:c>
      <x:c r="V1439" s="28" t="n">
        <x:f>U1439*T1439</x:f>
        <x:v>0</x:v>
      </x:c>
      <x:c r="W1439" s="28" t="n">
        <x:f>U1439*O1439</x:f>
        <x:v>0</x:v>
      </x:c>
    </x:row>
    <x:row r="1440" ht="19" customHeight="1">
      <x:c r="A1440" s="2"/>
      <x:c r="B1440" s="2"/>
      <x:c r="C1440" s="46" t="n">
        <x:v>6</x:v>
      </x:c>
      <x:c r="D1440" s="46" t="n">
        <x:v>15</x:v>
      </x:c>
      <x:c r="E1440" s="46" t="n">
        <x:v>2</x:v>
      </x:c>
      <x:c r="F1440" s="46" t="n">
        <x:v>3</x:v>
      </x:c>
      <x:c r="G1440" s="12" t="n">
        <x:v>0.3333333333333333</x:v>
      </x:c>
      <x:c r="H1440" s="12" t="n">
        <x:v>0.4444444444444444</x:v>
      </x:c>
      <x:c r="I1440" s="29" t="n">
        <x:f>'Assumptions'!$D$11+'Assumptions'!$D$12*(0.5-(G1440+H1440)/2)</x:f>
        <x:v>0.32222222222222224</x:v>
      </x:c>
      <x:c r="J1440" s="27" t="n">
        <x:f>'Assumptions'!$D$8*EXP(-'Assumptions'!$D$9*('Fleet Engine'!E209-10))*'Assumptions'!E57*'Assumptions'!J36</x:f>
        <x:v>18235.543179331336</x:v>
      </x:c>
      <x:c r="K1440" s="27" t="n">
        <x:f>'Source Data'!F220+LN('Assumptions'!D57)+LN('Assumptions'!J35)</x:f>
        <x:v>8.332638086869624</x:v>
      </x:c>
      <x:c r="L1440" s="27" t="n">
        <x:f>J1440*(1-I1440*(1-'Carrier Engine'!E97))</x:f>
        <x:v>12594.681822524843</x:v>
      </x:c>
      <x:c r="M1440" s="29" t="n">
        <x:f>NORM.S.DIST((LN(L1440)-K1440)/'Assumptions'!$D$10,TRUE)</x:f>
        <x:v>0.7598715607815303</x:v>
      </x:c>
      <x:c r="N1440" s="30" t="n">
        <x:f>MAX(0,H1440-MAX(G1440,M1440))</x:f>
        <x:v>0</x:v>
      </x:c>
      <x:c r="O1440" s="28" t="n">
        <x:f>J1440*I1440</x:f>
        <x:v>5875.897246673431</x:v>
      </x:c>
      <x:c r="P1440" s="27" t="n">
        <x:f>(VLOOKUP(O1440,'Fee Data'!$C$6:$G$50,2,TRUE)+O1440*VLOOKUP(O1440,'Fee Data'!$C$6:$G$50,3,TRUE)+VLOOKUP(O1440,'Fee Data'!$I$6:$J$14,2,TRUE)+'Fee Data'!$J$20+'Fee Data'!$J$21)*'Assumptions'!J37</x:f>
        <x:v>1020</x:v>
      </x:c>
      <x:c r="Q1440" s="27" t="n">
        <x:f>(VLOOKUP(O1440,'Fee Data'!$C$6:$G$50,4,TRUE)+O1440*VLOOKUP(O1440,'Fee Data'!$C$6:$G$50,5,TRUE)+VLOOKUP(O1440,'Fee Data'!$I$6:$J$14,2,TRUE)+'Fee Data'!$J$20+'Fee Data'!$J$21)*'Assumptions'!J37</x:f>
        <x:v>895</x:v>
      </x:c>
      <x:c r="R1440" s="27" t="n">
        <x:f>P1440*(1-'Assumptions'!$D$14)+Q1440*'Assumptions'!$D$14</x:f>
        <x:v>957.5</x:v>
      </x:c>
      <x:c r="S1440" s="27" t="n">
        <x:f>O1440*'Carrier Engine'!E97</x:f>
        <x:v>235.03588986693728</x:v>
      </x:c>
      <x:c r="T1440" s="28" t="n">
        <x:f>R1440+S1440</x:f>
        <x:v>1192.5358898669374</x:v>
      </x:c>
      <x:c r="U1440" s="27" t="n">
        <x:f>N1440*'Fleet Engine'!L209</x:f>
        <x:v>0</x:v>
      </x:c>
      <x:c r="V1440" s="28" t="n">
        <x:f>U1440*T1440</x:f>
        <x:v>0</x:v>
      </x:c>
      <x:c r="W1440" s="28" t="n">
        <x:f>U1440*O1440</x:f>
        <x:v>0</x:v>
      </x:c>
    </x:row>
    <x:row r="1441" ht="19" customHeight="1">
      <x:c r="A1441" s="2"/>
      <x:c r="B1441" s="2"/>
      <x:c r="C1441" s="46" t="n">
        <x:v>6</x:v>
      </x:c>
      <x:c r="D1441" s="46" t="n">
        <x:v>15</x:v>
      </x:c>
      <x:c r="E1441" s="46" t="n">
        <x:v>2</x:v>
      </x:c>
      <x:c r="F1441" s="46" t="n">
        <x:v>3</x:v>
      </x:c>
      <x:c r="G1441" s="12" t="n">
        <x:v>0.4444444444444444</x:v>
      </x:c>
      <x:c r="H1441" s="12" t="n">
        <x:v>0.5555555555555556</x:v>
      </x:c>
      <x:c r="I1441" s="29" t="n">
        <x:f>'Assumptions'!$D$11+'Assumptions'!$D$12*(0.5-(G1441+H1441)/2)</x:f>
        <x:v>0.3</x:v>
      </x:c>
      <x:c r="J1441" s="27" t="n">
        <x:f>'Assumptions'!$D$8*EXP(-'Assumptions'!$D$9*('Fleet Engine'!E209-10))*'Assumptions'!E57*'Assumptions'!J36</x:f>
        <x:v>18235.543179331336</x:v>
      </x:c>
      <x:c r="K1441" s="27" t="n">
        <x:f>'Source Data'!F220+LN('Assumptions'!D57)+LN('Assumptions'!J35)</x:f>
        <x:v>8.332638086869624</x:v>
      </x:c>
      <x:c r="L1441" s="27" t="n">
        <x:f>J1441*(1-I1441*(1-'Carrier Engine'!E97))</x:f>
        <x:v>12983.706743683912</x:v>
      </x:c>
      <x:c r="M1441" s="29" t="n">
        <x:f>NORM.S.DIST((LN(L1441)-K1441)/'Assumptions'!$D$10,TRUE)</x:f>
        <x:v>0.7658546811979431</x:v>
      </x:c>
      <x:c r="N1441" s="30" t="n">
        <x:f>MAX(0,H1441-MAX(G1441,M1441))</x:f>
        <x:v>0</x:v>
      </x:c>
      <x:c r="O1441" s="28" t="n">
        <x:f>J1441*I1441</x:f>
        <x:v>5470.6629537994</x:v>
      </x:c>
      <x:c r="P1441" s="27" t="n">
        <x:f>(VLOOKUP(O1441,'Fee Data'!$C$6:$G$50,2,TRUE)+O1441*VLOOKUP(O1441,'Fee Data'!$C$6:$G$50,3,TRUE)+VLOOKUP(O1441,'Fee Data'!$I$6:$J$14,2,TRUE)+'Fee Data'!$J$20+'Fee Data'!$J$21)*'Assumptions'!J37</x:f>
        <x:v>995</x:v>
      </x:c>
      <x:c r="Q1441" s="27" t="n">
        <x:f>(VLOOKUP(O1441,'Fee Data'!$C$6:$G$50,4,TRUE)+O1441*VLOOKUP(O1441,'Fee Data'!$C$6:$G$50,5,TRUE)+VLOOKUP(O1441,'Fee Data'!$I$6:$J$14,2,TRUE)+'Fee Data'!$J$20+'Fee Data'!$J$21)*'Assumptions'!J37</x:f>
        <x:v>870</x:v>
      </x:c>
      <x:c r="R1441" s="27" t="n">
        <x:f>P1441*(1-'Assumptions'!$D$14)+Q1441*'Assumptions'!$D$14</x:f>
        <x:v>932.5</x:v>
      </x:c>
      <x:c r="S1441" s="27" t="n">
        <x:f>O1441*'Carrier Engine'!E97</x:f>
        <x:v>218.82651815197605</x:v>
      </x:c>
      <x:c r="T1441" s="28" t="n">
        <x:f>R1441+S1441</x:f>
        <x:v>1151.326518151976</x:v>
      </x:c>
      <x:c r="U1441" s="27" t="n">
        <x:f>N1441*'Fleet Engine'!L209</x:f>
        <x:v>0</x:v>
      </x:c>
      <x:c r="V1441" s="28" t="n">
        <x:f>U1441*T1441</x:f>
        <x:v>0</x:v>
      </x:c>
      <x:c r="W1441" s="28" t="n">
        <x:f>U1441*O1441</x:f>
        <x:v>0</x:v>
      </x:c>
    </x:row>
    <x:row r="1442" ht="19" customHeight="1">
      <x:c r="A1442" s="2"/>
      <x:c r="B1442" s="2"/>
      <x:c r="C1442" s="46" t="n">
        <x:v>6</x:v>
      </x:c>
      <x:c r="D1442" s="46" t="n">
        <x:v>15</x:v>
      </x:c>
      <x:c r="E1442" s="46" t="n">
        <x:v>2</x:v>
      </x:c>
      <x:c r="F1442" s="46" t="n">
        <x:v>3</x:v>
      </x:c>
      <x:c r="G1442" s="12" t="n">
        <x:v>0.5555555555555556</x:v>
      </x:c>
      <x:c r="H1442" s="12" t="n">
        <x:v>0.6666666666666666</x:v>
      </x:c>
      <x:c r="I1442" s="29" t="n">
        <x:f>'Assumptions'!$D$11+'Assumptions'!$D$12*(0.5-(G1442+H1442)/2)</x:f>
        <x:v>0.27777777777777773</x:v>
      </x:c>
      <x:c r="J1442" s="27" t="n">
        <x:f>'Assumptions'!$D$8*EXP(-'Assumptions'!$D$9*('Fleet Engine'!E209-10))*'Assumptions'!E57*'Assumptions'!J36</x:f>
        <x:v>18235.543179331336</x:v>
      </x:c>
      <x:c r="K1442" s="27" t="n">
        <x:f>'Source Data'!F220+LN('Assumptions'!D57)+LN('Assumptions'!J35)</x:f>
        <x:v>8.332638086869624</x:v>
      </x:c>
      <x:c r="L1442" s="27" t="n">
        <x:f>J1442*(1-I1442*(1-'Carrier Engine'!E97))</x:f>
        <x:v>13372.73166484298</x:v>
      </x:c>
      <x:c r="M1442" s="29" t="n">
        <x:f>NORM.S.DIST((LN(L1442)-K1442)/'Assumptions'!$D$10,TRUE)</x:f>
        <x:v>0.7715813442101519</x:v>
      </x:c>
      <x:c r="N1442" s="30" t="n">
        <x:f>MAX(0,H1442-MAX(G1442,M1442))</x:f>
        <x:v>0</x:v>
      </x:c>
      <x:c r="O1442" s="28" t="n">
        <x:f>J1442*I1442</x:f>
        <x:v>5065.42866092537</x:v>
      </x:c>
      <x:c r="P1442" s="27" t="n">
        <x:f>(VLOOKUP(O1442,'Fee Data'!$C$6:$G$50,2,TRUE)+O1442*VLOOKUP(O1442,'Fee Data'!$C$6:$G$50,3,TRUE)+VLOOKUP(O1442,'Fee Data'!$I$6:$J$14,2,TRUE)+'Fee Data'!$J$20+'Fee Data'!$J$21)*'Assumptions'!J37</x:f>
        <x:v>995</x:v>
      </x:c>
      <x:c r="Q1442" s="27" t="n">
        <x:f>(VLOOKUP(O1442,'Fee Data'!$C$6:$G$50,4,TRUE)+O1442*VLOOKUP(O1442,'Fee Data'!$C$6:$G$50,5,TRUE)+VLOOKUP(O1442,'Fee Data'!$I$6:$J$14,2,TRUE)+'Fee Data'!$J$20+'Fee Data'!$J$21)*'Assumptions'!J37</x:f>
        <x:v>870</x:v>
      </x:c>
      <x:c r="R1442" s="27" t="n">
        <x:f>P1442*(1-'Assumptions'!$D$14)+Q1442*'Assumptions'!$D$14</x:f>
        <x:v>932.5</x:v>
      </x:c>
      <x:c r="S1442" s="27" t="n">
        <x:f>O1442*'Carrier Engine'!E97</x:f>
        <x:v>202.61714643701487</x:v>
      </x:c>
      <x:c r="T1442" s="28" t="n">
        <x:f>R1442+S1442</x:f>
        <x:v>1135.117146437015</x:v>
      </x:c>
      <x:c r="U1442" s="27" t="n">
        <x:f>N1442*'Fleet Engine'!L209</x:f>
        <x:v>0</x:v>
      </x:c>
      <x:c r="V1442" s="28" t="n">
        <x:f>U1442*T1442</x:f>
        <x:v>0</x:v>
      </x:c>
      <x:c r="W1442" s="28" t="n">
        <x:f>U1442*O1442</x:f>
        <x:v>0</x:v>
      </x:c>
    </x:row>
    <x:row r="1443" ht="19" customHeight="1">
      <x:c r="A1443" s="2"/>
      <x:c r="B1443" s="2"/>
      <x:c r="C1443" s="46" t="n">
        <x:v>6</x:v>
      </x:c>
      <x:c r="D1443" s="46" t="n">
        <x:v>15</x:v>
      </x:c>
      <x:c r="E1443" s="46" t="n">
        <x:v>2</x:v>
      </x:c>
      <x:c r="F1443" s="46" t="n">
        <x:v>3</x:v>
      </x:c>
      <x:c r="G1443" s="12" t="n">
        <x:v>0.6666666666666666</x:v>
      </x:c>
      <x:c r="H1443" s="12" t="n">
        <x:v>0.7777777777777778</x:v>
      </x:c>
      <x:c r="I1443" s="29" t="n">
        <x:f>'Assumptions'!$D$11+'Assumptions'!$D$12*(0.5-(G1443+H1443)/2)</x:f>
        <x:v>0.25555555555555554</x:v>
      </x:c>
      <x:c r="J1443" s="27" t="n">
        <x:f>'Assumptions'!$D$8*EXP(-'Assumptions'!$D$9*('Fleet Engine'!E209-10))*'Assumptions'!E57*'Assumptions'!J36</x:f>
        <x:v>18235.543179331336</x:v>
      </x:c>
      <x:c r="K1443" s="27" t="n">
        <x:f>'Source Data'!F220+LN('Assumptions'!D57)+LN('Assumptions'!J35)</x:f>
        <x:v>8.332638086869624</x:v>
      </x:c>
      <x:c r="L1443" s="27" t="n">
        <x:f>J1443*(1-I1443*(1-'Carrier Engine'!E97))</x:f>
        <x:v>13761.75658600205</x:v>
      </x:c>
      <x:c r="M1443" s="29" t="n">
        <x:f>NORM.S.DIST((LN(L1443)-K1443)/'Assumptions'!$D$10,TRUE)</x:f>
        <x:v>0.7770676226732032</x:v>
      </x:c>
      <x:c r="N1443" s="30" t="n">
        <x:f>MAX(0,H1443-MAX(G1443,M1443))</x:f>
        <x:v>0.0007101551045746168</x:v>
      </x:c>
      <x:c r="O1443" s="28" t="n">
        <x:f>J1443*I1443</x:f>
        <x:v>4660.194368051341</x:v>
      </x:c>
      <x:c r="P1443" s="27" t="n">
        <x:f>(VLOOKUP(O1443,'Fee Data'!$C$6:$G$50,2,TRUE)+O1443*VLOOKUP(O1443,'Fee Data'!$C$6:$G$50,3,TRUE)+VLOOKUP(O1443,'Fee Data'!$I$6:$J$14,2,TRUE)+'Fee Data'!$J$20+'Fee Data'!$J$21)*'Assumptions'!J37</x:f>
        <x:v>970</x:v>
      </x:c>
      <x:c r="Q1443" s="27" t="n">
        <x:f>(VLOOKUP(O1443,'Fee Data'!$C$6:$G$50,4,TRUE)+O1443*VLOOKUP(O1443,'Fee Data'!$C$6:$G$50,5,TRUE)+VLOOKUP(O1443,'Fee Data'!$I$6:$J$14,2,TRUE)+'Fee Data'!$J$20+'Fee Data'!$J$21)*'Assumptions'!J37</x:f>
        <x:v>845</x:v>
      </x:c>
      <x:c r="R1443" s="27" t="n">
        <x:f>P1443*(1-'Assumptions'!$D$14)+Q1443*'Assumptions'!$D$14</x:f>
        <x:v>907.5</x:v>
      </x:c>
      <x:c r="S1443" s="27" t="n">
        <x:f>O1443*'Carrier Engine'!E97</x:f>
        <x:v>186.4077747220537</x:v>
      </x:c>
      <x:c r="T1443" s="28" t="n">
        <x:f>R1443+S1443</x:f>
        <x:v>1093.9077747220538</x:v>
      </x:c>
      <x:c r="U1443" s="27" t="n">
        <x:f>N1443*'Fleet Engine'!L209</x:f>
        <x:v>3.4765040607345394</x:v>
      </x:c>
      <x:c r="V1443" s="28" t="n">
        <x:f>U1443*T1443</x:f>
        <x:v>3802.974820890304</x:v>
      </x:c>
      <x:c r="W1443" s="28" t="n">
        <x:f>U1443*O1443</x:f>
        <x:v>16201.184644342718</x:v>
      </x:c>
    </x:row>
    <x:row r="1444" ht="19" customHeight="1">
      <x:c r="A1444" s="2"/>
      <x:c r="B1444" s="2"/>
      <x:c r="C1444" s="46" t="n">
        <x:v>6</x:v>
      </x:c>
      <x:c r="D1444" s="46" t="n">
        <x:v>15</x:v>
      </x:c>
      <x:c r="E1444" s="46" t="n">
        <x:v>2</x:v>
      </x:c>
      <x:c r="F1444" s="46" t="n">
        <x:v>3</x:v>
      </x:c>
      <x:c r="G1444" s="12" t="n">
        <x:v>0.7777777777777778</x:v>
      </x:c>
      <x:c r="H1444" s="12" t="n">
        <x:v>0.8888888888888888</x:v>
      </x:c>
      <x:c r="I1444" s="29" t="n">
        <x:f>'Assumptions'!$D$11+'Assumptions'!$D$12*(0.5-(G1444+H1444)/2)</x:f>
        <x:v>0.23333333333333334</x:v>
      </x:c>
      <x:c r="J1444" s="27" t="n">
        <x:f>'Assumptions'!$D$8*EXP(-'Assumptions'!$D$9*('Fleet Engine'!E209-10))*'Assumptions'!E57*'Assumptions'!J36</x:f>
        <x:v>18235.543179331336</x:v>
      </x:c>
      <x:c r="K1444" s="27" t="n">
        <x:f>'Source Data'!F220+LN('Assumptions'!D57)+LN('Assumptions'!J35)</x:f>
        <x:v>8.332638086869624</x:v>
      </x:c>
      <x:c r="L1444" s="27" t="n">
        <x:f>J1444*(1-I1444*(1-'Carrier Engine'!E97))</x:f>
        <x:v>14150.781507161117</x:v>
      </x:c>
      <x:c r="M1444" s="29" t="n">
        <x:f>NORM.S.DIST((LN(L1444)-K1444)/'Assumptions'!$D$10,TRUE)</x:f>
        <x:v>0.7823282539471316</x:v>
      </x:c>
      <x:c r="N1444" s="30" t="n">
        <x:f>MAX(0,H1444-MAX(G1444,M1444))</x:f>
        <x:v>0.10656063494175727</x:v>
      </x:c>
      <x:c r="O1444" s="28" t="n">
        <x:f>J1444*I1444</x:f>
        <x:v>4254.960075177312</x:v>
      </x:c>
      <x:c r="P1444" s="27" t="n">
        <x:f>(VLOOKUP(O1444,'Fee Data'!$C$6:$G$50,2,TRUE)+O1444*VLOOKUP(O1444,'Fee Data'!$C$6:$G$50,3,TRUE)+VLOOKUP(O1444,'Fee Data'!$I$6:$J$14,2,TRUE)+'Fee Data'!$J$20+'Fee Data'!$J$21)*'Assumptions'!J37</x:f>
        <x:v>945</x:v>
      </x:c>
      <x:c r="Q1444" s="27" t="n">
        <x:f>(VLOOKUP(O1444,'Fee Data'!$C$6:$G$50,4,TRUE)+O1444*VLOOKUP(O1444,'Fee Data'!$C$6:$G$50,5,TRUE)+VLOOKUP(O1444,'Fee Data'!$I$6:$J$14,2,TRUE)+'Fee Data'!$J$20+'Fee Data'!$J$21)*'Assumptions'!J37</x:f>
        <x:v>820</x:v>
      </x:c>
      <x:c r="R1444" s="27" t="n">
        <x:f>P1444*(1-'Assumptions'!$D$14)+Q1444*'Assumptions'!$D$14</x:f>
        <x:v>882.5</x:v>
      </x:c>
      <x:c r="S1444" s="27" t="n">
        <x:f>O1444*'Carrier Engine'!E97</x:f>
        <x:v>170.19840300709254</x:v>
      </x:c>
      <x:c r="T1444" s="28" t="n">
        <x:f>R1444+S1444</x:f>
        <x:v>1052.6984030070926</x:v>
      </x:c>
      <x:c r="U1444" s="27" t="n">
        <x:f>N1444*'Fleet Engine'!L209</x:f>
        <x:v>521.6585471301721</x:v>
      </x:c>
      <x:c r="V1444" s="28" t="n">
        <x:f>U1444*T1444</x:f>
        <x:v>549149.1194789323</x:v>
      </x:c>
      <x:c r="W1444" s="28" t="n">
        <x:f>U1444*O1444</x:f>
        <x:v>2219636.2909138845</x:v>
      </x:c>
    </x:row>
    <x:row r="1445" ht="19" customHeight="1">
      <x:c r="A1445" s="2"/>
      <x:c r="B1445" s="2"/>
      <x:c r="C1445" s="46" t="n">
        <x:v>6</x:v>
      </x:c>
      <x:c r="D1445" s="46" t="n">
        <x:v>15</x:v>
      </x:c>
      <x:c r="E1445" s="46" t="n">
        <x:v>2</x:v>
      </x:c>
      <x:c r="F1445" s="46" t="n">
        <x:v>3</x:v>
      </x:c>
      <x:c r="G1445" s="12" t="n">
        <x:v>0.8888888888888888</x:v>
      </x:c>
      <x:c r="H1445" s="12" t="n">
        <x:v>1</x:v>
      </x:c>
      <x:c r="I1445" s="29" t="n">
        <x:f>'Assumptions'!$D$11+'Assumptions'!$D$12*(0.5-(G1445+H1445)/2)</x:f>
        <x:v>0.21111111111111108</x:v>
      </x:c>
      <x:c r="J1445" s="27" t="n">
        <x:f>'Assumptions'!$D$8*EXP(-'Assumptions'!$D$9*('Fleet Engine'!E209-10))*'Assumptions'!E57*'Assumptions'!J36</x:f>
        <x:v>18235.543179331336</x:v>
      </x:c>
      <x:c r="K1445" s="27" t="n">
        <x:f>'Source Data'!F220+LN('Assumptions'!D57)+LN('Assumptions'!J35)</x:f>
        <x:v>8.332638086869624</x:v>
      </x:c>
      <x:c r="L1445" s="27" t="n">
        <x:f>J1445*(1-I1445*(1-'Carrier Engine'!E97))</x:f>
        <x:v>14539.806428320186</x:v>
      </x:c>
      <x:c r="M1445" s="29" t="n">
        <x:f>NORM.S.DIST((LN(L1445)-K1445)/'Assumptions'!$D$10,TRUE)</x:f>
        <x:v>0.7873767780721864</x:v>
      </x:c>
      <x:c r="N1445" s="30" t="n">
        <x:f>MAX(0,H1445-MAX(G1445,M1445))</x:f>
        <x:v>0.11111111111111116</x:v>
      </x:c>
      <x:c r="O1445" s="28" t="n">
        <x:f>J1445*I1445</x:f>
        <x:v>3849.7257823032814</x:v>
      </x:c>
      <x:c r="P1445" s="27" t="n">
        <x:f>(VLOOKUP(O1445,'Fee Data'!$C$6:$G$50,2,TRUE)+O1445*VLOOKUP(O1445,'Fee Data'!$C$6:$G$50,3,TRUE)+VLOOKUP(O1445,'Fee Data'!$I$6:$J$14,2,TRUE)+'Fee Data'!$J$20+'Fee Data'!$J$21)*'Assumptions'!J37</x:f>
        <x:v>915</x:v>
      </x:c>
      <x:c r="Q1445" s="27" t="n">
        <x:f>(VLOOKUP(O1445,'Fee Data'!$C$6:$G$50,4,TRUE)+O1445*VLOOKUP(O1445,'Fee Data'!$C$6:$G$50,5,TRUE)+VLOOKUP(O1445,'Fee Data'!$I$6:$J$14,2,TRUE)+'Fee Data'!$J$20+'Fee Data'!$J$21)*'Assumptions'!J37</x:f>
        <x:v>765</x:v>
      </x:c>
      <x:c r="R1445" s="27" t="n">
        <x:f>P1445*(1-'Assumptions'!$D$14)+Q1445*'Assumptions'!$D$14</x:f>
        <x:v>840</x:v>
      </x:c>
      <x:c r="S1445" s="27" t="n">
        <x:f>O1445*'Carrier Engine'!E97</x:f>
        <x:v>153.9890312921313</x:v>
      </x:c>
      <x:c r="T1445" s="28" t="n">
        <x:f>R1445+S1445</x:f>
        <x:v>993.9890312921314</x:v>
      </x:c>
      <x:c r="U1445" s="27" t="n">
        <x:f>N1445*'Fleet Engine'!L209</x:f>
        <x:v>543.9350171282447</x:v>
      </x:c>
      <x:c r="V1445" s="28" t="n">
        <x:f>U1445*T1445</x:f>
        <x:v>540665.4407611728</x:v>
      </x:c>
      <x:c r="W1445" s="28" t="n">
        <x:f>U1445*O1445</x:f>
        <x:v>2094000.6593361807</x:v>
      </x:c>
    </x:row>
    <x:row r="1446" ht="19" customHeight="1">
      <x:c r="A1446" s="2"/>
      <x:c r="B1446" s="2"/>
      <x:c r="C1446" s="46" t="n">
        <x:v>6</x:v>
      </x:c>
      <x:c r="D1446" s="46" t="n">
        <x:v>16</x:v>
      </x:c>
      <x:c r="E1446" s="46" t="n">
        <x:v>2</x:v>
      </x:c>
      <x:c r="F1446" s="46" t="n">
        <x:v>4</x:v>
      </x:c>
      <x:c r="G1446" s="12" t="n">
        <x:v>0</x:v>
      </x:c>
      <x:c r="H1446" s="12" t="n">
        <x:v>0.1111111111111111</x:v>
      </x:c>
      <x:c r="I1446" s="29" t="n">
        <x:f>'Assumptions'!$D$11+'Assumptions'!$D$12*(0.5-(G1446+H1446)/2)</x:f>
        <x:v>0.3888888888888889</x:v>
      </x:c>
      <x:c r="J1446" s="27" t="n">
        <x:f>'Assumptions'!$D$8*EXP(-'Assumptions'!$D$9*('Fleet Engine'!E210-10))*'Assumptions'!E57*'Assumptions'!J36</x:f>
        <x:v>13509.222651276876</x:v>
      </x:c>
      <x:c r="K1446" s="27" t="n">
        <x:f>'Source Data'!F221+LN('Assumptions'!D57)+LN('Assumptions'!J35)</x:f>
        <x:v>8.418486215784876</x:v>
      </x:c>
      <x:c r="L1446" s="27" t="n">
        <x:f>J1446*(1-I1446*(1-'Carrier Engine'!E97))</x:f>
        <x:v>8465.77952813351</x:v>
      </x:c>
      <x:c r="M1446" s="29" t="n">
        <x:f>NORM.S.DIST((LN(L1446)-K1446)/'Assumptions'!$D$10,TRUE)</x:f>
        <x:v>0.6547692149183624</x:v>
      </x:c>
      <x:c r="N1446" s="30" t="n">
        <x:f>MAX(0,H1446-MAX(G1446,M1446))</x:f>
        <x:v>0</x:v>
      </x:c>
      <x:c r="O1446" s="28" t="n">
        <x:f>J1446*I1446</x:f>
        <x:v>5253.586586607674</x:v>
      </x:c>
      <x:c r="P1446" s="27" t="n">
        <x:f>(VLOOKUP(O1446,'Fee Data'!$C$6:$G$50,2,TRUE)+O1446*VLOOKUP(O1446,'Fee Data'!$C$6:$G$50,3,TRUE)+VLOOKUP(O1446,'Fee Data'!$I$6:$J$14,2,TRUE)+'Fee Data'!$J$20+'Fee Data'!$J$21)*'Assumptions'!J37</x:f>
        <x:v>995</x:v>
      </x:c>
      <x:c r="Q1446" s="27" t="n">
        <x:f>(VLOOKUP(O1446,'Fee Data'!$C$6:$G$50,4,TRUE)+O1446*VLOOKUP(O1446,'Fee Data'!$C$6:$G$50,5,TRUE)+VLOOKUP(O1446,'Fee Data'!$I$6:$J$14,2,TRUE)+'Fee Data'!$J$20+'Fee Data'!$J$21)*'Assumptions'!J37</x:f>
        <x:v>870</x:v>
      </x:c>
      <x:c r="R1446" s="27" t="n">
        <x:f>P1446*(1-'Assumptions'!$D$14)+Q1446*'Assumptions'!$D$14</x:f>
        <x:v>932.5</x:v>
      </x:c>
      <x:c r="S1446" s="27" t="n">
        <x:f>O1446*'Carrier Engine'!E97</x:f>
        <x:v>210.143463464307</x:v>
      </x:c>
      <x:c r="T1446" s="28" t="n">
        <x:f>R1446+S1446</x:f>
        <x:v>1142.643463464307</x:v>
      </x:c>
      <x:c r="U1446" s="27" t="n">
        <x:f>N1446*'Fleet Engine'!L210</x:f>
        <x:v>0</x:v>
      </x:c>
      <x:c r="V1446" s="28" t="n">
        <x:f>U1446*T1446</x:f>
        <x:v>0</x:v>
      </x:c>
      <x:c r="W1446" s="28" t="n">
        <x:f>U1446*O1446</x:f>
        <x:v>0</x:v>
      </x:c>
    </x:row>
    <x:row r="1447" ht="19" customHeight="1">
      <x:c r="A1447" s="2"/>
      <x:c r="B1447" s="2"/>
      <x:c r="C1447" s="46" t="n">
        <x:v>6</x:v>
      </x:c>
      <x:c r="D1447" s="46" t="n">
        <x:v>16</x:v>
      </x:c>
      <x:c r="E1447" s="46" t="n">
        <x:v>2</x:v>
      </x:c>
      <x:c r="F1447" s="46" t="n">
        <x:v>4</x:v>
      </x:c>
      <x:c r="G1447" s="12" t="n">
        <x:v>0.1111111111111111</x:v>
      </x:c>
      <x:c r="H1447" s="12" t="n">
        <x:v>0.2222222222222222</x:v>
      </x:c>
      <x:c r="I1447" s="29" t="n">
        <x:f>'Assumptions'!$D$11+'Assumptions'!$D$12*(0.5-(G1447+H1447)/2)</x:f>
        <x:v>0.3666666666666667</x:v>
      </x:c>
      <x:c r="J1447" s="27" t="n">
        <x:f>'Assumptions'!$D$8*EXP(-'Assumptions'!$D$9*('Fleet Engine'!E210-10))*'Assumptions'!E57*'Assumptions'!J36</x:f>
        <x:v>13509.222651276876</x:v>
      </x:c>
      <x:c r="K1447" s="27" t="n">
        <x:f>'Source Data'!F221+LN('Assumptions'!D57)+LN('Assumptions'!J35)</x:f>
        <x:v>8.418486215784876</x:v>
      </x:c>
      <x:c r="L1447" s="27" t="n">
        <x:f>J1447*(1-I1447*(1-'Carrier Engine'!E97))</x:f>
        <x:v>8753.976278027414</x:v>
      </x:c>
      <x:c r="M1447" s="29" t="n">
        <x:f>NORM.S.DIST((LN(L1447)-K1447)/'Assumptions'!$D$10,TRUE)</x:f>
        <x:v>0.6625922348502294</x:v>
      </x:c>
      <x:c r="N1447" s="30" t="n">
        <x:f>MAX(0,H1447-MAX(G1447,M1447))</x:f>
        <x:v>0</x:v>
      </x:c>
      <x:c r="O1447" s="28" t="n">
        <x:f>J1447*I1447</x:f>
        <x:v>4953.381638801521</x:v>
      </x:c>
      <x:c r="P1447" s="27" t="n">
        <x:f>(VLOOKUP(O1447,'Fee Data'!$C$6:$G$50,2,TRUE)+O1447*VLOOKUP(O1447,'Fee Data'!$C$6:$G$50,3,TRUE)+VLOOKUP(O1447,'Fee Data'!$I$6:$J$14,2,TRUE)+'Fee Data'!$J$20+'Fee Data'!$J$21)*'Assumptions'!J37</x:f>
        <x:v>970</x:v>
      </x:c>
      <x:c r="Q1447" s="27" t="n">
        <x:f>(VLOOKUP(O1447,'Fee Data'!$C$6:$G$50,4,TRUE)+O1447*VLOOKUP(O1447,'Fee Data'!$C$6:$G$50,5,TRUE)+VLOOKUP(O1447,'Fee Data'!$I$6:$J$14,2,TRUE)+'Fee Data'!$J$20+'Fee Data'!$J$21)*'Assumptions'!J37</x:f>
        <x:v>845</x:v>
      </x:c>
      <x:c r="R1447" s="27" t="n">
        <x:f>P1447*(1-'Assumptions'!$D$14)+Q1447*'Assumptions'!$D$14</x:f>
        <x:v>907.5</x:v>
      </x:c>
      <x:c r="S1447" s="27" t="n">
        <x:f>O1447*'Carrier Engine'!E97</x:f>
        <x:v>198.13526555206087</x:v>
      </x:c>
      <x:c r="T1447" s="28" t="n">
        <x:f>R1447+S1447</x:f>
        <x:v>1105.635265552061</x:v>
      </x:c>
      <x:c r="U1447" s="27" t="n">
        <x:f>N1447*'Fleet Engine'!L210</x:f>
        <x:v>0</x:v>
      </x:c>
      <x:c r="V1447" s="28" t="n">
        <x:f>U1447*T1447</x:f>
        <x:v>0</x:v>
      </x:c>
      <x:c r="W1447" s="28" t="n">
        <x:f>U1447*O1447</x:f>
        <x:v>0</x:v>
      </x:c>
    </x:row>
    <x:row r="1448" ht="19" customHeight="1">
      <x:c r="A1448" s="2"/>
      <x:c r="B1448" s="2"/>
      <x:c r="C1448" s="46" t="n">
        <x:v>6</x:v>
      </x:c>
      <x:c r="D1448" s="46" t="n">
        <x:v>16</x:v>
      </x:c>
      <x:c r="E1448" s="46" t="n">
        <x:v>2</x:v>
      </x:c>
      <x:c r="F1448" s="46" t="n">
        <x:v>4</x:v>
      </x:c>
      <x:c r="G1448" s="12" t="n">
        <x:v>0.2222222222222222</x:v>
      </x:c>
      <x:c r="H1448" s="12" t="n">
        <x:v>0.3333333333333333</x:v>
      </x:c>
      <x:c r="I1448" s="29" t="n">
        <x:f>'Assumptions'!$D$11+'Assumptions'!$D$12*(0.5-(G1448+H1448)/2)</x:f>
        <x:v>0.34444444444444444</x:v>
      </x:c>
      <x:c r="J1448" s="27" t="n">
        <x:f>'Assumptions'!$D$8*EXP(-'Assumptions'!$D$9*('Fleet Engine'!E210-10))*'Assumptions'!E57*'Assumptions'!J36</x:f>
        <x:v>13509.222651276876</x:v>
      </x:c>
      <x:c r="K1448" s="27" t="n">
        <x:f>'Source Data'!F221+LN('Assumptions'!D57)+LN('Assumptions'!J35)</x:f>
        <x:v>8.418486215784876</x:v>
      </x:c>
      <x:c r="L1448" s="27" t="n">
        <x:f>J1448*(1-I1448*(1-'Carrier Engine'!E97))</x:f>
        <x:v>9042.173027921323</x:v>
      </x:c>
      <x:c r="M1448" s="29" t="n">
        <x:f>NORM.S.DIST((LN(L1448)-K1448)/'Assumptions'!$D$10,TRUE)</x:f>
        <x:v>0.6700955519426168</x:v>
      </x:c>
      <x:c r="N1448" s="30" t="n">
        <x:f>MAX(0,H1448-MAX(G1448,M1448))</x:f>
        <x:v>0</x:v>
      </x:c>
      <x:c r="O1448" s="28" t="n">
        <x:f>J1448*I1448</x:f>
        <x:v>4653.1766909953685</x:v>
      </x:c>
      <x:c r="P1448" s="27" t="n">
        <x:f>(VLOOKUP(O1448,'Fee Data'!$C$6:$G$50,2,TRUE)+O1448*VLOOKUP(O1448,'Fee Data'!$C$6:$G$50,3,TRUE)+VLOOKUP(O1448,'Fee Data'!$I$6:$J$14,2,TRUE)+'Fee Data'!$J$20+'Fee Data'!$J$21)*'Assumptions'!J37</x:f>
        <x:v>970</x:v>
      </x:c>
      <x:c r="Q1448" s="27" t="n">
        <x:f>(VLOOKUP(O1448,'Fee Data'!$C$6:$G$50,4,TRUE)+O1448*VLOOKUP(O1448,'Fee Data'!$C$6:$G$50,5,TRUE)+VLOOKUP(O1448,'Fee Data'!$I$6:$J$14,2,TRUE)+'Fee Data'!$J$20+'Fee Data'!$J$21)*'Assumptions'!J37</x:f>
        <x:v>845</x:v>
      </x:c>
      <x:c r="R1448" s="27" t="n">
        <x:f>P1448*(1-'Assumptions'!$D$14)+Q1448*'Assumptions'!$D$14</x:f>
        <x:v>907.5</x:v>
      </x:c>
      <x:c r="S1448" s="27" t="n">
        <x:f>O1448*'Carrier Engine'!E97</x:f>
        <x:v>186.12706763981478</x:v>
      </x:c>
      <x:c r="T1448" s="28" t="n">
        <x:f>R1448+S1448</x:f>
        <x:v>1093.6270676398149</x:v>
      </x:c>
      <x:c r="U1448" s="27" t="n">
        <x:f>N1448*'Fleet Engine'!L210</x:f>
        <x:v>0</x:v>
      </x:c>
      <x:c r="V1448" s="28" t="n">
        <x:f>U1448*T1448</x:f>
        <x:v>0</x:v>
      </x:c>
      <x:c r="W1448" s="28" t="n">
        <x:f>U1448*O1448</x:f>
        <x:v>0</x:v>
      </x:c>
    </x:row>
    <x:row r="1449" ht="19" customHeight="1">
      <x:c r="A1449" s="2"/>
      <x:c r="B1449" s="2"/>
      <x:c r="C1449" s="46" t="n">
        <x:v>6</x:v>
      </x:c>
      <x:c r="D1449" s="46" t="n">
        <x:v>16</x:v>
      </x:c>
      <x:c r="E1449" s="46" t="n">
        <x:v>2</x:v>
      </x:c>
      <x:c r="F1449" s="46" t="n">
        <x:v>4</x:v>
      </x:c>
      <x:c r="G1449" s="12" t="n">
        <x:v>0.3333333333333333</x:v>
      </x:c>
      <x:c r="H1449" s="12" t="n">
        <x:v>0.4444444444444444</x:v>
      </x:c>
      <x:c r="I1449" s="29" t="n">
        <x:f>'Assumptions'!$D$11+'Assumptions'!$D$12*(0.5-(G1449+H1449)/2)</x:f>
        <x:v>0.32222222222222224</x:v>
      </x:c>
      <x:c r="J1449" s="27" t="n">
        <x:f>'Assumptions'!$D$8*EXP(-'Assumptions'!$D$9*('Fleet Engine'!E210-10))*'Assumptions'!E57*'Assumptions'!J36</x:f>
        <x:v>13509.222651276876</x:v>
      </x:c>
      <x:c r="K1449" s="27" t="n">
        <x:f>'Source Data'!F221+LN('Assumptions'!D57)+LN('Assumptions'!J35)</x:f>
        <x:v>8.418486215784876</x:v>
      </x:c>
      <x:c r="L1449" s="27" t="n">
        <x:f>J1449*(1-I1449*(1-'Carrier Engine'!E97))</x:f>
        <x:v>9330.36977781523</x:v>
      </x:c>
      <x:c r="M1449" s="29" t="n">
        <x:f>NORM.S.DIST((LN(L1449)-K1449)/'Assumptions'!$D$10,TRUE)</x:f>
        <x:v>0.6772987939004849</x:v>
      </x:c>
      <x:c r="N1449" s="30" t="n">
        <x:f>MAX(0,H1449-MAX(G1449,M1449))</x:f>
        <x:v>0</x:v>
      </x:c>
      <x:c r="O1449" s="28" t="n">
        <x:f>J1449*I1449</x:f>
        <x:v>4352.971743189216</x:v>
      </x:c>
      <x:c r="P1449" s="27" t="n">
        <x:f>(VLOOKUP(O1449,'Fee Data'!$C$6:$G$50,2,TRUE)+O1449*VLOOKUP(O1449,'Fee Data'!$C$6:$G$50,3,TRUE)+VLOOKUP(O1449,'Fee Data'!$I$6:$J$14,2,TRUE)+'Fee Data'!$J$20+'Fee Data'!$J$21)*'Assumptions'!J37</x:f>
        <x:v>945</x:v>
      </x:c>
      <x:c r="Q1449" s="27" t="n">
        <x:f>(VLOOKUP(O1449,'Fee Data'!$C$6:$G$50,4,TRUE)+O1449*VLOOKUP(O1449,'Fee Data'!$C$6:$G$50,5,TRUE)+VLOOKUP(O1449,'Fee Data'!$I$6:$J$14,2,TRUE)+'Fee Data'!$J$20+'Fee Data'!$J$21)*'Assumptions'!J37</x:f>
        <x:v>820</x:v>
      </x:c>
      <x:c r="R1449" s="27" t="n">
        <x:f>P1449*(1-'Assumptions'!$D$14)+Q1449*'Assumptions'!$D$14</x:f>
        <x:v>882.5</x:v>
      </x:c>
      <x:c r="S1449" s="27" t="n">
        <x:f>O1449*'Carrier Engine'!E97</x:f>
        <x:v>174.11886972756866</x:v>
      </x:c>
      <x:c r="T1449" s="28" t="n">
        <x:f>R1449+S1449</x:f>
        <x:v>1056.6188697275686</x:v>
      </x:c>
      <x:c r="U1449" s="27" t="n">
        <x:f>N1449*'Fleet Engine'!L210</x:f>
        <x:v>0</x:v>
      </x:c>
      <x:c r="V1449" s="28" t="n">
        <x:f>U1449*T1449</x:f>
        <x:v>0</x:v>
      </x:c>
      <x:c r="W1449" s="28" t="n">
        <x:f>U1449*O1449</x:f>
        <x:v>0</x:v>
      </x:c>
    </x:row>
    <x:row r="1450" ht="19" customHeight="1">
      <x:c r="A1450" s="2"/>
      <x:c r="B1450" s="2"/>
      <x:c r="C1450" s="46" t="n">
        <x:v>6</x:v>
      </x:c>
      <x:c r="D1450" s="46" t="n">
        <x:v>16</x:v>
      </x:c>
      <x:c r="E1450" s="46" t="n">
        <x:v>2</x:v>
      </x:c>
      <x:c r="F1450" s="46" t="n">
        <x:v>4</x:v>
      </x:c>
      <x:c r="G1450" s="12" t="n">
        <x:v>0.4444444444444444</x:v>
      </x:c>
      <x:c r="H1450" s="12" t="n">
        <x:v>0.5555555555555556</x:v>
      </x:c>
      <x:c r="I1450" s="29" t="n">
        <x:f>'Assumptions'!$D$11+'Assumptions'!$D$12*(0.5-(G1450+H1450)/2)</x:f>
        <x:v>0.3</x:v>
      </x:c>
      <x:c r="J1450" s="27" t="n">
        <x:f>'Assumptions'!$D$8*EXP(-'Assumptions'!$D$9*('Fleet Engine'!E210-10))*'Assumptions'!E57*'Assumptions'!J36</x:f>
        <x:v>13509.222651276876</x:v>
      </x:c>
      <x:c r="K1450" s="27" t="n">
        <x:f>'Source Data'!F221+LN('Assumptions'!D57)+LN('Assumptions'!J35)</x:f>
        <x:v>8.418486215784876</x:v>
      </x:c>
      <x:c r="L1450" s="27" t="n">
        <x:f>J1450*(1-I1450*(1-'Carrier Engine'!E97))</x:f>
        <x:v>9618.566527709136</x:v>
      </x:c>
      <x:c r="M1450" s="29" t="n">
        <x:f>NORM.S.DIST((LN(L1450)-K1450)/'Assumptions'!$D$10,TRUE)</x:f>
        <x:v>0.6842199654494845</x:v>
      </x:c>
      <x:c r="N1450" s="30" t="n">
        <x:f>MAX(0,H1450-MAX(G1450,M1450))</x:f>
        <x:v>0</x:v>
      </x:c>
      <x:c r="O1450" s="28" t="n">
        <x:f>J1450*I1450</x:f>
        <x:v>4052.7667953830623</x:v>
      </x:c>
      <x:c r="P1450" s="27" t="n">
        <x:f>(VLOOKUP(O1450,'Fee Data'!$C$6:$G$50,2,TRUE)+O1450*VLOOKUP(O1450,'Fee Data'!$C$6:$G$50,3,TRUE)+VLOOKUP(O1450,'Fee Data'!$I$6:$J$14,2,TRUE)+'Fee Data'!$J$20+'Fee Data'!$J$21)*'Assumptions'!J37</x:f>
        <x:v>945</x:v>
      </x:c>
      <x:c r="Q1450" s="27" t="n">
        <x:f>(VLOOKUP(O1450,'Fee Data'!$C$6:$G$50,4,TRUE)+O1450*VLOOKUP(O1450,'Fee Data'!$C$6:$G$50,5,TRUE)+VLOOKUP(O1450,'Fee Data'!$I$6:$J$14,2,TRUE)+'Fee Data'!$J$20+'Fee Data'!$J$21)*'Assumptions'!J37</x:f>
        <x:v>820</x:v>
      </x:c>
      <x:c r="R1450" s="27" t="n">
        <x:f>P1450*(1-'Assumptions'!$D$14)+Q1450*'Assumptions'!$D$14</x:f>
        <x:v>882.5</x:v>
      </x:c>
      <x:c r="S1450" s="27" t="n">
        <x:f>O1450*'Carrier Engine'!E97</x:f>
        <x:v>162.11067181532252</x:v>
      </x:c>
      <x:c r="T1450" s="28" t="n">
        <x:f>R1450+S1450</x:f>
        <x:v>1044.6106718153226</x:v>
      </x:c>
      <x:c r="U1450" s="27" t="n">
        <x:f>N1450*'Fleet Engine'!L210</x:f>
        <x:v>0</x:v>
      </x:c>
      <x:c r="V1450" s="28" t="n">
        <x:f>U1450*T1450</x:f>
        <x:v>0</x:v>
      </x:c>
      <x:c r="W1450" s="28" t="n">
        <x:f>U1450*O1450</x:f>
        <x:v>0</x:v>
      </x:c>
    </x:row>
    <x:row r="1451" ht="19" customHeight="1">
      <x:c r="A1451" s="2"/>
      <x:c r="B1451" s="2"/>
      <x:c r="C1451" s="46" t="n">
        <x:v>6</x:v>
      </x:c>
      <x:c r="D1451" s="46" t="n">
        <x:v>16</x:v>
      </x:c>
      <x:c r="E1451" s="46" t="n">
        <x:v>2</x:v>
      </x:c>
      <x:c r="F1451" s="46" t="n">
        <x:v>4</x:v>
      </x:c>
      <x:c r="G1451" s="12" t="n">
        <x:v>0.5555555555555556</x:v>
      </x:c>
      <x:c r="H1451" s="12" t="n">
        <x:v>0.6666666666666666</x:v>
      </x:c>
      <x:c r="I1451" s="29" t="n">
        <x:f>'Assumptions'!$D$11+'Assumptions'!$D$12*(0.5-(G1451+H1451)/2)</x:f>
        <x:v>0.27777777777777773</x:v>
      </x:c>
      <x:c r="J1451" s="27" t="n">
        <x:f>'Assumptions'!$D$8*EXP(-'Assumptions'!$D$9*('Fleet Engine'!E210-10))*'Assumptions'!E57*'Assumptions'!J36</x:f>
        <x:v>13509.222651276876</x:v>
      </x:c>
      <x:c r="K1451" s="27" t="n">
        <x:f>'Source Data'!F221+LN('Assumptions'!D57)+LN('Assumptions'!J35)</x:f>
        <x:v>8.418486215784876</x:v>
      </x:c>
      <x:c r="L1451" s="27" t="n">
        <x:f>J1451*(1-I1451*(1-'Carrier Engine'!E97))</x:f>
        <x:v>9906.763277603042</x:v>
      </x:c>
      <x:c r="M1451" s="29" t="n">
        <x:f>NORM.S.DIST((LN(L1451)-K1451)/'Assumptions'!$D$10,TRUE)</x:f>
        <x:v>0.6908756170073835</x:v>
      </x:c>
      <x:c r="N1451" s="30" t="n">
        <x:f>MAX(0,H1451-MAX(G1451,M1451))</x:f>
        <x:v>0</x:v>
      </x:c>
      <x:c r="O1451" s="28" t="n">
        <x:f>J1451*I1451</x:f>
        <x:v>3752.5618475769093</x:v>
      </x:c>
      <x:c r="P1451" s="27" t="n">
        <x:f>(VLOOKUP(O1451,'Fee Data'!$C$6:$G$50,2,TRUE)+O1451*VLOOKUP(O1451,'Fee Data'!$C$6:$G$50,3,TRUE)+VLOOKUP(O1451,'Fee Data'!$I$6:$J$14,2,TRUE)+'Fee Data'!$J$20+'Fee Data'!$J$21)*'Assumptions'!J37</x:f>
        <x:v>915</x:v>
      </x:c>
      <x:c r="Q1451" s="27" t="n">
        <x:f>(VLOOKUP(O1451,'Fee Data'!$C$6:$G$50,4,TRUE)+O1451*VLOOKUP(O1451,'Fee Data'!$C$6:$G$50,5,TRUE)+VLOOKUP(O1451,'Fee Data'!$I$6:$J$14,2,TRUE)+'Fee Data'!$J$20+'Fee Data'!$J$21)*'Assumptions'!J37</x:f>
        <x:v>765</x:v>
      </x:c>
      <x:c r="R1451" s="27" t="n">
        <x:f>P1451*(1-'Assumptions'!$D$14)+Q1451*'Assumptions'!$D$14</x:f>
        <x:v>840</x:v>
      </x:c>
      <x:c r="S1451" s="27" t="n">
        <x:f>O1451*'Carrier Engine'!E97</x:f>
        <x:v>150.1024739030764</x:v>
      </x:c>
      <x:c r="T1451" s="28" t="n">
        <x:f>R1451+S1451</x:f>
        <x:v>990.1024739030764</x:v>
      </x:c>
      <x:c r="U1451" s="27" t="n">
        <x:f>N1451*'Fleet Engine'!L210</x:f>
        <x:v>0</x:v>
      </x:c>
      <x:c r="V1451" s="28" t="n">
        <x:f>U1451*T1451</x:f>
        <x:v>0</x:v>
      </x:c>
      <x:c r="W1451" s="28" t="n">
        <x:f>U1451*O1451</x:f>
        <x:v>0</x:v>
      </x:c>
    </x:row>
    <x:row r="1452" ht="19" customHeight="1">
      <x:c r="A1452" s="2"/>
      <x:c r="B1452" s="2"/>
      <x:c r="C1452" s="46" t="n">
        <x:v>6</x:v>
      </x:c>
      <x:c r="D1452" s="46" t="n">
        <x:v>16</x:v>
      </x:c>
      <x:c r="E1452" s="46" t="n">
        <x:v>2</x:v>
      </x:c>
      <x:c r="F1452" s="46" t="n">
        <x:v>4</x:v>
      </x:c>
      <x:c r="G1452" s="12" t="n">
        <x:v>0.6666666666666666</x:v>
      </x:c>
      <x:c r="H1452" s="12" t="n">
        <x:v>0.7777777777777778</x:v>
      </x:c>
      <x:c r="I1452" s="29" t="n">
        <x:f>'Assumptions'!$D$11+'Assumptions'!$D$12*(0.5-(G1452+H1452)/2)</x:f>
        <x:v>0.25555555555555554</x:v>
      </x:c>
      <x:c r="J1452" s="27" t="n">
        <x:f>'Assumptions'!$D$8*EXP(-'Assumptions'!$D$9*('Fleet Engine'!E210-10))*'Assumptions'!E57*'Assumptions'!J36</x:f>
        <x:v>13509.222651276876</x:v>
      </x:c>
      <x:c r="K1452" s="27" t="n">
        <x:f>'Source Data'!F221+LN('Assumptions'!D57)+LN('Assumptions'!J35)</x:f>
        <x:v>8.418486215784876</x:v>
      </x:c>
      <x:c r="L1452" s="27" t="n">
        <x:f>J1452*(1-I1452*(1-'Carrier Engine'!E97))</x:f>
        <x:v>10194.960027496949</x:v>
      </x:c>
      <x:c r="M1452" s="29" t="n">
        <x:f>NORM.S.DIST((LN(L1452)-K1452)/'Assumptions'!$D$10,TRUE)</x:f>
        <x:v>0.697280992324818</x:v>
      </x:c>
      <x:c r="N1452" s="30" t="n">
        <x:f>MAX(0,H1452-MAX(G1452,M1452))</x:f>
        <x:v>0.0804967854529598</x:v>
      </x:c>
      <x:c r="O1452" s="28" t="n">
        <x:f>J1452*I1452</x:f>
        <x:v>3452.356899770757</x:v>
      </x:c>
      <x:c r="P1452" s="27" t="n">
        <x:f>(VLOOKUP(O1452,'Fee Data'!$C$6:$G$50,2,TRUE)+O1452*VLOOKUP(O1452,'Fee Data'!$C$6:$G$50,3,TRUE)+VLOOKUP(O1452,'Fee Data'!$I$6:$J$14,2,TRUE)+'Fee Data'!$J$20+'Fee Data'!$J$21)*'Assumptions'!J37</x:f>
        <x:v>865</x:v>
      </x:c>
      <x:c r="Q1452" s="27" t="n">
        <x:f>(VLOOKUP(O1452,'Fee Data'!$C$6:$G$50,4,TRUE)+O1452*VLOOKUP(O1452,'Fee Data'!$C$6:$G$50,5,TRUE)+VLOOKUP(O1452,'Fee Data'!$I$6:$J$14,2,TRUE)+'Fee Data'!$J$20+'Fee Data'!$J$21)*'Assumptions'!J37</x:f>
        <x:v>715</x:v>
      </x:c>
      <x:c r="R1452" s="27" t="n">
        <x:f>P1452*(1-'Assumptions'!$D$14)+Q1452*'Assumptions'!$D$14</x:f>
        <x:v>790</x:v>
      </x:c>
      <x:c r="S1452" s="27" t="n">
        <x:f>O1452*'Carrier Engine'!E97</x:f>
        <x:v>138.0942759908303</x:v>
      </x:c>
      <x:c r="T1452" s="28" t="n">
        <x:f>R1452+S1452</x:f>
        <x:v>928.0942759908303</x:v>
      </x:c>
      <x:c r="U1452" s="27" t="n">
        <x:f>N1452*'Fleet Engine'!L210</x:f>
        <x:v>226.07398884864185</x:v>
      </x:c>
      <x:c r="V1452" s="28" t="n">
        <x:f>U1452*T1452</x:f>
        <x:v>209817.9750008393</x:v>
      </x:c>
      <x:c r="W1452" s="28" t="n">
        <x:f>U1452*O1452</x:f>
        <x:v>780488.0952603059</x:v>
      </x:c>
    </x:row>
    <x:row r="1453" ht="19" customHeight="1">
      <x:c r="A1453" s="2"/>
      <x:c r="B1453" s="2"/>
      <x:c r="C1453" s="46" t="n">
        <x:v>6</x:v>
      </x:c>
      <x:c r="D1453" s="46" t="n">
        <x:v>16</x:v>
      </x:c>
      <x:c r="E1453" s="46" t="n">
        <x:v>2</x:v>
      </x:c>
      <x:c r="F1453" s="46" t="n">
        <x:v>4</x:v>
      </x:c>
      <x:c r="G1453" s="12" t="n">
        <x:v>0.7777777777777778</x:v>
      </x:c>
      <x:c r="H1453" s="12" t="n">
        <x:v>0.8888888888888888</x:v>
      </x:c>
      <x:c r="I1453" s="29" t="n">
        <x:f>'Assumptions'!$D$11+'Assumptions'!$D$12*(0.5-(G1453+H1453)/2)</x:f>
        <x:v>0.23333333333333334</x:v>
      </x:c>
      <x:c r="J1453" s="27" t="n">
        <x:f>'Assumptions'!$D$8*EXP(-'Assumptions'!$D$9*('Fleet Engine'!E210-10))*'Assumptions'!E57*'Assumptions'!J36</x:f>
        <x:v>13509.222651276876</x:v>
      </x:c>
      <x:c r="K1453" s="27" t="n">
        <x:f>'Source Data'!F221+LN('Assumptions'!D57)+LN('Assumptions'!J35)</x:f>
        <x:v>8.418486215784876</x:v>
      </x:c>
      <x:c r="L1453" s="27" t="n">
        <x:f>J1453*(1-I1453*(1-'Carrier Engine'!E97))</x:f>
        <x:v>10483.156777390855</x:v>
      </x:c>
      <x:c r="M1453" s="29" t="n">
        <x:f>NORM.S.DIST((LN(L1453)-K1453)/'Assumptions'!$D$10,TRUE)</x:f>
        <x:v>0.7034501581393012</x:v>
      </x:c>
      <x:c r="N1453" s="30" t="n">
        <x:f>MAX(0,H1453-MAX(G1453,M1453))</x:f>
        <x:v>0.11111111111111105</x:v>
      </x:c>
      <x:c r="O1453" s="28" t="n">
        <x:f>J1453*I1453</x:f>
        <x:v>3152.1519519646045</x:v>
      </x:c>
      <x:c r="P1453" s="27" t="n">
        <x:f>(VLOOKUP(O1453,'Fee Data'!$C$6:$G$50,2,TRUE)+O1453*VLOOKUP(O1453,'Fee Data'!$C$6:$G$50,3,TRUE)+VLOOKUP(O1453,'Fee Data'!$I$6:$J$14,2,TRUE)+'Fee Data'!$J$20+'Fee Data'!$J$21)*'Assumptions'!J37</x:f>
        <x:v>865</x:v>
      </x:c>
      <x:c r="Q1453" s="27" t="n">
        <x:f>(VLOOKUP(O1453,'Fee Data'!$C$6:$G$50,4,TRUE)+O1453*VLOOKUP(O1453,'Fee Data'!$C$6:$G$50,5,TRUE)+VLOOKUP(O1453,'Fee Data'!$I$6:$J$14,2,TRUE)+'Fee Data'!$J$20+'Fee Data'!$J$21)*'Assumptions'!J37</x:f>
        <x:v>715</x:v>
      </x:c>
      <x:c r="R1453" s="27" t="n">
        <x:f>P1453*(1-'Assumptions'!$D$14)+Q1453*'Assumptions'!$D$14</x:f>
        <x:v>790</x:v>
      </x:c>
      <x:c r="S1453" s="27" t="n">
        <x:f>O1453*'Carrier Engine'!E97</x:f>
        <x:v>126.08607807858421</x:v>
      </x:c>
      <x:c r="T1453" s="28" t="n">
        <x:f>R1453+S1453</x:f>
        <x:v>916.0860780785843</x:v>
      </x:c>
      <x:c r="U1453" s="27" t="n">
        <x:f>N1453*'Fleet Engine'!L210</x:f>
        <x:v>312.0538534917348</x:v>
      </x:c>
      <x:c r="V1453" s="28" t="n">
        <x:f>U1453*T1453</x:f>
        <x:v>285868.19079455244</x:v>
      </x:c>
      <x:c r="W1453" s="28" t="n">
        <x:f>U1453*O1453</x:f>
        <x:v>983641.1634020485</x:v>
      </x:c>
    </x:row>
    <x:row r="1454" ht="19" customHeight="1">
      <x:c r="A1454" s="2"/>
      <x:c r="B1454" s="2"/>
      <x:c r="C1454" s="46" t="n">
        <x:v>6</x:v>
      </x:c>
      <x:c r="D1454" s="46" t="n">
        <x:v>16</x:v>
      </x:c>
      <x:c r="E1454" s="46" t="n">
        <x:v>2</x:v>
      </x:c>
      <x:c r="F1454" s="46" t="n">
        <x:v>4</x:v>
      </x:c>
      <x:c r="G1454" s="12" t="n">
        <x:v>0.8888888888888888</x:v>
      </x:c>
      <x:c r="H1454" s="12" t="n">
        <x:v>1</x:v>
      </x:c>
      <x:c r="I1454" s="29" t="n">
        <x:f>'Assumptions'!$D$11+'Assumptions'!$D$12*(0.5-(G1454+H1454)/2)</x:f>
        <x:v>0.21111111111111108</x:v>
      </x:c>
      <x:c r="J1454" s="27" t="n">
        <x:f>'Assumptions'!$D$8*EXP(-'Assumptions'!$D$9*('Fleet Engine'!E210-10))*'Assumptions'!E57*'Assumptions'!J36</x:f>
        <x:v>13509.222651276876</x:v>
      </x:c>
      <x:c r="K1454" s="27" t="n">
        <x:f>'Source Data'!F221+LN('Assumptions'!D57)+LN('Assumptions'!J35)</x:f>
        <x:v>8.418486215784876</x:v>
      </x:c>
      <x:c r="L1454" s="27" t="n">
        <x:f>J1454*(1-I1454*(1-'Carrier Engine'!E97))</x:f>
        <x:v>10771.353527284762</x:v>
      </x:c>
      <x:c r="M1454" s="29" t="n">
        <x:f>NORM.S.DIST((LN(L1454)-K1454)/'Assumptions'!$D$10,TRUE)</x:f>
        <x:v>0.7093961183873236</x:v>
      </x:c>
      <x:c r="N1454" s="30" t="n">
        <x:f>MAX(0,H1454-MAX(G1454,M1454))</x:f>
        <x:v>0.11111111111111116</x:v>
      </x:c>
      <x:c r="O1454" s="28" t="n">
        <x:f>J1454*I1454</x:f>
        <x:v>2851.9470041584514</x:v>
      </x:c>
      <x:c r="P1454" s="27" t="n">
        <x:f>(VLOOKUP(O1454,'Fee Data'!$C$6:$G$50,2,TRUE)+O1454*VLOOKUP(O1454,'Fee Data'!$C$6:$G$50,3,TRUE)+VLOOKUP(O1454,'Fee Data'!$I$6:$J$14,2,TRUE)+'Fee Data'!$J$20+'Fee Data'!$J$21)*'Assumptions'!J37</x:f>
        <x:v>820</x:v>
      </x:c>
      <x:c r="Q1454" s="27" t="n">
        <x:f>(VLOOKUP(O1454,'Fee Data'!$C$6:$G$50,4,TRUE)+O1454*VLOOKUP(O1454,'Fee Data'!$C$6:$G$50,5,TRUE)+VLOOKUP(O1454,'Fee Data'!$I$6:$J$14,2,TRUE)+'Fee Data'!$J$20+'Fee Data'!$J$21)*'Assumptions'!J37</x:f>
        <x:v>670</x:v>
      </x:c>
      <x:c r="R1454" s="27" t="n">
        <x:f>P1454*(1-'Assumptions'!$D$14)+Q1454*'Assumptions'!$D$14</x:f>
        <x:v>745</x:v>
      </x:c>
      <x:c r="S1454" s="27" t="n">
        <x:f>O1454*'Carrier Engine'!E97</x:f>
        <x:v>114.07788016633808</x:v>
      </x:c>
      <x:c r="T1454" s="28" t="n">
        <x:f>R1454+S1454</x:f>
        <x:v>859.0778801663381</x:v>
      </x:c>
      <x:c r="U1454" s="27" t="n">
        <x:f>N1454*'Fleet Engine'!L210</x:f>
        <x:v>312.05385349173514</x:v>
      </x:c>
      <x:c r="V1454" s="28" t="n">
        <x:f>U1454*T1454</x:f>
        <x:v>268078.56295541686</x:v>
      </x:c>
      <x:c r="W1454" s="28" t="n">
        <x:f>U1454*O1454</x:f>
        <x:v>889961.0526018543</x:v>
      </x:c>
    </x:row>
    <x:row r="1455" ht="19" customHeight="1">
      <x:c r="A1455" s="2"/>
      <x:c r="B1455" s="2"/>
      <x:c r="C1455" s="46" t="n">
        <x:v>6</x:v>
      </x:c>
      <x:c r="D1455" s="46" t="n">
        <x:v>17</x:v>
      </x:c>
      <x:c r="E1455" s="46" t="n">
        <x:v>2</x:v>
      </x:c>
      <x:c r="F1455" s="46" t="n">
        <x:v>5</x:v>
      </x:c>
      <x:c r="G1455" s="12" t="n">
        <x:v>0</x:v>
      </x:c>
      <x:c r="H1455" s="12" t="n">
        <x:v>0.1111111111111111</x:v>
      </x:c>
      <x:c r="I1455" s="29" t="n">
        <x:f>'Assumptions'!$D$11+'Assumptions'!$D$12*(0.5-(G1455+H1455)/2)</x:f>
        <x:v>0.3888888888888889</x:v>
      </x:c>
      <x:c r="J1455" s="27" t="n">
        <x:f>'Assumptions'!$D$8*EXP(-'Assumptions'!$D$9*('Fleet Engine'!E211-10))*'Assumptions'!E57*'Assumptions'!J36</x:f>
        <x:v>7414.018585605744</x:v>
      </x:c>
      <x:c r="K1455" s="27" t="n">
        <x:f>'Source Data'!F222+LN('Assumptions'!D57)+LN('Assumptions'!J35)</x:f>
        <x:v>8.319557366061195</x:v>
      </x:c>
      <x:c r="L1455" s="27" t="n">
        <x:f>J1455*(1-I1455*(1-'Carrier Engine'!E97))</x:f>
        <x:v>4646.118313646267</x:v>
      </x:c>
      <x:c r="M1455" s="29" t="n">
        <x:f>NORM.S.DIST((LN(L1455)-K1455)/'Assumptions'!$D$10,TRUE)</x:f>
        <x:v>0.5315302263315647</x:v>
      </x:c>
      <x:c r="N1455" s="30" t="n">
        <x:f>MAX(0,H1455-MAX(G1455,M1455))</x:f>
        <x:v>0</x:v>
      </x:c>
      <x:c r="O1455" s="28" t="n">
        <x:f>J1455*I1455</x:f>
        <x:v>2883.2294499577893</x:v>
      </x:c>
      <x:c r="P1455" s="27" t="n">
        <x:f>(VLOOKUP(O1455,'Fee Data'!$C$6:$G$50,2,TRUE)+O1455*VLOOKUP(O1455,'Fee Data'!$C$6:$G$50,3,TRUE)+VLOOKUP(O1455,'Fee Data'!$I$6:$J$14,2,TRUE)+'Fee Data'!$J$20+'Fee Data'!$J$21)*'Assumptions'!J37</x:f>
        <x:v>820</x:v>
      </x:c>
      <x:c r="Q1455" s="27" t="n">
        <x:f>(VLOOKUP(O1455,'Fee Data'!$C$6:$G$50,4,TRUE)+O1455*VLOOKUP(O1455,'Fee Data'!$C$6:$G$50,5,TRUE)+VLOOKUP(O1455,'Fee Data'!$I$6:$J$14,2,TRUE)+'Fee Data'!$J$20+'Fee Data'!$J$21)*'Assumptions'!J37</x:f>
        <x:v>670</x:v>
      </x:c>
      <x:c r="R1455" s="27" t="n">
        <x:f>P1455*(1-'Assumptions'!$D$14)+Q1455*'Assumptions'!$D$14</x:f>
        <x:v>745</x:v>
      </x:c>
      <x:c r="S1455" s="27" t="n">
        <x:f>O1455*'Carrier Engine'!E97</x:f>
        <x:v>115.3291779983116</x:v>
      </x:c>
      <x:c r="T1455" s="28" t="n">
        <x:f>R1455+S1455</x:f>
        <x:v>860.3291779983116</x:v>
      </x:c>
      <x:c r="U1455" s="27" t="n">
        <x:f>N1455*'Fleet Engine'!L211</x:f>
        <x:v>0</x:v>
      </x:c>
      <x:c r="V1455" s="28" t="n">
        <x:f>U1455*T1455</x:f>
        <x:v>0</x:v>
      </x:c>
      <x:c r="W1455" s="28" t="n">
        <x:f>U1455*O1455</x:f>
        <x:v>0</x:v>
      </x:c>
    </x:row>
    <x:row r="1456" ht="19" customHeight="1">
      <x:c r="A1456" s="2"/>
      <x:c r="B1456" s="2"/>
      <x:c r="C1456" s="46" t="n">
        <x:v>6</x:v>
      </x:c>
      <x:c r="D1456" s="46" t="n">
        <x:v>17</x:v>
      </x:c>
      <x:c r="E1456" s="46" t="n">
        <x:v>2</x:v>
      </x:c>
      <x:c r="F1456" s="46" t="n">
        <x:v>5</x:v>
      </x:c>
      <x:c r="G1456" s="12" t="n">
        <x:v>0.1111111111111111</x:v>
      </x:c>
      <x:c r="H1456" s="12" t="n">
        <x:v>0.2222222222222222</x:v>
      </x:c>
      <x:c r="I1456" s="29" t="n">
        <x:f>'Assumptions'!$D$11+'Assumptions'!$D$12*(0.5-(G1456+H1456)/2)</x:f>
        <x:v>0.3666666666666667</x:v>
      </x:c>
      <x:c r="J1456" s="27" t="n">
        <x:f>'Assumptions'!$D$8*EXP(-'Assumptions'!$D$9*('Fleet Engine'!E211-10))*'Assumptions'!E57*'Assumptions'!J36</x:f>
        <x:v>7414.018585605744</x:v>
      </x:c>
      <x:c r="K1456" s="27" t="n">
        <x:f>'Source Data'!F222+LN('Assumptions'!D57)+LN('Assumptions'!J35)</x:f>
        <x:v>8.319557366061195</x:v>
      </x:c>
      <x:c r="L1456" s="27" t="n">
        <x:f>J1456*(1-I1456*(1-'Carrier Engine'!E97))</x:f>
        <x:v>4804.284043472521</x:v>
      </x:c>
      <x:c r="M1456" s="29" t="n">
        <x:f>NORM.S.DIST((LN(L1456)-K1456)/'Assumptions'!$D$10,TRUE)</x:f>
        <x:v>0.5400010911799831</x:v>
      </x:c>
      <x:c r="N1456" s="30" t="n">
        <x:f>MAX(0,H1456-MAX(G1456,M1456))</x:f>
        <x:v>0</x:v>
      </x:c>
      <x:c r="O1456" s="28" t="n">
        <x:f>J1456*I1456</x:f>
        <x:v>2718.473481388773</x:v>
      </x:c>
      <x:c r="P1456" s="27" t="n">
        <x:f>(VLOOKUP(O1456,'Fee Data'!$C$6:$G$50,2,TRUE)+O1456*VLOOKUP(O1456,'Fee Data'!$C$6:$G$50,3,TRUE)+VLOOKUP(O1456,'Fee Data'!$I$6:$J$14,2,TRUE)+'Fee Data'!$J$20+'Fee Data'!$J$21)*'Assumptions'!J37</x:f>
        <x:v>820</x:v>
      </x:c>
      <x:c r="Q1456" s="27" t="n">
        <x:f>(VLOOKUP(O1456,'Fee Data'!$C$6:$G$50,4,TRUE)+O1456*VLOOKUP(O1456,'Fee Data'!$C$6:$G$50,5,TRUE)+VLOOKUP(O1456,'Fee Data'!$I$6:$J$14,2,TRUE)+'Fee Data'!$J$20+'Fee Data'!$J$21)*'Assumptions'!J37</x:f>
        <x:v>670</x:v>
      </x:c>
      <x:c r="R1456" s="27" t="n">
        <x:f>P1456*(1-'Assumptions'!$D$14)+Q1456*'Assumptions'!$D$14</x:f>
        <x:v>745</x:v>
      </x:c>
      <x:c r="S1456" s="27" t="n">
        <x:f>O1456*'Carrier Engine'!E97</x:f>
        <x:v>108.73893925555095</x:v>
      </x:c>
      <x:c r="T1456" s="28" t="n">
        <x:f>R1456+S1456</x:f>
        <x:v>853.7389392555509</x:v>
      </x:c>
      <x:c r="U1456" s="27" t="n">
        <x:f>N1456*'Fleet Engine'!L211</x:f>
        <x:v>0</x:v>
      </x:c>
      <x:c r="V1456" s="28" t="n">
        <x:f>U1456*T1456</x:f>
        <x:v>0</x:v>
      </x:c>
      <x:c r="W1456" s="28" t="n">
        <x:f>U1456*O1456</x:f>
        <x:v>0</x:v>
      </x:c>
    </x:row>
    <x:row r="1457" ht="19" customHeight="1">
      <x:c r="A1457" s="2"/>
      <x:c r="B1457" s="2"/>
      <x:c r="C1457" s="46" t="n">
        <x:v>6</x:v>
      </x:c>
      <x:c r="D1457" s="46" t="n">
        <x:v>17</x:v>
      </x:c>
      <x:c r="E1457" s="46" t="n">
        <x:v>2</x:v>
      </x:c>
      <x:c r="F1457" s="46" t="n">
        <x:v>5</x:v>
      </x:c>
      <x:c r="G1457" s="12" t="n">
        <x:v>0.2222222222222222</x:v>
      </x:c>
      <x:c r="H1457" s="12" t="n">
        <x:v>0.3333333333333333</x:v>
      </x:c>
      <x:c r="I1457" s="29" t="n">
        <x:f>'Assumptions'!$D$11+'Assumptions'!$D$12*(0.5-(G1457+H1457)/2)</x:f>
        <x:v>0.34444444444444444</x:v>
      </x:c>
      <x:c r="J1457" s="27" t="n">
        <x:f>'Assumptions'!$D$8*EXP(-'Assumptions'!$D$9*('Fleet Engine'!E211-10))*'Assumptions'!E57*'Assumptions'!J36</x:f>
        <x:v>7414.018585605744</x:v>
      </x:c>
      <x:c r="K1457" s="27" t="n">
        <x:f>'Source Data'!F222+LN('Assumptions'!D57)+LN('Assumptions'!J35)</x:f>
        <x:v>8.319557366061195</x:v>
      </x:c>
      <x:c r="L1457" s="27" t="n">
        <x:f>J1457*(1-I1457*(1-'Carrier Engine'!E97))</x:f>
        <x:v>4962.449773298778</x:v>
      </x:c>
      <x:c r="M1457" s="29" t="n">
        <x:f>NORM.S.DIST((LN(L1457)-K1457)/'Assumptions'!$D$10,TRUE)</x:f>
        <x:v>0.5481803390545841</x:v>
      </x:c>
      <x:c r="N1457" s="30" t="n">
        <x:f>MAX(0,H1457-MAX(G1457,M1457))</x:f>
        <x:v>0</x:v>
      </x:c>
      <x:c r="O1457" s="28" t="n">
        <x:f>J1457*I1457</x:f>
        <x:v>2553.7175128197564</x:v>
      </x:c>
      <x:c r="P1457" s="27" t="n">
        <x:f>(VLOOKUP(O1457,'Fee Data'!$C$6:$G$50,2,TRUE)+O1457*VLOOKUP(O1457,'Fee Data'!$C$6:$G$50,3,TRUE)+VLOOKUP(O1457,'Fee Data'!$I$6:$J$14,2,TRUE)+'Fee Data'!$J$20+'Fee Data'!$J$21)*'Assumptions'!J37</x:f>
        <x:v>820</x:v>
      </x:c>
      <x:c r="Q1457" s="27" t="n">
        <x:f>(VLOOKUP(O1457,'Fee Data'!$C$6:$G$50,4,TRUE)+O1457*VLOOKUP(O1457,'Fee Data'!$C$6:$G$50,5,TRUE)+VLOOKUP(O1457,'Fee Data'!$I$6:$J$14,2,TRUE)+'Fee Data'!$J$20+'Fee Data'!$J$21)*'Assumptions'!J37</x:f>
        <x:v>670</x:v>
      </x:c>
      <x:c r="R1457" s="27" t="n">
        <x:f>P1457*(1-'Assumptions'!$D$14)+Q1457*'Assumptions'!$D$14</x:f>
        <x:v>745</x:v>
      </x:c>
      <x:c r="S1457" s="27" t="n">
        <x:f>O1457*'Carrier Engine'!E97</x:f>
        <x:v>102.14870051279027</x:v>
      </x:c>
      <x:c r="T1457" s="28" t="n">
        <x:f>R1457+S1457</x:f>
        <x:v>847.1487005127902</x:v>
      </x:c>
      <x:c r="U1457" s="27" t="n">
        <x:f>N1457*'Fleet Engine'!L211</x:f>
        <x:v>0</x:v>
      </x:c>
      <x:c r="V1457" s="28" t="n">
        <x:f>U1457*T1457</x:f>
        <x:v>0</x:v>
      </x:c>
      <x:c r="W1457" s="28" t="n">
        <x:f>U1457*O1457</x:f>
        <x:v>0</x:v>
      </x:c>
    </x:row>
    <x:row r="1458" ht="19" customHeight="1">
      <x:c r="A1458" s="2"/>
      <x:c r="B1458" s="2"/>
      <x:c r="C1458" s="46" t="n">
        <x:v>6</x:v>
      </x:c>
      <x:c r="D1458" s="46" t="n">
        <x:v>17</x:v>
      </x:c>
      <x:c r="E1458" s="46" t="n">
        <x:v>2</x:v>
      </x:c>
      <x:c r="F1458" s="46" t="n">
        <x:v>5</x:v>
      </x:c>
      <x:c r="G1458" s="12" t="n">
        <x:v>0.3333333333333333</x:v>
      </x:c>
      <x:c r="H1458" s="12" t="n">
        <x:v>0.4444444444444444</x:v>
      </x:c>
      <x:c r="I1458" s="29" t="n">
        <x:f>'Assumptions'!$D$11+'Assumptions'!$D$12*(0.5-(G1458+H1458)/2)</x:f>
        <x:v>0.32222222222222224</x:v>
      </x:c>
      <x:c r="J1458" s="27" t="n">
        <x:f>'Assumptions'!$D$8*EXP(-'Assumptions'!$D$9*('Fleet Engine'!E211-10))*'Assumptions'!E57*'Assumptions'!J36</x:f>
        <x:v>7414.018585605744</x:v>
      </x:c>
      <x:c r="K1458" s="27" t="n">
        <x:f>'Source Data'!F222+LN('Assumptions'!D57)+LN('Assumptions'!J35)</x:f>
        <x:v>8.319557366061195</x:v>
      </x:c>
      <x:c r="L1458" s="27" t="n">
        <x:f>J1458*(1-I1458*(1-'Carrier Engine'!E97))</x:f>
        <x:v>5120.615503125034</x:v>
      </x:c>
      <x:c r="M1458" s="29" t="n">
        <x:f>NORM.S.DIST((LN(L1458)-K1458)/'Assumptions'!$D$10,TRUE)</x:f>
        <x:v>0.5560835236213721</x:v>
      </x:c>
      <x:c r="N1458" s="30" t="n">
        <x:f>MAX(0,H1458-MAX(G1458,M1458))</x:f>
        <x:v>0</x:v>
      </x:c>
      <x:c r="O1458" s="28" t="n">
        <x:f>J1458*I1458</x:f>
        <x:v>2388.9615442507397</x:v>
      </x:c>
      <x:c r="P1458" s="27" t="n">
        <x:f>(VLOOKUP(O1458,'Fee Data'!$C$6:$G$50,2,TRUE)+O1458*VLOOKUP(O1458,'Fee Data'!$C$6:$G$50,3,TRUE)+VLOOKUP(O1458,'Fee Data'!$I$6:$J$14,2,TRUE)+'Fee Data'!$J$20+'Fee Data'!$J$21)*'Assumptions'!J37</x:f>
        <x:v>745</x:v>
      </x:c>
      <x:c r="Q1458" s="27" t="n">
        <x:f>(VLOOKUP(O1458,'Fee Data'!$C$6:$G$50,4,TRUE)+O1458*VLOOKUP(O1458,'Fee Data'!$C$6:$G$50,5,TRUE)+VLOOKUP(O1458,'Fee Data'!$I$6:$J$14,2,TRUE)+'Fee Data'!$J$20+'Fee Data'!$J$21)*'Assumptions'!J37</x:f>
        <x:v>600</x:v>
      </x:c>
      <x:c r="R1458" s="27" t="n">
        <x:f>P1458*(1-'Assumptions'!$D$14)+Q1458*'Assumptions'!$D$14</x:f>
        <x:v>672.5</x:v>
      </x:c>
      <x:c r="S1458" s="27" t="n">
        <x:f>O1458*'Carrier Engine'!E97</x:f>
        <x:v>95.55846177002961</x:v>
      </x:c>
      <x:c r="T1458" s="28" t="n">
        <x:f>R1458+S1458</x:f>
        <x:v>768.0584617700296</x:v>
      </x:c>
      <x:c r="U1458" s="27" t="n">
        <x:f>N1458*'Fleet Engine'!L211</x:f>
        <x:v>0</x:v>
      </x:c>
      <x:c r="V1458" s="28" t="n">
        <x:f>U1458*T1458</x:f>
        <x:v>0</x:v>
      </x:c>
      <x:c r="W1458" s="28" t="n">
        <x:f>U1458*O1458</x:f>
        <x:v>0</x:v>
      </x:c>
    </x:row>
    <x:row r="1459" ht="19" customHeight="1">
      <x:c r="A1459" s="2"/>
      <x:c r="B1459" s="2"/>
      <x:c r="C1459" s="46" t="n">
        <x:v>6</x:v>
      </x:c>
      <x:c r="D1459" s="46" t="n">
        <x:v>17</x:v>
      </x:c>
      <x:c r="E1459" s="46" t="n">
        <x:v>2</x:v>
      </x:c>
      <x:c r="F1459" s="46" t="n">
        <x:v>5</x:v>
      </x:c>
      <x:c r="G1459" s="12" t="n">
        <x:v>0.4444444444444444</x:v>
      </x:c>
      <x:c r="H1459" s="12" t="n">
        <x:v>0.5555555555555556</x:v>
      </x:c>
      <x:c r="I1459" s="29" t="n">
        <x:f>'Assumptions'!$D$11+'Assumptions'!$D$12*(0.5-(G1459+H1459)/2)</x:f>
        <x:v>0.3</x:v>
      </x:c>
      <x:c r="J1459" s="27" t="n">
        <x:f>'Assumptions'!$D$8*EXP(-'Assumptions'!$D$9*('Fleet Engine'!E211-10))*'Assumptions'!E57*'Assumptions'!J36</x:f>
        <x:v>7414.018585605744</x:v>
      </x:c>
      <x:c r="K1459" s="27" t="n">
        <x:f>'Source Data'!F222+LN('Assumptions'!D57)+LN('Assumptions'!J35)</x:f>
        <x:v>8.319557366061195</x:v>
      </x:c>
      <x:c r="L1459" s="27" t="n">
        <x:f>J1459*(1-I1459*(1-'Carrier Engine'!E97))</x:f>
        <x:v>5278.78123295129</x:v>
      </x:c>
      <x:c r="M1459" s="29" t="n">
        <x:f>NORM.S.DIST((LN(L1459)-K1459)/'Assumptions'!$D$10,TRUE)</x:f>
        <x:v>0.5637250623121128</x:v>
      </x:c>
      <x:c r="N1459" s="30" t="n">
        <x:f>MAX(0,H1459-MAX(G1459,M1459))</x:f>
        <x:v>0</x:v>
      </x:c>
      <x:c r="O1459" s="28" t="n">
        <x:f>J1459*I1459</x:f>
        <x:v>2224.205575681723</x:v>
      </x:c>
      <x:c r="P1459" s="27" t="n">
        <x:f>(VLOOKUP(O1459,'Fee Data'!$C$6:$G$50,2,TRUE)+O1459*VLOOKUP(O1459,'Fee Data'!$C$6:$G$50,3,TRUE)+VLOOKUP(O1459,'Fee Data'!$I$6:$J$14,2,TRUE)+'Fee Data'!$J$20+'Fee Data'!$J$21)*'Assumptions'!J37</x:f>
        <x:v>745</x:v>
      </x:c>
      <x:c r="Q1459" s="27" t="n">
        <x:f>(VLOOKUP(O1459,'Fee Data'!$C$6:$G$50,4,TRUE)+O1459*VLOOKUP(O1459,'Fee Data'!$C$6:$G$50,5,TRUE)+VLOOKUP(O1459,'Fee Data'!$I$6:$J$14,2,TRUE)+'Fee Data'!$J$20+'Fee Data'!$J$21)*'Assumptions'!J37</x:f>
        <x:v>600</x:v>
      </x:c>
      <x:c r="R1459" s="27" t="n">
        <x:f>P1459*(1-'Assumptions'!$D$14)+Q1459*'Assumptions'!$D$14</x:f>
        <x:v>672.5</x:v>
      </x:c>
      <x:c r="S1459" s="27" t="n">
        <x:f>O1459*'Carrier Engine'!E97</x:f>
        <x:v>88.96822302726893</x:v>
      </x:c>
      <x:c r="T1459" s="28" t="n">
        <x:f>R1459+S1459</x:f>
        <x:v>761.4682230272689</x:v>
      </x:c>
      <x:c r="U1459" s="27" t="n">
        <x:f>N1459*'Fleet Engine'!L211</x:f>
        <x:v>0</x:v>
      </x:c>
      <x:c r="V1459" s="28" t="n">
        <x:f>U1459*T1459</x:f>
        <x:v>0</x:v>
      </x:c>
      <x:c r="W1459" s="28" t="n">
        <x:f>U1459*O1459</x:f>
        <x:v>0</x:v>
      </x:c>
    </x:row>
    <x:row r="1460" ht="19" customHeight="1">
      <x:c r="A1460" s="2"/>
      <x:c r="B1460" s="2"/>
      <x:c r="C1460" s="46" t="n">
        <x:v>6</x:v>
      </x:c>
      <x:c r="D1460" s="46" t="n">
        <x:v>17</x:v>
      </x:c>
      <x:c r="E1460" s="46" t="n">
        <x:v>2</x:v>
      </x:c>
      <x:c r="F1460" s="46" t="n">
        <x:v>5</x:v>
      </x:c>
      <x:c r="G1460" s="12" t="n">
        <x:v>0.5555555555555556</x:v>
      </x:c>
      <x:c r="H1460" s="12" t="n">
        <x:v>0.6666666666666666</x:v>
      </x:c>
      <x:c r="I1460" s="29" t="n">
        <x:f>'Assumptions'!$D$11+'Assumptions'!$D$12*(0.5-(G1460+H1460)/2)</x:f>
        <x:v>0.27777777777777773</x:v>
      </x:c>
      <x:c r="J1460" s="27" t="n">
        <x:f>'Assumptions'!$D$8*EXP(-'Assumptions'!$D$9*('Fleet Engine'!E211-10))*'Assumptions'!E57*'Assumptions'!J36</x:f>
        <x:v>7414.018585605744</x:v>
      </x:c>
      <x:c r="K1460" s="27" t="n">
        <x:f>'Source Data'!F222+LN('Assumptions'!D57)+LN('Assumptions'!J35)</x:f>
        <x:v>8.319557366061195</x:v>
      </x:c>
      <x:c r="L1460" s="27" t="n">
        <x:f>J1460*(1-I1460*(1-'Carrier Engine'!E97))</x:f>
        <x:v>5436.946962777546</x:v>
      </x:c>
      <x:c r="M1460" s="29" t="n">
        <x:f>NORM.S.DIST((LN(L1460)-K1460)/'Assumptions'!$D$10,TRUE)</x:f>
        <x:v>0.5711183414959459</x:v>
      </x:c>
      <x:c r="N1460" s="30" t="n">
        <x:f>MAX(0,H1460-MAX(G1460,M1460))</x:f>
        <x:v>0.09554832517072076</x:v>
      </x:c>
      <x:c r="O1460" s="28" t="n">
        <x:f>J1460*I1460</x:f>
        <x:v>2059.4496071127064</x:v>
      </x:c>
      <x:c r="P1460" s="27" t="n">
        <x:f>(VLOOKUP(O1460,'Fee Data'!$C$6:$G$50,2,TRUE)+O1460*VLOOKUP(O1460,'Fee Data'!$C$6:$G$50,3,TRUE)+VLOOKUP(O1460,'Fee Data'!$I$6:$J$14,2,TRUE)+'Fee Data'!$J$20+'Fee Data'!$J$21)*'Assumptions'!J37</x:f>
        <x:v>745</x:v>
      </x:c>
      <x:c r="Q1460" s="27" t="n">
        <x:f>(VLOOKUP(O1460,'Fee Data'!$C$6:$G$50,4,TRUE)+O1460*VLOOKUP(O1460,'Fee Data'!$C$6:$G$50,5,TRUE)+VLOOKUP(O1460,'Fee Data'!$I$6:$J$14,2,TRUE)+'Fee Data'!$J$20+'Fee Data'!$J$21)*'Assumptions'!J37</x:f>
        <x:v>600</x:v>
      </x:c>
      <x:c r="R1460" s="27" t="n">
        <x:f>P1460*(1-'Assumptions'!$D$14)+Q1460*'Assumptions'!$D$14</x:f>
        <x:v>672.5</x:v>
      </x:c>
      <x:c r="S1460" s="27" t="n">
        <x:f>O1460*'Carrier Engine'!E97</x:f>
        <x:v>82.37798428450827</x:v>
      </x:c>
      <x:c r="T1460" s="28" t="n">
        <x:f>R1460+S1460</x:f>
        <x:v>754.8779842845083</x:v>
      </x:c>
      <x:c r="U1460" s="27" t="n">
        <x:f>N1460*'Fleet Engine'!L211</x:f>
        <x:v>302.49219855239545</x:v>
      </x:c>
      <x:c r="V1460" s="28" t="n">
        <x:f>U1460*T1460</x:f>
        <x:v>228344.70110502155</x:v>
      </x:c>
      <x:c r="W1460" s="28" t="n">
        <x:f>U1460*O1460</x:f>
        <x:v>622967.4394633896</x:v>
      </x:c>
    </x:row>
    <x:row r="1461" ht="19" customHeight="1">
      <x:c r="A1461" s="2"/>
      <x:c r="B1461" s="2"/>
      <x:c r="C1461" s="46" t="n">
        <x:v>6</x:v>
      </x:c>
      <x:c r="D1461" s="46" t="n">
        <x:v>17</x:v>
      </x:c>
      <x:c r="E1461" s="46" t="n">
        <x:v>2</x:v>
      </x:c>
      <x:c r="F1461" s="46" t="n">
        <x:v>5</x:v>
      </x:c>
      <x:c r="G1461" s="12" t="n">
        <x:v>0.6666666666666666</x:v>
      </x:c>
      <x:c r="H1461" s="12" t="n">
        <x:v>0.7777777777777778</x:v>
      </x:c>
      <x:c r="I1461" s="29" t="n">
        <x:f>'Assumptions'!$D$11+'Assumptions'!$D$12*(0.5-(G1461+H1461)/2)</x:f>
        <x:v>0.25555555555555554</x:v>
      </x:c>
      <x:c r="J1461" s="27" t="n">
        <x:f>'Assumptions'!$D$8*EXP(-'Assumptions'!$D$9*('Fleet Engine'!E211-10))*'Assumptions'!E57*'Assumptions'!J36</x:f>
        <x:v>7414.018585605744</x:v>
      </x:c>
      <x:c r="K1461" s="27" t="n">
        <x:f>'Source Data'!F222+LN('Assumptions'!D57)+LN('Assumptions'!J35)</x:f>
        <x:v>8.319557366061195</x:v>
      </x:c>
      <x:c r="L1461" s="27" t="n">
        <x:f>J1461*(1-I1461*(1-'Carrier Engine'!E97))</x:f>
        <x:v>5595.112692603802</x:v>
      </x:c>
      <x:c r="M1461" s="29" t="n">
        <x:f>NORM.S.DIST((LN(L1461)-K1461)/'Assumptions'!$D$10,TRUE)</x:f>
        <x:v>0.5782758099492802</x:v>
      </x:c>
      <x:c r="N1461" s="30" t="n">
        <x:f>MAX(0,H1461-MAX(G1461,M1461))</x:f>
        <x:v>0.11111111111111116</x:v>
      </x:c>
      <x:c r="O1461" s="28" t="n">
        <x:f>J1461*I1461</x:f>
        <x:v>1894.69363854369</x:v>
      </x:c>
      <x:c r="P1461" s="27" t="n">
        <x:f>(VLOOKUP(O1461,'Fee Data'!$C$6:$G$50,2,TRUE)+O1461*VLOOKUP(O1461,'Fee Data'!$C$6:$G$50,3,TRUE)+VLOOKUP(O1461,'Fee Data'!$I$6:$J$14,2,TRUE)+'Fee Data'!$J$20+'Fee Data'!$J$21)*'Assumptions'!J37</x:f>
        <x:v>705</x:v>
      </x:c>
      <x:c r="Q1461" s="27" t="n">
        <x:f>(VLOOKUP(O1461,'Fee Data'!$C$6:$G$50,4,TRUE)+O1461*VLOOKUP(O1461,'Fee Data'!$C$6:$G$50,5,TRUE)+VLOOKUP(O1461,'Fee Data'!$I$6:$J$14,2,TRUE)+'Fee Data'!$J$20+'Fee Data'!$J$21)*'Assumptions'!J37</x:f>
        <x:v>565</x:v>
      </x:c>
      <x:c r="R1461" s="27" t="n">
        <x:f>P1461*(1-'Assumptions'!$D$14)+Q1461*'Assumptions'!$D$14</x:f>
        <x:v>635</x:v>
      </x:c>
      <x:c r="S1461" s="27" t="n">
        <x:f>O1461*'Carrier Engine'!E97</x:f>
        <x:v>75.78774554174761</x:v>
      </x:c>
      <x:c r="T1461" s="28" t="n">
        <x:f>R1461+S1461</x:f>
        <x:v>710.7877455417477</x:v>
      </x:c>
      <x:c r="U1461" s="27" t="n">
        <x:f>N1461*'Fleet Engine'!L211</x:f>
        <x:v>351.76173128672303</x:v>
      </x:c>
      <x:c r="V1461" s="28" t="n">
        <x:f>U1461*T1461</x:f>
        <x:v>250027.9279491519</x:v>
      </x:c>
      <x:c r="W1461" s="28" t="n">
        <x:f>U1461*O1461</x:f>
        <x:v>666480.714552069</x:v>
      </x:c>
    </x:row>
    <x:row r="1462" ht="19" customHeight="1">
      <x:c r="A1462" s="2"/>
      <x:c r="B1462" s="2"/>
      <x:c r="C1462" s="46" t="n">
        <x:v>6</x:v>
      </x:c>
      <x:c r="D1462" s="46" t="n">
        <x:v>17</x:v>
      </x:c>
      <x:c r="E1462" s="46" t="n">
        <x:v>2</x:v>
      </x:c>
      <x:c r="F1462" s="46" t="n">
        <x:v>5</x:v>
      </x:c>
      <x:c r="G1462" s="12" t="n">
        <x:v>0.7777777777777778</x:v>
      </x:c>
      <x:c r="H1462" s="12" t="n">
        <x:v>0.8888888888888888</x:v>
      </x:c>
      <x:c r="I1462" s="29" t="n">
        <x:f>'Assumptions'!$D$11+'Assumptions'!$D$12*(0.5-(G1462+H1462)/2)</x:f>
        <x:v>0.23333333333333334</x:v>
      </x:c>
      <x:c r="J1462" s="27" t="n">
        <x:f>'Assumptions'!$D$8*EXP(-'Assumptions'!$D$9*('Fleet Engine'!E211-10))*'Assumptions'!E57*'Assumptions'!J36</x:f>
        <x:v>7414.018585605744</x:v>
      </x:c>
      <x:c r="K1462" s="27" t="n">
        <x:f>'Source Data'!F222+LN('Assumptions'!D57)+LN('Assumptions'!J35)</x:f>
        <x:v>8.319557366061195</x:v>
      </x:c>
      <x:c r="L1462" s="27" t="n">
        <x:f>J1462*(1-I1462*(1-'Carrier Engine'!E97))</x:f>
        <x:v>5753.278422430058</x:v>
      </x:c>
      <x:c r="M1462" s="29" t="n">
        <x:f>NORM.S.DIST((LN(L1462)-K1462)/'Assumptions'!$D$10,TRUE)</x:f>
        <x:v>0.5852090621304324</x:v>
      </x:c>
      <x:c r="N1462" s="30" t="n">
        <x:f>MAX(0,H1462-MAX(G1462,M1462))</x:f>
        <x:v>0.11111111111111105</x:v>
      </x:c>
      <x:c r="O1462" s="28" t="n">
        <x:f>J1462*I1462</x:f>
        <x:v>1729.9376699746738</x:v>
      </x:c>
      <x:c r="P1462" s="27" t="n">
        <x:f>(VLOOKUP(O1462,'Fee Data'!$C$6:$G$50,2,TRUE)+O1462*VLOOKUP(O1462,'Fee Data'!$C$6:$G$50,3,TRUE)+VLOOKUP(O1462,'Fee Data'!$I$6:$J$14,2,TRUE)+'Fee Data'!$J$20+'Fee Data'!$J$21)*'Assumptions'!J37</x:f>
        <x:v>680</x:v>
      </x:c>
      <x:c r="Q1462" s="27" t="n">
        <x:f>(VLOOKUP(O1462,'Fee Data'!$C$6:$G$50,4,TRUE)+O1462*VLOOKUP(O1462,'Fee Data'!$C$6:$G$50,5,TRUE)+VLOOKUP(O1462,'Fee Data'!$I$6:$J$14,2,TRUE)+'Fee Data'!$J$20+'Fee Data'!$J$21)*'Assumptions'!J37</x:f>
        <x:v>545</x:v>
      </x:c>
      <x:c r="R1462" s="27" t="n">
        <x:f>P1462*(1-'Assumptions'!$D$14)+Q1462*'Assumptions'!$D$14</x:f>
        <x:v>612.5</x:v>
      </x:c>
      <x:c r="S1462" s="27" t="n">
        <x:f>O1462*'Carrier Engine'!E97</x:f>
        <x:v>69.19750679898696</x:v>
      </x:c>
      <x:c r="T1462" s="28" t="n">
        <x:f>R1462+S1462</x:f>
        <x:v>681.697506798987</x:v>
      </x:c>
      <x:c r="U1462" s="27" t="n">
        <x:f>N1462*'Fleet Engine'!L211</x:f>
        <x:v>351.76173128672264</x:v>
      </x:c>
      <x:c r="V1462" s="28" t="n">
        <x:f>U1462*T1462</x:f>
        <x:v>239795.09520545404</x:v>
      </x:c>
      <x:c r="W1462" s="28" t="n">
        <x:f>U1462*O1462</x:f>
        <x:v>608525.8698084103</x:v>
      </x:c>
    </x:row>
    <x:row r="1463" ht="19" customHeight="1">
      <x:c r="A1463" s="2"/>
      <x:c r="B1463" s="2"/>
      <x:c r="C1463" s="46" t="n">
        <x:v>6</x:v>
      </x:c>
      <x:c r="D1463" s="46" t="n">
        <x:v>17</x:v>
      </x:c>
      <x:c r="E1463" s="46" t="n">
        <x:v>2</x:v>
      </x:c>
      <x:c r="F1463" s="46" t="n">
        <x:v>5</x:v>
      </x:c>
      <x:c r="G1463" s="12" t="n">
        <x:v>0.8888888888888888</x:v>
      </x:c>
      <x:c r="H1463" s="12" t="n">
        <x:v>1</x:v>
      </x:c>
      <x:c r="I1463" s="29" t="n">
        <x:f>'Assumptions'!$D$11+'Assumptions'!$D$12*(0.5-(G1463+H1463)/2)</x:f>
        <x:v>0.21111111111111108</x:v>
      </x:c>
      <x:c r="J1463" s="27" t="n">
        <x:f>'Assumptions'!$D$8*EXP(-'Assumptions'!$D$9*('Fleet Engine'!E211-10))*'Assumptions'!E57*'Assumptions'!J36</x:f>
        <x:v>7414.018585605744</x:v>
      </x:c>
      <x:c r="K1463" s="27" t="n">
        <x:f>'Source Data'!F222+LN('Assumptions'!D57)+LN('Assumptions'!J35)</x:f>
        <x:v>8.319557366061195</x:v>
      </x:c>
      <x:c r="L1463" s="27" t="n">
        <x:f>J1463*(1-I1463*(1-'Carrier Engine'!E97))</x:f>
        <x:v>5911.444152256314</x:v>
      </x:c>
      <x:c r="M1463" s="29" t="n">
        <x:f>NORM.S.DIST((LN(L1463)-K1463)/'Assumptions'!$D$10,TRUE)</x:f>
        <x:v>0.591928912547617</x:v>
      </x:c>
      <x:c r="N1463" s="30" t="n">
        <x:f>MAX(0,H1463-MAX(G1463,M1463))</x:f>
        <x:v>0.11111111111111116</x:v>
      </x:c>
      <x:c r="O1463" s="28" t="n">
        <x:f>J1463*I1463</x:f>
        <x:v>1565.181701405657</x:v>
      </x:c>
      <x:c r="P1463" s="27" t="n">
        <x:f>(VLOOKUP(O1463,'Fee Data'!$C$6:$G$50,2,TRUE)+O1463*VLOOKUP(O1463,'Fee Data'!$C$6:$G$50,3,TRUE)+VLOOKUP(O1463,'Fee Data'!$I$6:$J$14,2,TRUE)+'Fee Data'!$J$20+'Fee Data'!$J$21)*'Assumptions'!J37</x:f>
        <x:v>640</x:v>
      </x:c>
      <x:c r="Q1463" s="27" t="n">
        <x:f>(VLOOKUP(O1463,'Fee Data'!$C$6:$G$50,4,TRUE)+O1463*VLOOKUP(O1463,'Fee Data'!$C$6:$G$50,5,TRUE)+VLOOKUP(O1463,'Fee Data'!$I$6:$J$14,2,TRUE)+'Fee Data'!$J$20+'Fee Data'!$J$21)*'Assumptions'!J37</x:f>
        <x:v>510</x:v>
      </x:c>
      <x:c r="R1463" s="27" t="n">
        <x:f>P1463*(1-'Assumptions'!$D$14)+Q1463*'Assumptions'!$D$14</x:f>
        <x:v>575</x:v>
      </x:c>
      <x:c r="S1463" s="27" t="n">
        <x:f>O1463*'Carrier Engine'!E97</x:f>
        <x:v>62.60726805622629</x:v>
      </x:c>
      <x:c r="T1463" s="28" t="n">
        <x:f>R1463+S1463</x:f>
        <x:v>637.6072680562263</x:v>
      </x:c>
      <x:c r="U1463" s="27" t="n">
        <x:f>N1463*'Fleet Engine'!L211</x:f>
        <x:v>351.76173128672303</x:v>
      </x:c>
      <x:c r="V1463" s="28" t="n">
        <x:f>U1463*T1463</x:f>
        <x:v>224285.83649245586</x:v>
      </x:c>
      <x:c r="W1463" s="28" t="n">
        <x:f>U1463*O1463</x:f>
        <x:v>550571.0250647527</x:v>
      </x:c>
    </x:row>
    <x:row r="1464" ht="19" customHeight="1">
      <x:c r="A1464" s="2"/>
      <x:c r="B1464" s="2"/>
      <x:c r="C1464" s="46" t="n">
        <x:v>6</x:v>
      </x:c>
      <x:c r="D1464" s="46" t="n">
        <x:v>18</x:v>
      </x:c>
      <x:c r="E1464" s="46" t="n">
        <x:v>3</x:v>
      </x:c>
      <x:c r="F1464" s="46" t="n">
        <x:v>0</x:v>
      </x:c>
      <x:c r="G1464" s="12" t="n">
        <x:v>0</x:v>
      </x:c>
      <x:c r="H1464" s="12" t="n">
        <x:v>0.1111111111111111</x:v>
      </x:c>
      <x:c r="I1464" s="29" t="n">
        <x:f>'Assumptions'!$D$11+'Assumptions'!$D$12*(0.5-(G1464+H1464)/2)</x:f>
        <x:v>0.3888888888888889</x:v>
      </x:c>
      <x:c r="J1464" s="27" t="n">
        <x:f>'Assumptions'!$D$8*EXP(-'Assumptions'!$D$9*('Fleet Engine'!E212-10))*'Assumptions'!E58*'Assumptions'!J36</x:f>
        <x:v>27182.818284590452</x:v>
      </x:c>
      <x:c r="K1464" s="27" t="n">
        <x:f>'Source Data'!F217+LN('Assumptions'!D58)+LN('Assumptions'!J35)</x:f>
        <x:v>8.005343029779286</x:v>
      </x:c>
      <x:c r="L1464" s="27" t="n">
        <x:f>J1464*(1-I1464*(1-'Carrier Engine'!E97))</x:f>
        <x:v>17034.566125010017</x:v>
      </x:c>
      <x:c r="M1464" s="29" t="n">
        <x:f>NORM.S.DIST((LN(L1464)-K1464)/'Assumptions'!$D$10,TRUE)</x:f>
        <x:v>0.8657757644693824</x:v>
      </x:c>
      <x:c r="N1464" s="30" t="n">
        <x:f>MAX(0,H1464-MAX(G1464,M1464))</x:f>
        <x:v>0</x:v>
      </x:c>
      <x:c r="O1464" s="28" t="n">
        <x:f>J1464*I1464</x:f>
        <x:v>10571.095999562955</x:v>
      </x:c>
      <x:c r="P1464" s="27" t="n">
        <x:f>(VLOOKUP(O1464,'Fee Data'!$C$6:$G$50,2,TRUE)+O1464*VLOOKUP(O1464,'Fee Data'!$C$6:$G$50,3,TRUE)+VLOOKUP(O1464,'Fee Data'!$I$6:$J$14,2,TRUE)+'Fee Data'!$J$20+'Fee Data'!$J$21)*'Assumptions'!J37</x:f>
        <x:v>1250</x:v>
      </x:c>
      <x:c r="Q1464" s="27" t="n">
        <x:f>(VLOOKUP(O1464,'Fee Data'!$C$6:$G$50,4,TRUE)+O1464*VLOOKUP(O1464,'Fee Data'!$C$6:$G$50,5,TRUE)+VLOOKUP(O1464,'Fee Data'!$I$6:$J$14,2,TRUE)+'Fee Data'!$J$20+'Fee Data'!$J$21)*'Assumptions'!J37</x:f>
        <x:v>1100</x:v>
      </x:c>
      <x:c r="R1464" s="27" t="n">
        <x:f>P1464*(1-'Assumptions'!$D$14)+Q1464*'Assumptions'!$D$14</x:f>
        <x:v>1175</x:v>
      </x:c>
      <x:c r="S1464" s="27" t="n">
        <x:f>O1464*'Carrier Engine'!E97</x:f>
        <x:v>422.84383998251826</x:v>
      </x:c>
      <x:c r="T1464" s="28" t="n">
        <x:f>R1464+S1464</x:f>
        <x:v>1597.8438399825181</x:v>
      </x:c>
      <x:c r="U1464" s="27" t="n">
        <x:f>N1464*'Fleet Engine'!L212</x:f>
        <x:v>0</x:v>
      </x:c>
      <x:c r="V1464" s="28" t="n">
        <x:f>U1464*T1464</x:f>
        <x:v>0</x:v>
      </x:c>
      <x:c r="W1464" s="28" t="n">
        <x:f>U1464*O1464</x:f>
        <x:v>0</x:v>
      </x:c>
    </x:row>
    <x:row r="1465" ht="19" customHeight="1">
      <x:c r="A1465" s="2"/>
      <x:c r="B1465" s="2"/>
      <x:c r="C1465" s="46" t="n">
        <x:v>6</x:v>
      </x:c>
      <x:c r="D1465" s="46" t="n">
        <x:v>18</x:v>
      </x:c>
      <x:c r="E1465" s="46" t="n">
        <x:v>3</x:v>
      </x:c>
      <x:c r="F1465" s="46" t="n">
        <x:v>0</x:v>
      </x:c>
      <x:c r="G1465" s="12" t="n">
        <x:v>0.1111111111111111</x:v>
      </x:c>
      <x:c r="H1465" s="12" t="n">
        <x:v>0.2222222222222222</x:v>
      </x:c>
      <x:c r="I1465" s="29" t="n">
        <x:f>'Assumptions'!$D$11+'Assumptions'!$D$12*(0.5-(G1465+H1465)/2)</x:f>
        <x:v>0.3666666666666667</x:v>
      </x:c>
      <x:c r="J1465" s="27" t="n">
        <x:f>'Assumptions'!$D$8*EXP(-'Assumptions'!$D$9*('Fleet Engine'!E212-10))*'Assumptions'!E58*'Assumptions'!J36</x:f>
        <x:v>27182.818284590452</x:v>
      </x:c>
      <x:c r="K1465" s="27" t="n">
        <x:f>'Source Data'!F217+LN('Assumptions'!D58)+LN('Assumptions'!J35)</x:f>
        <x:v>8.005343029779286</x:v>
      </x:c>
      <x:c r="L1465" s="27" t="n">
        <x:f>J1465*(1-I1465*(1-'Carrier Engine'!E97))</x:f>
        <x:v>17614.46624841461</x:v>
      </x:c>
      <x:c r="M1465" s="29" t="n">
        <x:f>NORM.S.DIST((LN(L1465)-K1465)/'Assumptions'!$D$10,TRUE)</x:f>
        <x:v>0.8703320319855985</x:v>
      </x:c>
      <x:c r="N1465" s="30" t="n">
        <x:f>MAX(0,H1465-MAX(G1465,M1465))</x:f>
        <x:v>0</x:v>
      </x:c>
      <x:c r="O1465" s="28" t="n">
        <x:f>J1465*I1465</x:f>
        <x:v>9967.0333710165</x:v>
      </x:c>
      <x:c r="P1465" s="27" t="n">
        <x:f>(VLOOKUP(O1465,'Fee Data'!$C$6:$G$50,2,TRUE)+O1465*VLOOKUP(O1465,'Fee Data'!$C$6:$G$50,3,TRUE)+VLOOKUP(O1465,'Fee Data'!$I$6:$J$14,2,TRUE)+'Fee Data'!$J$20+'Fee Data'!$J$21)*'Assumptions'!J37</x:f>
        <x:v>1195</x:v>
      </x:c>
      <x:c r="Q1465" s="27" t="n">
        <x:f>(VLOOKUP(O1465,'Fee Data'!$C$6:$G$50,4,TRUE)+O1465*VLOOKUP(O1465,'Fee Data'!$C$6:$G$50,5,TRUE)+VLOOKUP(O1465,'Fee Data'!$I$6:$J$14,2,TRUE)+'Fee Data'!$J$20+'Fee Data'!$J$21)*'Assumptions'!J37</x:f>
        <x:v>1070</x:v>
      </x:c>
      <x:c r="R1465" s="27" t="n">
        <x:f>P1465*(1-'Assumptions'!$D$14)+Q1465*'Assumptions'!$D$14</x:f>
        <x:v>1132.5</x:v>
      </x:c>
      <x:c r="S1465" s="27" t="n">
        <x:f>O1465*'Carrier Engine'!E97</x:f>
        <x:v>398.68133484066004</x:v>
      </x:c>
      <x:c r="T1465" s="28" t="n">
        <x:f>R1465+S1465</x:f>
        <x:v>1531.18133484066</x:v>
      </x:c>
      <x:c r="U1465" s="27" t="n">
        <x:f>N1465*'Fleet Engine'!L212</x:f>
        <x:v>0</x:v>
      </x:c>
      <x:c r="V1465" s="28" t="n">
        <x:f>U1465*T1465</x:f>
        <x:v>0</x:v>
      </x:c>
      <x:c r="W1465" s="28" t="n">
        <x:f>U1465*O1465</x:f>
        <x:v>0</x:v>
      </x:c>
    </x:row>
    <x:row r="1466" ht="19" customHeight="1">
      <x:c r="A1466" s="2"/>
      <x:c r="B1466" s="2"/>
      <x:c r="C1466" s="46" t="n">
        <x:v>6</x:v>
      </x:c>
      <x:c r="D1466" s="46" t="n">
        <x:v>18</x:v>
      </x:c>
      <x:c r="E1466" s="46" t="n">
        <x:v>3</x:v>
      </x:c>
      <x:c r="F1466" s="46" t="n">
        <x:v>0</x:v>
      </x:c>
      <x:c r="G1466" s="12" t="n">
        <x:v>0.2222222222222222</x:v>
      </x:c>
      <x:c r="H1466" s="12" t="n">
        <x:v>0.3333333333333333</x:v>
      </x:c>
      <x:c r="I1466" s="29" t="n">
        <x:f>'Assumptions'!$D$11+'Assumptions'!$D$12*(0.5-(G1466+H1466)/2)</x:f>
        <x:v>0.34444444444444444</x:v>
      </x:c>
      <x:c r="J1466" s="27" t="n">
        <x:f>'Assumptions'!$D$8*EXP(-'Assumptions'!$D$9*('Fleet Engine'!E212-10))*'Assumptions'!E58*'Assumptions'!J36</x:f>
        <x:v>27182.818284590452</x:v>
      </x:c>
      <x:c r="K1466" s="27" t="n">
        <x:f>'Source Data'!F217+LN('Assumptions'!D58)+LN('Assumptions'!J35)</x:f>
        <x:v>8.005343029779286</x:v>
      </x:c>
      <x:c r="L1466" s="27" t="n">
        <x:f>J1466*(1-I1466*(1-'Carrier Engine'!E97))</x:f>
        <x:v>18194.36637181921</x:v>
      </x:c>
      <x:c r="M1466" s="29" t="n">
        <x:f>NORM.S.DIST((LN(L1466)-K1466)/'Assumptions'!$D$10,TRUE)</x:f>
        <x:v>0.874637643415871</x:v>
      </x:c>
      <x:c r="N1466" s="30" t="n">
        <x:f>MAX(0,H1466-MAX(G1466,M1466))</x:f>
        <x:v>0</x:v>
      </x:c>
      <x:c r="O1466" s="28" t="n">
        <x:f>J1466*I1466</x:f>
        <x:v>9362.970742470045</x:v>
      </x:c>
      <x:c r="P1466" s="27" t="n">
        <x:f>(VLOOKUP(O1466,'Fee Data'!$C$6:$G$50,2,TRUE)+O1466*VLOOKUP(O1466,'Fee Data'!$C$6:$G$50,3,TRUE)+VLOOKUP(O1466,'Fee Data'!$I$6:$J$14,2,TRUE)+'Fee Data'!$J$20+'Fee Data'!$J$21)*'Assumptions'!J37</x:f>
        <x:v>1195</x:v>
      </x:c>
      <x:c r="Q1466" s="27" t="n">
        <x:f>(VLOOKUP(O1466,'Fee Data'!$C$6:$G$50,4,TRUE)+O1466*VLOOKUP(O1466,'Fee Data'!$C$6:$G$50,5,TRUE)+VLOOKUP(O1466,'Fee Data'!$I$6:$J$14,2,TRUE)+'Fee Data'!$J$20+'Fee Data'!$J$21)*'Assumptions'!J37</x:f>
        <x:v>1070</x:v>
      </x:c>
      <x:c r="R1466" s="27" t="n">
        <x:f>P1466*(1-'Assumptions'!$D$14)+Q1466*'Assumptions'!$D$14</x:f>
        <x:v>1132.5</x:v>
      </x:c>
      <x:c r="S1466" s="27" t="n">
        <x:f>O1466*'Carrier Engine'!E97</x:f>
        <x:v>374.5188296988019</x:v>
      </x:c>
      <x:c r="T1466" s="28" t="n">
        <x:f>R1466+S1466</x:f>
        <x:v>1507.018829698802</x:v>
      </x:c>
      <x:c r="U1466" s="27" t="n">
        <x:f>N1466*'Fleet Engine'!L212</x:f>
        <x:v>0</x:v>
      </x:c>
      <x:c r="V1466" s="28" t="n">
        <x:f>U1466*T1466</x:f>
        <x:v>0</x:v>
      </x:c>
      <x:c r="W1466" s="28" t="n">
        <x:f>U1466*O1466</x:f>
        <x:v>0</x:v>
      </x:c>
    </x:row>
    <x:row r="1467" ht="19" customHeight="1">
      <x:c r="A1467" s="2"/>
      <x:c r="B1467" s="2"/>
      <x:c r="C1467" s="46" t="n">
        <x:v>6</x:v>
      </x:c>
      <x:c r="D1467" s="46" t="n">
        <x:v>18</x:v>
      </x:c>
      <x:c r="E1467" s="46" t="n">
        <x:v>3</x:v>
      </x:c>
      <x:c r="F1467" s="46" t="n">
        <x:v>0</x:v>
      </x:c>
      <x:c r="G1467" s="12" t="n">
        <x:v>0.3333333333333333</x:v>
      </x:c>
      <x:c r="H1467" s="12" t="n">
        <x:v>0.4444444444444444</x:v>
      </x:c>
      <x:c r="I1467" s="29" t="n">
        <x:f>'Assumptions'!$D$11+'Assumptions'!$D$12*(0.5-(G1467+H1467)/2)</x:f>
        <x:v>0.32222222222222224</x:v>
      </x:c>
      <x:c r="J1467" s="27" t="n">
        <x:f>'Assumptions'!$D$8*EXP(-'Assumptions'!$D$9*('Fleet Engine'!E212-10))*'Assumptions'!E58*'Assumptions'!J36</x:f>
        <x:v>27182.818284590452</x:v>
      </x:c>
      <x:c r="K1467" s="27" t="n">
        <x:f>'Source Data'!F217+LN('Assumptions'!D58)+LN('Assumptions'!J35)</x:f>
        <x:v>8.005343029779286</x:v>
      </x:c>
      <x:c r="L1467" s="27" t="n">
        <x:f>J1467*(1-I1467*(1-'Carrier Engine'!E97))</x:f>
        <x:v>18774.266495223805</x:v>
      </x:c>
      <x:c r="M1467" s="29" t="n">
        <x:f>NORM.S.DIST((LN(L1467)-K1467)/'Assumptions'!$D$10,TRUE)</x:f>
        <x:v>0.8787120289402852</x:v>
      </x:c>
      <x:c r="N1467" s="30" t="n">
        <x:f>MAX(0,H1467-MAX(G1467,M1467))</x:f>
        <x:v>0</x:v>
      </x:c>
      <x:c r="O1467" s="28" t="n">
        <x:f>J1467*I1467</x:f>
        <x:v>8758.908113923591</x:v>
      </x:c>
      <x:c r="P1467" s="27" t="n">
        <x:f>(VLOOKUP(O1467,'Fee Data'!$C$6:$G$50,2,TRUE)+O1467*VLOOKUP(O1467,'Fee Data'!$C$6:$G$50,3,TRUE)+VLOOKUP(O1467,'Fee Data'!$I$6:$J$14,2,TRUE)+'Fee Data'!$J$20+'Fee Data'!$J$21)*'Assumptions'!J37</x:f>
        <x:v>1195</x:v>
      </x:c>
      <x:c r="Q1467" s="27" t="n">
        <x:f>(VLOOKUP(O1467,'Fee Data'!$C$6:$G$50,4,TRUE)+O1467*VLOOKUP(O1467,'Fee Data'!$C$6:$G$50,5,TRUE)+VLOOKUP(O1467,'Fee Data'!$I$6:$J$14,2,TRUE)+'Fee Data'!$J$20+'Fee Data'!$J$21)*'Assumptions'!J37</x:f>
        <x:v>1070</x:v>
      </x:c>
      <x:c r="R1467" s="27" t="n">
        <x:f>P1467*(1-'Assumptions'!$D$14)+Q1467*'Assumptions'!$D$14</x:f>
        <x:v>1132.5</x:v>
      </x:c>
      <x:c r="S1467" s="27" t="n">
        <x:f>O1467*'Carrier Engine'!E97</x:f>
        <x:v>350.3563245569437</x:v>
      </x:c>
      <x:c r="T1467" s="28" t="n">
        <x:f>R1467+S1467</x:f>
        <x:v>1482.8563245569437</x:v>
      </x:c>
      <x:c r="U1467" s="27" t="n">
        <x:f>N1467*'Fleet Engine'!L212</x:f>
        <x:v>0</x:v>
      </x:c>
      <x:c r="V1467" s="28" t="n">
        <x:f>U1467*T1467</x:f>
        <x:v>0</x:v>
      </x:c>
      <x:c r="W1467" s="28" t="n">
        <x:f>U1467*O1467</x:f>
        <x:v>0</x:v>
      </x:c>
    </x:row>
    <x:row r="1468" ht="19" customHeight="1">
      <x:c r="A1468" s="2"/>
      <x:c r="B1468" s="2"/>
      <x:c r="C1468" s="46" t="n">
        <x:v>6</x:v>
      </x:c>
      <x:c r="D1468" s="46" t="n">
        <x:v>18</x:v>
      </x:c>
      <x:c r="E1468" s="46" t="n">
        <x:v>3</x:v>
      </x:c>
      <x:c r="F1468" s="46" t="n">
        <x:v>0</x:v>
      </x:c>
      <x:c r="G1468" s="12" t="n">
        <x:v>0.4444444444444444</x:v>
      </x:c>
      <x:c r="H1468" s="12" t="n">
        <x:v>0.5555555555555556</x:v>
      </x:c>
      <x:c r="I1468" s="29" t="n">
        <x:f>'Assumptions'!$D$11+'Assumptions'!$D$12*(0.5-(G1468+H1468)/2)</x:f>
        <x:v>0.3</x:v>
      </x:c>
      <x:c r="J1468" s="27" t="n">
        <x:f>'Assumptions'!$D$8*EXP(-'Assumptions'!$D$9*('Fleet Engine'!E212-10))*'Assumptions'!E58*'Assumptions'!J36</x:f>
        <x:v>27182.818284590452</x:v>
      </x:c>
      <x:c r="K1468" s="27" t="n">
        <x:f>'Source Data'!F217+LN('Assumptions'!D58)+LN('Assumptions'!J35)</x:f>
        <x:v>8.005343029779286</x:v>
      </x:c>
      <x:c r="L1468" s="27" t="n">
        <x:f>J1468*(1-I1468*(1-'Carrier Engine'!E97))</x:f>
        <x:v>19354.166618628402</x:v>
      </x:c>
      <x:c r="M1468" s="29" t="n">
        <x:f>NORM.S.DIST((LN(L1468)-K1468)/'Assumptions'!$D$10,TRUE)</x:f>
        <x:v>0.882572669925294</x:v>
      </x:c>
      <x:c r="N1468" s="30" t="n">
        <x:f>MAX(0,H1468-MAX(G1468,M1468))</x:f>
        <x:v>0</x:v>
      </x:c>
      <x:c r="O1468" s="28" t="n">
        <x:f>J1468*I1468</x:f>
        <x:v>8154.845485377135</x:v>
      </x:c>
      <x:c r="P1468" s="27" t="n">
        <x:f>(VLOOKUP(O1468,'Fee Data'!$C$6:$G$50,2,TRUE)+O1468*VLOOKUP(O1468,'Fee Data'!$C$6:$G$50,3,TRUE)+VLOOKUP(O1468,'Fee Data'!$I$6:$J$14,2,TRUE)+'Fee Data'!$J$20+'Fee Data'!$J$21)*'Assumptions'!J37</x:f>
        <x:v>1175</x:v>
      </x:c>
      <x:c r="Q1468" s="27" t="n">
        <x:f>(VLOOKUP(O1468,'Fee Data'!$C$6:$G$50,4,TRUE)+O1468*VLOOKUP(O1468,'Fee Data'!$C$6:$G$50,5,TRUE)+VLOOKUP(O1468,'Fee Data'!$I$6:$J$14,2,TRUE)+'Fee Data'!$J$20+'Fee Data'!$J$21)*'Assumptions'!J37</x:f>
        <x:v>1050</x:v>
      </x:c>
      <x:c r="R1468" s="27" t="n">
        <x:f>P1468*(1-'Assumptions'!$D$14)+Q1468*'Assumptions'!$D$14</x:f>
        <x:v>1112.5</x:v>
      </x:c>
      <x:c r="S1468" s="27" t="n">
        <x:f>O1468*'Carrier Engine'!E97</x:f>
        <x:v>326.1938194150855</x:v>
      </x:c>
      <x:c r="T1468" s="28" t="n">
        <x:f>R1468+S1468</x:f>
        <x:v>1438.6938194150855</x:v>
      </x:c>
      <x:c r="U1468" s="27" t="n">
        <x:f>N1468*'Fleet Engine'!L212</x:f>
        <x:v>0</x:v>
      </x:c>
      <x:c r="V1468" s="28" t="n">
        <x:f>U1468*T1468</x:f>
        <x:v>0</x:v>
      </x:c>
      <x:c r="W1468" s="28" t="n">
        <x:f>U1468*O1468</x:f>
        <x:v>0</x:v>
      </x:c>
    </x:row>
    <x:row r="1469" ht="19" customHeight="1">
      <x:c r="A1469" s="2"/>
      <x:c r="B1469" s="2"/>
      <x:c r="C1469" s="46" t="n">
        <x:v>6</x:v>
      </x:c>
      <x:c r="D1469" s="46" t="n">
        <x:v>18</x:v>
      </x:c>
      <x:c r="E1469" s="46" t="n">
        <x:v>3</x:v>
      </x:c>
      <x:c r="F1469" s="46" t="n">
        <x:v>0</x:v>
      </x:c>
      <x:c r="G1469" s="12" t="n">
        <x:v>0.5555555555555556</x:v>
      </x:c>
      <x:c r="H1469" s="12" t="n">
        <x:v>0.6666666666666666</x:v>
      </x:c>
      <x:c r="I1469" s="29" t="n">
        <x:f>'Assumptions'!$D$11+'Assumptions'!$D$12*(0.5-(G1469+H1469)/2)</x:f>
        <x:v>0.27777777777777773</x:v>
      </x:c>
      <x:c r="J1469" s="27" t="n">
        <x:f>'Assumptions'!$D$8*EXP(-'Assumptions'!$D$9*('Fleet Engine'!E212-10))*'Assumptions'!E58*'Assumptions'!J36</x:f>
        <x:v>27182.818284590452</x:v>
      </x:c>
      <x:c r="K1469" s="27" t="n">
        <x:f>'Source Data'!F217+LN('Assumptions'!D58)+LN('Assumptions'!J35)</x:f>
        <x:v>8.005343029779286</x:v>
      </x:c>
      <x:c r="L1469" s="27" t="n">
        <x:f>J1469*(1-I1469*(1-'Carrier Engine'!E97))</x:f>
        <x:v>19934.066742033</x:v>
      </x:c>
      <x:c r="M1469" s="29" t="n">
        <x:f>NORM.S.DIST((LN(L1469)-K1469)/'Assumptions'!$D$10,TRUE)</x:f>
        <x:v>0.8862353381924654</x:v>
      </x:c>
      <x:c r="N1469" s="30" t="n">
        <x:f>MAX(0,H1469-MAX(G1469,M1469))</x:f>
        <x:v>0</x:v>
      </x:c>
      <x:c r="O1469" s="28" t="n">
        <x:f>J1469*I1469</x:f>
        <x:v>7550.7828568306795</x:v>
      </x:c>
      <x:c r="P1469" s="27" t="n">
        <x:f>(VLOOKUP(O1469,'Fee Data'!$C$6:$G$50,2,TRUE)+O1469*VLOOKUP(O1469,'Fee Data'!$C$6:$G$50,3,TRUE)+VLOOKUP(O1469,'Fee Data'!$I$6:$J$14,2,TRUE)+'Fee Data'!$J$20+'Fee Data'!$J$21)*'Assumptions'!J37</x:f>
        <x:v>1135</x:v>
      </x:c>
      <x:c r="Q1469" s="27" t="n">
        <x:f>(VLOOKUP(O1469,'Fee Data'!$C$6:$G$50,4,TRUE)+O1469*VLOOKUP(O1469,'Fee Data'!$C$6:$G$50,5,TRUE)+VLOOKUP(O1469,'Fee Data'!$I$6:$J$14,2,TRUE)+'Fee Data'!$J$20+'Fee Data'!$J$21)*'Assumptions'!J37</x:f>
        <x:v>1010</x:v>
      </x:c>
      <x:c r="R1469" s="27" t="n">
        <x:f>P1469*(1-'Assumptions'!$D$14)+Q1469*'Assumptions'!$D$14</x:f>
        <x:v>1072.5</x:v>
      </x:c>
      <x:c r="S1469" s="27" t="n">
        <x:f>O1469*'Carrier Engine'!E97</x:f>
        <x:v>302.0313142732272</x:v>
      </x:c>
      <x:c r="T1469" s="28" t="n">
        <x:f>R1469+S1469</x:f>
        <x:v>1374.5313142732273</x:v>
      </x:c>
      <x:c r="U1469" s="27" t="n">
        <x:f>N1469*'Fleet Engine'!L212</x:f>
        <x:v>0</x:v>
      </x:c>
      <x:c r="V1469" s="28" t="n">
        <x:f>U1469*T1469</x:f>
        <x:v>0</x:v>
      </x:c>
      <x:c r="W1469" s="28" t="n">
        <x:f>U1469*O1469</x:f>
        <x:v>0</x:v>
      </x:c>
    </x:row>
    <x:row r="1470" ht="19" customHeight="1">
      <x:c r="A1470" s="2"/>
      <x:c r="B1470" s="2"/>
      <x:c r="C1470" s="46" t="n">
        <x:v>6</x:v>
      </x:c>
      <x:c r="D1470" s="46" t="n">
        <x:v>18</x:v>
      </x:c>
      <x:c r="E1470" s="46" t="n">
        <x:v>3</x:v>
      </x:c>
      <x:c r="F1470" s="46" t="n">
        <x:v>0</x:v>
      </x:c>
      <x:c r="G1470" s="12" t="n">
        <x:v>0.6666666666666666</x:v>
      </x:c>
      <x:c r="H1470" s="12" t="n">
        <x:v>0.7777777777777778</x:v>
      </x:c>
      <x:c r="I1470" s="29" t="n">
        <x:f>'Assumptions'!$D$11+'Assumptions'!$D$12*(0.5-(G1470+H1470)/2)</x:f>
        <x:v>0.25555555555555554</x:v>
      </x:c>
      <x:c r="J1470" s="27" t="n">
        <x:f>'Assumptions'!$D$8*EXP(-'Assumptions'!$D$9*('Fleet Engine'!E212-10))*'Assumptions'!E58*'Assumptions'!J36</x:f>
        <x:v>27182.818284590452</x:v>
      </x:c>
      <x:c r="K1470" s="27" t="n">
        <x:f>'Source Data'!F217+LN('Assumptions'!D58)+LN('Assumptions'!J35)</x:f>
        <x:v>8.005343029779286</x:v>
      </x:c>
      <x:c r="L1470" s="27" t="n">
        <x:f>J1470*(1-I1470*(1-'Carrier Engine'!E97))</x:f>
        <x:v>20513.966865437596</x:v>
      </x:c>
      <x:c r="M1470" s="29" t="n">
        <x:f>NORM.S.DIST((LN(L1470)-K1470)/'Assumptions'!$D$10,TRUE)</x:f>
        <x:v>0.8897143006733278</x:v>
      </x:c>
      <x:c r="N1470" s="30" t="n">
        <x:f>MAX(0,H1470-MAX(G1470,M1470))</x:f>
        <x:v>0</x:v>
      </x:c>
      <x:c r="O1470" s="28" t="n">
        <x:f>J1470*I1470</x:f>
        <x:v>6946.720228284226</x:v>
      </x:c>
      <x:c r="P1470" s="27" t="n">
        <x:f>(VLOOKUP(O1470,'Fee Data'!$C$6:$G$50,2,TRUE)+O1470*VLOOKUP(O1470,'Fee Data'!$C$6:$G$50,3,TRUE)+VLOOKUP(O1470,'Fee Data'!$I$6:$J$14,2,TRUE)+'Fee Data'!$J$20+'Fee Data'!$J$21)*'Assumptions'!J37</x:f>
        <x:v>1080</x:v>
      </x:c>
      <x:c r="Q1470" s="27" t="n">
        <x:f>(VLOOKUP(O1470,'Fee Data'!$C$6:$G$50,4,TRUE)+O1470*VLOOKUP(O1470,'Fee Data'!$C$6:$G$50,5,TRUE)+VLOOKUP(O1470,'Fee Data'!$I$6:$J$14,2,TRUE)+'Fee Data'!$J$20+'Fee Data'!$J$21)*'Assumptions'!J37</x:f>
        <x:v>955</x:v>
      </x:c>
      <x:c r="R1470" s="27" t="n">
        <x:f>P1470*(1-'Assumptions'!$D$14)+Q1470*'Assumptions'!$D$14</x:f>
        <x:v>1017.5</x:v>
      </x:c>
      <x:c r="S1470" s="27" t="n">
        <x:f>O1470*'Carrier Engine'!E97</x:f>
        <x:v>277.8688091313691</x:v>
      </x:c>
      <x:c r="T1470" s="28" t="n">
        <x:f>R1470+S1470</x:f>
        <x:v>1295.368809131369</x:v>
      </x:c>
      <x:c r="U1470" s="27" t="n">
        <x:f>N1470*'Fleet Engine'!L212</x:f>
        <x:v>0</x:v>
      </x:c>
      <x:c r="V1470" s="28" t="n">
        <x:f>U1470*T1470</x:f>
        <x:v>0</x:v>
      </x:c>
      <x:c r="W1470" s="28" t="n">
        <x:f>U1470*O1470</x:f>
        <x:v>0</x:v>
      </x:c>
    </x:row>
    <x:row r="1471" ht="19" customHeight="1">
      <x:c r="A1471" s="2"/>
      <x:c r="B1471" s="2"/>
      <x:c r="C1471" s="46" t="n">
        <x:v>6</x:v>
      </x:c>
      <x:c r="D1471" s="46" t="n">
        <x:v>18</x:v>
      </x:c>
      <x:c r="E1471" s="46" t="n">
        <x:v>3</x:v>
      </x:c>
      <x:c r="F1471" s="46" t="n">
        <x:v>0</x:v>
      </x:c>
      <x:c r="G1471" s="12" t="n">
        <x:v>0.7777777777777778</x:v>
      </x:c>
      <x:c r="H1471" s="12" t="n">
        <x:v>0.8888888888888888</x:v>
      </x:c>
      <x:c r="I1471" s="29" t="n">
        <x:f>'Assumptions'!$D$11+'Assumptions'!$D$12*(0.5-(G1471+H1471)/2)</x:f>
        <x:v>0.23333333333333334</x:v>
      </x:c>
      <x:c r="J1471" s="27" t="n">
        <x:f>'Assumptions'!$D$8*EXP(-'Assumptions'!$D$9*('Fleet Engine'!E212-10))*'Assumptions'!E58*'Assumptions'!J36</x:f>
        <x:v>27182.818284590452</x:v>
      </x:c>
      <x:c r="K1471" s="27" t="n">
        <x:f>'Source Data'!F217+LN('Assumptions'!D58)+LN('Assumptions'!J35)</x:f>
        <x:v>8.005343029779286</x:v>
      </x:c>
      <x:c r="L1471" s="27" t="n">
        <x:f>J1471*(1-I1471*(1-'Carrier Engine'!E97))</x:f>
        <x:v>21093.86698884219</x:v>
      </x:c>
      <x:c r="M1471" s="29" t="n">
        <x:f>NORM.S.DIST((LN(L1471)-K1471)/'Assumptions'!$D$10,TRUE)</x:f>
        <x:v>0.8930224951902263</x:v>
      </x:c>
      <x:c r="N1471" s="30" t="n">
        <x:f>MAX(0,H1471-MAX(G1471,M1471))</x:f>
        <x:v>0</x:v>
      </x:c>
      <x:c r="O1471" s="28" t="n">
        <x:f>J1471*I1471</x:f>
        <x:v>6342.657599737772</x:v>
      </x:c>
      <x:c r="P1471" s="27" t="n">
        <x:f>(VLOOKUP(O1471,'Fee Data'!$C$6:$G$50,2,TRUE)+O1471*VLOOKUP(O1471,'Fee Data'!$C$6:$G$50,3,TRUE)+VLOOKUP(O1471,'Fee Data'!$I$6:$J$14,2,TRUE)+'Fee Data'!$J$20+'Fee Data'!$J$21)*'Assumptions'!J37</x:f>
        <x:v>1060</x:v>
      </x:c>
      <x:c r="Q1471" s="27" t="n">
        <x:f>(VLOOKUP(O1471,'Fee Data'!$C$6:$G$50,4,TRUE)+O1471*VLOOKUP(O1471,'Fee Data'!$C$6:$G$50,5,TRUE)+VLOOKUP(O1471,'Fee Data'!$I$6:$J$14,2,TRUE)+'Fee Data'!$J$20+'Fee Data'!$J$21)*'Assumptions'!J37</x:f>
        <x:v>935</x:v>
      </x:c>
      <x:c r="R1471" s="27" t="n">
        <x:f>P1471*(1-'Assumptions'!$D$14)+Q1471*'Assumptions'!$D$14</x:f>
        <x:v>997.5</x:v>
      </x:c>
      <x:c r="S1471" s="27" t="n">
        <x:f>O1471*'Carrier Engine'!E97</x:f>
        <x:v>253.70630398951093</x:v>
      </x:c>
      <x:c r="T1471" s="28" t="n">
        <x:f>R1471+S1471</x:f>
        <x:v>1251.2063039895108</x:v>
      </x:c>
      <x:c r="U1471" s="27" t="n">
        <x:f>N1471*'Fleet Engine'!L212</x:f>
        <x:v>0</x:v>
      </x:c>
      <x:c r="V1471" s="28" t="n">
        <x:f>U1471*T1471</x:f>
        <x:v>0</x:v>
      </x:c>
      <x:c r="W1471" s="28" t="n">
        <x:f>U1471*O1471</x:f>
        <x:v>0</x:v>
      </x:c>
    </x:row>
    <x:row r="1472" ht="19" customHeight="1">
      <x:c r="A1472" s="2"/>
      <x:c r="B1472" s="2"/>
      <x:c r="C1472" s="46" t="n">
        <x:v>6</x:v>
      </x:c>
      <x:c r="D1472" s="46" t="n">
        <x:v>18</x:v>
      </x:c>
      <x:c r="E1472" s="46" t="n">
        <x:v>3</x:v>
      </x:c>
      <x:c r="F1472" s="46" t="n">
        <x:v>0</x:v>
      </x:c>
      <x:c r="G1472" s="12" t="n">
        <x:v>0.8888888888888888</x:v>
      </x:c>
      <x:c r="H1472" s="12" t="n">
        <x:v>1</x:v>
      </x:c>
      <x:c r="I1472" s="29" t="n">
        <x:f>'Assumptions'!$D$11+'Assumptions'!$D$12*(0.5-(G1472+H1472)/2)</x:f>
        <x:v>0.21111111111111108</x:v>
      </x:c>
      <x:c r="J1472" s="27" t="n">
        <x:f>'Assumptions'!$D$8*EXP(-'Assumptions'!$D$9*('Fleet Engine'!E212-10))*'Assumptions'!E58*'Assumptions'!J36</x:f>
        <x:v>27182.818284590452</x:v>
      </x:c>
      <x:c r="K1472" s="27" t="n">
        <x:f>'Source Data'!F217+LN('Assumptions'!D58)+LN('Assumptions'!J35)</x:f>
        <x:v>8.005343029779286</x:v>
      </x:c>
      <x:c r="L1472" s="27" t="n">
        <x:f>J1472*(1-I1472*(1-'Carrier Engine'!E97))</x:f>
        <x:v>21673.767112246787</x:v>
      </x:c>
      <x:c r="M1472" s="29" t="n">
        <x:f>NORM.S.DIST((LN(L1472)-K1472)/'Assumptions'!$D$10,TRUE)</x:f>
        <x:v>0.8961716820343077</x:v>
      </x:c>
      <x:c r="N1472" s="30" t="n">
        <x:f>MAX(0,H1472-MAX(G1472,M1472))</x:f>
        <x:v>0.10382831796569225</x:v>
      </x:c>
      <x:c r="O1472" s="28" t="n">
        <x:f>J1472*I1472</x:f>
        <x:v>5738.594971191317</x:v>
      </x:c>
      <x:c r="P1472" s="27" t="n">
        <x:f>(VLOOKUP(O1472,'Fee Data'!$C$6:$G$50,2,TRUE)+O1472*VLOOKUP(O1472,'Fee Data'!$C$6:$G$50,3,TRUE)+VLOOKUP(O1472,'Fee Data'!$I$6:$J$14,2,TRUE)+'Fee Data'!$J$20+'Fee Data'!$J$21)*'Assumptions'!J37</x:f>
        <x:v>1020</x:v>
      </x:c>
      <x:c r="Q1472" s="27" t="n">
        <x:f>(VLOOKUP(O1472,'Fee Data'!$C$6:$G$50,4,TRUE)+O1472*VLOOKUP(O1472,'Fee Data'!$C$6:$G$50,5,TRUE)+VLOOKUP(O1472,'Fee Data'!$I$6:$J$14,2,TRUE)+'Fee Data'!$J$20+'Fee Data'!$J$21)*'Assumptions'!J37</x:f>
        <x:v>895</x:v>
      </x:c>
      <x:c r="R1472" s="27" t="n">
        <x:f>P1472*(1-'Assumptions'!$D$14)+Q1472*'Assumptions'!$D$14</x:f>
        <x:v>957.5</x:v>
      </x:c>
      <x:c r="S1472" s="27" t="n">
        <x:f>O1472*'Carrier Engine'!E97</x:f>
        <x:v>229.54379884765274</x:v>
      </x:c>
      <x:c r="T1472" s="28" t="n">
        <x:f>R1472+S1472</x:f>
        <x:v>1187.0437988476529</x:v>
      </x:c>
      <x:c r="U1472" s="27" t="n">
        <x:f>N1472*'Fleet Engine'!L212</x:f>
        <x:v>56.531624803101806</x:v>
      </x:c>
      <x:c r="V1472" s="28" t="n">
        <x:f>U1472*T1472</x:f>
        <x:v>67105.51466130416</x:v>
      </x:c>
      <x:c r="W1472" s="28" t="n">
        <x:f>U1472*O1472</x:f>
        <x:v>324412.09780835436</x:v>
      </x:c>
    </x:row>
    <x:row r="1473" ht="19" customHeight="1">
      <x:c r="A1473" s="2"/>
      <x:c r="B1473" s="2"/>
      <x:c r="C1473" s="46" t="n">
        <x:v>6</x:v>
      </x:c>
      <x:c r="D1473" s="46" t="n">
        <x:v>19</x:v>
      </x:c>
      <x:c r="E1473" s="46" t="n">
        <x:v>3</x:v>
      </x:c>
      <x:c r="F1473" s="46" t="n">
        <x:v>1</x:v>
      </x:c>
      <x:c r="G1473" s="12" t="n">
        <x:v>0</x:v>
      </x:c>
      <x:c r="H1473" s="12" t="n">
        <x:v>0.1111111111111111</x:v>
      </x:c>
      <x:c r="I1473" s="29" t="n">
        <x:f>'Assumptions'!$D$11+'Assumptions'!$D$12*(0.5-(G1473+H1473)/2)</x:f>
        <x:v>0.3888888888888889</x:v>
      </x:c>
      <x:c r="J1473" s="27" t="n">
        <x:f>'Assumptions'!$D$8*EXP(-'Assumptions'!$D$9*('Fleet Engine'!E213-10))*'Assumptions'!E58*'Assumptions'!J36</x:f>
        <x:v>22255.409284924677</x:v>
      </x:c>
      <x:c r="K1473" s="27" t="n">
        <x:f>'Source Data'!F218+LN('Assumptions'!D58)+LN('Assumptions'!J35)</x:f>
        <x:v>7.890902228235048</x:v>
      </x:c>
      <x:c r="L1473" s="27" t="n">
        <x:f>J1473*(1-I1473*(1-'Carrier Engine'!E97))</x:f>
        <x:v>13946.723151886132</x:v>
      </x:c>
      <x:c r="M1473" s="29" t="n">
        <x:f>NORM.S.DIST((LN(L1473)-K1473)/'Assumptions'!$D$10,TRUE)</x:f>
        <x:v>0.8536354275611799</x:v>
      </x:c>
      <x:c r="N1473" s="30" t="n">
        <x:f>MAX(0,H1473-MAX(G1473,M1473))</x:f>
        <x:v>0</x:v>
      </x:c>
      <x:c r="O1473" s="28" t="n">
        <x:f>J1473*I1473</x:f>
        <x:v>8654.88138858182</x:v>
      </x:c>
      <x:c r="P1473" s="27" t="n">
        <x:f>(VLOOKUP(O1473,'Fee Data'!$C$6:$G$50,2,TRUE)+O1473*VLOOKUP(O1473,'Fee Data'!$C$6:$G$50,3,TRUE)+VLOOKUP(O1473,'Fee Data'!$I$6:$J$14,2,TRUE)+'Fee Data'!$J$20+'Fee Data'!$J$21)*'Assumptions'!J37</x:f>
        <x:v>1195</x:v>
      </x:c>
      <x:c r="Q1473" s="27" t="n">
        <x:f>(VLOOKUP(O1473,'Fee Data'!$C$6:$G$50,4,TRUE)+O1473*VLOOKUP(O1473,'Fee Data'!$C$6:$G$50,5,TRUE)+VLOOKUP(O1473,'Fee Data'!$I$6:$J$14,2,TRUE)+'Fee Data'!$J$20+'Fee Data'!$J$21)*'Assumptions'!J37</x:f>
        <x:v>1070</x:v>
      </x:c>
      <x:c r="R1473" s="27" t="n">
        <x:f>P1473*(1-'Assumptions'!$D$14)+Q1473*'Assumptions'!$D$14</x:f>
        <x:v>1132.5</x:v>
      </x:c>
      <x:c r="S1473" s="27" t="n">
        <x:f>O1473*'Carrier Engine'!E97</x:f>
        <x:v>346.1952555432729</x:v>
      </x:c>
      <x:c r="T1473" s="28" t="n">
        <x:f>R1473+S1473</x:f>
        <x:v>1478.6952555432729</x:v>
      </x:c>
      <x:c r="U1473" s="27" t="n">
        <x:f>N1473*'Fleet Engine'!L213</x:f>
        <x:v>0</x:v>
      </x:c>
      <x:c r="V1473" s="28" t="n">
        <x:f>U1473*T1473</x:f>
        <x:v>0</x:v>
      </x:c>
      <x:c r="W1473" s="28" t="n">
        <x:f>U1473*O1473</x:f>
        <x:v>0</x:v>
      </x:c>
    </x:row>
    <x:row r="1474" ht="19" customHeight="1">
      <x:c r="A1474" s="2"/>
      <x:c r="B1474" s="2"/>
      <x:c r="C1474" s="46" t="n">
        <x:v>6</x:v>
      </x:c>
      <x:c r="D1474" s="46" t="n">
        <x:v>19</x:v>
      </x:c>
      <x:c r="E1474" s="46" t="n">
        <x:v>3</x:v>
      </x:c>
      <x:c r="F1474" s="46" t="n">
        <x:v>1</x:v>
      </x:c>
      <x:c r="G1474" s="12" t="n">
        <x:v>0.1111111111111111</x:v>
      </x:c>
      <x:c r="H1474" s="12" t="n">
        <x:v>0.2222222222222222</x:v>
      </x:c>
      <x:c r="I1474" s="29" t="n">
        <x:f>'Assumptions'!$D$11+'Assumptions'!$D$12*(0.5-(G1474+H1474)/2)</x:f>
        <x:v>0.3666666666666667</x:v>
      </x:c>
      <x:c r="J1474" s="27" t="n">
        <x:f>'Assumptions'!$D$8*EXP(-'Assumptions'!$D$9*('Fleet Engine'!E213-10))*'Assumptions'!E58*'Assumptions'!J36</x:f>
        <x:v>22255.409284924677</x:v>
      </x:c>
      <x:c r="K1474" s="27" t="n">
        <x:f>'Source Data'!F218+LN('Assumptions'!D58)+LN('Assumptions'!J35)</x:f>
        <x:v>7.890902228235048</x:v>
      </x:c>
      <x:c r="L1474" s="27" t="n">
        <x:f>J1474*(1-I1474*(1-'Carrier Engine'!E97))</x:f>
        <x:v>14421.505216631189</x:v>
      </x:c>
      <x:c r="M1474" s="29" t="n">
        <x:f>NORM.S.DIST((LN(L1474)-K1474)/'Assumptions'!$D$10,TRUE)</x:f>
        <x:v>0.858470508362788</x:v>
      </x:c>
      <x:c r="N1474" s="30" t="n">
        <x:f>MAX(0,H1474-MAX(G1474,M1474))</x:f>
        <x:v>0</x:v>
      </x:c>
      <x:c r="O1474" s="28" t="n">
        <x:f>J1474*I1474</x:f>
        <x:v>8160.316737805716</x:v>
      </x:c>
      <x:c r="P1474" s="27" t="n">
        <x:f>(VLOOKUP(O1474,'Fee Data'!$C$6:$G$50,2,TRUE)+O1474*VLOOKUP(O1474,'Fee Data'!$C$6:$G$50,3,TRUE)+VLOOKUP(O1474,'Fee Data'!$I$6:$J$14,2,TRUE)+'Fee Data'!$J$20+'Fee Data'!$J$21)*'Assumptions'!J37</x:f>
        <x:v>1175</x:v>
      </x:c>
      <x:c r="Q1474" s="27" t="n">
        <x:f>(VLOOKUP(O1474,'Fee Data'!$C$6:$G$50,4,TRUE)+O1474*VLOOKUP(O1474,'Fee Data'!$C$6:$G$50,5,TRUE)+VLOOKUP(O1474,'Fee Data'!$I$6:$J$14,2,TRUE)+'Fee Data'!$J$20+'Fee Data'!$J$21)*'Assumptions'!J37</x:f>
        <x:v>1050</x:v>
      </x:c>
      <x:c r="R1474" s="27" t="n">
        <x:f>P1474*(1-'Assumptions'!$D$14)+Q1474*'Assumptions'!$D$14</x:f>
        <x:v>1112.5</x:v>
      </x:c>
      <x:c r="S1474" s="27" t="n">
        <x:f>O1474*'Carrier Engine'!E97</x:f>
        <x:v>326.4126695122287</x:v>
      </x:c>
      <x:c r="T1474" s="28" t="n">
        <x:f>R1474+S1474</x:f>
        <x:v>1438.9126695122286</x:v>
      </x:c>
      <x:c r="U1474" s="27" t="n">
        <x:f>N1474*'Fleet Engine'!L213</x:f>
        <x:v>0</x:v>
      </x:c>
      <x:c r="V1474" s="28" t="n">
        <x:f>U1474*T1474</x:f>
        <x:v>0</x:v>
      </x:c>
      <x:c r="W1474" s="28" t="n">
        <x:f>U1474*O1474</x:f>
        <x:v>0</x:v>
      </x:c>
    </x:row>
    <x:row r="1475" ht="19" customHeight="1">
      <x:c r="A1475" s="2"/>
      <x:c r="B1475" s="2"/>
      <x:c r="C1475" s="46" t="n">
        <x:v>6</x:v>
      </x:c>
      <x:c r="D1475" s="46" t="n">
        <x:v>19</x:v>
      </x:c>
      <x:c r="E1475" s="46" t="n">
        <x:v>3</x:v>
      </x:c>
      <x:c r="F1475" s="46" t="n">
        <x:v>1</x:v>
      </x:c>
      <x:c r="G1475" s="12" t="n">
        <x:v>0.2222222222222222</x:v>
      </x:c>
      <x:c r="H1475" s="12" t="n">
        <x:v>0.3333333333333333</x:v>
      </x:c>
      <x:c r="I1475" s="29" t="n">
        <x:f>'Assumptions'!$D$11+'Assumptions'!$D$12*(0.5-(G1475+H1475)/2)</x:f>
        <x:v>0.34444444444444444</x:v>
      </x:c>
      <x:c r="J1475" s="27" t="n">
        <x:f>'Assumptions'!$D$8*EXP(-'Assumptions'!$D$9*('Fleet Engine'!E213-10))*'Assumptions'!E58*'Assumptions'!J36</x:f>
        <x:v>22255.409284924677</x:v>
      </x:c>
      <x:c r="K1475" s="27" t="n">
        <x:f>'Source Data'!F218+LN('Assumptions'!D58)+LN('Assumptions'!J35)</x:f>
        <x:v>7.890902228235048</x:v>
      </x:c>
      <x:c r="L1475" s="27" t="n">
        <x:f>J1475*(1-I1475*(1-'Carrier Engine'!E97))</x:f>
        <x:v>14896.287281376251</x:v>
      </x:c>
      <x:c r="M1475" s="29" t="n">
        <x:f>NORM.S.DIST((LN(L1475)-K1475)/'Assumptions'!$D$10,TRUE)</x:f>
        <x:v>0.8630448198872039</x:v>
      </x:c>
      <x:c r="N1475" s="30" t="n">
        <x:f>MAX(0,H1475-MAX(G1475,M1475))</x:f>
        <x:v>0</x:v>
      </x:c>
      <x:c r="O1475" s="28" t="n">
        <x:f>J1475*I1475</x:f>
        <x:v>7665.752087029611</x:v>
      </x:c>
      <x:c r="P1475" s="27" t="n">
        <x:f>(VLOOKUP(O1475,'Fee Data'!$C$6:$G$50,2,TRUE)+O1475*VLOOKUP(O1475,'Fee Data'!$C$6:$G$50,3,TRUE)+VLOOKUP(O1475,'Fee Data'!$I$6:$J$14,2,TRUE)+'Fee Data'!$J$20+'Fee Data'!$J$21)*'Assumptions'!J37</x:f>
        <x:v>1135</x:v>
      </x:c>
      <x:c r="Q1475" s="27" t="n">
        <x:f>(VLOOKUP(O1475,'Fee Data'!$C$6:$G$50,4,TRUE)+O1475*VLOOKUP(O1475,'Fee Data'!$C$6:$G$50,5,TRUE)+VLOOKUP(O1475,'Fee Data'!$I$6:$J$14,2,TRUE)+'Fee Data'!$J$20+'Fee Data'!$J$21)*'Assumptions'!J37</x:f>
        <x:v>1010</x:v>
      </x:c>
      <x:c r="R1475" s="27" t="n">
        <x:f>P1475*(1-'Assumptions'!$D$14)+Q1475*'Assumptions'!$D$14</x:f>
        <x:v>1072.5</x:v>
      </x:c>
      <x:c r="S1475" s="27" t="n">
        <x:f>O1475*'Carrier Engine'!E97</x:f>
        <x:v>306.6300834811845</x:v>
      </x:c>
      <x:c r="T1475" s="28" t="n">
        <x:f>R1475+S1475</x:f>
        <x:v>1379.1300834811846</x:v>
      </x:c>
      <x:c r="U1475" s="27" t="n">
        <x:f>N1475*'Fleet Engine'!L213</x:f>
        <x:v>0</x:v>
      </x:c>
      <x:c r="V1475" s="28" t="n">
        <x:f>U1475*T1475</x:f>
        <x:v>0</x:v>
      </x:c>
      <x:c r="W1475" s="28" t="n">
        <x:f>U1475*O1475</x:f>
        <x:v>0</x:v>
      </x:c>
    </x:row>
    <x:row r="1476" ht="19" customHeight="1">
      <x:c r="A1476" s="2"/>
      <x:c r="B1476" s="2"/>
      <x:c r="C1476" s="46" t="n">
        <x:v>6</x:v>
      </x:c>
      <x:c r="D1476" s="46" t="n">
        <x:v>19</x:v>
      </x:c>
      <x:c r="E1476" s="46" t="n">
        <x:v>3</x:v>
      </x:c>
      <x:c r="F1476" s="46" t="n">
        <x:v>1</x:v>
      </x:c>
      <x:c r="G1476" s="12" t="n">
        <x:v>0.3333333333333333</x:v>
      </x:c>
      <x:c r="H1476" s="12" t="n">
        <x:v>0.4444444444444444</x:v>
      </x:c>
      <x:c r="I1476" s="29" t="n">
        <x:f>'Assumptions'!$D$11+'Assumptions'!$D$12*(0.5-(G1476+H1476)/2)</x:f>
        <x:v>0.32222222222222224</x:v>
      </x:c>
      <x:c r="J1476" s="27" t="n">
        <x:f>'Assumptions'!$D$8*EXP(-'Assumptions'!$D$9*('Fleet Engine'!E213-10))*'Assumptions'!E58*'Assumptions'!J36</x:f>
        <x:v>22255.409284924677</x:v>
      </x:c>
      <x:c r="K1476" s="27" t="n">
        <x:f>'Source Data'!F218+LN('Assumptions'!D58)+LN('Assumptions'!J35)</x:f>
        <x:v>7.890902228235048</x:v>
      </x:c>
      <x:c r="L1476" s="27" t="n">
        <x:f>J1476*(1-I1476*(1-'Carrier Engine'!E97))</x:f>
        <x:v>15371.06934612131</x:v>
      </x:c>
      <x:c r="M1476" s="29" t="n">
        <x:f>NORM.S.DIST((LN(L1476)-K1476)/'Assumptions'!$D$10,TRUE)</x:f>
        <x:v>0.8673782677431042</x:v>
      </x:c>
      <x:c r="N1476" s="30" t="n">
        <x:f>MAX(0,H1476-MAX(G1476,M1476))</x:f>
        <x:v>0</x:v>
      </x:c>
      <x:c r="O1476" s="28" t="n">
        <x:f>J1476*I1476</x:f>
        <x:v>7171.187436253507</x:v>
      </x:c>
      <x:c r="P1476" s="27" t="n">
        <x:f>(VLOOKUP(O1476,'Fee Data'!$C$6:$G$50,2,TRUE)+O1476*VLOOKUP(O1476,'Fee Data'!$C$6:$G$50,3,TRUE)+VLOOKUP(O1476,'Fee Data'!$I$6:$J$14,2,TRUE)+'Fee Data'!$J$20+'Fee Data'!$J$21)*'Assumptions'!J37</x:f>
        <x:v>1115</x:v>
      </x:c>
      <x:c r="Q1476" s="27" t="n">
        <x:f>(VLOOKUP(O1476,'Fee Data'!$C$6:$G$50,4,TRUE)+O1476*VLOOKUP(O1476,'Fee Data'!$C$6:$G$50,5,TRUE)+VLOOKUP(O1476,'Fee Data'!$I$6:$J$14,2,TRUE)+'Fee Data'!$J$20+'Fee Data'!$J$21)*'Assumptions'!J37</x:f>
        <x:v>990</x:v>
      </x:c>
      <x:c r="R1476" s="27" t="n">
        <x:f>P1476*(1-'Assumptions'!$D$14)+Q1476*'Assumptions'!$D$14</x:f>
        <x:v>1052.5</x:v>
      </x:c>
      <x:c r="S1476" s="27" t="n">
        <x:f>O1476*'Carrier Engine'!E97</x:f>
        <x:v>286.84749745014034</x:v>
      </x:c>
      <x:c r="T1476" s="28" t="n">
        <x:f>R1476+S1476</x:f>
        <x:v>1339.3474974501403</x:v>
      </x:c>
      <x:c r="U1476" s="27" t="n">
        <x:f>N1476*'Fleet Engine'!L213</x:f>
        <x:v>0</x:v>
      </x:c>
      <x:c r="V1476" s="28" t="n">
        <x:f>U1476*T1476</x:f>
        <x:v>0</x:v>
      </x:c>
      <x:c r="W1476" s="28" t="n">
        <x:f>U1476*O1476</x:f>
        <x:v>0</x:v>
      </x:c>
    </x:row>
    <x:row r="1477" ht="19" customHeight="1">
      <x:c r="A1477" s="2"/>
      <x:c r="B1477" s="2"/>
      <x:c r="C1477" s="46" t="n">
        <x:v>6</x:v>
      </x:c>
      <x:c r="D1477" s="46" t="n">
        <x:v>19</x:v>
      </x:c>
      <x:c r="E1477" s="46" t="n">
        <x:v>3</x:v>
      </x:c>
      <x:c r="F1477" s="46" t="n">
        <x:v>1</x:v>
      </x:c>
      <x:c r="G1477" s="12" t="n">
        <x:v>0.4444444444444444</x:v>
      </x:c>
      <x:c r="H1477" s="12" t="n">
        <x:v>0.5555555555555556</x:v>
      </x:c>
      <x:c r="I1477" s="29" t="n">
        <x:f>'Assumptions'!$D$11+'Assumptions'!$D$12*(0.5-(G1477+H1477)/2)</x:f>
        <x:v>0.3</x:v>
      </x:c>
      <x:c r="J1477" s="27" t="n">
        <x:f>'Assumptions'!$D$8*EXP(-'Assumptions'!$D$9*('Fleet Engine'!E213-10))*'Assumptions'!E58*'Assumptions'!J36</x:f>
        <x:v>22255.409284924677</x:v>
      </x:c>
      <x:c r="K1477" s="27" t="n">
        <x:f>'Source Data'!F218+LN('Assumptions'!D58)+LN('Assumptions'!J35)</x:f>
        <x:v>7.890902228235048</x:v>
      </x:c>
      <x:c r="L1477" s="27" t="n">
        <x:f>J1477*(1-I1477*(1-'Carrier Engine'!E97))</x:f>
        <x:v>15845.85141086637</x:v>
      </x:c>
      <x:c r="M1477" s="29" t="n">
        <x:f>NORM.S.DIST((LN(L1477)-K1477)/'Assumptions'!$D$10,TRUE)</x:f>
        <x:v>0.8714887858690716</x:v>
      </x:c>
      <x:c r="N1477" s="30" t="n">
        <x:f>MAX(0,H1477-MAX(G1477,M1477))</x:f>
        <x:v>0</x:v>
      </x:c>
      <x:c r="O1477" s="28" t="n">
        <x:f>J1477*I1477</x:f>
        <x:v>6676.622785477403</x:v>
      </x:c>
      <x:c r="P1477" s="27" t="n">
        <x:f>(VLOOKUP(O1477,'Fee Data'!$C$6:$G$50,2,TRUE)+O1477*VLOOKUP(O1477,'Fee Data'!$C$6:$G$50,3,TRUE)+VLOOKUP(O1477,'Fee Data'!$I$6:$J$14,2,TRUE)+'Fee Data'!$J$20+'Fee Data'!$J$21)*'Assumptions'!J37</x:f>
        <x:v>1080</x:v>
      </x:c>
      <x:c r="Q1477" s="27" t="n">
        <x:f>(VLOOKUP(O1477,'Fee Data'!$C$6:$G$50,4,TRUE)+O1477*VLOOKUP(O1477,'Fee Data'!$C$6:$G$50,5,TRUE)+VLOOKUP(O1477,'Fee Data'!$I$6:$J$14,2,TRUE)+'Fee Data'!$J$20+'Fee Data'!$J$21)*'Assumptions'!J37</x:f>
        <x:v>955</x:v>
      </x:c>
      <x:c r="R1477" s="27" t="n">
        <x:f>P1477*(1-'Assumptions'!$D$14)+Q1477*'Assumptions'!$D$14</x:f>
        <x:v>1017.5</x:v>
      </x:c>
      <x:c r="S1477" s="27" t="n">
        <x:f>O1477*'Carrier Engine'!E97</x:f>
        <x:v>267.0649114190962</x:v>
      </x:c>
      <x:c r="T1477" s="28" t="n">
        <x:f>R1477+S1477</x:f>
        <x:v>1284.5649114190962</x:v>
      </x:c>
      <x:c r="U1477" s="27" t="n">
        <x:f>N1477*'Fleet Engine'!L213</x:f>
        <x:v>0</x:v>
      </x:c>
      <x:c r="V1477" s="28" t="n">
        <x:f>U1477*T1477</x:f>
        <x:v>0</x:v>
      </x:c>
      <x:c r="W1477" s="28" t="n">
        <x:f>U1477*O1477</x:f>
        <x:v>0</x:v>
      </x:c>
    </x:row>
    <x:row r="1478" ht="19" customHeight="1">
      <x:c r="A1478" s="2"/>
      <x:c r="B1478" s="2"/>
      <x:c r="C1478" s="46" t="n">
        <x:v>6</x:v>
      </x:c>
      <x:c r="D1478" s="46" t="n">
        <x:v>19</x:v>
      </x:c>
      <x:c r="E1478" s="46" t="n">
        <x:v>3</x:v>
      </x:c>
      <x:c r="F1478" s="46" t="n">
        <x:v>1</x:v>
      </x:c>
      <x:c r="G1478" s="12" t="n">
        <x:v>0.5555555555555556</x:v>
      </x:c>
      <x:c r="H1478" s="12" t="n">
        <x:v>0.6666666666666666</x:v>
      </x:c>
      <x:c r="I1478" s="29" t="n">
        <x:f>'Assumptions'!$D$11+'Assumptions'!$D$12*(0.5-(G1478+H1478)/2)</x:f>
        <x:v>0.27777777777777773</x:v>
      </x:c>
      <x:c r="J1478" s="27" t="n">
        <x:f>'Assumptions'!$D$8*EXP(-'Assumptions'!$D$9*('Fleet Engine'!E213-10))*'Assumptions'!E58*'Assumptions'!J36</x:f>
        <x:v>22255.409284924677</x:v>
      </x:c>
      <x:c r="K1478" s="27" t="n">
        <x:f>'Source Data'!F218+LN('Assumptions'!D58)+LN('Assumptions'!J35)</x:f>
        <x:v>7.890902228235048</x:v>
      </x:c>
      <x:c r="L1478" s="27" t="n">
        <x:f>J1478*(1-I1478*(1-'Carrier Engine'!E97))</x:f>
        <x:v>16320.633475611432</x:v>
      </x:c>
      <x:c r="M1478" s="29" t="n">
        <x:f>NORM.S.DIST((LN(L1478)-K1478)/'Assumptions'!$D$10,TRUE)</x:f>
        <x:v>0.875392576065582</x:v>
      </x:c>
      <x:c r="N1478" s="30" t="n">
        <x:f>MAX(0,H1478-MAX(G1478,M1478))</x:f>
        <x:v>0</x:v>
      </x:c>
      <x:c r="O1478" s="28" t="n">
        <x:f>J1478*I1478</x:f>
        <x:v>6182.0581347012985</x:v>
      </x:c>
      <x:c r="P1478" s="27" t="n">
        <x:f>(VLOOKUP(O1478,'Fee Data'!$C$6:$G$50,2,TRUE)+O1478*VLOOKUP(O1478,'Fee Data'!$C$6:$G$50,3,TRUE)+VLOOKUP(O1478,'Fee Data'!$I$6:$J$14,2,TRUE)+'Fee Data'!$J$20+'Fee Data'!$J$21)*'Assumptions'!J37</x:f>
        <x:v>1060</x:v>
      </x:c>
      <x:c r="Q1478" s="27" t="n">
        <x:f>(VLOOKUP(O1478,'Fee Data'!$C$6:$G$50,4,TRUE)+O1478*VLOOKUP(O1478,'Fee Data'!$C$6:$G$50,5,TRUE)+VLOOKUP(O1478,'Fee Data'!$I$6:$J$14,2,TRUE)+'Fee Data'!$J$20+'Fee Data'!$J$21)*'Assumptions'!J37</x:f>
        <x:v>935</x:v>
      </x:c>
      <x:c r="R1478" s="27" t="n">
        <x:f>P1478*(1-'Assumptions'!$D$14)+Q1478*'Assumptions'!$D$14</x:f>
        <x:v>997.5</x:v>
      </x:c>
      <x:c r="S1478" s="27" t="n">
        <x:f>O1478*'Carrier Engine'!E97</x:f>
        <x:v>247.282325388052</x:v>
      </x:c>
      <x:c r="T1478" s="28" t="n">
        <x:f>R1478+S1478</x:f>
        <x:v>1244.782325388052</x:v>
      </x:c>
      <x:c r="U1478" s="27" t="n">
        <x:f>N1478*'Fleet Engine'!L213</x:f>
        <x:v>0</x:v>
      </x:c>
      <x:c r="V1478" s="28" t="n">
        <x:f>U1478*T1478</x:f>
        <x:v>0</x:v>
      </x:c>
      <x:c r="W1478" s="28" t="n">
        <x:f>U1478*O1478</x:f>
        <x:v>0</x:v>
      </x:c>
    </x:row>
    <x:row r="1479" ht="19" customHeight="1">
      <x:c r="A1479" s="2"/>
      <x:c r="B1479" s="2"/>
      <x:c r="C1479" s="46" t="n">
        <x:v>6</x:v>
      </x:c>
      <x:c r="D1479" s="46" t="n">
        <x:v>19</x:v>
      </x:c>
      <x:c r="E1479" s="46" t="n">
        <x:v>3</x:v>
      </x:c>
      <x:c r="F1479" s="46" t="n">
        <x:v>1</x:v>
      </x:c>
      <x:c r="G1479" s="12" t="n">
        <x:v>0.6666666666666666</x:v>
      </x:c>
      <x:c r="H1479" s="12" t="n">
        <x:v>0.7777777777777778</x:v>
      </x:c>
      <x:c r="I1479" s="29" t="n">
        <x:f>'Assumptions'!$D$11+'Assumptions'!$D$12*(0.5-(G1479+H1479)/2)</x:f>
        <x:v>0.25555555555555554</x:v>
      </x:c>
      <x:c r="J1479" s="27" t="n">
        <x:f>'Assumptions'!$D$8*EXP(-'Assumptions'!$D$9*('Fleet Engine'!E213-10))*'Assumptions'!E58*'Assumptions'!J36</x:f>
        <x:v>22255.409284924677</x:v>
      </x:c>
      <x:c r="K1479" s="27" t="n">
        <x:f>'Source Data'!F218+LN('Assumptions'!D58)+LN('Assumptions'!J35)</x:f>
        <x:v>7.890902228235048</x:v>
      </x:c>
      <x:c r="L1479" s="27" t="n">
        <x:f>J1479*(1-I1479*(1-'Carrier Engine'!E97))</x:f>
        <x:v>16795.41554035649</x:v>
      </x:c>
      <x:c r="M1479" s="29" t="n">
        <x:f>NORM.S.DIST((LN(L1479)-K1479)/'Assumptions'!$D$10,TRUE)</x:f>
        <x:v>0.879104313191051</x:v>
      </x:c>
      <x:c r="N1479" s="30" t="n">
        <x:f>MAX(0,H1479-MAX(G1479,M1479))</x:f>
        <x:v>0</x:v>
      </x:c>
      <x:c r="O1479" s="28" t="n">
        <x:f>J1479*I1479</x:f>
        <x:v>5687.493483925195</x:v>
      </x:c>
      <x:c r="P1479" s="27" t="n">
        <x:f>(VLOOKUP(O1479,'Fee Data'!$C$6:$G$50,2,TRUE)+O1479*VLOOKUP(O1479,'Fee Data'!$C$6:$G$50,3,TRUE)+VLOOKUP(O1479,'Fee Data'!$I$6:$J$14,2,TRUE)+'Fee Data'!$J$20+'Fee Data'!$J$21)*'Assumptions'!J37</x:f>
        <x:v>1020</x:v>
      </x:c>
      <x:c r="Q1479" s="27" t="n">
        <x:f>(VLOOKUP(O1479,'Fee Data'!$C$6:$G$50,4,TRUE)+O1479*VLOOKUP(O1479,'Fee Data'!$C$6:$G$50,5,TRUE)+VLOOKUP(O1479,'Fee Data'!$I$6:$J$14,2,TRUE)+'Fee Data'!$J$20+'Fee Data'!$J$21)*'Assumptions'!J37</x:f>
        <x:v>895</x:v>
      </x:c>
      <x:c r="R1479" s="27" t="n">
        <x:f>P1479*(1-'Assumptions'!$D$14)+Q1479*'Assumptions'!$D$14</x:f>
        <x:v>957.5</x:v>
      </x:c>
      <x:c r="S1479" s="27" t="n">
        <x:f>O1479*'Carrier Engine'!E97</x:f>
        <x:v>227.49973935700783</x:v>
      </x:c>
      <x:c r="T1479" s="28" t="n">
        <x:f>R1479+S1479</x:f>
        <x:v>1184.999739357008</x:v>
      </x:c>
      <x:c r="U1479" s="27" t="n">
        <x:f>N1479*'Fleet Engine'!L213</x:f>
        <x:v>0</x:v>
      </x:c>
      <x:c r="V1479" s="28" t="n">
        <x:f>U1479*T1479</x:f>
        <x:v>0</x:v>
      </x:c>
      <x:c r="W1479" s="28" t="n">
        <x:f>U1479*O1479</x:f>
        <x:v>0</x:v>
      </x:c>
    </x:row>
    <x:row r="1480" ht="19" customHeight="1">
      <x:c r="A1480" s="2"/>
      <x:c r="B1480" s="2"/>
      <x:c r="C1480" s="46" t="n">
        <x:v>6</x:v>
      </x:c>
      <x:c r="D1480" s="46" t="n">
        <x:v>19</x:v>
      </x:c>
      <x:c r="E1480" s="46" t="n">
        <x:v>3</x:v>
      </x:c>
      <x:c r="F1480" s="46" t="n">
        <x:v>1</x:v>
      </x:c>
      <x:c r="G1480" s="12" t="n">
        <x:v>0.7777777777777778</x:v>
      </x:c>
      <x:c r="H1480" s="12" t="n">
        <x:v>0.8888888888888888</x:v>
      </x:c>
      <x:c r="I1480" s="29" t="n">
        <x:f>'Assumptions'!$D$11+'Assumptions'!$D$12*(0.5-(G1480+H1480)/2)</x:f>
        <x:v>0.23333333333333334</x:v>
      </x:c>
      <x:c r="J1480" s="27" t="n">
        <x:f>'Assumptions'!$D$8*EXP(-'Assumptions'!$D$9*('Fleet Engine'!E213-10))*'Assumptions'!E58*'Assumptions'!J36</x:f>
        <x:v>22255.409284924677</x:v>
      </x:c>
      <x:c r="K1480" s="27" t="n">
        <x:f>'Source Data'!F218+LN('Assumptions'!D58)+LN('Assumptions'!J35)</x:f>
        <x:v>7.890902228235048</x:v>
      </x:c>
      <x:c r="L1480" s="27" t="n">
        <x:f>J1480*(1-I1480*(1-'Carrier Engine'!E97))</x:f>
        <x:v>17270.19760510155</x:v>
      </x:c>
      <x:c r="M1480" s="29" t="n">
        <x:f>NORM.S.DIST((LN(L1480)-K1480)/'Assumptions'!$D$10,TRUE)</x:f>
        <x:v>0.8826373216697017</x:v>
      </x:c>
      <x:c r="N1480" s="30" t="n">
        <x:f>MAX(0,H1480-MAX(G1480,M1480))</x:f>
        <x:v>0.006251567219187182</x:v>
      </x:c>
      <x:c r="O1480" s="28" t="n">
        <x:f>J1480*I1480</x:f>
        <x:v>5192.928833149092</x:v>
      </x:c>
      <x:c r="P1480" s="27" t="n">
        <x:f>(VLOOKUP(O1480,'Fee Data'!$C$6:$G$50,2,TRUE)+O1480*VLOOKUP(O1480,'Fee Data'!$C$6:$G$50,3,TRUE)+VLOOKUP(O1480,'Fee Data'!$I$6:$J$14,2,TRUE)+'Fee Data'!$J$20+'Fee Data'!$J$21)*'Assumptions'!J37</x:f>
        <x:v>995</x:v>
      </x:c>
      <x:c r="Q1480" s="27" t="n">
        <x:f>(VLOOKUP(O1480,'Fee Data'!$C$6:$G$50,4,TRUE)+O1480*VLOOKUP(O1480,'Fee Data'!$C$6:$G$50,5,TRUE)+VLOOKUP(O1480,'Fee Data'!$I$6:$J$14,2,TRUE)+'Fee Data'!$J$20+'Fee Data'!$J$21)*'Assumptions'!J37</x:f>
        <x:v>870</x:v>
      </x:c>
      <x:c r="R1480" s="27" t="n">
        <x:f>P1480*(1-'Assumptions'!$D$14)+Q1480*'Assumptions'!$D$14</x:f>
        <x:v>932.5</x:v>
      </x:c>
      <x:c r="S1480" s="27" t="n">
        <x:f>O1480*'Carrier Engine'!E97</x:f>
        <x:v>207.7171533259637</x:v>
      </x:c>
      <x:c r="T1480" s="28" t="n">
        <x:f>R1480+S1480</x:f>
        <x:v>1140.2171533259636</x:v>
      </x:c>
      <x:c r="U1480" s="27" t="n">
        <x:f>N1480*'Fleet Engine'!L213</x:f>
        <x:v>19.31958124342774</x:v>
      </x:c>
      <x:c r="V1480" s="28" t="n">
        <x:f>U1480*T1480</x:f>
        <x:v>22028.51792883086</x:v>
      </x:c>
      <x:c r="W1480" s="28" t="n">
        <x:f>U1480*O1480</x:f>
        <x:v>100325.2104833623</x:v>
      </x:c>
    </x:row>
    <x:row r="1481" ht="19" customHeight="1">
      <x:c r="A1481" s="2"/>
      <x:c r="B1481" s="2"/>
      <x:c r="C1481" s="46" t="n">
        <x:v>6</x:v>
      </x:c>
      <x:c r="D1481" s="46" t="n">
        <x:v>19</x:v>
      </x:c>
      <x:c r="E1481" s="46" t="n">
        <x:v>3</x:v>
      </x:c>
      <x:c r="F1481" s="46" t="n">
        <x:v>1</x:v>
      </x:c>
      <x:c r="G1481" s="12" t="n">
        <x:v>0.8888888888888888</x:v>
      </x:c>
      <x:c r="H1481" s="12" t="n">
        <x:v>1</x:v>
      </x:c>
      <x:c r="I1481" s="29" t="n">
        <x:f>'Assumptions'!$D$11+'Assumptions'!$D$12*(0.5-(G1481+H1481)/2)</x:f>
        <x:v>0.21111111111111108</x:v>
      </x:c>
      <x:c r="J1481" s="27" t="n">
        <x:f>'Assumptions'!$D$8*EXP(-'Assumptions'!$D$9*('Fleet Engine'!E213-10))*'Assumptions'!E58*'Assumptions'!J36</x:f>
        <x:v>22255.409284924677</x:v>
      </x:c>
      <x:c r="K1481" s="27" t="n">
        <x:f>'Source Data'!F218+LN('Assumptions'!D58)+LN('Assumptions'!J35)</x:f>
        <x:v>7.890902228235048</x:v>
      </x:c>
      <x:c r="L1481" s="27" t="n">
        <x:f>J1481*(1-I1481*(1-'Carrier Engine'!E97))</x:f>
        <x:v>17744.97966984661</x:v>
      </x:c>
      <x:c r="M1481" s="29" t="n">
        <x:f>NORM.S.DIST((LN(L1481)-K1481)/'Assumptions'!$D$10,TRUE)</x:f>
        <x:v>0.8860037279150648</x:v>
      </x:c>
      <x:c r="N1481" s="30" t="n">
        <x:f>MAX(0,H1481-MAX(G1481,M1481))</x:f>
        <x:v>0.11111111111111116</x:v>
      </x:c>
      <x:c r="O1481" s="28" t="n">
        <x:f>J1481*I1481</x:f>
        <x:v>4698.364182372987</x:v>
      </x:c>
      <x:c r="P1481" s="27" t="n">
        <x:f>(VLOOKUP(O1481,'Fee Data'!$C$6:$G$50,2,TRUE)+O1481*VLOOKUP(O1481,'Fee Data'!$C$6:$G$50,3,TRUE)+VLOOKUP(O1481,'Fee Data'!$I$6:$J$14,2,TRUE)+'Fee Data'!$J$20+'Fee Data'!$J$21)*'Assumptions'!J37</x:f>
        <x:v>970</x:v>
      </x:c>
      <x:c r="Q1481" s="27" t="n">
        <x:f>(VLOOKUP(O1481,'Fee Data'!$C$6:$G$50,4,TRUE)+O1481*VLOOKUP(O1481,'Fee Data'!$C$6:$G$50,5,TRUE)+VLOOKUP(O1481,'Fee Data'!$I$6:$J$14,2,TRUE)+'Fee Data'!$J$20+'Fee Data'!$J$21)*'Assumptions'!J37</x:f>
        <x:v>845</x:v>
      </x:c>
      <x:c r="R1481" s="27" t="n">
        <x:f>P1481*(1-'Assumptions'!$D$14)+Q1481*'Assumptions'!$D$14</x:f>
        <x:v>907.5</x:v>
      </x:c>
      <x:c r="S1481" s="27" t="n">
        <x:f>O1481*'Carrier Engine'!E97</x:f>
        <x:v>187.9345672949195</x:v>
      </x:c>
      <x:c r="T1481" s="28" t="n">
        <x:f>R1481+S1481</x:f>
        <x:v>1095.4345672949196</x:v>
      </x:c>
      <x:c r="U1481" s="27" t="n">
        <x:f>N1481*'Fleet Engine'!L213</x:f>
        <x:v>343.37311955476963</x:v>
      </x:c>
      <x:c r="V1481" s="28" t="n">
        <x:f>U1481*T1481</x:f>
        <x:v>376142.78464018577</x:v>
      </x:c>
      <x:c r="W1481" s="28" t="n">
        <x:f>U1481*O1481</x:f>
        <x:v>1613291.966105807</x:v>
      </x:c>
    </x:row>
    <x:row r="1482" ht="19" customHeight="1">
      <x:c r="A1482" s="2"/>
      <x:c r="B1482" s="2"/>
      <x:c r="C1482" s="46" t="n">
        <x:v>6</x:v>
      </x:c>
      <x:c r="D1482" s="46" t="n">
        <x:v>20</x:v>
      </x:c>
      <x:c r="E1482" s="46" t="n">
        <x:v>3</x:v>
      </x:c>
      <x:c r="F1482" s="46" t="n">
        <x:v>2</x:v>
      </x:c>
      <x:c r="G1482" s="12" t="n">
        <x:v>0</x:v>
      </x:c>
      <x:c r="H1482" s="12" t="n">
        <x:v>0.1111111111111111</x:v>
      </x:c>
      <x:c r="I1482" s="29" t="n">
        <x:f>'Assumptions'!$D$11+'Assumptions'!$D$12*(0.5-(G1482+H1482)/2)</x:f>
        <x:v>0.3888888888888889</x:v>
      </x:c>
      <x:c r="J1482" s="27" t="n">
        <x:f>'Assumptions'!$D$8*EXP(-'Assumptions'!$D$9*('Fleet Engine'!E214-10))*'Assumptions'!E58*'Assumptions'!J36</x:f>
        <x:v>16487.212707001283</x:v>
      </x:c>
      <x:c r="K1482" s="27" t="n">
        <x:f>'Source Data'!F219+LN('Assumptions'!D58)+LN('Assumptions'!J35)</x:f>
        <x:v>7.936584069520856</x:v>
      </x:c>
      <x:c r="L1482" s="27" t="n">
        <x:f>J1482*(1-I1482*(1-'Carrier Engine'!E97))</x:f>
        <x:v>10331.986629720805</x:v>
      </x:c>
      <x:c r="M1482" s="29" t="n">
        <x:f>NORM.S.DIST((LN(L1482)-K1482)/'Assumptions'!$D$10,TRUE)</x:f>
        <x:v>0.7972963261215247</x:v>
      </x:c>
      <x:c r="N1482" s="30" t="n">
        <x:f>MAX(0,H1482-MAX(G1482,M1482))</x:f>
        <x:v>0</x:v>
      </x:c>
      <x:c r="O1482" s="28" t="n">
        <x:f>J1482*I1482</x:f>
        <x:v>6411.693830500499</x:v>
      </x:c>
      <x:c r="P1482" s="27" t="n">
        <x:f>(VLOOKUP(O1482,'Fee Data'!$C$6:$G$50,2,TRUE)+O1482*VLOOKUP(O1482,'Fee Data'!$C$6:$G$50,3,TRUE)+VLOOKUP(O1482,'Fee Data'!$I$6:$J$14,2,TRUE)+'Fee Data'!$J$20+'Fee Data'!$J$21)*'Assumptions'!J37</x:f>
        <x:v>1060</x:v>
      </x:c>
      <x:c r="Q1482" s="27" t="n">
        <x:f>(VLOOKUP(O1482,'Fee Data'!$C$6:$G$50,4,TRUE)+O1482*VLOOKUP(O1482,'Fee Data'!$C$6:$G$50,5,TRUE)+VLOOKUP(O1482,'Fee Data'!$I$6:$J$14,2,TRUE)+'Fee Data'!$J$20+'Fee Data'!$J$21)*'Assumptions'!J37</x:f>
        <x:v>935</x:v>
      </x:c>
      <x:c r="R1482" s="27" t="n">
        <x:f>P1482*(1-'Assumptions'!$D$14)+Q1482*'Assumptions'!$D$14</x:f>
        <x:v>997.5</x:v>
      </x:c>
      <x:c r="S1482" s="27" t="n">
        <x:f>O1482*'Carrier Engine'!E97</x:f>
        <x:v>256.46775322002</x:v>
      </x:c>
      <x:c r="T1482" s="28" t="n">
        <x:f>R1482+S1482</x:f>
        <x:v>1253.9677532200199</x:v>
      </x:c>
      <x:c r="U1482" s="27" t="n">
        <x:f>N1482*'Fleet Engine'!L214</x:f>
        <x:v>0</x:v>
      </x:c>
      <x:c r="V1482" s="28" t="n">
        <x:f>U1482*T1482</x:f>
        <x:v>0</x:v>
      </x:c>
      <x:c r="W1482" s="28" t="n">
        <x:f>U1482*O1482</x:f>
        <x:v>0</x:v>
      </x:c>
    </x:row>
    <x:row r="1483" ht="19" customHeight="1">
      <x:c r="A1483" s="2"/>
      <x:c r="B1483" s="2"/>
      <x:c r="C1483" s="46" t="n">
        <x:v>6</x:v>
      </x:c>
      <x:c r="D1483" s="46" t="n">
        <x:v>20</x:v>
      </x:c>
      <x:c r="E1483" s="46" t="n">
        <x:v>3</x:v>
      </x:c>
      <x:c r="F1483" s="46" t="n">
        <x:v>2</x:v>
      </x:c>
      <x:c r="G1483" s="12" t="n">
        <x:v>0.1111111111111111</x:v>
      </x:c>
      <x:c r="H1483" s="12" t="n">
        <x:v>0.2222222222222222</x:v>
      </x:c>
      <x:c r="I1483" s="29" t="n">
        <x:f>'Assumptions'!$D$11+'Assumptions'!$D$12*(0.5-(G1483+H1483)/2)</x:f>
        <x:v>0.3666666666666667</x:v>
      </x:c>
      <x:c r="J1483" s="27" t="n">
        <x:f>'Assumptions'!$D$8*EXP(-'Assumptions'!$D$9*('Fleet Engine'!E214-10))*'Assumptions'!E58*'Assumptions'!J36</x:f>
        <x:v>16487.212707001283</x:v>
      </x:c>
      <x:c r="K1483" s="27" t="n">
        <x:f>'Source Data'!F219+LN('Assumptions'!D58)+LN('Assumptions'!J35)</x:f>
        <x:v>7.936584069520856</x:v>
      </x:c>
      <x:c r="L1483" s="27" t="n">
        <x:f>J1483*(1-I1483*(1-'Carrier Engine'!E97))</x:f>
        <x:v>10683.71383413683</x:v>
      </x:c>
      <x:c r="M1483" s="29" t="n">
        <x:f>NORM.S.DIST((LN(L1483)-K1483)/'Assumptions'!$D$10,TRUE)</x:f>
        <x:v>0.8032596960589325</x:v>
      </x:c>
      <x:c r="N1483" s="30" t="n">
        <x:f>MAX(0,H1483-MAX(G1483,M1483))</x:f>
        <x:v>0</x:v>
      </x:c>
      <x:c r="O1483" s="28" t="n">
        <x:f>J1483*I1483</x:f>
        <x:v>6045.311325900471</x:v>
      </x:c>
      <x:c r="P1483" s="27" t="n">
        <x:f>(VLOOKUP(O1483,'Fee Data'!$C$6:$G$50,2,TRUE)+O1483*VLOOKUP(O1483,'Fee Data'!$C$6:$G$50,3,TRUE)+VLOOKUP(O1483,'Fee Data'!$I$6:$J$14,2,TRUE)+'Fee Data'!$J$20+'Fee Data'!$J$21)*'Assumptions'!J37</x:f>
        <x:v>1060</x:v>
      </x:c>
      <x:c r="Q1483" s="27" t="n">
        <x:f>(VLOOKUP(O1483,'Fee Data'!$C$6:$G$50,4,TRUE)+O1483*VLOOKUP(O1483,'Fee Data'!$C$6:$G$50,5,TRUE)+VLOOKUP(O1483,'Fee Data'!$I$6:$J$14,2,TRUE)+'Fee Data'!$J$20+'Fee Data'!$J$21)*'Assumptions'!J37</x:f>
        <x:v>935</x:v>
      </x:c>
      <x:c r="R1483" s="27" t="n">
        <x:f>P1483*(1-'Assumptions'!$D$14)+Q1483*'Assumptions'!$D$14</x:f>
        <x:v>997.5</x:v>
      </x:c>
      <x:c r="S1483" s="27" t="n">
        <x:f>O1483*'Carrier Engine'!E97</x:f>
        <x:v>241.8124530360189</x:v>
      </x:c>
      <x:c r="T1483" s="28" t="n">
        <x:f>R1483+S1483</x:f>
        <x:v>1239.312453036019</x:v>
      </x:c>
      <x:c r="U1483" s="27" t="n">
        <x:f>N1483*'Fleet Engine'!L214</x:f>
        <x:v>0</x:v>
      </x:c>
      <x:c r="V1483" s="28" t="n">
        <x:f>U1483*T1483</x:f>
        <x:v>0</x:v>
      </x:c>
      <x:c r="W1483" s="28" t="n">
        <x:f>U1483*O1483</x:f>
        <x:v>0</x:v>
      </x:c>
    </x:row>
    <x:row r="1484" ht="19" customHeight="1">
      <x:c r="A1484" s="2"/>
      <x:c r="B1484" s="2"/>
      <x:c r="C1484" s="46" t="n">
        <x:v>6</x:v>
      </x:c>
      <x:c r="D1484" s="46" t="n">
        <x:v>20</x:v>
      </x:c>
      <x:c r="E1484" s="46" t="n">
        <x:v>3</x:v>
      </x:c>
      <x:c r="F1484" s="46" t="n">
        <x:v>2</x:v>
      </x:c>
      <x:c r="G1484" s="12" t="n">
        <x:v>0.2222222222222222</x:v>
      </x:c>
      <x:c r="H1484" s="12" t="n">
        <x:v>0.3333333333333333</x:v>
      </x:c>
      <x:c r="I1484" s="29" t="n">
        <x:f>'Assumptions'!$D$11+'Assumptions'!$D$12*(0.5-(G1484+H1484)/2)</x:f>
        <x:v>0.34444444444444444</x:v>
      </x:c>
      <x:c r="J1484" s="27" t="n">
        <x:f>'Assumptions'!$D$8*EXP(-'Assumptions'!$D$9*('Fleet Engine'!E214-10))*'Assumptions'!E58*'Assumptions'!J36</x:f>
        <x:v>16487.212707001283</x:v>
      </x:c>
      <x:c r="K1484" s="27" t="n">
        <x:f>'Source Data'!F219+LN('Assumptions'!D58)+LN('Assumptions'!J35)</x:f>
        <x:v>7.936584069520856</x:v>
      </x:c>
      <x:c r="L1484" s="27" t="n">
        <x:f>J1484*(1-I1484*(1-'Carrier Engine'!E97))</x:f>
        <x:v>11035.441038552859</x:v>
      </x:c>
      <x:c r="M1484" s="29" t="n">
        <x:f>NORM.S.DIST((LN(L1484)-K1484)/'Assumptions'!$D$10,TRUE)</x:f>
        <x:v>0.8089275577472801</x:v>
      </x:c>
      <x:c r="N1484" s="30" t="n">
        <x:f>MAX(0,H1484-MAX(G1484,M1484))</x:f>
        <x:v>0</x:v>
      </x:c>
      <x:c r="O1484" s="28" t="n">
        <x:f>J1484*I1484</x:f>
        <x:v>5678.928821300442</x:v>
      </x:c>
      <x:c r="P1484" s="27" t="n">
        <x:f>(VLOOKUP(O1484,'Fee Data'!$C$6:$G$50,2,TRUE)+O1484*VLOOKUP(O1484,'Fee Data'!$C$6:$G$50,3,TRUE)+VLOOKUP(O1484,'Fee Data'!$I$6:$J$14,2,TRUE)+'Fee Data'!$J$20+'Fee Data'!$J$21)*'Assumptions'!J37</x:f>
        <x:v>1020</x:v>
      </x:c>
      <x:c r="Q1484" s="27" t="n">
        <x:f>(VLOOKUP(O1484,'Fee Data'!$C$6:$G$50,4,TRUE)+O1484*VLOOKUP(O1484,'Fee Data'!$C$6:$G$50,5,TRUE)+VLOOKUP(O1484,'Fee Data'!$I$6:$J$14,2,TRUE)+'Fee Data'!$J$20+'Fee Data'!$J$21)*'Assumptions'!J37</x:f>
        <x:v>895</x:v>
      </x:c>
      <x:c r="R1484" s="27" t="n">
        <x:f>P1484*(1-'Assumptions'!$D$14)+Q1484*'Assumptions'!$D$14</x:f>
        <x:v>957.5</x:v>
      </x:c>
      <x:c r="S1484" s="27" t="n">
        <x:f>O1484*'Carrier Engine'!E97</x:f>
        <x:v>227.15715285201773</x:v>
      </x:c>
      <x:c r="T1484" s="28" t="n">
        <x:f>R1484+S1484</x:f>
        <x:v>1184.6571528520178</x:v>
      </x:c>
      <x:c r="U1484" s="27" t="n">
        <x:f>N1484*'Fleet Engine'!L214</x:f>
        <x:v>0</x:v>
      </x:c>
      <x:c r="V1484" s="28" t="n">
        <x:f>U1484*T1484</x:f>
        <x:v>0</x:v>
      </x:c>
      <x:c r="W1484" s="28" t="n">
        <x:f>U1484*O1484</x:f>
        <x:v>0</x:v>
      </x:c>
    </x:row>
    <x:row r="1485" ht="19" customHeight="1">
      <x:c r="A1485" s="2"/>
      <x:c r="B1485" s="2"/>
      <x:c r="C1485" s="46" t="n">
        <x:v>6</x:v>
      </x:c>
      <x:c r="D1485" s="46" t="n">
        <x:v>20</x:v>
      </x:c>
      <x:c r="E1485" s="46" t="n">
        <x:v>3</x:v>
      </x:c>
      <x:c r="F1485" s="46" t="n">
        <x:v>2</x:v>
      </x:c>
      <x:c r="G1485" s="12" t="n">
        <x:v>0.3333333333333333</x:v>
      </x:c>
      <x:c r="H1485" s="12" t="n">
        <x:v>0.4444444444444444</x:v>
      </x:c>
      <x:c r="I1485" s="29" t="n">
        <x:f>'Assumptions'!$D$11+'Assumptions'!$D$12*(0.5-(G1485+H1485)/2)</x:f>
        <x:v>0.32222222222222224</x:v>
      </x:c>
      <x:c r="J1485" s="27" t="n">
        <x:f>'Assumptions'!$D$8*EXP(-'Assumptions'!$D$9*('Fleet Engine'!E214-10))*'Assumptions'!E58*'Assumptions'!J36</x:f>
        <x:v>16487.212707001283</x:v>
      </x:c>
      <x:c r="K1485" s="27" t="n">
        <x:f>'Source Data'!F219+LN('Assumptions'!D58)+LN('Assumptions'!J35)</x:f>
        <x:v>7.936584069520856</x:v>
      </x:c>
      <x:c r="L1485" s="27" t="n">
        <x:f>J1485*(1-I1485*(1-'Carrier Engine'!E97))</x:f>
        <x:v>11387.168242968886</x:v>
      </x:c>
      <x:c r="M1485" s="29" t="n">
        <x:f>NORM.S.DIST((LN(L1485)-K1485)/'Assumptions'!$D$10,TRUE)</x:f>
        <x:v>0.8143210319055623</x:v>
      </x:c>
      <x:c r="N1485" s="30" t="n">
        <x:f>MAX(0,H1485-MAX(G1485,M1485))</x:f>
        <x:v>0</x:v>
      </x:c>
      <x:c r="O1485" s="28" t="n">
        <x:f>J1485*I1485</x:f>
        <x:v>5312.546316700414</x:v>
      </x:c>
      <x:c r="P1485" s="27" t="n">
        <x:f>(VLOOKUP(O1485,'Fee Data'!$C$6:$G$50,2,TRUE)+O1485*VLOOKUP(O1485,'Fee Data'!$C$6:$G$50,3,TRUE)+VLOOKUP(O1485,'Fee Data'!$I$6:$J$14,2,TRUE)+'Fee Data'!$J$20+'Fee Data'!$J$21)*'Assumptions'!J37</x:f>
        <x:v>995</x:v>
      </x:c>
      <x:c r="Q1485" s="27" t="n">
        <x:f>(VLOOKUP(O1485,'Fee Data'!$C$6:$G$50,4,TRUE)+O1485*VLOOKUP(O1485,'Fee Data'!$C$6:$G$50,5,TRUE)+VLOOKUP(O1485,'Fee Data'!$I$6:$J$14,2,TRUE)+'Fee Data'!$J$20+'Fee Data'!$J$21)*'Assumptions'!J37</x:f>
        <x:v>870</x:v>
      </x:c>
      <x:c r="R1485" s="27" t="n">
        <x:f>P1485*(1-'Assumptions'!$D$14)+Q1485*'Assumptions'!$D$14</x:f>
        <x:v>932.5</x:v>
      </x:c>
      <x:c r="S1485" s="27" t="n">
        <x:f>O1485*'Carrier Engine'!E97</x:f>
        <x:v>212.5018526680166</x:v>
      </x:c>
      <x:c r="T1485" s="28" t="n">
        <x:f>R1485+S1485</x:f>
        <x:v>1145.0018526680167</x:v>
      </x:c>
      <x:c r="U1485" s="27" t="n">
        <x:f>N1485*'Fleet Engine'!L214</x:f>
        <x:v>0</x:v>
      </x:c>
      <x:c r="V1485" s="28" t="n">
        <x:f>U1485*T1485</x:f>
        <x:v>0</x:v>
      </x:c>
      <x:c r="W1485" s="28" t="n">
        <x:f>U1485*O1485</x:f>
        <x:v>0</x:v>
      </x:c>
    </x:row>
    <x:row r="1486" ht="19" customHeight="1">
      <x:c r="A1486" s="2"/>
      <x:c r="B1486" s="2"/>
      <x:c r="C1486" s="46" t="n">
        <x:v>6</x:v>
      </x:c>
      <x:c r="D1486" s="46" t="n">
        <x:v>20</x:v>
      </x:c>
      <x:c r="E1486" s="46" t="n">
        <x:v>3</x:v>
      </x:c>
      <x:c r="F1486" s="46" t="n">
        <x:v>2</x:v>
      </x:c>
      <x:c r="G1486" s="12" t="n">
        <x:v>0.4444444444444444</x:v>
      </x:c>
      <x:c r="H1486" s="12" t="n">
        <x:v>0.5555555555555556</x:v>
      </x:c>
      <x:c r="I1486" s="29" t="n">
        <x:f>'Assumptions'!$D$11+'Assumptions'!$D$12*(0.5-(G1486+H1486)/2)</x:f>
        <x:v>0.3</x:v>
      </x:c>
      <x:c r="J1486" s="27" t="n">
        <x:f>'Assumptions'!$D$8*EXP(-'Assumptions'!$D$9*('Fleet Engine'!E214-10))*'Assumptions'!E58*'Assumptions'!J36</x:f>
        <x:v>16487.212707001283</x:v>
      </x:c>
      <x:c r="K1486" s="27" t="n">
        <x:f>'Source Data'!F219+LN('Assumptions'!D58)+LN('Assumptions'!J35)</x:f>
        <x:v>7.936584069520856</x:v>
      </x:c>
      <x:c r="L1486" s="27" t="n">
        <x:f>J1486*(1-I1486*(1-'Carrier Engine'!E97))</x:f>
        <x:v>11738.895447384913</x:v>
      </x:c>
      <x:c r="M1486" s="29" t="n">
        <x:f>NORM.S.DIST((LN(L1486)-K1486)/'Assumptions'!$D$10,TRUE)</x:f>
        <x:v>0.8194592567333258</x:v>
      </x:c>
      <x:c r="N1486" s="30" t="n">
        <x:f>MAX(0,H1486-MAX(G1486,M1486))</x:f>
        <x:v>0</x:v>
      </x:c>
      <x:c r="O1486" s="28" t="n">
        <x:f>J1486*I1486</x:f>
        <x:v>4946.163812100384</x:v>
      </x:c>
      <x:c r="P1486" s="27" t="n">
        <x:f>(VLOOKUP(O1486,'Fee Data'!$C$6:$G$50,2,TRUE)+O1486*VLOOKUP(O1486,'Fee Data'!$C$6:$G$50,3,TRUE)+VLOOKUP(O1486,'Fee Data'!$I$6:$J$14,2,TRUE)+'Fee Data'!$J$20+'Fee Data'!$J$21)*'Assumptions'!J37</x:f>
        <x:v>970</x:v>
      </x:c>
      <x:c r="Q1486" s="27" t="n">
        <x:f>(VLOOKUP(O1486,'Fee Data'!$C$6:$G$50,4,TRUE)+O1486*VLOOKUP(O1486,'Fee Data'!$C$6:$G$50,5,TRUE)+VLOOKUP(O1486,'Fee Data'!$I$6:$J$14,2,TRUE)+'Fee Data'!$J$20+'Fee Data'!$J$21)*'Assumptions'!J37</x:f>
        <x:v>845</x:v>
      </x:c>
      <x:c r="R1486" s="27" t="n">
        <x:f>P1486*(1-'Assumptions'!$D$14)+Q1486*'Assumptions'!$D$14</x:f>
        <x:v>907.5</x:v>
      </x:c>
      <x:c r="S1486" s="27" t="n">
        <x:f>O1486*'Carrier Engine'!E97</x:f>
        <x:v>197.8465524840154</x:v>
      </x:c>
      <x:c r="T1486" s="28" t="n">
        <x:f>R1486+S1486</x:f>
        <x:v>1105.3465524840153</x:v>
      </x:c>
      <x:c r="U1486" s="27" t="n">
        <x:f>N1486*'Fleet Engine'!L214</x:f>
        <x:v>0</x:v>
      </x:c>
      <x:c r="V1486" s="28" t="n">
        <x:f>U1486*T1486</x:f>
        <x:v>0</x:v>
      </x:c>
      <x:c r="W1486" s="28" t="n">
        <x:f>U1486*O1486</x:f>
        <x:v>0</x:v>
      </x:c>
    </x:row>
    <x:row r="1487" ht="19" customHeight="1">
      <x:c r="A1487" s="2"/>
      <x:c r="B1487" s="2"/>
      <x:c r="C1487" s="46" t="n">
        <x:v>6</x:v>
      </x:c>
      <x:c r="D1487" s="46" t="n">
        <x:v>20</x:v>
      </x:c>
      <x:c r="E1487" s="46" t="n">
        <x:v>3</x:v>
      </x:c>
      <x:c r="F1487" s="46" t="n">
        <x:v>2</x:v>
      </x:c>
      <x:c r="G1487" s="12" t="n">
        <x:v>0.5555555555555556</x:v>
      </x:c>
      <x:c r="H1487" s="12" t="n">
        <x:v>0.6666666666666666</x:v>
      </x:c>
      <x:c r="I1487" s="29" t="n">
        <x:f>'Assumptions'!$D$11+'Assumptions'!$D$12*(0.5-(G1487+H1487)/2)</x:f>
        <x:v>0.27777777777777773</x:v>
      </x:c>
      <x:c r="J1487" s="27" t="n">
        <x:f>'Assumptions'!$D$8*EXP(-'Assumptions'!$D$9*('Fleet Engine'!E214-10))*'Assumptions'!E58*'Assumptions'!J36</x:f>
        <x:v>16487.212707001283</x:v>
      </x:c>
      <x:c r="K1487" s="27" t="n">
        <x:f>'Source Data'!F219+LN('Assumptions'!D58)+LN('Assumptions'!J35)</x:f>
        <x:v>7.936584069520856</x:v>
      </x:c>
      <x:c r="L1487" s="27" t="n">
        <x:f>J1487*(1-I1487*(1-'Carrier Engine'!E97))</x:f>
        <x:v>12090.622651800943</x:v>
      </x:c>
      <x:c r="M1487" s="29" t="n">
        <x:f>NORM.S.DIST((LN(L1487)-K1487)/'Assumptions'!$D$10,TRUE)</x:f>
        <x:v>0.824359618018476</x:v>
      </x:c>
      <x:c r="N1487" s="30" t="n">
        <x:f>MAX(0,H1487-MAX(G1487,M1487))</x:f>
        <x:v>0</x:v>
      </x:c>
      <x:c r="O1487" s="28" t="n">
        <x:f>J1487*I1487</x:f>
        <x:v>4579.781307500356</x:v>
      </x:c>
      <x:c r="P1487" s="27" t="n">
        <x:f>(VLOOKUP(O1487,'Fee Data'!$C$6:$G$50,2,TRUE)+O1487*VLOOKUP(O1487,'Fee Data'!$C$6:$G$50,3,TRUE)+VLOOKUP(O1487,'Fee Data'!$I$6:$J$14,2,TRUE)+'Fee Data'!$J$20+'Fee Data'!$J$21)*'Assumptions'!J37</x:f>
        <x:v>970</x:v>
      </x:c>
      <x:c r="Q1487" s="27" t="n">
        <x:f>(VLOOKUP(O1487,'Fee Data'!$C$6:$G$50,4,TRUE)+O1487*VLOOKUP(O1487,'Fee Data'!$C$6:$G$50,5,TRUE)+VLOOKUP(O1487,'Fee Data'!$I$6:$J$14,2,TRUE)+'Fee Data'!$J$20+'Fee Data'!$J$21)*'Assumptions'!J37</x:f>
        <x:v>845</x:v>
      </x:c>
      <x:c r="R1487" s="27" t="n">
        <x:f>P1487*(1-'Assumptions'!$D$14)+Q1487*'Assumptions'!$D$14</x:f>
        <x:v>907.5</x:v>
      </x:c>
      <x:c r="S1487" s="27" t="n">
        <x:f>O1487*'Carrier Engine'!E97</x:f>
        <x:v>183.19125230001427</x:v>
      </x:c>
      <x:c r="T1487" s="28" t="n">
        <x:f>R1487+S1487</x:f>
        <x:v>1090.6912523000142</x:v>
      </x:c>
      <x:c r="U1487" s="27" t="n">
        <x:f>N1487*'Fleet Engine'!L214</x:f>
        <x:v>0</x:v>
      </x:c>
      <x:c r="V1487" s="28" t="n">
        <x:f>U1487*T1487</x:f>
        <x:v>0</x:v>
      </x:c>
      <x:c r="W1487" s="28" t="n">
        <x:f>U1487*O1487</x:f>
        <x:v>0</x:v>
      </x:c>
    </x:row>
    <x:row r="1488" ht="19" customHeight="1">
      <x:c r="A1488" s="2"/>
      <x:c r="B1488" s="2"/>
      <x:c r="C1488" s="46" t="n">
        <x:v>6</x:v>
      </x:c>
      <x:c r="D1488" s="46" t="n">
        <x:v>20</x:v>
      </x:c>
      <x:c r="E1488" s="46" t="n">
        <x:v>3</x:v>
      </x:c>
      <x:c r="F1488" s="46" t="n">
        <x:v>2</x:v>
      </x:c>
      <x:c r="G1488" s="12" t="n">
        <x:v>0.6666666666666666</x:v>
      </x:c>
      <x:c r="H1488" s="12" t="n">
        <x:v>0.7777777777777778</x:v>
      </x:c>
      <x:c r="I1488" s="29" t="n">
        <x:f>'Assumptions'!$D$11+'Assumptions'!$D$12*(0.5-(G1488+H1488)/2)</x:f>
        <x:v>0.25555555555555554</x:v>
      </x:c>
      <x:c r="J1488" s="27" t="n">
        <x:f>'Assumptions'!$D$8*EXP(-'Assumptions'!$D$9*('Fleet Engine'!E214-10))*'Assumptions'!E58*'Assumptions'!J36</x:f>
        <x:v>16487.212707001283</x:v>
      </x:c>
      <x:c r="K1488" s="27" t="n">
        <x:f>'Source Data'!F219+LN('Assumptions'!D58)+LN('Assumptions'!J35)</x:f>
        <x:v>7.936584069520856</x:v>
      </x:c>
      <x:c r="L1488" s="27" t="n">
        <x:f>J1488*(1-I1488*(1-'Carrier Engine'!E97))</x:f>
        <x:v>12442.34985621697</x:v>
      </x:c>
      <x:c r="M1488" s="29" t="n">
        <x:f>NORM.S.DIST((LN(L1488)-K1488)/'Assumptions'!$D$10,TRUE)</x:f>
        <x:v>0.8290379475487466</x:v>
      </x:c>
      <x:c r="N1488" s="30" t="n">
        <x:f>MAX(0,H1488-MAX(G1488,M1488))</x:f>
        <x:v>0</x:v>
      </x:c>
      <x:c r="O1488" s="28" t="n">
        <x:f>J1488*I1488</x:f>
        <x:v>4213.398802900328</x:v>
      </x:c>
      <x:c r="P1488" s="27" t="n">
        <x:f>(VLOOKUP(O1488,'Fee Data'!$C$6:$G$50,2,TRUE)+O1488*VLOOKUP(O1488,'Fee Data'!$C$6:$G$50,3,TRUE)+VLOOKUP(O1488,'Fee Data'!$I$6:$J$14,2,TRUE)+'Fee Data'!$J$20+'Fee Data'!$J$21)*'Assumptions'!J37</x:f>
        <x:v>945</x:v>
      </x:c>
      <x:c r="Q1488" s="27" t="n">
        <x:f>(VLOOKUP(O1488,'Fee Data'!$C$6:$G$50,4,TRUE)+O1488*VLOOKUP(O1488,'Fee Data'!$C$6:$G$50,5,TRUE)+VLOOKUP(O1488,'Fee Data'!$I$6:$J$14,2,TRUE)+'Fee Data'!$J$20+'Fee Data'!$J$21)*'Assumptions'!J37</x:f>
        <x:v>820</x:v>
      </x:c>
      <x:c r="R1488" s="27" t="n">
        <x:f>P1488*(1-'Assumptions'!$D$14)+Q1488*'Assumptions'!$D$14</x:f>
        <x:v>882.5</x:v>
      </x:c>
      <x:c r="S1488" s="27" t="n">
        <x:f>O1488*'Carrier Engine'!E97</x:f>
        <x:v>168.53595211601314</x:v>
      </x:c>
      <x:c r="T1488" s="28" t="n">
        <x:f>R1488+S1488</x:f>
        <x:v>1051.035952116013</x:v>
      </x:c>
      <x:c r="U1488" s="27" t="n">
        <x:f>N1488*'Fleet Engine'!L214</x:f>
        <x:v>0</x:v>
      </x:c>
      <x:c r="V1488" s="28" t="n">
        <x:f>U1488*T1488</x:f>
        <x:v>0</x:v>
      </x:c>
      <x:c r="W1488" s="28" t="n">
        <x:f>U1488*O1488</x:f>
        <x:v>0</x:v>
      </x:c>
    </x:row>
    <x:row r="1489" ht="19" customHeight="1">
      <x:c r="A1489" s="2"/>
      <x:c r="B1489" s="2"/>
      <x:c r="C1489" s="46" t="n">
        <x:v>6</x:v>
      </x:c>
      <x:c r="D1489" s="46" t="n">
        <x:v>20</x:v>
      </x:c>
      <x:c r="E1489" s="46" t="n">
        <x:v>3</x:v>
      </x:c>
      <x:c r="F1489" s="46" t="n">
        <x:v>2</x:v>
      </x:c>
      <x:c r="G1489" s="12" t="n">
        <x:v>0.7777777777777778</x:v>
      </x:c>
      <x:c r="H1489" s="12" t="n">
        <x:v>0.8888888888888888</x:v>
      </x:c>
      <x:c r="I1489" s="29" t="n">
        <x:f>'Assumptions'!$D$11+'Assumptions'!$D$12*(0.5-(G1489+H1489)/2)</x:f>
        <x:v>0.23333333333333334</x:v>
      </x:c>
      <x:c r="J1489" s="27" t="n">
        <x:f>'Assumptions'!$D$8*EXP(-'Assumptions'!$D$9*('Fleet Engine'!E214-10))*'Assumptions'!E58*'Assumptions'!J36</x:f>
        <x:v>16487.212707001283</x:v>
      </x:c>
      <x:c r="K1489" s="27" t="n">
        <x:f>'Source Data'!F219+LN('Assumptions'!D58)+LN('Assumptions'!J35)</x:f>
        <x:v>7.936584069520856</x:v>
      </x:c>
      <x:c r="L1489" s="27" t="n">
        <x:f>J1489*(1-I1489*(1-'Carrier Engine'!E97))</x:f>
        <x:v>12794.077060632995</x:v>
      </x:c>
      <x:c r="M1489" s="29" t="n">
        <x:f>NORM.S.DIST((LN(L1489)-K1489)/'Assumptions'!$D$10,TRUE)</x:f>
        <x:v>0.8335086948581082</x:v>
      </x:c>
      <x:c r="N1489" s="30" t="n">
        <x:f>MAX(0,H1489-MAX(G1489,M1489))</x:f>
        <x:v>0.05538019403078065</x:v>
      </x:c>
      <x:c r="O1489" s="28" t="n">
        <x:f>J1489*I1489</x:f>
        <x:v>3847.0162983002992</x:v>
      </x:c>
      <x:c r="P1489" s="27" t="n">
        <x:f>(VLOOKUP(O1489,'Fee Data'!$C$6:$G$50,2,TRUE)+O1489*VLOOKUP(O1489,'Fee Data'!$C$6:$G$50,3,TRUE)+VLOOKUP(O1489,'Fee Data'!$I$6:$J$14,2,TRUE)+'Fee Data'!$J$20+'Fee Data'!$J$21)*'Assumptions'!J37</x:f>
        <x:v>915</x:v>
      </x:c>
      <x:c r="Q1489" s="27" t="n">
        <x:f>(VLOOKUP(O1489,'Fee Data'!$C$6:$G$50,4,TRUE)+O1489*VLOOKUP(O1489,'Fee Data'!$C$6:$G$50,5,TRUE)+VLOOKUP(O1489,'Fee Data'!$I$6:$J$14,2,TRUE)+'Fee Data'!$J$20+'Fee Data'!$J$21)*'Assumptions'!J37</x:f>
        <x:v>765</x:v>
      </x:c>
      <x:c r="R1489" s="27" t="n">
        <x:f>P1489*(1-'Assumptions'!$D$14)+Q1489*'Assumptions'!$D$14</x:f>
        <x:v>840</x:v>
      </x:c>
      <x:c r="S1489" s="27" t="n">
        <x:f>O1489*'Carrier Engine'!E97</x:f>
        <x:v>153.880651932012</x:v>
      </x:c>
      <x:c r="T1489" s="28" t="n">
        <x:f>R1489+S1489</x:f>
        <x:v>993.880651932012</x:v>
      </x:c>
      <x:c r="U1489" s="27" t="n">
        <x:f>N1489*'Fleet Engine'!L214</x:f>
        <x:v>143.07077395538323</x:v>
      </x:c>
      <x:c r="V1489" s="28" t="n">
        <x:f>U1489*T1489</x:f>
        <x:v>142195.2740911938</x:v>
      </x:c>
      <x:c r="W1489" s="28" t="n">
        <x:f>U1489*O1489</x:f>
        <x:v>550395.5992167973</x:v>
      </x:c>
    </x:row>
    <x:row r="1490" ht="19" customHeight="1">
      <x:c r="A1490" s="2"/>
      <x:c r="B1490" s="2"/>
      <x:c r="C1490" s="46" t="n">
        <x:v>6</x:v>
      </x:c>
      <x:c r="D1490" s="46" t="n">
        <x:v>20</x:v>
      </x:c>
      <x:c r="E1490" s="46" t="n">
        <x:v>3</x:v>
      </x:c>
      <x:c r="F1490" s="46" t="n">
        <x:v>2</x:v>
      </x:c>
      <x:c r="G1490" s="12" t="n">
        <x:v>0.8888888888888888</x:v>
      </x:c>
      <x:c r="H1490" s="12" t="n">
        <x:v>1</x:v>
      </x:c>
      <x:c r="I1490" s="29" t="n">
        <x:f>'Assumptions'!$D$11+'Assumptions'!$D$12*(0.5-(G1490+H1490)/2)</x:f>
        <x:v>0.21111111111111108</x:v>
      </x:c>
      <x:c r="J1490" s="27" t="n">
        <x:f>'Assumptions'!$D$8*EXP(-'Assumptions'!$D$9*('Fleet Engine'!E214-10))*'Assumptions'!E58*'Assumptions'!J36</x:f>
        <x:v>16487.212707001283</x:v>
      </x:c>
      <x:c r="K1490" s="27" t="n">
        <x:f>'Source Data'!F219+LN('Assumptions'!D58)+LN('Assumptions'!J35)</x:f>
        <x:v>7.936584069520856</x:v>
      </x:c>
      <x:c r="L1490" s="27" t="n">
        <x:f>J1490*(1-I1490*(1-'Carrier Engine'!E97))</x:f>
        <x:v>13145.804265049022</x:v>
      </x:c>
      <x:c r="M1490" s="29" t="n">
        <x:f>NORM.S.DIST((LN(L1490)-K1490)/'Assumptions'!$D$10,TRUE)</x:f>
        <x:v>0.8377850764390044</x:v>
      </x:c>
      <x:c r="N1490" s="30" t="n">
        <x:f>MAX(0,H1490-MAX(G1490,M1490))</x:f>
        <x:v>0.11111111111111116</x:v>
      </x:c>
      <x:c r="O1490" s="28" t="n">
        <x:f>J1490*I1490</x:f>
        <x:v>3480.6337937002704</x:v>
      </x:c>
      <x:c r="P1490" s="27" t="n">
        <x:f>(VLOOKUP(O1490,'Fee Data'!$C$6:$G$50,2,TRUE)+O1490*VLOOKUP(O1490,'Fee Data'!$C$6:$G$50,3,TRUE)+VLOOKUP(O1490,'Fee Data'!$I$6:$J$14,2,TRUE)+'Fee Data'!$J$20+'Fee Data'!$J$21)*'Assumptions'!J37</x:f>
        <x:v>865</x:v>
      </x:c>
      <x:c r="Q1490" s="27" t="n">
        <x:f>(VLOOKUP(O1490,'Fee Data'!$C$6:$G$50,4,TRUE)+O1490*VLOOKUP(O1490,'Fee Data'!$C$6:$G$50,5,TRUE)+VLOOKUP(O1490,'Fee Data'!$I$6:$J$14,2,TRUE)+'Fee Data'!$J$20+'Fee Data'!$J$21)*'Assumptions'!J37</x:f>
        <x:v>715</x:v>
      </x:c>
      <x:c r="R1490" s="27" t="n">
        <x:f>P1490*(1-'Assumptions'!$D$14)+Q1490*'Assumptions'!$D$14</x:f>
        <x:v>790</x:v>
      </x:c>
      <x:c r="S1490" s="27" t="n">
        <x:f>O1490*'Carrier Engine'!E97</x:f>
        <x:v>139.22535174801084</x:v>
      </x:c>
      <x:c r="T1490" s="28" t="n">
        <x:f>R1490+S1490</x:f>
        <x:v>929.2253517480108</x:v>
      </x:c>
      <x:c r="U1490" s="27" t="n">
        <x:f>N1490*'Fleet Engine'!L214</x:f>
        <x:v>287.047615847531</x:v>
      </x:c>
      <x:c r="V1490" s="28" t="n">
        <x:f>U1490*T1490</x:f>
        <x:v>266731.92180434987</x:v>
      </x:c>
      <x:c r="W1490" s="28" t="n">
        <x:f>U1490*O1490</x:f>
        <x:v>999107.6321200097</x:v>
      </x:c>
    </x:row>
    <x:row r="1491" ht="19" customHeight="1">
      <x:c r="A1491" s="2"/>
      <x:c r="B1491" s="2"/>
      <x:c r="C1491" s="46" t="n">
        <x:v>6</x:v>
      </x:c>
      <x:c r="D1491" s="46" t="n">
        <x:v>21</x:v>
      </x:c>
      <x:c r="E1491" s="46" t="n">
        <x:v>3</x:v>
      </x:c>
      <x:c r="F1491" s="46" t="n">
        <x:v>3</x:v>
      </x:c>
      <x:c r="G1491" s="12" t="n">
        <x:v>0</x:v>
      </x:c>
      <x:c r="H1491" s="12" t="n">
        <x:v>0.1111111111111111</x:v>
      </x:c>
      <x:c r="I1491" s="29" t="n">
        <x:f>'Assumptions'!$D$11+'Assumptions'!$D$12*(0.5-(G1491+H1491)/2)</x:f>
        <x:v>0.3888888888888889</x:v>
      </x:c>
      <x:c r="J1491" s="27" t="n">
        <x:f>'Assumptions'!$D$8*EXP(-'Assumptions'!$D$9*('Fleet Engine'!E215-10))*'Assumptions'!E58*'Assumptions'!J36</x:f>
        <x:v>12214.027581601698</x:v>
      </x:c>
      <x:c r="K1491" s="27" t="n">
        <x:f>'Source Data'!F220+LN('Assumptions'!D58)+LN('Assumptions'!J35)</x:f>
        <x:v>8.04371664078851</x:v>
      </x:c>
      <x:c r="L1491" s="27" t="n">
        <x:f>J1491*(1-I1491*(1-'Carrier Engine'!E97))</x:f>
        <x:v>7654.123951137065</x:v>
      </x:c>
      <x:c r="M1491" s="29" t="n">
        <x:f>NORM.S.DIST((LN(L1491)-K1491)/'Assumptions'!$D$10,TRUE)</x:f>
        <x:v>0.7165817467781002</x:v>
      </x:c>
      <x:c r="N1491" s="30" t="n">
        <x:f>MAX(0,H1491-MAX(G1491,M1491))</x:f>
        <x:v>0</x:v>
      </x:c>
      <x:c r="O1491" s="28" t="n">
        <x:f>J1491*I1491</x:f>
        <x:v>4749.899615067327</x:v>
      </x:c>
      <x:c r="P1491" s="27" t="n">
        <x:f>(VLOOKUP(O1491,'Fee Data'!$C$6:$G$50,2,TRUE)+O1491*VLOOKUP(O1491,'Fee Data'!$C$6:$G$50,3,TRUE)+VLOOKUP(O1491,'Fee Data'!$I$6:$J$14,2,TRUE)+'Fee Data'!$J$20+'Fee Data'!$J$21)*'Assumptions'!J37</x:f>
        <x:v>970</x:v>
      </x:c>
      <x:c r="Q1491" s="27" t="n">
        <x:f>(VLOOKUP(O1491,'Fee Data'!$C$6:$G$50,4,TRUE)+O1491*VLOOKUP(O1491,'Fee Data'!$C$6:$G$50,5,TRUE)+VLOOKUP(O1491,'Fee Data'!$I$6:$J$14,2,TRUE)+'Fee Data'!$J$20+'Fee Data'!$J$21)*'Assumptions'!J37</x:f>
        <x:v>845</x:v>
      </x:c>
      <x:c r="R1491" s="27" t="n">
        <x:f>P1491*(1-'Assumptions'!$D$14)+Q1491*'Assumptions'!$D$14</x:f>
        <x:v>907.5</x:v>
      </x:c>
      <x:c r="S1491" s="27" t="n">
        <x:f>O1491*'Carrier Engine'!E97</x:f>
        <x:v>189.99598460269314</x:v>
      </x:c>
      <x:c r="T1491" s="28" t="n">
        <x:f>R1491+S1491</x:f>
        <x:v>1097.4959846026932</x:v>
      </x:c>
      <x:c r="U1491" s="27" t="n">
        <x:f>N1491*'Fleet Engine'!L215</x:f>
        <x:v>0</x:v>
      </x:c>
      <x:c r="V1491" s="28" t="n">
        <x:f>U1491*T1491</x:f>
        <x:v>0</x:v>
      </x:c>
      <x:c r="W1491" s="28" t="n">
        <x:f>U1491*O1491</x:f>
        <x:v>0</x:v>
      </x:c>
    </x:row>
    <x:row r="1492" ht="19" customHeight="1">
      <x:c r="A1492" s="2"/>
      <x:c r="B1492" s="2"/>
      <x:c r="C1492" s="46" t="n">
        <x:v>6</x:v>
      </x:c>
      <x:c r="D1492" s="46" t="n">
        <x:v>21</x:v>
      </x:c>
      <x:c r="E1492" s="46" t="n">
        <x:v>3</x:v>
      </x:c>
      <x:c r="F1492" s="46" t="n">
        <x:v>3</x:v>
      </x:c>
      <x:c r="G1492" s="12" t="n">
        <x:v>0.1111111111111111</x:v>
      </x:c>
      <x:c r="H1492" s="12" t="n">
        <x:v>0.2222222222222222</x:v>
      </x:c>
      <x:c r="I1492" s="29" t="n">
        <x:f>'Assumptions'!$D$11+'Assumptions'!$D$12*(0.5-(G1492+H1492)/2)</x:f>
        <x:v>0.3666666666666667</x:v>
      </x:c>
      <x:c r="J1492" s="27" t="n">
        <x:f>'Assumptions'!$D$8*EXP(-'Assumptions'!$D$9*('Fleet Engine'!E215-10))*'Assumptions'!E58*'Assumptions'!J36</x:f>
        <x:v>12214.027581601698</x:v>
      </x:c>
      <x:c r="K1492" s="27" t="n">
        <x:f>'Source Data'!F220+LN('Assumptions'!D58)+LN('Assumptions'!J35)</x:f>
        <x:v>8.04371664078851</x:v>
      </x:c>
      <x:c r="L1492" s="27" t="n">
        <x:f>J1492*(1-I1492*(1-'Carrier Engine'!E97))</x:f>
        <x:v>7914.6898728779</x:v>
      </x:c>
      <x:c r="M1492" s="29" t="n">
        <x:f>NORM.S.DIST((LN(L1492)-K1492)/'Assumptions'!$D$10,TRUE)</x:f>
        <x:v>0.7237560438609862</x:v>
      </x:c>
      <x:c r="N1492" s="30" t="n">
        <x:f>MAX(0,H1492-MAX(G1492,M1492))</x:f>
        <x:v>0</x:v>
      </x:c>
      <x:c r="O1492" s="28" t="n">
        <x:f>J1492*I1492</x:f>
        <x:v>4478.476779920623</x:v>
      </x:c>
      <x:c r="P1492" s="27" t="n">
        <x:f>(VLOOKUP(O1492,'Fee Data'!$C$6:$G$50,2,TRUE)+O1492*VLOOKUP(O1492,'Fee Data'!$C$6:$G$50,3,TRUE)+VLOOKUP(O1492,'Fee Data'!$I$6:$J$14,2,TRUE)+'Fee Data'!$J$20+'Fee Data'!$J$21)*'Assumptions'!J37</x:f>
        <x:v>945</x:v>
      </x:c>
      <x:c r="Q1492" s="27" t="n">
        <x:f>(VLOOKUP(O1492,'Fee Data'!$C$6:$G$50,4,TRUE)+O1492*VLOOKUP(O1492,'Fee Data'!$C$6:$G$50,5,TRUE)+VLOOKUP(O1492,'Fee Data'!$I$6:$J$14,2,TRUE)+'Fee Data'!$J$20+'Fee Data'!$J$21)*'Assumptions'!J37</x:f>
        <x:v>820</x:v>
      </x:c>
      <x:c r="R1492" s="27" t="n">
        <x:f>P1492*(1-'Assumptions'!$D$14)+Q1492*'Assumptions'!$D$14</x:f>
        <x:v>882.5</x:v>
      </x:c>
      <x:c r="S1492" s="27" t="n">
        <x:f>O1492*'Carrier Engine'!E97</x:f>
        <x:v>179.13907119682494</x:v>
      </x:c>
      <x:c r="T1492" s="28" t="n">
        <x:f>R1492+S1492</x:f>
        <x:v>1061.639071196825</x:v>
      </x:c>
      <x:c r="U1492" s="27" t="n">
        <x:f>N1492*'Fleet Engine'!L215</x:f>
        <x:v>0</x:v>
      </x:c>
      <x:c r="V1492" s="28" t="n">
        <x:f>U1492*T1492</x:f>
        <x:v>0</x:v>
      </x:c>
      <x:c r="W1492" s="28" t="n">
        <x:f>U1492*O1492</x:f>
        <x:v>0</x:v>
      </x:c>
    </x:row>
    <x:row r="1493" ht="19" customHeight="1">
      <x:c r="A1493" s="2"/>
      <x:c r="B1493" s="2"/>
      <x:c r="C1493" s="46" t="n">
        <x:v>6</x:v>
      </x:c>
      <x:c r="D1493" s="46" t="n">
        <x:v>21</x:v>
      </x:c>
      <x:c r="E1493" s="46" t="n">
        <x:v>3</x:v>
      </x:c>
      <x:c r="F1493" s="46" t="n">
        <x:v>3</x:v>
      </x:c>
      <x:c r="G1493" s="12" t="n">
        <x:v>0.2222222222222222</x:v>
      </x:c>
      <x:c r="H1493" s="12" t="n">
        <x:v>0.3333333333333333</x:v>
      </x:c>
      <x:c r="I1493" s="29" t="n">
        <x:f>'Assumptions'!$D$11+'Assumptions'!$D$12*(0.5-(G1493+H1493)/2)</x:f>
        <x:v>0.34444444444444444</x:v>
      </x:c>
      <x:c r="J1493" s="27" t="n">
        <x:f>'Assumptions'!$D$8*EXP(-'Assumptions'!$D$9*('Fleet Engine'!E215-10))*'Assumptions'!E58*'Assumptions'!J36</x:f>
        <x:v>12214.027581601698</x:v>
      </x:c>
      <x:c r="K1493" s="27" t="n">
        <x:f>'Source Data'!F220+LN('Assumptions'!D58)+LN('Assumptions'!J35)</x:f>
        <x:v>8.04371664078851</x:v>
      </x:c>
      <x:c r="L1493" s="27" t="n">
        <x:f>J1493*(1-I1493*(1-'Carrier Engine'!E97))</x:f>
        <x:v>8175.255794618737</x:v>
      </x:c>
      <x:c r="M1493" s="29" t="n">
        <x:f>NORM.S.DIST((LN(L1493)-K1493)/'Assumptions'!$D$10,TRUE)</x:f>
        <x:v>0.730612011881529</x:v>
      </x:c>
      <x:c r="N1493" s="30" t="n">
        <x:f>MAX(0,H1493-MAX(G1493,M1493))</x:f>
        <x:v>0</x:v>
      </x:c>
      <x:c r="O1493" s="28" t="n">
        <x:f>J1493*I1493</x:f>
        <x:v>4207.053944773918</x:v>
      </x:c>
      <x:c r="P1493" s="27" t="n">
        <x:f>(VLOOKUP(O1493,'Fee Data'!$C$6:$G$50,2,TRUE)+O1493*VLOOKUP(O1493,'Fee Data'!$C$6:$G$50,3,TRUE)+VLOOKUP(O1493,'Fee Data'!$I$6:$J$14,2,TRUE)+'Fee Data'!$J$20+'Fee Data'!$J$21)*'Assumptions'!J37</x:f>
        <x:v>945</x:v>
      </x:c>
      <x:c r="Q1493" s="27" t="n">
        <x:f>(VLOOKUP(O1493,'Fee Data'!$C$6:$G$50,4,TRUE)+O1493*VLOOKUP(O1493,'Fee Data'!$C$6:$G$50,5,TRUE)+VLOOKUP(O1493,'Fee Data'!$I$6:$J$14,2,TRUE)+'Fee Data'!$J$20+'Fee Data'!$J$21)*'Assumptions'!J37</x:f>
        <x:v>820</x:v>
      </x:c>
      <x:c r="R1493" s="27" t="n">
        <x:f>P1493*(1-'Assumptions'!$D$14)+Q1493*'Assumptions'!$D$14</x:f>
        <x:v>882.5</x:v>
      </x:c>
      <x:c r="S1493" s="27" t="n">
        <x:f>O1493*'Carrier Engine'!E97</x:f>
        <x:v>168.28215779095677</x:v>
      </x:c>
      <x:c r="T1493" s="28" t="n">
        <x:f>R1493+S1493</x:f>
        <x:v>1050.7821577909567</x:v>
      </x:c>
      <x:c r="U1493" s="27" t="n">
        <x:f>N1493*'Fleet Engine'!L215</x:f>
        <x:v>0</x:v>
      </x:c>
      <x:c r="V1493" s="28" t="n">
        <x:f>U1493*T1493</x:f>
        <x:v>0</x:v>
      </x:c>
      <x:c r="W1493" s="28" t="n">
        <x:f>U1493*O1493</x:f>
        <x:v>0</x:v>
      </x:c>
    </x:row>
    <x:row r="1494" ht="19" customHeight="1">
      <x:c r="A1494" s="2"/>
      <x:c r="B1494" s="2"/>
      <x:c r="C1494" s="46" t="n">
        <x:v>6</x:v>
      </x:c>
      <x:c r="D1494" s="46" t="n">
        <x:v>21</x:v>
      </x:c>
      <x:c r="E1494" s="46" t="n">
        <x:v>3</x:v>
      </x:c>
      <x:c r="F1494" s="46" t="n">
        <x:v>3</x:v>
      </x:c>
      <x:c r="G1494" s="12" t="n">
        <x:v>0.3333333333333333</x:v>
      </x:c>
      <x:c r="H1494" s="12" t="n">
        <x:v>0.4444444444444444</x:v>
      </x:c>
      <x:c r="I1494" s="29" t="n">
        <x:f>'Assumptions'!$D$11+'Assumptions'!$D$12*(0.5-(G1494+H1494)/2)</x:f>
        <x:v>0.32222222222222224</x:v>
      </x:c>
      <x:c r="J1494" s="27" t="n">
        <x:f>'Assumptions'!$D$8*EXP(-'Assumptions'!$D$9*('Fleet Engine'!E215-10))*'Assumptions'!E58*'Assumptions'!J36</x:f>
        <x:v>12214.027581601698</x:v>
      </x:c>
      <x:c r="K1494" s="27" t="n">
        <x:f>'Source Data'!F220+LN('Assumptions'!D58)+LN('Assumptions'!J35)</x:f>
        <x:v>8.04371664078851</x:v>
      </x:c>
      <x:c r="L1494" s="27" t="n">
        <x:f>J1494*(1-I1494*(1-'Carrier Engine'!E97))</x:f>
        <x:v>8435.821716359573</x:v>
      </x:c>
      <x:c r="M1494" s="29" t="n">
        <x:f>NORM.S.DIST((LN(L1494)-K1494)/'Assumptions'!$D$10,TRUE)</x:f>
        <x:v>0.737170515190244</x:v>
      </x:c>
      <x:c r="N1494" s="30" t="n">
        <x:f>MAX(0,H1494-MAX(G1494,M1494))</x:f>
        <x:v>0</x:v>
      </x:c>
      <x:c r="O1494" s="28" t="n">
        <x:f>J1494*I1494</x:f>
        <x:v>3935.6311096272143</x:v>
      </x:c>
      <x:c r="P1494" s="27" t="n">
        <x:f>(VLOOKUP(O1494,'Fee Data'!$C$6:$G$50,2,TRUE)+O1494*VLOOKUP(O1494,'Fee Data'!$C$6:$G$50,3,TRUE)+VLOOKUP(O1494,'Fee Data'!$I$6:$J$14,2,TRUE)+'Fee Data'!$J$20+'Fee Data'!$J$21)*'Assumptions'!J37</x:f>
        <x:v>915</x:v>
      </x:c>
      <x:c r="Q1494" s="27" t="n">
        <x:f>(VLOOKUP(O1494,'Fee Data'!$C$6:$G$50,4,TRUE)+O1494*VLOOKUP(O1494,'Fee Data'!$C$6:$G$50,5,TRUE)+VLOOKUP(O1494,'Fee Data'!$I$6:$J$14,2,TRUE)+'Fee Data'!$J$20+'Fee Data'!$J$21)*'Assumptions'!J37</x:f>
        <x:v>765</x:v>
      </x:c>
      <x:c r="R1494" s="27" t="n">
        <x:f>P1494*(1-'Assumptions'!$D$14)+Q1494*'Assumptions'!$D$14</x:f>
        <x:v>840</x:v>
      </x:c>
      <x:c r="S1494" s="27" t="n">
        <x:f>O1494*'Carrier Engine'!E97</x:f>
        <x:v>157.4252443850886</x:v>
      </x:c>
      <x:c r="T1494" s="28" t="n">
        <x:f>R1494+S1494</x:f>
        <x:v>997.4252443850886</x:v>
      </x:c>
      <x:c r="U1494" s="27" t="n">
        <x:f>N1494*'Fleet Engine'!L215</x:f>
        <x:v>0</x:v>
      </x:c>
      <x:c r="V1494" s="28" t="n">
        <x:f>U1494*T1494</x:f>
        <x:v>0</x:v>
      </x:c>
      <x:c r="W1494" s="28" t="n">
        <x:f>U1494*O1494</x:f>
        <x:v>0</x:v>
      </x:c>
    </x:row>
    <x:row r="1495" ht="19" customHeight="1">
      <x:c r="A1495" s="2"/>
      <x:c r="B1495" s="2"/>
      <x:c r="C1495" s="46" t="n">
        <x:v>6</x:v>
      </x:c>
      <x:c r="D1495" s="46" t="n">
        <x:v>21</x:v>
      </x:c>
      <x:c r="E1495" s="46" t="n">
        <x:v>3</x:v>
      </x:c>
      <x:c r="F1495" s="46" t="n">
        <x:v>3</x:v>
      </x:c>
      <x:c r="G1495" s="12" t="n">
        <x:v>0.4444444444444444</x:v>
      </x:c>
      <x:c r="H1495" s="12" t="n">
        <x:v>0.5555555555555556</x:v>
      </x:c>
      <x:c r="I1495" s="29" t="n">
        <x:f>'Assumptions'!$D$11+'Assumptions'!$D$12*(0.5-(G1495+H1495)/2)</x:f>
        <x:v>0.3</x:v>
      </x:c>
      <x:c r="J1495" s="27" t="n">
        <x:f>'Assumptions'!$D$8*EXP(-'Assumptions'!$D$9*('Fleet Engine'!E215-10))*'Assumptions'!E58*'Assumptions'!J36</x:f>
        <x:v>12214.027581601698</x:v>
      </x:c>
      <x:c r="K1495" s="27" t="n">
        <x:f>'Source Data'!F220+LN('Assumptions'!D58)+LN('Assumptions'!J35)</x:f>
        <x:v>8.04371664078851</x:v>
      </x:c>
      <x:c r="L1495" s="27" t="n">
        <x:f>J1495*(1-I1495*(1-'Carrier Engine'!E97))</x:f>
        <x:v>8696.387638100408</x:v>
      </x:c>
      <x:c r="M1495" s="29" t="n">
        <x:f>NORM.S.DIST((LN(L1495)-K1495)/'Assumptions'!$D$10,TRUE)</x:f>
        <x:v>0.7434505950635955</x:v>
      </x:c>
      <x:c r="N1495" s="30" t="n">
        <x:f>MAX(0,H1495-MAX(G1495,M1495))</x:f>
        <x:v>0</x:v>
      </x:c>
      <x:c r="O1495" s="28" t="n">
        <x:f>J1495*I1495</x:f>
        <x:v>3664.2082744805093</x:v>
      </x:c>
      <x:c r="P1495" s="27" t="n">
        <x:f>(VLOOKUP(O1495,'Fee Data'!$C$6:$G$50,2,TRUE)+O1495*VLOOKUP(O1495,'Fee Data'!$C$6:$G$50,3,TRUE)+VLOOKUP(O1495,'Fee Data'!$I$6:$J$14,2,TRUE)+'Fee Data'!$J$20+'Fee Data'!$J$21)*'Assumptions'!J37</x:f>
        <x:v>915</x:v>
      </x:c>
      <x:c r="Q1495" s="27" t="n">
        <x:f>(VLOOKUP(O1495,'Fee Data'!$C$6:$G$50,4,TRUE)+O1495*VLOOKUP(O1495,'Fee Data'!$C$6:$G$50,5,TRUE)+VLOOKUP(O1495,'Fee Data'!$I$6:$J$14,2,TRUE)+'Fee Data'!$J$20+'Fee Data'!$J$21)*'Assumptions'!J37</x:f>
        <x:v>765</x:v>
      </x:c>
      <x:c r="R1495" s="27" t="n">
        <x:f>P1495*(1-'Assumptions'!$D$14)+Q1495*'Assumptions'!$D$14</x:f>
        <x:v>840</x:v>
      </x:c>
      <x:c r="S1495" s="27" t="n">
        <x:f>O1495*'Carrier Engine'!E97</x:f>
        <x:v>146.5683309792204</x:v>
      </x:c>
      <x:c r="T1495" s="28" t="n">
        <x:f>R1495+S1495</x:f>
        <x:v>986.5683309792204</x:v>
      </x:c>
      <x:c r="U1495" s="27" t="n">
        <x:f>N1495*'Fleet Engine'!L215</x:f>
        <x:v>0</x:v>
      </x:c>
      <x:c r="V1495" s="28" t="n">
        <x:f>U1495*T1495</x:f>
        <x:v>0</x:v>
      </x:c>
      <x:c r="W1495" s="28" t="n">
        <x:f>U1495*O1495</x:f>
        <x:v>0</x:v>
      </x:c>
    </x:row>
    <x:row r="1496" ht="19" customHeight="1">
      <x:c r="A1496" s="2"/>
      <x:c r="B1496" s="2"/>
      <x:c r="C1496" s="46" t="n">
        <x:v>6</x:v>
      </x:c>
      <x:c r="D1496" s="46" t="n">
        <x:v>21</x:v>
      </x:c>
      <x:c r="E1496" s="46" t="n">
        <x:v>3</x:v>
      </x:c>
      <x:c r="F1496" s="46" t="n">
        <x:v>3</x:v>
      </x:c>
      <x:c r="G1496" s="12" t="n">
        <x:v>0.5555555555555556</x:v>
      </x:c>
      <x:c r="H1496" s="12" t="n">
        <x:v>0.6666666666666666</x:v>
      </x:c>
      <x:c r="I1496" s="29" t="n">
        <x:f>'Assumptions'!$D$11+'Assumptions'!$D$12*(0.5-(G1496+H1496)/2)</x:f>
        <x:v>0.27777777777777773</x:v>
      </x:c>
      <x:c r="J1496" s="27" t="n">
        <x:f>'Assumptions'!$D$8*EXP(-'Assumptions'!$D$9*('Fleet Engine'!E215-10))*'Assumptions'!E58*'Assumptions'!J36</x:f>
        <x:v>12214.027581601698</x:v>
      </x:c>
      <x:c r="K1496" s="27" t="n">
        <x:f>'Source Data'!F220+LN('Assumptions'!D58)+LN('Assumptions'!J35)</x:f>
        <x:v>8.04371664078851</x:v>
      </x:c>
      <x:c r="L1496" s="27" t="n">
        <x:f>J1496*(1-I1496*(1-'Carrier Engine'!E97))</x:f>
        <x:v>8956.953559841246</x:v>
      </x:c>
      <x:c r="M1496" s="29" t="n">
        <x:f>NORM.S.DIST((LN(L1496)-K1496)/'Assumptions'!$D$10,TRUE)</x:f>
        <x:v>0.7494696686328344</x:v>
      </x:c>
      <x:c r="N1496" s="30" t="n">
        <x:f>MAX(0,H1496-MAX(G1496,M1496))</x:f>
        <x:v>0</x:v>
      </x:c>
      <x:c r="O1496" s="28" t="n">
        <x:f>J1496*I1496</x:f>
        <x:v>3392.785439333805</x:v>
      </x:c>
      <x:c r="P1496" s="27" t="n">
        <x:f>(VLOOKUP(O1496,'Fee Data'!$C$6:$G$50,2,TRUE)+O1496*VLOOKUP(O1496,'Fee Data'!$C$6:$G$50,3,TRUE)+VLOOKUP(O1496,'Fee Data'!$I$6:$J$14,2,TRUE)+'Fee Data'!$J$20+'Fee Data'!$J$21)*'Assumptions'!J37</x:f>
        <x:v>865</x:v>
      </x:c>
      <x:c r="Q1496" s="27" t="n">
        <x:f>(VLOOKUP(O1496,'Fee Data'!$C$6:$G$50,4,TRUE)+O1496*VLOOKUP(O1496,'Fee Data'!$C$6:$G$50,5,TRUE)+VLOOKUP(O1496,'Fee Data'!$I$6:$J$14,2,TRUE)+'Fee Data'!$J$20+'Fee Data'!$J$21)*'Assumptions'!J37</x:f>
        <x:v>715</x:v>
      </x:c>
      <x:c r="R1496" s="27" t="n">
        <x:f>P1496*(1-'Assumptions'!$D$14)+Q1496*'Assumptions'!$D$14</x:f>
        <x:v>790</x:v>
      </x:c>
      <x:c r="S1496" s="27" t="n">
        <x:f>O1496*'Carrier Engine'!E97</x:f>
        <x:v>135.7114175733522</x:v>
      </x:c>
      <x:c r="T1496" s="28" t="n">
        <x:f>R1496+S1496</x:f>
        <x:v>925.7114175733523</x:v>
      </x:c>
      <x:c r="U1496" s="27" t="n">
        <x:f>N1496*'Fleet Engine'!L215</x:f>
        <x:v>0</x:v>
      </x:c>
      <x:c r="V1496" s="28" t="n">
        <x:f>U1496*T1496</x:f>
        <x:v>0</x:v>
      </x:c>
      <x:c r="W1496" s="28" t="n">
        <x:f>U1496*O1496</x:f>
        <x:v>0</x:v>
      </x:c>
    </x:row>
    <x:row r="1497" ht="19" customHeight="1">
      <x:c r="A1497" s="2"/>
      <x:c r="B1497" s="2"/>
      <x:c r="C1497" s="46" t="n">
        <x:v>6</x:v>
      </x:c>
      <x:c r="D1497" s="46" t="n">
        <x:v>21</x:v>
      </x:c>
      <x:c r="E1497" s="46" t="n">
        <x:v>3</x:v>
      </x:c>
      <x:c r="F1497" s="46" t="n">
        <x:v>3</x:v>
      </x:c>
      <x:c r="G1497" s="12" t="n">
        <x:v>0.6666666666666666</x:v>
      </x:c>
      <x:c r="H1497" s="12" t="n">
        <x:v>0.7777777777777778</x:v>
      </x:c>
      <x:c r="I1497" s="29" t="n">
        <x:f>'Assumptions'!$D$11+'Assumptions'!$D$12*(0.5-(G1497+H1497)/2)</x:f>
        <x:v>0.25555555555555554</x:v>
      </x:c>
      <x:c r="J1497" s="27" t="n">
        <x:f>'Assumptions'!$D$8*EXP(-'Assumptions'!$D$9*('Fleet Engine'!E215-10))*'Assumptions'!E58*'Assumptions'!J36</x:f>
        <x:v>12214.027581601698</x:v>
      </x:c>
      <x:c r="K1497" s="27" t="n">
        <x:f>'Source Data'!F220+LN('Assumptions'!D58)+LN('Assumptions'!J35)</x:f>
        <x:v>8.04371664078851</x:v>
      </x:c>
      <x:c r="L1497" s="27" t="n">
        <x:f>J1497*(1-I1497*(1-'Carrier Engine'!E97))</x:f>
        <x:v>9217.519481582081</x:v>
      </x:c>
      <x:c r="M1497" s="29" t="n">
        <x:f>NORM.S.DIST((LN(L1497)-K1497)/'Assumptions'!$D$10,TRUE)</x:f>
        <x:v>0.755243701876744</x:v>
      </x:c>
      <x:c r="N1497" s="30" t="n">
        <x:f>MAX(0,H1497-MAX(G1497,M1497))</x:f>
        <x:v>0.022534075901033845</x:v>
      </x:c>
      <x:c r="O1497" s="28" t="n">
        <x:f>J1497*I1497</x:f>
        <x:v>3121.3626041871003</x:v>
      </x:c>
      <x:c r="P1497" s="27" t="n">
        <x:f>(VLOOKUP(O1497,'Fee Data'!$C$6:$G$50,2,TRUE)+O1497*VLOOKUP(O1497,'Fee Data'!$C$6:$G$50,3,TRUE)+VLOOKUP(O1497,'Fee Data'!$I$6:$J$14,2,TRUE)+'Fee Data'!$J$20+'Fee Data'!$J$21)*'Assumptions'!J37</x:f>
        <x:v>865</x:v>
      </x:c>
      <x:c r="Q1497" s="27" t="n">
        <x:f>(VLOOKUP(O1497,'Fee Data'!$C$6:$G$50,4,TRUE)+O1497*VLOOKUP(O1497,'Fee Data'!$C$6:$G$50,5,TRUE)+VLOOKUP(O1497,'Fee Data'!$I$6:$J$14,2,TRUE)+'Fee Data'!$J$20+'Fee Data'!$J$21)*'Assumptions'!J37</x:f>
        <x:v>715</x:v>
      </x:c>
      <x:c r="R1497" s="27" t="n">
        <x:f>P1497*(1-'Assumptions'!$D$14)+Q1497*'Assumptions'!$D$14</x:f>
        <x:v>790</x:v>
      </x:c>
      <x:c r="S1497" s="27" t="n">
        <x:f>O1497*'Carrier Engine'!E97</x:f>
        <x:v>124.85450416748404</x:v>
      </x:c>
      <x:c r="T1497" s="28" t="n">
        <x:f>R1497+S1497</x:f>
        <x:v>914.854504167484</x:v>
      </x:c>
      <x:c r="U1497" s="27" t="n">
        <x:f>N1497*'Fleet Engine'!L215</x:f>
        <x:v>47.566439106300514</x:v>
      </x:c>
      <x:c r="V1497" s="28" t="n">
        <x:f>U1497*T1497</x:f>
        <x:v>43516.37106360738</x:v>
      </x:c>
      <x:c r="W1497" s="28" t="n">
        <x:f>U1497*O1497</x:f>
        <x:v>148472.1042407493</x:v>
      </x:c>
    </x:row>
    <x:row r="1498" ht="19" customHeight="1">
      <x:c r="A1498" s="2"/>
      <x:c r="B1498" s="2"/>
      <x:c r="C1498" s="46" t="n">
        <x:v>6</x:v>
      </x:c>
      <x:c r="D1498" s="46" t="n">
        <x:v>21</x:v>
      </x:c>
      <x:c r="E1498" s="46" t="n">
        <x:v>3</x:v>
      </x:c>
      <x:c r="F1498" s="46" t="n">
        <x:v>3</x:v>
      </x:c>
      <x:c r="G1498" s="12" t="n">
        <x:v>0.7777777777777778</x:v>
      </x:c>
      <x:c r="H1498" s="12" t="n">
        <x:v>0.8888888888888888</x:v>
      </x:c>
      <x:c r="I1498" s="29" t="n">
        <x:f>'Assumptions'!$D$11+'Assumptions'!$D$12*(0.5-(G1498+H1498)/2)</x:f>
        <x:v>0.23333333333333334</x:v>
      </x:c>
      <x:c r="J1498" s="27" t="n">
        <x:f>'Assumptions'!$D$8*EXP(-'Assumptions'!$D$9*('Fleet Engine'!E215-10))*'Assumptions'!E58*'Assumptions'!J36</x:f>
        <x:v>12214.027581601698</x:v>
      </x:c>
      <x:c r="K1498" s="27" t="n">
        <x:f>'Source Data'!F220+LN('Assumptions'!D58)+LN('Assumptions'!J35)</x:f>
        <x:v>8.04371664078851</x:v>
      </x:c>
      <x:c r="L1498" s="27" t="n">
        <x:f>J1498*(1-I1498*(1-'Carrier Engine'!E97))</x:f>
        <x:v>9478.085403322919</x:v>
      </x:c>
      <x:c r="M1498" s="29" t="n">
        <x:f>NORM.S.DIST((LN(L1498)-K1498)/'Assumptions'!$D$10,TRUE)</x:f>
        <x:v>0.7607873605938249</x:v>
      </x:c>
      <x:c r="N1498" s="30" t="n">
        <x:f>MAX(0,H1498-MAX(G1498,M1498))</x:f>
        <x:v>0.11111111111111105</x:v>
      </x:c>
      <x:c r="O1498" s="28" t="n">
        <x:f>J1498*I1498</x:f>
        <x:v>2849.939769040396</x:v>
      </x:c>
      <x:c r="P1498" s="27" t="n">
        <x:f>(VLOOKUP(O1498,'Fee Data'!$C$6:$G$50,2,TRUE)+O1498*VLOOKUP(O1498,'Fee Data'!$C$6:$G$50,3,TRUE)+VLOOKUP(O1498,'Fee Data'!$I$6:$J$14,2,TRUE)+'Fee Data'!$J$20+'Fee Data'!$J$21)*'Assumptions'!J37</x:f>
        <x:v>820</x:v>
      </x:c>
      <x:c r="Q1498" s="27" t="n">
        <x:f>(VLOOKUP(O1498,'Fee Data'!$C$6:$G$50,4,TRUE)+O1498*VLOOKUP(O1498,'Fee Data'!$C$6:$G$50,5,TRUE)+VLOOKUP(O1498,'Fee Data'!$I$6:$J$14,2,TRUE)+'Fee Data'!$J$20+'Fee Data'!$J$21)*'Assumptions'!J37</x:f>
        <x:v>670</x:v>
      </x:c>
      <x:c r="R1498" s="27" t="n">
        <x:f>P1498*(1-'Assumptions'!$D$14)+Q1498*'Assumptions'!$D$14</x:f>
        <x:v>745</x:v>
      </x:c>
      <x:c r="S1498" s="27" t="n">
        <x:f>O1498*'Carrier Engine'!E97</x:f>
        <x:v>113.99759076161587</x:v>
      </x:c>
      <x:c r="T1498" s="28" t="n">
        <x:f>R1498+S1498</x:f>
        <x:v>858.9975907616158</x:v>
      </x:c>
      <x:c r="U1498" s="27" t="n">
        <x:f>N1498*'Fleet Engine'!L215</x:f>
        <x:v>234.54078720208693</x:v>
      </x:c>
      <x:c r="V1498" s="28" t="n">
        <x:f>U1498*T1498</x:f>
        <x:v>201469.9711419255</x:v>
      </x:c>
      <x:c r="W1498" s="28" t="n">
        <x:f>U1498*O1498</x:f>
        <x:v>668427.1169092683</x:v>
      </x:c>
    </x:row>
    <x:row r="1499" ht="19" customHeight="1">
      <x:c r="A1499" s="2"/>
      <x:c r="B1499" s="2"/>
      <x:c r="C1499" s="46" t="n">
        <x:v>6</x:v>
      </x:c>
      <x:c r="D1499" s="46" t="n">
        <x:v>21</x:v>
      </x:c>
      <x:c r="E1499" s="46" t="n">
        <x:v>3</x:v>
      </x:c>
      <x:c r="F1499" s="46" t="n">
        <x:v>3</x:v>
      </x:c>
      <x:c r="G1499" s="12" t="n">
        <x:v>0.8888888888888888</x:v>
      </x:c>
      <x:c r="H1499" s="12" t="n">
        <x:v>1</x:v>
      </x:c>
      <x:c r="I1499" s="29" t="n">
        <x:f>'Assumptions'!$D$11+'Assumptions'!$D$12*(0.5-(G1499+H1499)/2)</x:f>
        <x:v>0.21111111111111108</x:v>
      </x:c>
      <x:c r="J1499" s="27" t="n">
        <x:f>'Assumptions'!$D$8*EXP(-'Assumptions'!$D$9*('Fleet Engine'!E215-10))*'Assumptions'!E58*'Assumptions'!J36</x:f>
        <x:v>12214.027581601698</x:v>
      </x:c>
      <x:c r="K1499" s="27" t="n">
        <x:f>'Source Data'!F220+LN('Assumptions'!D58)+LN('Assumptions'!J35)</x:f>
        <x:v>8.04371664078851</x:v>
      </x:c>
      <x:c r="L1499" s="27" t="n">
        <x:f>J1499*(1-I1499*(1-'Carrier Engine'!E97))</x:f>
        <x:v>9738.651325063754</x:v>
      </x:c>
      <x:c r="M1499" s="29" t="n">
        <x:f>NORM.S.DIST((LN(L1499)-K1499)/'Assumptions'!$D$10,TRUE)</x:f>
        <x:v>0.7661141426007128</x:v>
      </x:c>
      <x:c r="N1499" s="30" t="n">
        <x:f>MAX(0,H1499-MAX(G1499,M1499))</x:f>
        <x:v>0.11111111111111116</x:v>
      </x:c>
      <x:c r="O1499" s="28" t="n">
        <x:f>J1499*I1499</x:f>
        <x:v>2578.5169338936917</x:v>
      </x:c>
      <x:c r="P1499" s="27" t="n">
        <x:f>(VLOOKUP(O1499,'Fee Data'!$C$6:$G$50,2,TRUE)+O1499*VLOOKUP(O1499,'Fee Data'!$C$6:$G$50,3,TRUE)+VLOOKUP(O1499,'Fee Data'!$I$6:$J$14,2,TRUE)+'Fee Data'!$J$20+'Fee Data'!$J$21)*'Assumptions'!J37</x:f>
        <x:v>820</x:v>
      </x:c>
      <x:c r="Q1499" s="27" t="n">
        <x:f>(VLOOKUP(O1499,'Fee Data'!$C$6:$G$50,4,TRUE)+O1499*VLOOKUP(O1499,'Fee Data'!$C$6:$G$50,5,TRUE)+VLOOKUP(O1499,'Fee Data'!$I$6:$J$14,2,TRUE)+'Fee Data'!$J$20+'Fee Data'!$J$21)*'Assumptions'!J37</x:f>
        <x:v>670</x:v>
      </x:c>
      <x:c r="R1499" s="27" t="n">
        <x:f>P1499*(1-'Assumptions'!$D$14)+Q1499*'Assumptions'!$D$14</x:f>
        <x:v>745</x:v>
      </x:c>
      <x:c r="S1499" s="27" t="n">
        <x:f>O1499*'Carrier Engine'!E97</x:f>
        <x:v>103.14067735574768</x:v>
      </x:c>
      <x:c r="T1499" s="28" t="n">
        <x:f>R1499+S1499</x:f>
        <x:v>848.1406773557477</x:v>
      </x:c>
      <x:c r="U1499" s="27" t="n">
        <x:f>N1499*'Fleet Engine'!L215</x:f>
        <x:v>234.54078720208716</x:v>
      </x:c>
      <x:c r="V1499" s="28" t="n">
        <x:f>U1499*T1499</x:f>
        <x:v>198923.58212512848</x:v>
      </x:c>
      <x:c r="W1499" s="28" t="n">
        <x:f>U1499*O1499</x:f>
        <x:v>604767.3914893386</x:v>
      </x:c>
    </x:row>
    <x:row r="1500" ht="19" customHeight="1">
      <x:c r="A1500" s="2"/>
      <x:c r="B1500" s="2"/>
      <x:c r="C1500" s="46" t="n">
        <x:v>6</x:v>
      </x:c>
      <x:c r="D1500" s="46" t="n">
        <x:v>22</x:v>
      </x:c>
      <x:c r="E1500" s="46" t="n">
        <x:v>3</x:v>
      </x:c>
      <x:c r="F1500" s="46" t="n">
        <x:v>4</x:v>
      </x:c>
      <x:c r="G1500" s="12" t="n">
        <x:v>0</x:v>
      </x:c>
      <x:c r="H1500" s="12" t="n">
        <x:v>0.1111111111111111</x:v>
      </x:c>
      <x:c r="I1500" s="29" t="n">
        <x:f>'Assumptions'!$D$11+'Assumptions'!$D$12*(0.5-(G1500+H1500)/2)</x:f>
        <x:v>0.3888888888888889</x:v>
      </x:c>
      <x:c r="J1500" s="27" t="n">
        <x:f>'Assumptions'!$D$8*EXP(-'Assumptions'!$D$9*('Fleet Engine'!E216-10))*'Assumptions'!E58*'Assumptions'!J36</x:f>
        <x:v>9048.374180359595</x:v>
      </x:c>
      <x:c r="K1500" s="27" t="n">
        <x:f>'Source Data'!F221+LN('Assumptions'!D58)+LN('Assumptions'!J35)</x:f>
        <x:v>8.129564769703762</x:v>
      </x:c>
      <x:c r="L1500" s="27" t="n">
        <x:f>J1500*(1-I1500*(1-'Carrier Engine'!E97))</x:f>
        <x:v>5670.3144863586795</x:v>
      </x:c>
      <x:c r="M1500" s="29" t="n">
        <x:f>NORM.S.DIST((LN(L1500)-K1500)/'Assumptions'!$D$10,TRUE)</x:f>
        <x:v>0.6281606975277834</x:v>
      </x:c>
      <x:c r="N1500" s="30" t="n">
        <x:f>MAX(0,H1500-MAX(G1500,M1500))</x:f>
        <x:v>0</x:v>
      </x:c>
      <x:c r="O1500" s="28" t="n">
        <x:f>J1500*I1500</x:f>
        <x:v>3518.8121812509535</x:v>
      </x:c>
      <x:c r="P1500" s="27" t="n">
        <x:f>(VLOOKUP(O1500,'Fee Data'!$C$6:$G$50,2,TRUE)+O1500*VLOOKUP(O1500,'Fee Data'!$C$6:$G$50,3,TRUE)+VLOOKUP(O1500,'Fee Data'!$I$6:$J$14,2,TRUE)+'Fee Data'!$J$20+'Fee Data'!$J$21)*'Assumptions'!J37</x:f>
        <x:v>915</x:v>
      </x:c>
      <x:c r="Q1500" s="27" t="n">
        <x:f>(VLOOKUP(O1500,'Fee Data'!$C$6:$G$50,4,TRUE)+O1500*VLOOKUP(O1500,'Fee Data'!$C$6:$G$50,5,TRUE)+VLOOKUP(O1500,'Fee Data'!$I$6:$J$14,2,TRUE)+'Fee Data'!$J$20+'Fee Data'!$J$21)*'Assumptions'!J37</x:f>
        <x:v>765</x:v>
      </x:c>
      <x:c r="R1500" s="27" t="n">
        <x:f>P1500*(1-'Assumptions'!$D$14)+Q1500*'Assumptions'!$D$14</x:f>
        <x:v>840</x:v>
      </x:c>
      <x:c r="S1500" s="27" t="n">
        <x:f>O1500*'Carrier Engine'!E97</x:f>
        <x:v>140.75248725003817</x:v>
      </x:c>
      <x:c r="T1500" s="28" t="n">
        <x:f>R1500+S1500</x:f>
        <x:v>980.7524872500381</x:v>
      </x:c>
      <x:c r="U1500" s="27" t="n">
        <x:f>N1500*'Fleet Engine'!L216</x:f>
        <x:v>0</x:v>
      </x:c>
      <x:c r="V1500" s="28" t="n">
        <x:f>U1500*T1500</x:f>
        <x:v>0</x:v>
      </x:c>
      <x:c r="W1500" s="28" t="n">
        <x:f>U1500*O1500</x:f>
        <x:v>0</x:v>
      </x:c>
    </x:row>
    <x:row r="1501" ht="19" customHeight="1">
      <x:c r="A1501" s="2"/>
      <x:c r="B1501" s="2"/>
      <x:c r="C1501" s="46" t="n">
        <x:v>6</x:v>
      </x:c>
      <x:c r="D1501" s="46" t="n">
        <x:v>22</x:v>
      </x:c>
      <x:c r="E1501" s="46" t="n">
        <x:v>3</x:v>
      </x:c>
      <x:c r="F1501" s="46" t="n">
        <x:v>4</x:v>
      </x:c>
      <x:c r="G1501" s="12" t="n">
        <x:v>0.1111111111111111</x:v>
      </x:c>
      <x:c r="H1501" s="12" t="n">
        <x:v>0.2222222222222222</x:v>
      </x:c>
      <x:c r="I1501" s="29" t="n">
        <x:f>'Assumptions'!$D$11+'Assumptions'!$D$12*(0.5-(G1501+H1501)/2)</x:f>
        <x:v>0.3666666666666667</x:v>
      </x:c>
      <x:c r="J1501" s="27" t="n">
        <x:f>'Assumptions'!$D$8*EXP(-'Assumptions'!$D$9*('Fleet Engine'!E216-10))*'Assumptions'!E58*'Assumptions'!J36</x:f>
        <x:v>9048.374180359595</x:v>
      </x:c>
      <x:c r="K1501" s="27" t="n">
        <x:f>'Source Data'!F221+LN('Assumptions'!D58)+LN('Assumptions'!J35)</x:f>
        <x:v>8.129564769703762</x:v>
      </x:c>
      <x:c r="L1501" s="27" t="n">
        <x:f>J1501*(1-I1501*(1-'Carrier Engine'!E97))</x:f>
        <x:v>5863.346468873016</x:v>
      </x:c>
      <x:c r="M1501" s="29" t="n">
        <x:f>NORM.S.DIST((LN(L1501)-K1501)/'Assumptions'!$D$10,TRUE)</x:f>
        <x:v>0.6361945348683504</x:v>
      </x:c>
      <x:c r="N1501" s="30" t="n">
        <x:f>MAX(0,H1501-MAX(G1501,M1501))</x:f>
        <x:v>0</x:v>
      </x:c>
      <x:c r="O1501" s="28" t="n">
        <x:f>J1501*I1501</x:f>
        <x:v>3317.737199465185</x:v>
      </x:c>
      <x:c r="P1501" s="27" t="n">
        <x:f>(VLOOKUP(O1501,'Fee Data'!$C$6:$G$50,2,TRUE)+O1501*VLOOKUP(O1501,'Fee Data'!$C$6:$G$50,3,TRUE)+VLOOKUP(O1501,'Fee Data'!$I$6:$J$14,2,TRUE)+'Fee Data'!$J$20+'Fee Data'!$J$21)*'Assumptions'!J37</x:f>
        <x:v>865</x:v>
      </x:c>
      <x:c r="Q1501" s="27" t="n">
        <x:f>(VLOOKUP(O1501,'Fee Data'!$C$6:$G$50,4,TRUE)+O1501*VLOOKUP(O1501,'Fee Data'!$C$6:$G$50,5,TRUE)+VLOOKUP(O1501,'Fee Data'!$I$6:$J$14,2,TRUE)+'Fee Data'!$J$20+'Fee Data'!$J$21)*'Assumptions'!J37</x:f>
        <x:v>715</x:v>
      </x:c>
      <x:c r="R1501" s="27" t="n">
        <x:f>P1501*(1-'Assumptions'!$D$14)+Q1501*'Assumptions'!$D$14</x:f>
        <x:v>790</x:v>
      </x:c>
      <x:c r="S1501" s="27" t="n">
        <x:f>O1501*'Carrier Engine'!E97</x:f>
        <x:v>132.70948797860743</x:v>
      </x:c>
      <x:c r="T1501" s="28" t="n">
        <x:f>R1501+S1501</x:f>
        <x:v>922.7094879786074</x:v>
      </x:c>
      <x:c r="U1501" s="27" t="n">
        <x:f>N1501*'Fleet Engine'!L216</x:f>
        <x:v>0</x:v>
      </x:c>
      <x:c r="V1501" s="28" t="n">
        <x:f>U1501*T1501</x:f>
        <x:v>0</x:v>
      </x:c>
      <x:c r="W1501" s="28" t="n">
        <x:f>U1501*O1501</x:f>
        <x:v>0</x:v>
      </x:c>
    </x:row>
    <x:row r="1502" ht="19" customHeight="1">
      <x:c r="A1502" s="2"/>
      <x:c r="B1502" s="2"/>
      <x:c r="C1502" s="46" t="n">
        <x:v>6</x:v>
      </x:c>
      <x:c r="D1502" s="46" t="n">
        <x:v>22</x:v>
      </x:c>
      <x:c r="E1502" s="46" t="n">
        <x:v>3</x:v>
      </x:c>
      <x:c r="F1502" s="46" t="n">
        <x:v>4</x:v>
      </x:c>
      <x:c r="G1502" s="12" t="n">
        <x:v>0.2222222222222222</x:v>
      </x:c>
      <x:c r="H1502" s="12" t="n">
        <x:v>0.3333333333333333</x:v>
      </x:c>
      <x:c r="I1502" s="29" t="n">
        <x:f>'Assumptions'!$D$11+'Assumptions'!$D$12*(0.5-(G1502+H1502)/2)</x:f>
        <x:v>0.34444444444444444</x:v>
      </x:c>
      <x:c r="J1502" s="27" t="n">
        <x:f>'Assumptions'!$D$8*EXP(-'Assumptions'!$D$9*('Fleet Engine'!E216-10))*'Assumptions'!E58*'Assumptions'!J36</x:f>
        <x:v>9048.374180359595</x:v>
      </x:c>
      <x:c r="K1502" s="27" t="n">
        <x:f>'Source Data'!F221+LN('Assumptions'!D58)+LN('Assumptions'!J35)</x:f>
        <x:v>8.129564769703762</x:v>
      </x:c>
      <x:c r="L1502" s="27" t="n">
        <x:f>J1502*(1-I1502*(1-'Carrier Engine'!E97))</x:f>
        <x:v>6056.378451387355</x:v>
      </x:c>
      <x:c r="M1502" s="29" t="n">
        <x:f>NORM.S.DIST((LN(L1502)-K1502)/'Assumptions'!$D$10,TRUE)</x:f>
        <x:v>0.6439115766417938</x:v>
      </x:c>
      <x:c r="N1502" s="30" t="n">
        <x:f>MAX(0,H1502-MAX(G1502,M1502))</x:f>
        <x:v>0</x:v>
      </x:c>
      <x:c r="O1502" s="28" t="n">
        <x:f>J1502*I1502</x:f>
        <x:v>3116.662217679416</x:v>
      </x:c>
      <x:c r="P1502" s="27" t="n">
        <x:f>(VLOOKUP(O1502,'Fee Data'!$C$6:$G$50,2,TRUE)+O1502*VLOOKUP(O1502,'Fee Data'!$C$6:$G$50,3,TRUE)+VLOOKUP(O1502,'Fee Data'!$I$6:$J$14,2,TRUE)+'Fee Data'!$J$20+'Fee Data'!$J$21)*'Assumptions'!J37</x:f>
        <x:v>865</x:v>
      </x:c>
      <x:c r="Q1502" s="27" t="n">
        <x:f>(VLOOKUP(O1502,'Fee Data'!$C$6:$G$50,4,TRUE)+O1502*VLOOKUP(O1502,'Fee Data'!$C$6:$G$50,5,TRUE)+VLOOKUP(O1502,'Fee Data'!$I$6:$J$14,2,TRUE)+'Fee Data'!$J$20+'Fee Data'!$J$21)*'Assumptions'!J37</x:f>
        <x:v>715</x:v>
      </x:c>
      <x:c r="R1502" s="27" t="n">
        <x:f>P1502*(1-'Assumptions'!$D$14)+Q1502*'Assumptions'!$D$14</x:f>
        <x:v>790</x:v>
      </x:c>
      <x:c r="S1502" s="27" t="n">
        <x:f>O1502*'Carrier Engine'!E97</x:f>
        <x:v>124.66648870717665</x:v>
      </x:c>
      <x:c r="T1502" s="28" t="n">
        <x:f>R1502+S1502</x:f>
        <x:v>914.6664887071767</x:v>
      </x:c>
      <x:c r="U1502" s="27" t="n">
        <x:f>N1502*'Fleet Engine'!L216</x:f>
        <x:v>0</x:v>
      </x:c>
      <x:c r="V1502" s="28" t="n">
        <x:f>U1502*T1502</x:f>
        <x:v>0</x:v>
      </x:c>
      <x:c r="W1502" s="28" t="n">
        <x:f>U1502*O1502</x:f>
        <x:v>0</x:v>
      </x:c>
    </x:row>
    <x:row r="1503" ht="19" customHeight="1">
      <x:c r="A1503" s="2"/>
      <x:c r="B1503" s="2"/>
      <x:c r="C1503" s="46" t="n">
        <x:v>6</x:v>
      </x:c>
      <x:c r="D1503" s="46" t="n">
        <x:v>22</x:v>
      </x:c>
      <x:c r="E1503" s="46" t="n">
        <x:v>3</x:v>
      </x:c>
      <x:c r="F1503" s="46" t="n">
        <x:v>4</x:v>
      </x:c>
      <x:c r="G1503" s="12" t="n">
        <x:v>0.3333333333333333</x:v>
      </x:c>
      <x:c r="H1503" s="12" t="n">
        <x:v>0.4444444444444444</x:v>
      </x:c>
      <x:c r="I1503" s="29" t="n">
        <x:f>'Assumptions'!$D$11+'Assumptions'!$D$12*(0.5-(G1503+H1503)/2)</x:f>
        <x:v>0.32222222222222224</x:v>
      </x:c>
      <x:c r="J1503" s="27" t="n">
        <x:f>'Assumptions'!$D$8*EXP(-'Assumptions'!$D$9*('Fleet Engine'!E216-10))*'Assumptions'!E58*'Assumptions'!J36</x:f>
        <x:v>9048.374180359595</x:v>
      </x:c>
      <x:c r="K1503" s="27" t="n">
        <x:f>'Source Data'!F221+LN('Assumptions'!D58)+LN('Assumptions'!J35)</x:f>
        <x:v>8.129564769703762</x:v>
      </x:c>
      <x:c r="L1503" s="27" t="n">
        <x:f>J1503*(1-I1503*(1-'Carrier Engine'!E97))</x:f>
        <x:v>6249.410433901693</x:v>
      </x:c>
      <x:c r="M1503" s="29" t="n">
        <x:f>NORM.S.DIST((LN(L1503)-K1503)/'Assumptions'!$D$10,TRUE)</x:f>
        <x:v>0.651330720808863</x:v>
      </x:c>
      <x:c r="N1503" s="30" t="n">
        <x:f>MAX(0,H1503-MAX(G1503,M1503))</x:f>
        <x:v>0</x:v>
      </x:c>
      <x:c r="O1503" s="28" t="n">
        <x:f>J1503*I1503</x:f>
        <x:v>2915.5872358936476</x:v>
      </x:c>
      <x:c r="P1503" s="27" t="n">
        <x:f>(VLOOKUP(O1503,'Fee Data'!$C$6:$G$50,2,TRUE)+O1503*VLOOKUP(O1503,'Fee Data'!$C$6:$G$50,3,TRUE)+VLOOKUP(O1503,'Fee Data'!$I$6:$J$14,2,TRUE)+'Fee Data'!$J$20+'Fee Data'!$J$21)*'Assumptions'!J37</x:f>
        <x:v>820</x:v>
      </x:c>
      <x:c r="Q1503" s="27" t="n">
        <x:f>(VLOOKUP(O1503,'Fee Data'!$C$6:$G$50,4,TRUE)+O1503*VLOOKUP(O1503,'Fee Data'!$C$6:$G$50,5,TRUE)+VLOOKUP(O1503,'Fee Data'!$I$6:$J$14,2,TRUE)+'Fee Data'!$J$20+'Fee Data'!$J$21)*'Assumptions'!J37</x:f>
        <x:v>670</x:v>
      </x:c>
      <x:c r="R1503" s="27" t="n">
        <x:f>P1503*(1-'Assumptions'!$D$14)+Q1503*'Assumptions'!$D$14</x:f>
        <x:v>745</x:v>
      </x:c>
      <x:c r="S1503" s="27" t="n">
        <x:f>O1503*'Carrier Engine'!E97</x:f>
        <x:v>116.62348943574592</x:v>
      </x:c>
      <x:c r="T1503" s="28" t="n">
        <x:f>R1503+S1503</x:f>
        <x:v>861.6234894357459</x:v>
      </x:c>
      <x:c r="U1503" s="27" t="n">
        <x:f>N1503*'Fleet Engine'!L216</x:f>
        <x:v>0</x:v>
      </x:c>
      <x:c r="V1503" s="28" t="n">
        <x:f>U1503*T1503</x:f>
        <x:v>0</x:v>
      </x:c>
      <x:c r="W1503" s="28" t="n">
        <x:f>U1503*O1503</x:f>
        <x:v>0</x:v>
      </x:c>
    </x:row>
    <x:row r="1504" ht="19" customHeight="1">
      <x:c r="A1504" s="2"/>
      <x:c r="B1504" s="2"/>
      <x:c r="C1504" s="46" t="n">
        <x:v>6</x:v>
      </x:c>
      <x:c r="D1504" s="46" t="n">
        <x:v>22</x:v>
      </x:c>
      <x:c r="E1504" s="46" t="n">
        <x:v>3</x:v>
      </x:c>
      <x:c r="F1504" s="46" t="n">
        <x:v>4</x:v>
      </x:c>
      <x:c r="G1504" s="12" t="n">
        <x:v>0.4444444444444444</x:v>
      </x:c>
      <x:c r="H1504" s="12" t="n">
        <x:v>0.5555555555555556</x:v>
      </x:c>
      <x:c r="I1504" s="29" t="n">
        <x:f>'Assumptions'!$D$11+'Assumptions'!$D$12*(0.5-(G1504+H1504)/2)</x:f>
        <x:v>0.3</x:v>
      </x:c>
      <x:c r="J1504" s="27" t="n">
        <x:f>'Assumptions'!$D$8*EXP(-'Assumptions'!$D$9*('Fleet Engine'!E216-10))*'Assumptions'!E58*'Assumptions'!J36</x:f>
        <x:v>9048.374180359595</x:v>
      </x:c>
      <x:c r="K1504" s="27" t="n">
        <x:f>'Source Data'!F221+LN('Assumptions'!D58)+LN('Assumptions'!J35)</x:f>
        <x:v>8.129564769703762</x:v>
      </x:c>
      <x:c r="L1504" s="27" t="n">
        <x:f>J1504*(1-I1504*(1-'Carrier Engine'!E97))</x:f>
        <x:v>6442.442416416031</x:v>
      </x:c>
      <x:c r="M1504" s="29" t="n">
        <x:f>NORM.S.DIST((LN(L1504)-K1504)/'Assumptions'!$D$10,TRUE)</x:f>
        <x:v>0.6584693407393539</x:v>
      </x:c>
      <x:c r="N1504" s="30" t="n">
        <x:f>MAX(0,H1504-MAX(G1504,M1504))</x:f>
        <x:v>0</x:v>
      </x:c>
      <x:c r="O1504" s="28" t="n">
        <x:f>J1504*I1504</x:f>
        <x:v>2714.5122541078786</x:v>
      </x:c>
      <x:c r="P1504" s="27" t="n">
        <x:f>(VLOOKUP(O1504,'Fee Data'!$C$6:$G$50,2,TRUE)+O1504*VLOOKUP(O1504,'Fee Data'!$C$6:$G$50,3,TRUE)+VLOOKUP(O1504,'Fee Data'!$I$6:$J$14,2,TRUE)+'Fee Data'!$J$20+'Fee Data'!$J$21)*'Assumptions'!J37</x:f>
        <x:v>820</x:v>
      </x:c>
      <x:c r="Q1504" s="27" t="n">
        <x:f>(VLOOKUP(O1504,'Fee Data'!$C$6:$G$50,4,TRUE)+O1504*VLOOKUP(O1504,'Fee Data'!$C$6:$G$50,5,TRUE)+VLOOKUP(O1504,'Fee Data'!$I$6:$J$14,2,TRUE)+'Fee Data'!$J$20+'Fee Data'!$J$21)*'Assumptions'!J37</x:f>
        <x:v>670</x:v>
      </x:c>
      <x:c r="R1504" s="27" t="n">
        <x:f>P1504*(1-'Assumptions'!$D$14)+Q1504*'Assumptions'!$D$14</x:f>
        <x:v>745</x:v>
      </x:c>
      <x:c r="S1504" s="27" t="n">
        <x:f>O1504*'Carrier Engine'!E97</x:f>
        <x:v>108.58049016431517</x:v>
      </x:c>
      <x:c r="T1504" s="28" t="n">
        <x:f>R1504+S1504</x:f>
        <x:v>853.5804901643152</x:v>
      </x:c>
      <x:c r="U1504" s="27" t="n">
        <x:f>N1504*'Fleet Engine'!L216</x:f>
        <x:v>0</x:v>
      </x:c>
      <x:c r="V1504" s="28" t="n">
        <x:f>U1504*T1504</x:f>
        <x:v>0</x:v>
      </x:c>
      <x:c r="W1504" s="28" t="n">
        <x:f>U1504*O1504</x:f>
        <x:v>0</x:v>
      </x:c>
    </x:row>
    <x:row r="1505" ht="19" customHeight="1">
      <x:c r="A1505" s="2"/>
      <x:c r="B1505" s="2"/>
      <x:c r="C1505" s="46" t="n">
        <x:v>6</x:v>
      </x:c>
      <x:c r="D1505" s="46" t="n">
        <x:v>22</x:v>
      </x:c>
      <x:c r="E1505" s="46" t="n">
        <x:v>3</x:v>
      </x:c>
      <x:c r="F1505" s="46" t="n">
        <x:v>4</x:v>
      </x:c>
      <x:c r="G1505" s="12" t="n">
        <x:v>0.5555555555555556</x:v>
      </x:c>
      <x:c r="H1505" s="12" t="n">
        <x:v>0.6666666666666666</x:v>
      </x:c>
      <x:c r="I1505" s="29" t="n">
        <x:f>'Assumptions'!$D$11+'Assumptions'!$D$12*(0.5-(G1505+H1505)/2)</x:f>
        <x:v>0.27777777777777773</x:v>
      </x:c>
      <x:c r="J1505" s="27" t="n">
        <x:f>'Assumptions'!$D$8*EXP(-'Assumptions'!$D$9*('Fleet Engine'!E216-10))*'Assumptions'!E58*'Assumptions'!J36</x:f>
        <x:v>9048.374180359595</x:v>
      </x:c>
      <x:c r="K1505" s="27" t="n">
        <x:f>'Source Data'!F221+LN('Assumptions'!D58)+LN('Assumptions'!J35)</x:f>
        <x:v>8.129564769703762</x:v>
      </x:c>
      <x:c r="L1505" s="27" t="n">
        <x:f>J1505*(1-I1505*(1-'Carrier Engine'!E97))</x:f>
        <x:v>6635.47439893037</x:v>
      </x:c>
      <x:c r="M1505" s="29" t="n">
        <x:f>NORM.S.DIST((LN(L1505)-K1505)/'Assumptions'!$D$10,TRUE)</x:f>
        <x:v>0.6653434401742447</x:v>
      </x:c>
      <x:c r="N1505" s="30" t="n">
        <x:f>MAX(0,H1505-MAX(G1505,M1505))</x:f>
        <x:v>0.0013232264924218917</x:v>
      </x:c>
      <x:c r="O1505" s="28" t="n">
        <x:f>J1505*I1505</x:f>
        <x:v>2513.4372723221095</x:v>
      </x:c>
      <x:c r="P1505" s="27" t="n">
        <x:f>(VLOOKUP(O1505,'Fee Data'!$C$6:$G$50,2,TRUE)+O1505*VLOOKUP(O1505,'Fee Data'!$C$6:$G$50,3,TRUE)+VLOOKUP(O1505,'Fee Data'!$I$6:$J$14,2,TRUE)+'Fee Data'!$J$20+'Fee Data'!$J$21)*'Assumptions'!J37</x:f>
        <x:v>820</x:v>
      </x:c>
      <x:c r="Q1505" s="27" t="n">
        <x:f>(VLOOKUP(O1505,'Fee Data'!$C$6:$G$50,4,TRUE)+O1505*VLOOKUP(O1505,'Fee Data'!$C$6:$G$50,5,TRUE)+VLOOKUP(O1505,'Fee Data'!$I$6:$J$14,2,TRUE)+'Fee Data'!$J$20+'Fee Data'!$J$21)*'Assumptions'!J37</x:f>
        <x:v>670</x:v>
      </x:c>
      <x:c r="R1505" s="27" t="n">
        <x:f>P1505*(1-'Assumptions'!$D$14)+Q1505*'Assumptions'!$D$14</x:f>
        <x:v>745</x:v>
      </x:c>
      <x:c r="S1505" s="27" t="n">
        <x:f>O1505*'Carrier Engine'!E97</x:f>
        <x:v>100.53749089288439</x:v>
      </x:c>
      <x:c r="T1505" s="28" t="n">
        <x:f>R1505+S1505</x:f>
        <x:v>845.5374908928844</x:v>
      </x:c>
      <x:c r="U1505" s="27" t="n">
        <x:f>N1505*'Fleet Engine'!L216</x:f>
        <x:v>1.60242461191836</x:v>
      </x:c>
      <x:c r="V1505" s="28" t="n">
        <x:f>U1505*T1505</x:f>
        <x:v>1354.9100857064543</x:v>
      </x:c>
      <x:c r="W1505" s="28" t="n">
        <x:f>U1505*O1505</x:f>
        <x:v>4027.593745681898</x:v>
      </x:c>
    </x:row>
    <x:row r="1506" ht="19" customHeight="1">
      <x:c r="A1506" s="2"/>
      <x:c r="B1506" s="2"/>
      <x:c r="C1506" s="46" t="n">
        <x:v>6</x:v>
      </x:c>
      <x:c r="D1506" s="46" t="n">
        <x:v>22</x:v>
      </x:c>
      <x:c r="E1506" s="46" t="n">
        <x:v>3</x:v>
      </x:c>
      <x:c r="F1506" s="46" t="n">
        <x:v>4</x:v>
      </x:c>
      <x:c r="G1506" s="12" t="n">
        <x:v>0.6666666666666666</x:v>
      </x:c>
      <x:c r="H1506" s="12" t="n">
        <x:v>0.7777777777777778</x:v>
      </x:c>
      <x:c r="I1506" s="29" t="n">
        <x:f>'Assumptions'!$D$11+'Assumptions'!$D$12*(0.5-(G1506+H1506)/2)</x:f>
        <x:v>0.25555555555555554</x:v>
      </x:c>
      <x:c r="J1506" s="27" t="n">
        <x:f>'Assumptions'!$D$8*EXP(-'Assumptions'!$D$9*('Fleet Engine'!E216-10))*'Assumptions'!E58*'Assumptions'!J36</x:f>
        <x:v>9048.374180359595</x:v>
      </x:c>
      <x:c r="K1506" s="27" t="n">
        <x:f>'Source Data'!F221+LN('Assumptions'!D58)+LN('Assumptions'!J35)</x:f>
        <x:v>8.129564769703762</x:v>
      </x:c>
      <x:c r="L1506" s="27" t="n">
        <x:f>J1506*(1-I1506*(1-'Carrier Engine'!E97))</x:f>
        <x:v>6828.506381444708</x:v>
      </x:c>
      <x:c r="M1506" s="29" t="n">
        <x:f>NORM.S.DIST((LN(L1506)-K1506)/'Assumptions'!$D$10,TRUE)</x:f>
        <x:v>0.6719677892659592</x:v>
      </x:c>
      <x:c r="N1506" s="30" t="n">
        <x:f>MAX(0,H1506-MAX(G1506,M1506))</x:f>
        <x:v>0.10580998851181855</x:v>
      </x:c>
      <x:c r="O1506" s="28" t="n">
        <x:f>J1506*I1506</x:f>
        <x:v>2312.362290536341</x:v>
      </x:c>
      <x:c r="P1506" s="27" t="n">
        <x:f>(VLOOKUP(O1506,'Fee Data'!$C$6:$G$50,2,TRUE)+O1506*VLOOKUP(O1506,'Fee Data'!$C$6:$G$50,3,TRUE)+VLOOKUP(O1506,'Fee Data'!$I$6:$J$14,2,TRUE)+'Fee Data'!$J$20+'Fee Data'!$J$21)*'Assumptions'!J37</x:f>
        <x:v>745</x:v>
      </x:c>
      <x:c r="Q1506" s="27" t="n">
        <x:f>(VLOOKUP(O1506,'Fee Data'!$C$6:$G$50,4,TRUE)+O1506*VLOOKUP(O1506,'Fee Data'!$C$6:$G$50,5,TRUE)+VLOOKUP(O1506,'Fee Data'!$I$6:$J$14,2,TRUE)+'Fee Data'!$J$20+'Fee Data'!$J$21)*'Assumptions'!J37</x:f>
        <x:v>600</x:v>
      </x:c>
      <x:c r="R1506" s="27" t="n">
        <x:f>P1506*(1-'Assumptions'!$D$14)+Q1506*'Assumptions'!$D$14</x:f>
        <x:v>672.5</x:v>
      </x:c>
      <x:c r="S1506" s="27" t="n">
        <x:f>O1506*'Carrier Engine'!E97</x:f>
        <x:v>92.49449162145365</x:v>
      </x:c>
      <x:c r="T1506" s="28" t="n">
        <x:f>R1506+S1506</x:f>
        <x:v>764.9944916214537</x:v>
      </x:c>
      <x:c r="U1506" s="27" t="n">
        <x:f>N1506*'Fleet Engine'!L216</x:f>
        <x:v>128.1356825525812</x:v>
      </x:c>
      <x:c r="V1506" s="28" t="n">
        <x:f>U1506*T1506</x:f>
        <x:v>98023.09133287982</x:v>
      </x:c>
      <x:c r="W1506" s="28" t="n">
        <x:f>U1506*O1506</x:f>
        <x:v>296296.1204067241</x:v>
      </x:c>
    </x:row>
    <x:row r="1507" ht="19" customHeight="1">
      <x:c r="A1507" s="2"/>
      <x:c r="B1507" s="2"/>
      <x:c r="C1507" s="46" t="n">
        <x:v>6</x:v>
      </x:c>
      <x:c r="D1507" s="46" t="n">
        <x:v>22</x:v>
      </x:c>
      <x:c r="E1507" s="46" t="n">
        <x:v>3</x:v>
      </x:c>
      <x:c r="F1507" s="46" t="n">
        <x:v>4</x:v>
      </x:c>
      <x:c r="G1507" s="12" t="n">
        <x:v>0.7777777777777778</x:v>
      </x:c>
      <x:c r="H1507" s="12" t="n">
        <x:v>0.8888888888888888</x:v>
      </x:c>
      <x:c r="I1507" s="29" t="n">
        <x:f>'Assumptions'!$D$11+'Assumptions'!$D$12*(0.5-(G1507+H1507)/2)</x:f>
        <x:v>0.23333333333333334</x:v>
      </x:c>
      <x:c r="J1507" s="27" t="n">
        <x:f>'Assumptions'!$D$8*EXP(-'Assumptions'!$D$9*('Fleet Engine'!E216-10))*'Assumptions'!E58*'Assumptions'!J36</x:f>
        <x:v>9048.374180359595</x:v>
      </x:c>
      <x:c r="K1507" s="27" t="n">
        <x:f>'Source Data'!F221+LN('Assumptions'!D58)+LN('Assumptions'!J35)</x:f>
        <x:v>8.129564769703762</x:v>
      </x:c>
      <x:c r="L1507" s="27" t="n">
        <x:f>J1507*(1-I1507*(1-'Carrier Engine'!E97))</x:f>
        <x:v>7021.5383639590455</x:v>
      </x:c>
      <x:c r="M1507" s="29" t="n">
        <x:f>NORM.S.DIST((LN(L1507)-K1507)/'Assumptions'!$D$10,TRUE)</x:f>
        <x:v>0.6783560443804386</x:v>
      </x:c>
      <x:c r="N1507" s="30" t="n">
        <x:f>MAX(0,H1507-MAX(G1507,M1507))</x:f>
        <x:v>0.11111111111111105</x:v>
      </x:c>
      <x:c r="O1507" s="28" t="n">
        <x:f>J1507*I1507</x:f>
        <x:v>2111.2873087505723</x:v>
      </x:c>
      <x:c r="P1507" s="27" t="n">
        <x:f>(VLOOKUP(O1507,'Fee Data'!$C$6:$G$50,2,TRUE)+O1507*VLOOKUP(O1507,'Fee Data'!$C$6:$G$50,3,TRUE)+VLOOKUP(O1507,'Fee Data'!$I$6:$J$14,2,TRUE)+'Fee Data'!$J$20+'Fee Data'!$J$21)*'Assumptions'!J37</x:f>
        <x:v>745</x:v>
      </x:c>
      <x:c r="Q1507" s="27" t="n">
        <x:f>(VLOOKUP(O1507,'Fee Data'!$C$6:$G$50,4,TRUE)+O1507*VLOOKUP(O1507,'Fee Data'!$C$6:$G$50,5,TRUE)+VLOOKUP(O1507,'Fee Data'!$I$6:$J$14,2,TRUE)+'Fee Data'!$J$20+'Fee Data'!$J$21)*'Assumptions'!J37</x:f>
        <x:v>600</x:v>
      </x:c>
      <x:c r="R1507" s="27" t="n">
        <x:f>P1507*(1-'Assumptions'!$D$14)+Q1507*'Assumptions'!$D$14</x:f>
        <x:v>672.5</x:v>
      </x:c>
      <x:c r="S1507" s="27" t="n">
        <x:f>O1507*'Carrier Engine'!E97</x:f>
        <x:v>84.4514923500229</x:v>
      </x:c>
      <x:c r="T1507" s="28" t="n">
        <x:f>R1507+S1507</x:f>
        <x:v>756.9514923500229</x:v>
      </x:c>
      <x:c r="U1507" s="27" t="n">
        <x:f>N1507*'Fleet Engine'!L216</x:f>
        <x:v>134.5553313221242</x:v>
      </x:c>
      <x:c r="V1507" s="28" t="n">
        <x:f>U1507*T1507</x:f>
        <x:v>101851.8588479337</x:v>
      </x:c>
      <x:c r="W1507" s="28" t="n">
        <x:f>U1507*O1507</x:f>
        <x:v>284084.9633451292</x:v>
      </x:c>
    </x:row>
    <x:row r="1508" ht="19" customHeight="1">
      <x:c r="A1508" s="2"/>
      <x:c r="B1508" s="2"/>
      <x:c r="C1508" s="46" t="n">
        <x:v>6</x:v>
      </x:c>
      <x:c r="D1508" s="46" t="n">
        <x:v>22</x:v>
      </x:c>
      <x:c r="E1508" s="46" t="n">
        <x:v>3</x:v>
      </x:c>
      <x:c r="F1508" s="46" t="n">
        <x:v>4</x:v>
      </x:c>
      <x:c r="G1508" s="12" t="n">
        <x:v>0.8888888888888888</x:v>
      </x:c>
      <x:c r="H1508" s="12" t="n">
        <x:v>1</x:v>
      </x:c>
      <x:c r="I1508" s="29" t="n">
        <x:f>'Assumptions'!$D$11+'Assumptions'!$D$12*(0.5-(G1508+H1508)/2)</x:f>
        <x:v>0.21111111111111108</x:v>
      </x:c>
      <x:c r="J1508" s="27" t="n">
        <x:f>'Assumptions'!$D$8*EXP(-'Assumptions'!$D$9*('Fleet Engine'!E216-10))*'Assumptions'!E58*'Assumptions'!J36</x:f>
        <x:v>9048.374180359595</x:v>
      </x:c>
      <x:c r="K1508" s="27" t="n">
        <x:f>'Source Data'!F221+LN('Assumptions'!D58)+LN('Assumptions'!J35)</x:f>
        <x:v>8.129564769703762</x:v>
      </x:c>
      <x:c r="L1508" s="27" t="n">
        <x:f>J1508*(1-I1508*(1-'Carrier Engine'!E97))</x:f>
        <x:v>7214.570346473383</x:v>
      </x:c>
      <x:c r="M1508" s="29" t="n">
        <x:f>NORM.S.DIST((LN(L1508)-K1508)/'Assumptions'!$D$10,TRUE)</x:f>
        <x:v>0.6845208539134946</x:v>
      </x:c>
      <x:c r="N1508" s="30" t="n">
        <x:f>MAX(0,H1508-MAX(G1508,M1508))</x:f>
        <x:v>0.11111111111111116</x:v>
      </x:c>
      <x:c r="O1508" s="28" t="n">
        <x:f>J1508*I1508</x:f>
        <x:v>1910.2123269648032</x:v>
      </x:c>
      <x:c r="P1508" s="27" t="n">
        <x:f>(VLOOKUP(O1508,'Fee Data'!$C$6:$G$50,2,TRUE)+O1508*VLOOKUP(O1508,'Fee Data'!$C$6:$G$50,3,TRUE)+VLOOKUP(O1508,'Fee Data'!$I$6:$J$14,2,TRUE)+'Fee Data'!$J$20+'Fee Data'!$J$21)*'Assumptions'!J37</x:f>
        <x:v>705</x:v>
      </x:c>
      <x:c r="Q1508" s="27" t="n">
        <x:f>(VLOOKUP(O1508,'Fee Data'!$C$6:$G$50,4,TRUE)+O1508*VLOOKUP(O1508,'Fee Data'!$C$6:$G$50,5,TRUE)+VLOOKUP(O1508,'Fee Data'!$I$6:$J$14,2,TRUE)+'Fee Data'!$J$20+'Fee Data'!$J$21)*'Assumptions'!J37</x:f>
        <x:v>565</x:v>
      </x:c>
      <x:c r="R1508" s="27" t="n">
        <x:f>P1508*(1-'Assumptions'!$D$14)+Q1508*'Assumptions'!$D$14</x:f>
        <x:v>635</x:v>
      </x:c>
      <x:c r="S1508" s="27" t="n">
        <x:f>O1508*'Carrier Engine'!E97</x:f>
        <x:v>76.40849307859214</x:v>
      </x:c>
      <x:c r="T1508" s="28" t="n">
        <x:f>R1508+S1508</x:f>
        <x:v>711.4084930785922</x:v>
      </x:c>
      <x:c r="U1508" s="27" t="n">
        <x:f>N1508*'Fleet Engine'!L216</x:f>
        <x:v>134.55533132212435</x:v>
      </x:c>
      <x:c r="V1508" s="28" t="n">
        <x:f>U1508*T1508</x:f>
        <x:v>95723.80549156318</x:v>
      </x:c>
      <x:c r="W1508" s="28" t="n">
        <x:f>U1508*O1508</x:f>
        <x:v>257029.25255035522</x:v>
      </x:c>
    </x:row>
    <x:row r="1509" ht="19" customHeight="1">
      <x:c r="A1509" s="2"/>
      <x:c r="B1509" s="2"/>
      <x:c r="C1509" s="46" t="n">
        <x:v>6</x:v>
      </x:c>
      <x:c r="D1509" s="46" t="n">
        <x:v>23</x:v>
      </x:c>
      <x:c r="E1509" s="46" t="n">
        <x:v>3</x:v>
      </x:c>
      <x:c r="F1509" s="46" t="n">
        <x:v>5</x:v>
      </x:c>
      <x:c r="G1509" s="12" t="n">
        <x:v>0</x:v>
      </x:c>
      <x:c r="H1509" s="12" t="n">
        <x:v>0.1111111111111111</x:v>
      </x:c>
      <x:c r="I1509" s="29" t="n">
        <x:f>'Assumptions'!$D$11+'Assumptions'!$D$12*(0.5-(G1509+H1509)/2)</x:f>
        <x:v>0.3888888888888889</x:v>
      </x:c>
      <x:c r="J1509" s="27" t="n">
        <x:f>'Assumptions'!$D$8*EXP(-'Assumptions'!$D$9*('Fleet Engine'!E217-10))*'Assumptions'!E58*'Assumptions'!J36</x:f>
        <x:v>4965.853037914095</x:v>
      </x:c>
      <x:c r="K1509" s="27" t="n">
        <x:f>'Source Data'!F222+LN('Assumptions'!D58)+LN('Assumptions'!J35)</x:f>
        <x:v>8.030635919980082</x:v>
      </x:c>
      <x:c r="L1509" s="27" t="n">
        <x:f>J1509*(1-I1509*(1-'Carrier Engine'!E97))</x:f>
        <x:v>3111.9345704261664</x:v>
      </x:c>
      <x:c r="M1509" s="29" t="n">
        <x:f>NORM.S.DIST((LN(L1509)-K1509)/'Assumptions'!$D$10,TRUE)</x:f>
        <x:v>0.5031412742530323</x:v>
      </x:c>
      <x:c r="N1509" s="30" t="n">
        <x:f>MAX(0,H1509-MAX(G1509,M1509))</x:f>
        <x:v>0</x:v>
      </x:c>
      <x:c r="O1509" s="28" t="n">
        <x:f>J1509*I1509</x:f>
        <x:v>1931.1650702999257</x:v>
      </x:c>
      <x:c r="P1509" s="27" t="n">
        <x:f>(VLOOKUP(O1509,'Fee Data'!$C$6:$G$50,2,TRUE)+O1509*VLOOKUP(O1509,'Fee Data'!$C$6:$G$50,3,TRUE)+VLOOKUP(O1509,'Fee Data'!$I$6:$J$14,2,TRUE)+'Fee Data'!$J$20+'Fee Data'!$J$21)*'Assumptions'!J37</x:f>
        <x:v>705</x:v>
      </x:c>
      <x:c r="Q1509" s="27" t="n">
        <x:f>(VLOOKUP(O1509,'Fee Data'!$C$6:$G$50,4,TRUE)+O1509*VLOOKUP(O1509,'Fee Data'!$C$6:$G$50,5,TRUE)+VLOOKUP(O1509,'Fee Data'!$I$6:$J$14,2,TRUE)+'Fee Data'!$J$20+'Fee Data'!$J$21)*'Assumptions'!J37</x:f>
        <x:v>565</x:v>
      </x:c>
      <x:c r="R1509" s="27" t="n">
        <x:f>P1509*(1-'Assumptions'!$D$14)+Q1509*'Assumptions'!$D$14</x:f>
        <x:v>635</x:v>
      </x:c>
      <x:c r="S1509" s="27" t="n">
        <x:f>O1509*'Carrier Engine'!E97</x:f>
        <x:v>77.24660281199704</x:v>
      </x:c>
      <x:c r="T1509" s="28" t="n">
        <x:f>R1509+S1509</x:f>
        <x:v>712.246602811997</x:v>
      </x:c>
      <x:c r="U1509" s="27" t="n">
        <x:f>N1509*'Fleet Engine'!L217</x:f>
        <x:v>0</x:v>
      </x:c>
      <x:c r="V1509" s="28" t="n">
        <x:f>U1509*T1509</x:f>
        <x:v>0</x:v>
      </x:c>
      <x:c r="W1509" s="28" t="n">
        <x:f>U1509*O1509</x:f>
        <x:v>0</x:v>
      </x:c>
    </x:row>
    <x:row r="1510" ht="19" customHeight="1">
      <x:c r="A1510" s="2"/>
      <x:c r="B1510" s="2"/>
      <x:c r="C1510" s="46" t="n">
        <x:v>6</x:v>
      </x:c>
      <x:c r="D1510" s="46" t="n">
        <x:v>23</x:v>
      </x:c>
      <x:c r="E1510" s="46" t="n">
        <x:v>3</x:v>
      </x:c>
      <x:c r="F1510" s="46" t="n">
        <x:v>5</x:v>
      </x:c>
      <x:c r="G1510" s="12" t="n">
        <x:v>0.1111111111111111</x:v>
      </x:c>
      <x:c r="H1510" s="12" t="n">
        <x:v>0.2222222222222222</x:v>
      </x:c>
      <x:c r="I1510" s="29" t="n">
        <x:f>'Assumptions'!$D$11+'Assumptions'!$D$12*(0.5-(G1510+H1510)/2)</x:f>
        <x:v>0.3666666666666667</x:v>
      </x:c>
      <x:c r="J1510" s="27" t="n">
        <x:f>'Assumptions'!$D$8*EXP(-'Assumptions'!$D$9*('Fleet Engine'!E217-10))*'Assumptions'!E58*'Assumptions'!J36</x:f>
        <x:v>4965.853037914095</x:v>
      </x:c>
      <x:c r="K1510" s="27" t="n">
        <x:f>'Source Data'!F222+LN('Assumptions'!D58)+LN('Assumptions'!J35)</x:f>
        <x:v>8.030635919980082</x:v>
      </x:c>
      <x:c r="L1510" s="27" t="n">
        <x:f>J1510*(1-I1510*(1-'Carrier Engine'!E97))</x:f>
        <x:v>3217.872768568333</x:v>
      </x:c>
      <x:c r="M1510" s="29" t="n">
        <x:f>NORM.S.DIST((LN(L1510)-K1510)/'Assumptions'!$D$10,TRUE)</x:f>
        <x:v>0.511644883114373</x:v>
      </x:c>
      <x:c r="N1510" s="30" t="n">
        <x:f>MAX(0,H1510-MAX(G1510,M1510))</x:f>
        <x:v>0</x:v>
      </x:c>
      <x:c r="O1510" s="28" t="n">
        <x:f>J1510*I1510</x:f>
        <x:v>1820.8127805685015</x:v>
      </x:c>
      <x:c r="P1510" s="27" t="n">
        <x:f>(VLOOKUP(O1510,'Fee Data'!$C$6:$G$50,2,TRUE)+O1510*VLOOKUP(O1510,'Fee Data'!$C$6:$G$50,3,TRUE)+VLOOKUP(O1510,'Fee Data'!$I$6:$J$14,2,TRUE)+'Fee Data'!$J$20+'Fee Data'!$J$21)*'Assumptions'!J37</x:f>
        <x:v>705</x:v>
      </x:c>
      <x:c r="Q1510" s="27" t="n">
        <x:f>(VLOOKUP(O1510,'Fee Data'!$C$6:$G$50,4,TRUE)+O1510*VLOOKUP(O1510,'Fee Data'!$C$6:$G$50,5,TRUE)+VLOOKUP(O1510,'Fee Data'!$I$6:$J$14,2,TRUE)+'Fee Data'!$J$20+'Fee Data'!$J$21)*'Assumptions'!J37</x:f>
        <x:v>565</x:v>
      </x:c>
      <x:c r="R1510" s="27" t="n">
        <x:f>P1510*(1-'Assumptions'!$D$14)+Q1510*'Assumptions'!$D$14</x:f>
        <x:v>635</x:v>
      </x:c>
      <x:c r="S1510" s="27" t="n">
        <x:f>O1510*'Carrier Engine'!E97</x:f>
        <x:v>72.83251122274007</x:v>
      </x:c>
      <x:c r="T1510" s="28" t="n">
        <x:f>R1510+S1510</x:f>
        <x:v>707.8325112227401</x:v>
      </x:c>
      <x:c r="U1510" s="27" t="n">
        <x:f>N1510*'Fleet Engine'!L217</x:f>
        <x:v>0</x:v>
      </x:c>
      <x:c r="V1510" s="28" t="n">
        <x:f>U1510*T1510</x:f>
        <x:v>0</x:v>
      </x:c>
      <x:c r="W1510" s="28" t="n">
        <x:f>U1510*O1510</x:f>
        <x:v>0</x:v>
      </x:c>
    </x:row>
    <x:row r="1511" ht="19" customHeight="1">
      <x:c r="A1511" s="2"/>
      <x:c r="B1511" s="2"/>
      <x:c r="C1511" s="46" t="n">
        <x:v>6</x:v>
      </x:c>
      <x:c r="D1511" s="46" t="n">
        <x:v>23</x:v>
      </x:c>
      <x:c r="E1511" s="46" t="n">
        <x:v>3</x:v>
      </x:c>
      <x:c r="F1511" s="46" t="n">
        <x:v>5</x:v>
      </x:c>
      <x:c r="G1511" s="12" t="n">
        <x:v>0.2222222222222222</x:v>
      </x:c>
      <x:c r="H1511" s="12" t="n">
        <x:v>0.3333333333333333</x:v>
      </x:c>
      <x:c r="I1511" s="29" t="n">
        <x:f>'Assumptions'!$D$11+'Assumptions'!$D$12*(0.5-(G1511+H1511)/2)</x:f>
        <x:v>0.34444444444444444</x:v>
      </x:c>
      <x:c r="J1511" s="27" t="n">
        <x:f>'Assumptions'!$D$8*EXP(-'Assumptions'!$D$9*('Fleet Engine'!E217-10))*'Assumptions'!E58*'Assumptions'!J36</x:f>
        <x:v>4965.853037914095</x:v>
      </x:c>
      <x:c r="K1511" s="27" t="n">
        <x:f>'Source Data'!F222+LN('Assumptions'!D58)+LN('Assumptions'!J35)</x:f>
        <x:v>8.030635919980082</x:v>
      </x:c>
      <x:c r="L1511" s="27" t="n">
        <x:f>J1511*(1-I1511*(1-'Carrier Engine'!E97))</x:f>
        <x:v>3323.810966710501</x:v>
      </x:c>
      <x:c r="M1511" s="29" t="n">
        <x:f>NORM.S.DIST((LN(L1511)-K1511)/'Assumptions'!$D$10,TRUE)</x:f>
        <x:v>0.5198680257298949</x:v>
      </x:c>
      <x:c r="N1511" s="30" t="n">
        <x:f>MAX(0,H1511-MAX(G1511,M1511))</x:f>
        <x:v>0</x:v>
      </x:c>
      <x:c r="O1511" s="28" t="n">
        <x:f>J1511*I1511</x:f>
        <x:v>1710.460490837077</x:v>
      </x:c>
      <x:c r="P1511" s="27" t="n">
        <x:f>(VLOOKUP(O1511,'Fee Data'!$C$6:$G$50,2,TRUE)+O1511*VLOOKUP(O1511,'Fee Data'!$C$6:$G$50,3,TRUE)+VLOOKUP(O1511,'Fee Data'!$I$6:$J$14,2,TRUE)+'Fee Data'!$J$20+'Fee Data'!$J$21)*'Assumptions'!J37</x:f>
        <x:v>680</x:v>
      </x:c>
      <x:c r="Q1511" s="27" t="n">
        <x:f>(VLOOKUP(O1511,'Fee Data'!$C$6:$G$50,4,TRUE)+O1511*VLOOKUP(O1511,'Fee Data'!$C$6:$G$50,5,TRUE)+VLOOKUP(O1511,'Fee Data'!$I$6:$J$14,2,TRUE)+'Fee Data'!$J$20+'Fee Data'!$J$21)*'Assumptions'!J37</x:f>
        <x:v>545</x:v>
      </x:c>
      <x:c r="R1511" s="27" t="n">
        <x:f>P1511*(1-'Assumptions'!$D$14)+Q1511*'Assumptions'!$D$14</x:f>
        <x:v>612.5</x:v>
      </x:c>
      <x:c r="S1511" s="27" t="n">
        <x:f>O1511*'Carrier Engine'!E97</x:f>
        <x:v>68.4184196334831</x:v>
      </x:c>
      <x:c r="T1511" s="28" t="n">
        <x:f>R1511+S1511</x:f>
        <x:v>680.9184196334832</x:v>
      </x:c>
      <x:c r="U1511" s="27" t="n">
        <x:f>N1511*'Fleet Engine'!L217</x:f>
        <x:v>0</x:v>
      </x:c>
      <x:c r="V1511" s="28" t="n">
        <x:f>U1511*T1511</x:f>
        <x:v>0</x:v>
      </x:c>
      <x:c r="W1511" s="28" t="n">
        <x:f>U1511*O1511</x:f>
        <x:v>0</x:v>
      </x:c>
    </x:row>
    <x:row r="1512" ht="19" customHeight="1">
      <x:c r="A1512" s="2"/>
      <x:c r="B1512" s="2"/>
      <x:c r="C1512" s="46" t="n">
        <x:v>6</x:v>
      </x:c>
      <x:c r="D1512" s="46" t="n">
        <x:v>23</x:v>
      </x:c>
      <x:c r="E1512" s="46" t="n">
        <x:v>3</x:v>
      </x:c>
      <x:c r="F1512" s="46" t="n">
        <x:v>5</x:v>
      </x:c>
      <x:c r="G1512" s="12" t="n">
        <x:v>0.3333333333333333</x:v>
      </x:c>
      <x:c r="H1512" s="12" t="n">
        <x:v>0.4444444444444444</x:v>
      </x:c>
      <x:c r="I1512" s="29" t="n">
        <x:f>'Assumptions'!$D$11+'Assumptions'!$D$12*(0.5-(G1512+H1512)/2)</x:f>
        <x:v>0.32222222222222224</x:v>
      </x:c>
      <x:c r="J1512" s="27" t="n">
        <x:f>'Assumptions'!$D$8*EXP(-'Assumptions'!$D$9*('Fleet Engine'!E217-10))*'Assumptions'!E58*'Assumptions'!J36</x:f>
        <x:v>4965.853037914095</x:v>
      </x:c>
      <x:c r="K1512" s="27" t="n">
        <x:f>'Source Data'!F222+LN('Assumptions'!D58)+LN('Assumptions'!J35)</x:f>
        <x:v>8.030635919980082</x:v>
      </x:c>
      <x:c r="L1512" s="27" t="n">
        <x:f>J1512*(1-I1512*(1-'Carrier Engine'!E97))</x:f>
        <x:v>3429.749164852668</x:v>
      </x:c>
      <x:c r="M1512" s="29" t="n">
        <x:f>NORM.S.DIST((LN(L1512)-K1512)/'Assumptions'!$D$10,TRUE)</x:f>
        <x:v>0.5278251256486162</x:v>
      </x:c>
      <x:c r="N1512" s="30" t="n">
        <x:f>MAX(0,H1512-MAX(G1512,M1512))</x:f>
        <x:v>0</x:v>
      </x:c>
      <x:c r="O1512" s="28" t="n">
        <x:f>J1512*I1512</x:f>
        <x:v>1600.1082011056528</x:v>
      </x:c>
      <x:c r="P1512" s="27" t="n">
        <x:f>(VLOOKUP(O1512,'Fee Data'!$C$6:$G$50,2,TRUE)+O1512*VLOOKUP(O1512,'Fee Data'!$C$6:$G$50,3,TRUE)+VLOOKUP(O1512,'Fee Data'!$I$6:$J$14,2,TRUE)+'Fee Data'!$J$20+'Fee Data'!$J$21)*'Assumptions'!J37</x:f>
        <x:v>660</x:v>
      </x:c>
      <x:c r="Q1512" s="27" t="n">
        <x:f>(VLOOKUP(O1512,'Fee Data'!$C$6:$G$50,4,TRUE)+O1512*VLOOKUP(O1512,'Fee Data'!$C$6:$G$50,5,TRUE)+VLOOKUP(O1512,'Fee Data'!$I$6:$J$14,2,TRUE)+'Fee Data'!$J$20+'Fee Data'!$J$21)*'Assumptions'!J37</x:f>
        <x:v>525</x:v>
      </x:c>
      <x:c r="R1512" s="27" t="n">
        <x:f>P1512*(1-'Assumptions'!$D$14)+Q1512*'Assumptions'!$D$14</x:f>
        <x:v>592.5</x:v>
      </x:c>
      <x:c r="S1512" s="27" t="n">
        <x:f>O1512*'Carrier Engine'!E97</x:f>
        <x:v>64.00432804422613</x:v>
      </x:c>
      <x:c r="T1512" s="28" t="n">
        <x:f>R1512+S1512</x:f>
        <x:v>656.5043280442261</x:v>
      </x:c>
      <x:c r="U1512" s="27" t="n">
        <x:f>N1512*'Fleet Engine'!L217</x:f>
        <x:v>0</x:v>
      </x:c>
      <x:c r="V1512" s="28" t="n">
        <x:f>U1512*T1512</x:f>
        <x:v>0</x:v>
      </x:c>
      <x:c r="W1512" s="28" t="n">
        <x:f>U1512*O1512</x:f>
        <x:v>0</x:v>
      </x:c>
    </x:row>
    <x:row r="1513" ht="19" customHeight="1">
      <x:c r="A1513" s="2"/>
      <x:c r="B1513" s="2"/>
      <x:c r="C1513" s="46" t="n">
        <x:v>6</x:v>
      </x:c>
      <x:c r="D1513" s="46" t="n">
        <x:v>23</x:v>
      </x:c>
      <x:c r="E1513" s="46" t="n">
        <x:v>3</x:v>
      </x:c>
      <x:c r="F1513" s="46" t="n">
        <x:v>5</x:v>
      </x:c>
      <x:c r="G1513" s="12" t="n">
        <x:v>0.4444444444444444</x:v>
      </x:c>
      <x:c r="H1513" s="12" t="n">
        <x:v>0.5555555555555556</x:v>
      </x:c>
      <x:c r="I1513" s="29" t="n">
        <x:f>'Assumptions'!$D$11+'Assumptions'!$D$12*(0.5-(G1513+H1513)/2)</x:f>
        <x:v>0.3</x:v>
      </x:c>
      <x:c r="J1513" s="27" t="n">
        <x:f>'Assumptions'!$D$8*EXP(-'Assumptions'!$D$9*('Fleet Engine'!E217-10))*'Assumptions'!E58*'Assumptions'!J36</x:f>
        <x:v>4965.853037914095</x:v>
      </x:c>
      <x:c r="K1513" s="27" t="n">
        <x:f>'Source Data'!F222+LN('Assumptions'!D58)+LN('Assumptions'!J35)</x:f>
        <x:v>8.030635919980082</x:v>
      </x:c>
      <x:c r="L1513" s="27" t="n">
        <x:f>J1513*(1-I1513*(1-'Carrier Engine'!E97))</x:f>
        <x:v>3535.6873629948354</x:v>
      </x:c>
      <x:c r="M1513" s="29" t="n">
        <x:f>NORM.S.DIST((LN(L1513)-K1513)/'Assumptions'!$D$10,TRUE)</x:f>
        <x:v>0.5355295877473003</x:v>
      </x:c>
      <x:c r="N1513" s="30" t="n">
        <x:f>MAX(0,H1513-MAX(G1513,M1513))</x:f>
        <x:v>0.020025967808255274</x:v>
      </x:c>
      <x:c r="O1513" s="28" t="n">
        <x:f>J1513*I1513</x:f>
        <x:v>1489.7559113742284</x:v>
      </x:c>
      <x:c r="P1513" s="27" t="n">
        <x:f>(VLOOKUP(O1513,'Fee Data'!$C$6:$G$50,2,TRUE)+O1513*VLOOKUP(O1513,'Fee Data'!$C$6:$G$50,3,TRUE)+VLOOKUP(O1513,'Fee Data'!$I$6:$J$14,2,TRUE)+'Fee Data'!$J$20+'Fee Data'!$J$21)*'Assumptions'!J37</x:f>
        <x:v>615</x:v>
      </x:c>
      <x:c r="Q1513" s="27" t="n">
        <x:f>(VLOOKUP(O1513,'Fee Data'!$C$6:$G$50,4,TRUE)+O1513*VLOOKUP(O1513,'Fee Data'!$C$6:$G$50,5,TRUE)+VLOOKUP(O1513,'Fee Data'!$I$6:$J$14,2,TRUE)+'Fee Data'!$J$20+'Fee Data'!$J$21)*'Assumptions'!J37</x:f>
        <x:v>485</x:v>
      </x:c>
      <x:c r="R1513" s="27" t="n">
        <x:f>P1513*(1-'Assumptions'!$D$14)+Q1513*'Assumptions'!$D$14</x:f>
        <x:v>550</x:v>
      </x:c>
      <x:c r="S1513" s="27" t="n">
        <x:f>O1513*'Carrier Engine'!E97</x:f>
        <x:v>59.590236454969144</x:v>
      </x:c>
      <x:c r="T1513" s="28" t="n">
        <x:f>R1513+S1513</x:f>
        <x:v>609.5902364549692</x:v>
      </x:c>
      <x:c r="U1513" s="27" t="n">
        <x:f>N1513*'Fleet Engine'!L217</x:f>
        <x:v>27.337322314026377</x:v>
      </x:c>
      <x:c r="V1513" s="28" t="n">
        <x:f>U1513*T1513</x:f>
        <x:v>16664.564773453043</x:v>
      </x:c>
      <x:c r="W1513" s="28" t="n">
        <x:f>U1513*O1513</x:f>
        <x:v>40725.9375184634</x:v>
      </x:c>
    </x:row>
    <x:row r="1514" ht="19" customHeight="1">
      <x:c r="A1514" s="2"/>
      <x:c r="B1514" s="2"/>
      <x:c r="C1514" s="46" t="n">
        <x:v>6</x:v>
      </x:c>
      <x:c r="D1514" s="46" t="n">
        <x:v>23</x:v>
      </x:c>
      <x:c r="E1514" s="46" t="n">
        <x:v>3</x:v>
      </x:c>
      <x:c r="F1514" s="46" t="n">
        <x:v>5</x:v>
      </x:c>
      <x:c r="G1514" s="12" t="n">
        <x:v>0.5555555555555556</x:v>
      </x:c>
      <x:c r="H1514" s="12" t="n">
        <x:v>0.6666666666666666</x:v>
      </x:c>
      <x:c r="I1514" s="29" t="n">
        <x:f>'Assumptions'!$D$11+'Assumptions'!$D$12*(0.5-(G1514+H1514)/2)</x:f>
        <x:v>0.27777777777777773</x:v>
      </x:c>
      <x:c r="J1514" s="27" t="n">
        <x:f>'Assumptions'!$D$8*EXP(-'Assumptions'!$D$9*('Fleet Engine'!E217-10))*'Assumptions'!E58*'Assumptions'!J36</x:f>
        <x:v>4965.853037914095</x:v>
      </x:c>
      <x:c r="K1514" s="27" t="n">
        <x:f>'Source Data'!F222+LN('Assumptions'!D58)+LN('Assumptions'!J35)</x:f>
        <x:v>8.030635919980082</x:v>
      </x:c>
      <x:c r="L1514" s="27" t="n">
        <x:f>J1514*(1-I1514*(1-'Carrier Engine'!E97))</x:f>
        <x:v>3641.625561137003</x:v>
      </x:c>
      <x:c r="M1514" s="29" t="n">
        <x:f>NORM.S.DIST((LN(L1514)-K1514)/'Assumptions'!$D$10,TRUE)</x:f>
        <x:v>0.5429938893858242</x:v>
      </x:c>
      <x:c r="N1514" s="30" t="n">
        <x:f>MAX(0,H1514-MAX(G1514,M1514))</x:f>
        <x:v>0.11111111111111105</x:v>
      </x:c>
      <x:c r="O1514" s="28" t="n">
        <x:f>J1514*I1514</x:f>
        <x:v>1379.403621642804</x:v>
      </x:c>
      <x:c r="P1514" s="27" t="n">
        <x:f>(VLOOKUP(O1514,'Fee Data'!$C$6:$G$50,2,TRUE)+O1514*VLOOKUP(O1514,'Fee Data'!$C$6:$G$50,3,TRUE)+VLOOKUP(O1514,'Fee Data'!$I$6:$J$14,2,TRUE)+'Fee Data'!$J$20+'Fee Data'!$J$21)*'Assumptions'!J37</x:f>
        <x:v>595</x:v>
      </x:c>
      <x:c r="Q1514" s="27" t="n">
        <x:f>(VLOOKUP(O1514,'Fee Data'!$C$6:$G$50,4,TRUE)+O1514*VLOOKUP(O1514,'Fee Data'!$C$6:$G$50,5,TRUE)+VLOOKUP(O1514,'Fee Data'!$I$6:$J$14,2,TRUE)+'Fee Data'!$J$20+'Fee Data'!$J$21)*'Assumptions'!J37</x:f>
        <x:v>470</x:v>
      </x:c>
      <x:c r="R1514" s="27" t="n">
        <x:f>P1514*(1-'Assumptions'!$D$14)+Q1514*'Assumptions'!$D$14</x:f>
        <x:v>532.5</x:v>
      </x:c>
      <x:c r="S1514" s="27" t="n">
        <x:f>O1514*'Carrier Engine'!E97</x:f>
        <x:v>55.17614486571217</x:v>
      </x:c>
      <x:c r="T1514" s="28" t="n">
        <x:f>R1514+S1514</x:f>
        <x:v>587.6761448657122</x:v>
      </x:c>
      <x:c r="U1514" s="27" t="n">
        <x:f>N1514*'Fleet Engine'!L217</x:f>
        <x:v>151.6770767933575</x:v>
      </x:c>
      <x:c r="V1514" s="28" t="n">
        <x:f>U1514*T1514</x:f>
        <x:v>89136.9997544209</x:v>
      </x:c>
      <x:c r="W1514" s="28" t="n">
        <x:f>U1514*O1514</x:f>
        <x:v>209223.909048951</x:v>
      </x:c>
    </x:row>
    <x:row r="1515" ht="19" customHeight="1">
      <x:c r="A1515" s="2"/>
      <x:c r="B1515" s="2"/>
      <x:c r="C1515" s="46" t="n">
        <x:v>6</x:v>
      </x:c>
      <x:c r="D1515" s="46" t="n">
        <x:v>23</x:v>
      </x:c>
      <x:c r="E1515" s="46" t="n">
        <x:v>3</x:v>
      </x:c>
      <x:c r="F1515" s="46" t="n">
        <x:v>5</x:v>
      </x:c>
      <x:c r="G1515" s="12" t="n">
        <x:v>0.6666666666666666</x:v>
      </x:c>
      <x:c r="H1515" s="12" t="n">
        <x:v>0.7777777777777778</x:v>
      </x:c>
      <x:c r="I1515" s="29" t="n">
        <x:f>'Assumptions'!$D$11+'Assumptions'!$D$12*(0.5-(G1515+H1515)/2)</x:f>
        <x:v>0.25555555555555554</x:v>
      </x:c>
      <x:c r="J1515" s="27" t="n">
        <x:f>'Assumptions'!$D$8*EXP(-'Assumptions'!$D$9*('Fleet Engine'!E217-10))*'Assumptions'!E58*'Assumptions'!J36</x:f>
        <x:v>4965.853037914095</x:v>
      </x:c>
      <x:c r="K1515" s="27" t="n">
        <x:f>'Source Data'!F222+LN('Assumptions'!D58)+LN('Assumptions'!J35)</x:f>
        <x:v>8.030635919980082</x:v>
      </x:c>
      <x:c r="L1515" s="27" t="n">
        <x:f>J1515*(1-I1515*(1-'Carrier Engine'!E97))</x:f>
        <x:v>3747.5637592791704</x:v>
      </x:c>
      <x:c r="M1515" s="29" t="n">
        <x:f>NORM.S.DIST((LN(L1515)-K1515)/'Assumptions'!$D$10,TRUE)</x:f>
        <x:v>0.5502296617814866</x:v>
      </x:c>
      <x:c r="N1515" s="30" t="n">
        <x:f>MAX(0,H1515-MAX(G1515,M1515))</x:f>
        <x:v>0.11111111111111116</x:v>
      </x:c>
      <x:c r="O1515" s="28" t="n">
        <x:f>J1515*I1515</x:f>
        <x:v>1269.0513319113797</x:v>
      </x:c>
      <x:c r="P1515" s="27" t="n">
        <x:f>(VLOOKUP(O1515,'Fee Data'!$C$6:$G$50,2,TRUE)+O1515*VLOOKUP(O1515,'Fee Data'!$C$6:$G$50,3,TRUE)+VLOOKUP(O1515,'Fee Data'!$I$6:$J$14,2,TRUE)+'Fee Data'!$J$20+'Fee Data'!$J$21)*'Assumptions'!J37</x:f>
        <x:v>580</x:v>
      </x:c>
      <x:c r="Q1515" s="27" t="n">
        <x:f>(VLOOKUP(O1515,'Fee Data'!$C$6:$G$50,4,TRUE)+O1515*VLOOKUP(O1515,'Fee Data'!$C$6:$G$50,5,TRUE)+VLOOKUP(O1515,'Fee Data'!$I$6:$J$14,2,TRUE)+'Fee Data'!$J$20+'Fee Data'!$J$21)*'Assumptions'!J37</x:f>
        <x:v>455</x:v>
      </x:c>
      <x:c r="R1515" s="27" t="n">
        <x:f>P1515*(1-'Assumptions'!$D$14)+Q1515*'Assumptions'!$D$14</x:f>
        <x:v>517.5</x:v>
      </x:c>
      <x:c r="S1515" s="27" t="n">
        <x:f>O1515*'Carrier Engine'!E97</x:f>
        <x:v>50.7620532764552</x:v>
      </x:c>
      <x:c r="T1515" s="28" t="n">
        <x:f>R1515+S1515</x:f>
        <x:v>568.2620532764552</x:v>
      </x:c>
      <x:c r="U1515" s="27" t="n">
        <x:f>N1515*'Fleet Engine'!L217</x:f>
        <x:v>151.67707679335766</x:v>
      </x:c>
      <x:c r="V1515" s="28" t="n">
        <x:f>U1515*T1515</x:f>
        <x:v>86192.32709356399</x:v>
      </x:c>
      <x:c r="W1515" s="28" t="n">
        <x:f>U1515*O1515</x:f>
        <x:v>192485.99632503517</x:v>
      </x:c>
    </x:row>
    <x:row r="1516" ht="19" customHeight="1">
      <x:c r="A1516" s="2"/>
      <x:c r="B1516" s="2"/>
      <x:c r="C1516" s="46" t="n">
        <x:v>6</x:v>
      </x:c>
      <x:c r="D1516" s="46" t="n">
        <x:v>23</x:v>
      </x:c>
      <x:c r="E1516" s="46" t="n">
        <x:v>3</x:v>
      </x:c>
      <x:c r="F1516" s="46" t="n">
        <x:v>5</x:v>
      </x:c>
      <x:c r="G1516" s="12" t="n">
        <x:v>0.7777777777777778</x:v>
      </x:c>
      <x:c r="H1516" s="12" t="n">
        <x:v>0.8888888888888888</x:v>
      </x:c>
      <x:c r="I1516" s="29" t="n">
        <x:f>'Assumptions'!$D$11+'Assumptions'!$D$12*(0.5-(G1516+H1516)/2)</x:f>
        <x:v>0.23333333333333334</x:v>
      </x:c>
      <x:c r="J1516" s="27" t="n">
        <x:f>'Assumptions'!$D$8*EXP(-'Assumptions'!$D$9*('Fleet Engine'!E217-10))*'Assumptions'!E58*'Assumptions'!J36</x:f>
        <x:v>4965.853037914095</x:v>
      </x:c>
      <x:c r="K1516" s="27" t="n">
        <x:f>'Source Data'!F222+LN('Assumptions'!D58)+LN('Assumptions'!J35)</x:f>
        <x:v>8.030635919980082</x:v>
      </x:c>
      <x:c r="L1516" s="27" t="n">
        <x:f>J1516*(1-I1516*(1-'Carrier Engine'!E97))</x:f>
        <x:v>3853.5019574213375</x:v>
      </x:c>
      <x:c r="M1516" s="29" t="n">
        <x:f>NORM.S.DIST((LN(L1516)-K1516)/'Assumptions'!$D$10,TRUE)</x:f>
        <x:v>0.557247762810186</x:v>
      </x:c>
      <x:c r="N1516" s="30" t="n">
        <x:f>MAX(0,H1516-MAX(G1516,M1516))</x:f>
        <x:v>0.11111111111111105</x:v>
      </x:c>
      <x:c r="O1516" s="28" t="n">
        <x:f>J1516*I1516</x:f>
        <x:v>1158.6990421799555</x:v>
      </x:c>
      <x:c r="P1516" s="27" t="n">
        <x:f>(VLOOKUP(O1516,'Fee Data'!$C$6:$G$50,2,TRUE)+O1516*VLOOKUP(O1516,'Fee Data'!$C$6:$G$50,3,TRUE)+VLOOKUP(O1516,'Fee Data'!$I$6:$J$14,2,TRUE)+'Fee Data'!$J$20+'Fee Data'!$J$21)*'Assumptions'!J37</x:f>
        <x:v>560</x:v>
      </x:c>
      <x:c r="Q1516" s="27" t="n">
        <x:f>(VLOOKUP(O1516,'Fee Data'!$C$6:$G$50,4,TRUE)+O1516*VLOOKUP(O1516,'Fee Data'!$C$6:$G$50,5,TRUE)+VLOOKUP(O1516,'Fee Data'!$I$6:$J$14,2,TRUE)+'Fee Data'!$J$20+'Fee Data'!$J$21)*'Assumptions'!J37</x:f>
        <x:v>435</x:v>
      </x:c>
      <x:c r="R1516" s="27" t="n">
        <x:f>P1516*(1-'Assumptions'!$D$14)+Q1516*'Assumptions'!$D$14</x:f>
        <x:v>497.5</x:v>
      </x:c>
      <x:c r="S1516" s="27" t="n">
        <x:f>O1516*'Carrier Engine'!E97</x:f>
        <x:v>46.34796168719823</x:v>
      </x:c>
      <x:c r="T1516" s="28" t="n">
        <x:f>R1516+S1516</x:f>
        <x:v>543.8479616871982</x:v>
      </x:c>
      <x:c r="U1516" s="27" t="n">
        <x:f>N1516*'Fleet Engine'!L217</x:f>
        <x:v>151.6770767933575</x:v>
      </x:c>
      <x:c r="V1516" s="28" t="n">
        <x:f>U1516*T1516</x:f>
        <x:v>82489.2690487401</x:v>
      </x:c>
      <x:c r="W1516" s="28" t="n">
        <x:f>U1516*O1516</x:f>
        <x:v>175748.08360111888</x:v>
      </x:c>
    </x:row>
    <x:row r="1517" ht="19" customHeight="1">
      <x:c r="A1517" s="2"/>
      <x:c r="B1517" s="2"/>
      <x:c r="C1517" s="46" t="n">
        <x:v>6</x:v>
      </x:c>
      <x:c r="D1517" s="46" t="n">
        <x:v>23</x:v>
      </x:c>
      <x:c r="E1517" s="46" t="n">
        <x:v>3</x:v>
      </x:c>
      <x:c r="F1517" s="46" t="n">
        <x:v>5</x:v>
      </x:c>
      <x:c r="G1517" s="12" t="n">
        <x:v>0.8888888888888888</x:v>
      </x:c>
      <x:c r="H1517" s="12" t="n">
        <x:v>1</x:v>
      </x:c>
      <x:c r="I1517" s="29" t="n">
        <x:f>'Assumptions'!$D$11+'Assumptions'!$D$12*(0.5-(G1517+H1517)/2)</x:f>
        <x:v>0.21111111111111108</x:v>
      </x:c>
      <x:c r="J1517" s="27" t="n">
        <x:f>'Assumptions'!$D$8*EXP(-'Assumptions'!$D$9*('Fleet Engine'!E217-10))*'Assumptions'!E58*'Assumptions'!J36</x:f>
        <x:v>4965.853037914095</x:v>
      </x:c>
      <x:c r="K1517" s="27" t="n">
        <x:f>'Source Data'!F222+LN('Assumptions'!D58)+LN('Assumptions'!J35)</x:f>
        <x:v>8.030635919980082</x:v>
      </x:c>
      <x:c r="L1517" s="27" t="n">
        <x:f>J1517*(1-I1517*(1-'Carrier Engine'!E97))</x:f>
        <x:v>3959.440155563505</x:v>
      </x:c>
      <x:c r="M1517" s="29" t="n">
        <x:f>NORM.S.DIST((LN(L1517)-K1517)/'Assumptions'!$D$10,TRUE)</x:f>
        <x:v>0.5640583422764271</x:v>
      </x:c>
      <x:c r="N1517" s="30" t="n">
        <x:f>MAX(0,H1517-MAX(G1517,M1517))</x:f>
        <x:v>0.11111111111111116</x:v>
      </x:c>
      <x:c r="O1517" s="28" t="n">
        <x:f>J1517*I1517</x:f>
        <x:v>1048.3467524485309</x:v>
      </x:c>
      <x:c r="P1517" s="27" t="n">
        <x:f>(VLOOKUP(O1517,'Fee Data'!$C$6:$G$50,2,TRUE)+O1517*VLOOKUP(O1517,'Fee Data'!$C$6:$G$50,3,TRUE)+VLOOKUP(O1517,'Fee Data'!$I$6:$J$14,2,TRUE)+'Fee Data'!$J$20+'Fee Data'!$J$21)*'Assumptions'!J37</x:f>
        <x:v>560</x:v>
      </x:c>
      <x:c r="Q1517" s="27" t="n">
        <x:f>(VLOOKUP(O1517,'Fee Data'!$C$6:$G$50,4,TRUE)+O1517*VLOOKUP(O1517,'Fee Data'!$C$6:$G$50,5,TRUE)+VLOOKUP(O1517,'Fee Data'!$I$6:$J$14,2,TRUE)+'Fee Data'!$J$20+'Fee Data'!$J$21)*'Assumptions'!J37</x:f>
        <x:v>435</x:v>
      </x:c>
      <x:c r="R1517" s="27" t="n">
        <x:f>P1517*(1-'Assumptions'!$D$14)+Q1517*'Assumptions'!$D$14</x:f>
        <x:v>497.5</x:v>
      </x:c>
      <x:c r="S1517" s="27" t="n">
        <x:f>O1517*'Carrier Engine'!E97</x:f>
        <x:v>41.933870097941245</x:v>
      </x:c>
      <x:c r="T1517" s="28" t="n">
        <x:f>R1517+S1517</x:f>
        <x:v>539.4338700979413</x:v>
      </x:c>
      <x:c r="U1517" s="27" t="n">
        <x:f>N1517*'Fleet Engine'!L217</x:f>
        <x:v>151.67707679335766</x:v>
      </x:c>
      <x:c r="V1517" s="28" t="n">
        <x:f>U1517*T1517</x:f>
        <x:v>81819.75253978356</x:v>
      </x:c>
      <x:c r="W1517" s="28" t="n">
        <x:f>U1517*O1517</x:f>
        <x:v>159010.17087720294</x:v>
      </x:c>
    </x:row>
    <x:row r="1518" ht="19" customHeight="1">
      <x:c r="A1518" s="2"/>
      <x:c r="B1518" s="2"/>
      <x:c r="C1518" s="46" t="n">
        <x:v>7</x:v>
      </x:c>
      <x:c r="D1518" s="46" t="n">
        <x:v>0</x:v>
      </x:c>
      <x:c r="E1518" s="46" t="n">
        <x:v>0</x:v>
      </x:c>
      <x:c r="F1518" s="46" t="n">
        <x:v>0</x:v>
      </x:c>
      <x:c r="G1518" s="12" t="n">
        <x:v>0</x:v>
      </x:c>
      <x:c r="H1518" s="12" t="n">
        <x:v>0.1111111111111111</x:v>
      </x:c>
      <x:c r="I1518" s="29" t="n">
        <x:f>'Assumptions'!$D$11+'Assumptions'!$D$12*(0.5-(G1518+H1518)/2)</x:f>
        <x:v>0.3888888888888889</x:v>
      </x:c>
      <x:c r="J1518" s="27" t="n">
        <x:f>'Assumptions'!$D$8*EXP(-'Assumptions'!$D$9*('Fleet Engine'!E194-10))*'Assumptions'!E55*'Assumptions'!K36</x:f>
        <x:v>27182.818284590452</x:v>
      </x:c>
      <x:c r="K1518" s="27" t="n">
        <x:f>'Source Data'!F217+LN('Assumptions'!D55)+LN('Assumptions'!K35)</x:f>
        <x:v>8.024343827519704</x:v>
      </x:c>
      <x:c r="L1518" s="27" t="n">
        <x:f>J1518*(1-I1518*(1-'Carrier Engine'!E98))</x:f>
        <x:v>17034.566125010017</x:v>
      </x:c>
      <x:c r="M1518" s="29" t="n">
        <x:f>NORM.S.DIST((LN(L1518)-K1518)/'Assumptions'!$D$10,TRUE)</x:f>
        <x:v>0.8631412857617822</x:v>
      </x:c>
      <x:c r="N1518" s="30" t="n">
        <x:f>MAX(0,H1518-MAX(G1518,M1518))</x:f>
        <x:v>0</x:v>
      </x:c>
      <x:c r="O1518" s="28" t="n">
        <x:f>J1518*I1518</x:f>
        <x:v>10571.095999562955</x:v>
      </x:c>
      <x:c r="P1518" s="27" t="n">
        <x:f>(VLOOKUP(O1518,'Fee Data'!$C$6:$G$50,2,TRUE)+O1518*VLOOKUP(O1518,'Fee Data'!$C$6:$G$50,3,TRUE)+VLOOKUP(O1518,'Fee Data'!$I$6:$J$14,2,TRUE)+'Fee Data'!$J$20+'Fee Data'!$J$21)*'Assumptions'!K37</x:f>
        <x:v>1250</x:v>
      </x:c>
      <x:c r="Q1518" s="27" t="n">
        <x:f>(VLOOKUP(O1518,'Fee Data'!$C$6:$G$50,4,TRUE)+O1518*VLOOKUP(O1518,'Fee Data'!$C$6:$G$50,5,TRUE)+VLOOKUP(O1518,'Fee Data'!$I$6:$J$14,2,TRUE)+'Fee Data'!$J$20+'Fee Data'!$J$21)*'Assumptions'!K37</x:f>
        <x:v>1100</x:v>
      </x:c>
      <x:c r="R1518" s="27" t="n">
        <x:f>P1518*(1-'Assumptions'!$D$14)+Q1518*'Assumptions'!$D$14</x:f>
        <x:v>1175</x:v>
      </x:c>
      <x:c r="S1518" s="27" t="n">
        <x:f>O1518*'Carrier Engine'!E98</x:f>
        <x:v>422.84383998251815</x:v>
      </x:c>
      <x:c r="T1518" s="28" t="n">
        <x:f>R1518+S1518</x:f>
        <x:v>1597.8438399825181</x:v>
      </x:c>
      <x:c r="U1518" s="27" t="n">
        <x:f>N1518*'Fleet Engine'!M194</x:f>
        <x:v>0</x:v>
      </x:c>
      <x:c r="V1518" s="28" t="n">
        <x:f>U1518*T1518</x:f>
        <x:v>0</x:v>
      </x:c>
      <x:c r="W1518" s="28" t="n">
        <x:f>U1518*O1518</x:f>
        <x:v>0</x:v>
      </x:c>
    </x:row>
    <x:row r="1519" ht="19" customHeight="1">
      <x:c r="A1519" s="2"/>
      <x:c r="B1519" s="2"/>
      <x:c r="C1519" s="46" t="n">
        <x:v>7</x:v>
      </x:c>
      <x:c r="D1519" s="46" t="n">
        <x:v>0</x:v>
      </x:c>
      <x:c r="E1519" s="46" t="n">
        <x:v>0</x:v>
      </x:c>
      <x:c r="F1519" s="46" t="n">
        <x:v>0</x:v>
      </x:c>
      <x:c r="G1519" s="12" t="n">
        <x:v>0.1111111111111111</x:v>
      </x:c>
      <x:c r="H1519" s="12" t="n">
        <x:v>0.2222222222222222</x:v>
      </x:c>
      <x:c r="I1519" s="29" t="n">
        <x:f>'Assumptions'!$D$11+'Assumptions'!$D$12*(0.5-(G1519+H1519)/2)</x:f>
        <x:v>0.3666666666666667</x:v>
      </x:c>
      <x:c r="J1519" s="27" t="n">
        <x:f>'Assumptions'!$D$8*EXP(-'Assumptions'!$D$9*('Fleet Engine'!E194-10))*'Assumptions'!E55*'Assumptions'!K36</x:f>
        <x:v>27182.818284590452</x:v>
      </x:c>
      <x:c r="K1519" s="27" t="n">
        <x:f>'Source Data'!F217+LN('Assumptions'!D55)+LN('Assumptions'!K35)</x:f>
        <x:v>8.024343827519704</x:v>
      </x:c>
      <x:c r="L1519" s="27" t="n">
        <x:f>J1519*(1-I1519*(1-'Carrier Engine'!E98))</x:f>
        <x:v>17614.46624841461</x:v>
      </x:c>
      <x:c r="M1519" s="29" t="n">
        <x:f>NORM.S.DIST((LN(L1519)-K1519)/'Assumptions'!$D$10,TRUE)</x:f>
        <x:v>0.867759233179046</x:v>
      </x:c>
      <x:c r="N1519" s="30" t="n">
        <x:f>MAX(0,H1519-MAX(G1519,M1519))</x:f>
        <x:v>0</x:v>
      </x:c>
      <x:c r="O1519" s="28" t="n">
        <x:f>J1519*I1519</x:f>
        <x:v>9967.0333710165</x:v>
      </x:c>
      <x:c r="P1519" s="27" t="n">
        <x:f>(VLOOKUP(O1519,'Fee Data'!$C$6:$G$50,2,TRUE)+O1519*VLOOKUP(O1519,'Fee Data'!$C$6:$G$50,3,TRUE)+VLOOKUP(O1519,'Fee Data'!$I$6:$J$14,2,TRUE)+'Fee Data'!$J$20+'Fee Data'!$J$21)*'Assumptions'!K37</x:f>
        <x:v>1195</x:v>
      </x:c>
      <x:c r="Q1519" s="27" t="n">
        <x:f>(VLOOKUP(O1519,'Fee Data'!$C$6:$G$50,4,TRUE)+O1519*VLOOKUP(O1519,'Fee Data'!$C$6:$G$50,5,TRUE)+VLOOKUP(O1519,'Fee Data'!$I$6:$J$14,2,TRUE)+'Fee Data'!$J$20+'Fee Data'!$J$21)*'Assumptions'!K37</x:f>
        <x:v>1070</x:v>
      </x:c>
      <x:c r="R1519" s="27" t="n">
        <x:f>P1519*(1-'Assumptions'!$D$14)+Q1519*'Assumptions'!$D$14</x:f>
        <x:v>1132.5</x:v>
      </x:c>
      <x:c r="S1519" s="27" t="n">
        <x:f>O1519*'Carrier Engine'!E98</x:f>
        <x:v>398.68133484065993</x:v>
      </x:c>
      <x:c r="T1519" s="28" t="n">
        <x:f>R1519+S1519</x:f>
        <x:v>1531.18133484066</x:v>
      </x:c>
      <x:c r="U1519" s="27" t="n">
        <x:f>N1519*'Fleet Engine'!M194</x:f>
        <x:v>0</x:v>
      </x:c>
      <x:c r="V1519" s="28" t="n">
        <x:f>U1519*T1519</x:f>
        <x:v>0</x:v>
      </x:c>
      <x:c r="W1519" s="28" t="n">
        <x:f>U1519*O1519</x:f>
        <x:v>0</x:v>
      </x:c>
    </x:row>
    <x:row r="1520" ht="19" customHeight="1">
      <x:c r="A1520" s="2"/>
      <x:c r="B1520" s="2"/>
      <x:c r="C1520" s="46" t="n">
        <x:v>7</x:v>
      </x:c>
      <x:c r="D1520" s="46" t="n">
        <x:v>0</x:v>
      </x:c>
      <x:c r="E1520" s="46" t="n">
        <x:v>0</x:v>
      </x:c>
      <x:c r="F1520" s="46" t="n">
        <x:v>0</x:v>
      </x:c>
      <x:c r="G1520" s="12" t="n">
        <x:v>0.2222222222222222</x:v>
      </x:c>
      <x:c r="H1520" s="12" t="n">
        <x:v>0.3333333333333333</x:v>
      </x:c>
      <x:c r="I1520" s="29" t="n">
        <x:f>'Assumptions'!$D$11+'Assumptions'!$D$12*(0.5-(G1520+H1520)/2)</x:f>
        <x:v>0.34444444444444444</x:v>
      </x:c>
      <x:c r="J1520" s="27" t="n">
        <x:f>'Assumptions'!$D$8*EXP(-'Assumptions'!$D$9*('Fleet Engine'!E194-10))*'Assumptions'!E55*'Assumptions'!K36</x:f>
        <x:v>27182.818284590452</x:v>
      </x:c>
      <x:c r="K1520" s="27" t="n">
        <x:f>'Source Data'!F217+LN('Assumptions'!D55)+LN('Assumptions'!K35)</x:f>
        <x:v>8.024343827519704</x:v>
      </x:c>
      <x:c r="L1520" s="27" t="n">
        <x:f>J1520*(1-I1520*(1-'Carrier Engine'!E98))</x:f>
        <x:v>18194.36637181921</x:v>
      </x:c>
      <x:c r="M1520" s="29" t="n">
        <x:f>NORM.S.DIST((LN(L1520)-K1520)/'Assumptions'!$D$10,TRUE)</x:f>
        <x:v>0.8721242391048682</x:v>
      </x:c>
      <x:c r="N1520" s="30" t="n">
        <x:f>MAX(0,H1520-MAX(G1520,M1520))</x:f>
        <x:v>0</x:v>
      </x:c>
      <x:c r="O1520" s="28" t="n">
        <x:f>J1520*I1520</x:f>
        <x:v>9362.970742470045</x:v>
      </x:c>
      <x:c r="P1520" s="27" t="n">
        <x:f>(VLOOKUP(O1520,'Fee Data'!$C$6:$G$50,2,TRUE)+O1520*VLOOKUP(O1520,'Fee Data'!$C$6:$G$50,3,TRUE)+VLOOKUP(O1520,'Fee Data'!$I$6:$J$14,2,TRUE)+'Fee Data'!$J$20+'Fee Data'!$J$21)*'Assumptions'!K37</x:f>
        <x:v>1195</x:v>
      </x:c>
      <x:c r="Q1520" s="27" t="n">
        <x:f>(VLOOKUP(O1520,'Fee Data'!$C$6:$G$50,4,TRUE)+O1520*VLOOKUP(O1520,'Fee Data'!$C$6:$G$50,5,TRUE)+VLOOKUP(O1520,'Fee Data'!$I$6:$J$14,2,TRUE)+'Fee Data'!$J$20+'Fee Data'!$J$21)*'Assumptions'!K37</x:f>
        <x:v>1070</x:v>
      </x:c>
      <x:c r="R1520" s="27" t="n">
        <x:f>P1520*(1-'Assumptions'!$D$14)+Q1520*'Assumptions'!$D$14</x:f>
        <x:v>1132.5</x:v>
      </x:c>
      <x:c r="S1520" s="27" t="n">
        <x:f>O1520*'Carrier Engine'!E98</x:f>
        <x:v>374.5188296988017</x:v>
      </x:c>
      <x:c r="T1520" s="28" t="n">
        <x:f>R1520+S1520</x:f>
        <x:v>1507.0188296988017</x:v>
      </x:c>
      <x:c r="U1520" s="27" t="n">
        <x:f>N1520*'Fleet Engine'!M194</x:f>
        <x:v>0</x:v>
      </x:c>
      <x:c r="V1520" s="28" t="n">
        <x:f>U1520*T1520</x:f>
        <x:v>0</x:v>
      </x:c>
      <x:c r="W1520" s="28" t="n">
        <x:f>U1520*O1520</x:f>
        <x:v>0</x:v>
      </x:c>
    </x:row>
    <x:row r="1521" ht="19" customHeight="1">
      <x:c r="A1521" s="2"/>
      <x:c r="B1521" s="2"/>
      <x:c r="C1521" s="46" t="n">
        <x:v>7</x:v>
      </x:c>
      <x:c r="D1521" s="46" t="n">
        <x:v>0</x:v>
      </x:c>
      <x:c r="E1521" s="46" t="n">
        <x:v>0</x:v>
      </x:c>
      <x:c r="F1521" s="46" t="n">
        <x:v>0</x:v>
      </x:c>
      <x:c r="G1521" s="12" t="n">
        <x:v>0.3333333333333333</x:v>
      </x:c>
      <x:c r="H1521" s="12" t="n">
        <x:v>0.4444444444444444</x:v>
      </x:c>
      <x:c r="I1521" s="29" t="n">
        <x:f>'Assumptions'!$D$11+'Assumptions'!$D$12*(0.5-(G1521+H1521)/2)</x:f>
        <x:v>0.32222222222222224</x:v>
      </x:c>
      <x:c r="J1521" s="27" t="n">
        <x:f>'Assumptions'!$D$8*EXP(-'Assumptions'!$D$9*('Fleet Engine'!E194-10))*'Assumptions'!E55*'Assumptions'!K36</x:f>
        <x:v>27182.818284590452</x:v>
      </x:c>
      <x:c r="K1521" s="27" t="n">
        <x:f>'Source Data'!F217+LN('Assumptions'!D55)+LN('Assumptions'!K35)</x:f>
        <x:v>8.024343827519704</x:v>
      </x:c>
      <x:c r="L1521" s="27" t="n">
        <x:f>J1521*(1-I1521*(1-'Carrier Engine'!E98))</x:f>
        <x:v>18774.266495223805</x:v>
      </x:c>
      <x:c r="M1521" s="29" t="n">
        <x:f>NORM.S.DIST((LN(L1521)-K1521)/'Assumptions'!$D$10,TRUE)</x:f>
        <x:v>0.8762558445797033</x:v>
      </x:c>
      <x:c r="N1521" s="30" t="n">
        <x:f>MAX(0,H1521-MAX(G1521,M1521))</x:f>
        <x:v>0</x:v>
      </x:c>
      <x:c r="O1521" s="28" t="n">
        <x:f>J1521*I1521</x:f>
        <x:v>8758.908113923591</x:v>
      </x:c>
      <x:c r="P1521" s="27" t="n">
        <x:f>(VLOOKUP(O1521,'Fee Data'!$C$6:$G$50,2,TRUE)+O1521*VLOOKUP(O1521,'Fee Data'!$C$6:$G$50,3,TRUE)+VLOOKUP(O1521,'Fee Data'!$I$6:$J$14,2,TRUE)+'Fee Data'!$J$20+'Fee Data'!$J$21)*'Assumptions'!K37</x:f>
        <x:v>1195</x:v>
      </x:c>
      <x:c r="Q1521" s="27" t="n">
        <x:f>(VLOOKUP(O1521,'Fee Data'!$C$6:$G$50,4,TRUE)+O1521*VLOOKUP(O1521,'Fee Data'!$C$6:$G$50,5,TRUE)+VLOOKUP(O1521,'Fee Data'!$I$6:$J$14,2,TRUE)+'Fee Data'!$J$20+'Fee Data'!$J$21)*'Assumptions'!K37</x:f>
        <x:v>1070</x:v>
      </x:c>
      <x:c r="R1521" s="27" t="n">
        <x:f>P1521*(1-'Assumptions'!$D$14)+Q1521*'Assumptions'!$D$14</x:f>
        <x:v>1132.5</x:v>
      </x:c>
      <x:c r="S1521" s="27" t="n">
        <x:f>O1521*'Carrier Engine'!E98</x:f>
        <x:v>350.3563245569436</x:v>
      </x:c>
      <x:c r="T1521" s="28" t="n">
        <x:f>R1521+S1521</x:f>
        <x:v>1482.8563245569435</x:v>
      </x:c>
      <x:c r="U1521" s="27" t="n">
        <x:f>N1521*'Fleet Engine'!M194</x:f>
        <x:v>0</x:v>
      </x:c>
      <x:c r="V1521" s="28" t="n">
        <x:f>U1521*T1521</x:f>
        <x:v>0</x:v>
      </x:c>
      <x:c r="W1521" s="28" t="n">
        <x:f>U1521*O1521</x:f>
        <x:v>0</x:v>
      </x:c>
    </x:row>
    <x:row r="1522" ht="19" customHeight="1">
      <x:c r="A1522" s="2"/>
      <x:c r="B1522" s="2"/>
      <x:c r="C1522" s="46" t="n">
        <x:v>7</x:v>
      </x:c>
      <x:c r="D1522" s="46" t="n">
        <x:v>0</x:v>
      </x:c>
      <x:c r="E1522" s="46" t="n">
        <x:v>0</x:v>
      </x:c>
      <x:c r="F1522" s="46" t="n">
        <x:v>0</x:v>
      </x:c>
      <x:c r="G1522" s="12" t="n">
        <x:v>0.4444444444444444</x:v>
      </x:c>
      <x:c r="H1522" s="12" t="n">
        <x:v>0.5555555555555556</x:v>
      </x:c>
      <x:c r="I1522" s="29" t="n">
        <x:f>'Assumptions'!$D$11+'Assumptions'!$D$12*(0.5-(G1522+H1522)/2)</x:f>
        <x:v>0.3</x:v>
      </x:c>
      <x:c r="J1522" s="27" t="n">
        <x:f>'Assumptions'!$D$8*EXP(-'Assumptions'!$D$9*('Fleet Engine'!E194-10))*'Assumptions'!E55*'Assumptions'!K36</x:f>
        <x:v>27182.818284590452</x:v>
      </x:c>
      <x:c r="K1522" s="27" t="n">
        <x:f>'Source Data'!F217+LN('Assumptions'!D55)+LN('Assumptions'!K35)</x:f>
        <x:v>8.024343827519704</x:v>
      </x:c>
      <x:c r="L1522" s="27" t="n">
        <x:f>J1522*(1-I1522*(1-'Carrier Engine'!E98))</x:f>
        <x:v>19354.166618628402</x:v>
      </x:c>
      <x:c r="M1522" s="29" t="n">
        <x:f>NORM.S.DIST((LN(L1522)-K1522)/'Assumptions'!$D$10,TRUE)</x:f>
        <x:v>0.8801716361024907</x:v>
      </x:c>
      <x:c r="N1522" s="30" t="n">
        <x:f>MAX(0,H1522-MAX(G1522,M1522))</x:f>
        <x:v>0</x:v>
      </x:c>
      <x:c r="O1522" s="28" t="n">
        <x:f>J1522*I1522</x:f>
        <x:v>8154.845485377135</x:v>
      </x:c>
      <x:c r="P1522" s="27" t="n">
        <x:f>(VLOOKUP(O1522,'Fee Data'!$C$6:$G$50,2,TRUE)+O1522*VLOOKUP(O1522,'Fee Data'!$C$6:$G$50,3,TRUE)+VLOOKUP(O1522,'Fee Data'!$I$6:$J$14,2,TRUE)+'Fee Data'!$J$20+'Fee Data'!$J$21)*'Assumptions'!K37</x:f>
        <x:v>1175</x:v>
      </x:c>
      <x:c r="Q1522" s="27" t="n">
        <x:f>(VLOOKUP(O1522,'Fee Data'!$C$6:$G$50,4,TRUE)+O1522*VLOOKUP(O1522,'Fee Data'!$C$6:$G$50,5,TRUE)+VLOOKUP(O1522,'Fee Data'!$I$6:$J$14,2,TRUE)+'Fee Data'!$J$20+'Fee Data'!$J$21)*'Assumptions'!K37</x:f>
        <x:v>1050</x:v>
      </x:c>
      <x:c r="R1522" s="27" t="n">
        <x:f>P1522*(1-'Assumptions'!$D$14)+Q1522*'Assumptions'!$D$14</x:f>
        <x:v>1112.5</x:v>
      </x:c>
      <x:c r="S1522" s="27" t="n">
        <x:f>O1522*'Carrier Engine'!E98</x:f>
        <x:v>326.1938194150854</x:v>
      </x:c>
      <x:c r="T1522" s="28" t="n">
        <x:f>R1522+S1522</x:f>
        <x:v>1438.6938194150853</x:v>
      </x:c>
      <x:c r="U1522" s="27" t="n">
        <x:f>N1522*'Fleet Engine'!M194</x:f>
        <x:v>0</x:v>
      </x:c>
      <x:c r="V1522" s="28" t="n">
        <x:f>U1522*T1522</x:f>
        <x:v>0</x:v>
      </x:c>
      <x:c r="W1522" s="28" t="n">
        <x:f>U1522*O1522</x:f>
        <x:v>0</x:v>
      </x:c>
    </x:row>
    <x:row r="1523" ht="19" customHeight="1">
      <x:c r="A1523" s="2"/>
      <x:c r="B1523" s="2"/>
      <x:c r="C1523" s="46" t="n">
        <x:v>7</x:v>
      </x:c>
      <x:c r="D1523" s="46" t="n">
        <x:v>0</x:v>
      </x:c>
      <x:c r="E1523" s="46" t="n">
        <x:v>0</x:v>
      </x:c>
      <x:c r="F1523" s="46" t="n">
        <x:v>0</x:v>
      </x:c>
      <x:c r="G1523" s="12" t="n">
        <x:v>0.5555555555555556</x:v>
      </x:c>
      <x:c r="H1523" s="12" t="n">
        <x:v>0.6666666666666666</x:v>
      </x:c>
      <x:c r="I1523" s="29" t="n">
        <x:f>'Assumptions'!$D$11+'Assumptions'!$D$12*(0.5-(G1523+H1523)/2)</x:f>
        <x:v>0.27777777777777773</x:v>
      </x:c>
      <x:c r="J1523" s="27" t="n">
        <x:f>'Assumptions'!$D$8*EXP(-'Assumptions'!$D$9*('Fleet Engine'!E194-10))*'Assumptions'!E55*'Assumptions'!K36</x:f>
        <x:v>27182.818284590452</x:v>
      </x:c>
      <x:c r="K1523" s="27" t="n">
        <x:f>'Source Data'!F217+LN('Assumptions'!D55)+LN('Assumptions'!K35)</x:f>
        <x:v>8.024343827519704</x:v>
      </x:c>
      <x:c r="L1523" s="27" t="n">
        <x:f>J1523*(1-I1523*(1-'Carrier Engine'!E98))</x:f>
        <x:v>19934.066742033</x:v>
      </x:c>
      <x:c r="M1523" s="29" t="n">
        <x:f>NORM.S.DIST((LN(L1523)-K1523)/'Assumptions'!$D$10,TRUE)</x:f>
        <x:v>0.8838874850458363</x:v>
      </x:c>
      <x:c r="N1523" s="30" t="n">
        <x:f>MAX(0,H1523-MAX(G1523,M1523))</x:f>
        <x:v>0</x:v>
      </x:c>
      <x:c r="O1523" s="28" t="n">
        <x:f>J1523*I1523</x:f>
        <x:v>7550.7828568306795</x:v>
      </x:c>
      <x:c r="P1523" s="27" t="n">
        <x:f>(VLOOKUP(O1523,'Fee Data'!$C$6:$G$50,2,TRUE)+O1523*VLOOKUP(O1523,'Fee Data'!$C$6:$G$50,3,TRUE)+VLOOKUP(O1523,'Fee Data'!$I$6:$J$14,2,TRUE)+'Fee Data'!$J$20+'Fee Data'!$J$21)*'Assumptions'!K37</x:f>
        <x:v>1135</x:v>
      </x:c>
      <x:c r="Q1523" s="27" t="n">
        <x:f>(VLOOKUP(O1523,'Fee Data'!$C$6:$G$50,4,TRUE)+O1523*VLOOKUP(O1523,'Fee Data'!$C$6:$G$50,5,TRUE)+VLOOKUP(O1523,'Fee Data'!$I$6:$J$14,2,TRUE)+'Fee Data'!$J$20+'Fee Data'!$J$21)*'Assumptions'!K37</x:f>
        <x:v>1010</x:v>
      </x:c>
      <x:c r="R1523" s="27" t="n">
        <x:f>P1523*(1-'Assumptions'!$D$14)+Q1523*'Assumptions'!$D$14</x:f>
        <x:v>1072.5</x:v>
      </x:c>
      <x:c r="S1523" s="27" t="n">
        <x:f>O1523*'Carrier Engine'!E98</x:f>
        <x:v>302.0313142732271</x:v>
      </x:c>
      <x:c r="T1523" s="28" t="n">
        <x:f>R1523+S1523</x:f>
        <x:v>1374.531314273227</x:v>
      </x:c>
      <x:c r="U1523" s="27" t="n">
        <x:f>N1523*'Fleet Engine'!M194</x:f>
        <x:v>0</x:v>
      </x:c>
      <x:c r="V1523" s="28" t="n">
        <x:f>U1523*T1523</x:f>
        <x:v>0</x:v>
      </x:c>
      <x:c r="W1523" s="28" t="n">
        <x:f>U1523*O1523</x:f>
        <x:v>0</x:v>
      </x:c>
    </x:row>
    <x:row r="1524" ht="19" customHeight="1">
      <x:c r="A1524" s="2"/>
      <x:c r="B1524" s="2"/>
      <x:c r="C1524" s="46" t="n">
        <x:v>7</x:v>
      </x:c>
      <x:c r="D1524" s="46" t="n">
        <x:v>0</x:v>
      </x:c>
      <x:c r="E1524" s="46" t="n">
        <x:v>0</x:v>
      </x:c>
      <x:c r="F1524" s="46" t="n">
        <x:v>0</x:v>
      </x:c>
      <x:c r="G1524" s="12" t="n">
        <x:v>0.6666666666666666</x:v>
      </x:c>
      <x:c r="H1524" s="12" t="n">
        <x:v>0.7777777777777778</x:v>
      </x:c>
      <x:c r="I1524" s="29" t="n">
        <x:f>'Assumptions'!$D$11+'Assumptions'!$D$12*(0.5-(G1524+H1524)/2)</x:f>
        <x:v>0.25555555555555554</x:v>
      </x:c>
      <x:c r="J1524" s="27" t="n">
        <x:f>'Assumptions'!$D$8*EXP(-'Assumptions'!$D$9*('Fleet Engine'!E194-10))*'Assumptions'!E55*'Assumptions'!K36</x:f>
        <x:v>27182.818284590452</x:v>
      </x:c>
      <x:c r="K1524" s="27" t="n">
        <x:f>'Source Data'!F217+LN('Assumptions'!D55)+LN('Assumptions'!K35)</x:f>
        <x:v>8.024343827519704</x:v>
      </x:c>
      <x:c r="L1524" s="27" t="n">
        <x:f>J1524*(1-I1524*(1-'Carrier Engine'!E98))</x:f>
        <x:v>20513.966865437596</x:v>
      </x:c>
      <x:c r="M1524" s="29" t="n">
        <x:f>NORM.S.DIST((LN(L1524)-K1524)/'Assumptions'!$D$10,TRUE)</x:f>
        <x:v>0.8874177525057891</x:v>
      </x:c>
      <x:c r="N1524" s="30" t="n">
        <x:f>MAX(0,H1524-MAX(G1524,M1524))</x:f>
        <x:v>0</x:v>
      </x:c>
      <x:c r="O1524" s="28" t="n">
        <x:f>J1524*I1524</x:f>
        <x:v>6946.720228284226</x:v>
      </x:c>
      <x:c r="P1524" s="27" t="n">
        <x:f>(VLOOKUP(O1524,'Fee Data'!$C$6:$G$50,2,TRUE)+O1524*VLOOKUP(O1524,'Fee Data'!$C$6:$G$50,3,TRUE)+VLOOKUP(O1524,'Fee Data'!$I$6:$J$14,2,TRUE)+'Fee Data'!$J$20+'Fee Data'!$J$21)*'Assumptions'!K37</x:f>
        <x:v>1080</x:v>
      </x:c>
      <x:c r="Q1524" s="27" t="n">
        <x:f>(VLOOKUP(O1524,'Fee Data'!$C$6:$G$50,4,TRUE)+O1524*VLOOKUP(O1524,'Fee Data'!$C$6:$G$50,5,TRUE)+VLOOKUP(O1524,'Fee Data'!$I$6:$J$14,2,TRUE)+'Fee Data'!$J$20+'Fee Data'!$J$21)*'Assumptions'!K37</x:f>
        <x:v>955</x:v>
      </x:c>
      <x:c r="R1524" s="27" t="n">
        <x:f>P1524*(1-'Assumptions'!$D$14)+Q1524*'Assumptions'!$D$14</x:f>
        <x:v>1017.5</x:v>
      </x:c>
      <x:c r="S1524" s="27" t="n">
        <x:f>O1524*'Carrier Engine'!E98</x:f>
        <x:v>277.868809131369</x:v>
      </x:c>
      <x:c r="T1524" s="28" t="n">
        <x:f>R1524+S1524</x:f>
        <x:v>1295.368809131369</x:v>
      </x:c>
      <x:c r="U1524" s="27" t="n">
        <x:f>N1524*'Fleet Engine'!M194</x:f>
        <x:v>0</x:v>
      </x:c>
      <x:c r="V1524" s="28" t="n">
        <x:f>U1524*T1524</x:f>
        <x:v>0</x:v>
      </x:c>
      <x:c r="W1524" s="28" t="n">
        <x:f>U1524*O1524</x:f>
        <x:v>0</x:v>
      </x:c>
    </x:row>
    <x:row r="1525" ht="19" customHeight="1">
      <x:c r="A1525" s="2"/>
      <x:c r="B1525" s="2"/>
      <x:c r="C1525" s="46" t="n">
        <x:v>7</x:v>
      </x:c>
      <x:c r="D1525" s="46" t="n">
        <x:v>0</x:v>
      </x:c>
      <x:c r="E1525" s="46" t="n">
        <x:v>0</x:v>
      </x:c>
      <x:c r="F1525" s="46" t="n">
        <x:v>0</x:v>
      </x:c>
      <x:c r="G1525" s="12" t="n">
        <x:v>0.7777777777777778</x:v>
      </x:c>
      <x:c r="H1525" s="12" t="n">
        <x:v>0.8888888888888888</x:v>
      </x:c>
      <x:c r="I1525" s="29" t="n">
        <x:f>'Assumptions'!$D$11+'Assumptions'!$D$12*(0.5-(G1525+H1525)/2)</x:f>
        <x:v>0.23333333333333334</x:v>
      </x:c>
      <x:c r="J1525" s="27" t="n">
        <x:f>'Assumptions'!$D$8*EXP(-'Assumptions'!$D$9*('Fleet Engine'!E194-10))*'Assumptions'!E55*'Assumptions'!K36</x:f>
        <x:v>27182.818284590452</x:v>
      </x:c>
      <x:c r="K1525" s="27" t="n">
        <x:f>'Source Data'!F217+LN('Assumptions'!D55)+LN('Assumptions'!K35)</x:f>
        <x:v>8.024343827519704</x:v>
      </x:c>
      <x:c r="L1525" s="27" t="n">
        <x:f>J1525*(1-I1525*(1-'Carrier Engine'!E98))</x:f>
        <x:v>21093.86698884219</x:v>
      </x:c>
      <x:c r="M1525" s="29" t="n">
        <x:f>NORM.S.DIST((LN(L1525)-K1525)/'Assumptions'!$D$10,TRUE)</x:f>
        <x:v>0.8907754653078662</x:v>
      </x:c>
      <x:c r="N1525" s="30" t="n">
        <x:f>MAX(0,H1525-MAX(G1525,M1525))</x:f>
        <x:v>0</x:v>
      </x:c>
      <x:c r="O1525" s="28" t="n">
        <x:f>J1525*I1525</x:f>
        <x:v>6342.657599737772</x:v>
      </x:c>
      <x:c r="P1525" s="27" t="n">
        <x:f>(VLOOKUP(O1525,'Fee Data'!$C$6:$G$50,2,TRUE)+O1525*VLOOKUP(O1525,'Fee Data'!$C$6:$G$50,3,TRUE)+VLOOKUP(O1525,'Fee Data'!$I$6:$J$14,2,TRUE)+'Fee Data'!$J$20+'Fee Data'!$J$21)*'Assumptions'!K37</x:f>
        <x:v>1060</x:v>
      </x:c>
      <x:c r="Q1525" s="27" t="n">
        <x:f>(VLOOKUP(O1525,'Fee Data'!$C$6:$G$50,4,TRUE)+O1525*VLOOKUP(O1525,'Fee Data'!$C$6:$G$50,5,TRUE)+VLOOKUP(O1525,'Fee Data'!$I$6:$J$14,2,TRUE)+'Fee Data'!$J$20+'Fee Data'!$J$21)*'Assumptions'!K37</x:f>
        <x:v>935</x:v>
      </x:c>
      <x:c r="R1525" s="27" t="n">
        <x:f>P1525*(1-'Assumptions'!$D$14)+Q1525*'Assumptions'!$D$14</x:f>
        <x:v>997.5</x:v>
      </x:c>
      <x:c r="S1525" s="27" t="n">
        <x:f>O1525*'Carrier Engine'!E98</x:f>
        <x:v>253.70630398951084</x:v>
      </x:c>
      <x:c r="T1525" s="28" t="n">
        <x:f>R1525+S1525</x:f>
        <x:v>1251.2063039895108</x:v>
      </x:c>
      <x:c r="U1525" s="27" t="n">
        <x:f>N1525*'Fleet Engine'!M194</x:f>
        <x:v>0</x:v>
      </x:c>
      <x:c r="V1525" s="28" t="n">
        <x:f>U1525*T1525</x:f>
        <x:v>0</x:v>
      </x:c>
      <x:c r="W1525" s="28" t="n">
        <x:f>U1525*O1525</x:f>
        <x:v>0</x:v>
      </x:c>
    </x:row>
    <x:row r="1526" ht="19" customHeight="1">
      <x:c r="A1526" s="2"/>
      <x:c r="B1526" s="2"/>
      <x:c r="C1526" s="46" t="n">
        <x:v>7</x:v>
      </x:c>
      <x:c r="D1526" s="46" t="n">
        <x:v>0</x:v>
      </x:c>
      <x:c r="E1526" s="46" t="n">
        <x:v>0</x:v>
      </x:c>
      <x:c r="F1526" s="46" t="n">
        <x:v>0</x:v>
      </x:c>
      <x:c r="G1526" s="12" t="n">
        <x:v>0.8888888888888888</x:v>
      </x:c>
      <x:c r="H1526" s="12" t="n">
        <x:v>1</x:v>
      </x:c>
      <x:c r="I1526" s="29" t="n">
        <x:f>'Assumptions'!$D$11+'Assumptions'!$D$12*(0.5-(G1526+H1526)/2)</x:f>
        <x:v>0.21111111111111108</x:v>
      </x:c>
      <x:c r="J1526" s="27" t="n">
        <x:f>'Assumptions'!$D$8*EXP(-'Assumptions'!$D$9*('Fleet Engine'!E194-10))*'Assumptions'!E55*'Assumptions'!K36</x:f>
        <x:v>27182.818284590452</x:v>
      </x:c>
      <x:c r="K1526" s="27" t="n">
        <x:f>'Source Data'!F217+LN('Assumptions'!D55)+LN('Assumptions'!K35)</x:f>
        <x:v>8.024343827519704</x:v>
      </x:c>
      <x:c r="L1526" s="27" t="n">
        <x:f>J1526*(1-I1526*(1-'Carrier Engine'!E98))</x:f>
        <x:v>21673.767112246787</x:v>
      </x:c>
      <x:c r="M1526" s="29" t="n">
        <x:f>NORM.S.DIST((LN(L1526)-K1526)/'Assumptions'!$D$10,TRUE)</x:f>
        <x:v>0.8939724678273033</x:v>
      </x:c>
      <x:c r="N1526" s="30" t="n">
        <x:f>MAX(0,H1526-MAX(G1526,M1526))</x:f>
        <x:v>0.10602753217269667</x:v>
      </x:c>
      <x:c r="O1526" s="28" t="n">
        <x:f>J1526*I1526</x:f>
        <x:v>5738.594971191317</x:v>
      </x:c>
      <x:c r="P1526" s="27" t="n">
        <x:f>(VLOOKUP(O1526,'Fee Data'!$C$6:$G$50,2,TRUE)+O1526*VLOOKUP(O1526,'Fee Data'!$C$6:$G$50,3,TRUE)+VLOOKUP(O1526,'Fee Data'!$I$6:$J$14,2,TRUE)+'Fee Data'!$J$20+'Fee Data'!$J$21)*'Assumptions'!K37</x:f>
        <x:v>1020</x:v>
      </x:c>
      <x:c r="Q1526" s="27" t="n">
        <x:f>(VLOOKUP(O1526,'Fee Data'!$C$6:$G$50,4,TRUE)+O1526*VLOOKUP(O1526,'Fee Data'!$C$6:$G$50,5,TRUE)+VLOOKUP(O1526,'Fee Data'!$I$6:$J$14,2,TRUE)+'Fee Data'!$J$20+'Fee Data'!$J$21)*'Assumptions'!K37</x:f>
        <x:v>895</x:v>
      </x:c>
      <x:c r="R1526" s="27" t="n">
        <x:f>P1526*(1-'Assumptions'!$D$14)+Q1526*'Assumptions'!$D$14</x:f>
        <x:v>957.5</x:v>
      </x:c>
      <x:c r="S1526" s="27" t="n">
        <x:f>O1526*'Carrier Engine'!E98</x:f>
        <x:v>229.54379884765265</x:v>
      </x:c>
      <x:c r="T1526" s="28" t="n">
        <x:f>R1526+S1526</x:f>
        <x:v>1187.0437988476526</x:v>
      </x:c>
      <x:c r="U1526" s="27" t="n">
        <x:f>N1526*'Fleet Engine'!M194</x:f>
        <x:v>146.55125496910136</x:v>
      </x:c>
      <x:c r="V1526" s="28" t="n">
        <x:f>U1526*T1526</x:f>
        <x:v>173962.758424413</x:v>
      </x:c>
      <x:c r="W1526" s="28" t="n">
        <x:f>U1526*O1526</x:f>
        <x:v>840998.2947874616</x:v>
      </x:c>
    </x:row>
    <x:row r="1527" ht="19" customHeight="1">
      <x:c r="A1527" s="2"/>
      <x:c r="B1527" s="2"/>
      <x:c r="C1527" s="46" t="n">
        <x:v>7</x:v>
      </x:c>
      <x:c r="D1527" s="46" t="n">
        <x:v>1</x:v>
      </x:c>
      <x:c r="E1527" s="46" t="n">
        <x:v>0</x:v>
      </x:c>
      <x:c r="F1527" s="46" t="n">
        <x:v>1</x:v>
      </x:c>
      <x:c r="G1527" s="12" t="n">
        <x:v>0</x:v>
      </x:c>
      <x:c r="H1527" s="12" t="n">
        <x:v>0.1111111111111111</x:v>
      </x:c>
      <x:c r="I1527" s="29" t="n">
        <x:f>'Assumptions'!$D$11+'Assumptions'!$D$12*(0.5-(G1527+H1527)/2)</x:f>
        <x:v>0.3888888888888889</x:v>
      </x:c>
      <x:c r="J1527" s="27" t="n">
        <x:f>'Assumptions'!$D$8*EXP(-'Assumptions'!$D$9*('Fleet Engine'!E195-10))*'Assumptions'!E55*'Assumptions'!K36</x:f>
        <x:v>22255.409284924677</x:v>
      </x:c>
      <x:c r="K1527" s="27" t="n">
        <x:f>'Source Data'!F218+LN('Assumptions'!D55)+LN('Assumptions'!K35)</x:f>
        <x:v>7.909903025975467</x:v>
      </x:c>
      <x:c r="L1527" s="27" t="n">
        <x:f>J1527*(1-I1527*(1-'Carrier Engine'!E98))</x:f>
        <x:v>13946.723151886132</x:v>
      </x:c>
      <x:c r="M1527" s="29" t="n">
        <x:f>NORM.S.DIST((LN(L1527)-K1527)/'Assumptions'!$D$10,TRUE)</x:f>
        <x:v>0.8508422763569413</x:v>
      </x:c>
      <x:c r="N1527" s="30" t="n">
        <x:f>MAX(0,H1527-MAX(G1527,M1527))</x:f>
        <x:v>0</x:v>
      </x:c>
      <x:c r="O1527" s="28" t="n">
        <x:f>J1527*I1527</x:f>
        <x:v>8654.88138858182</x:v>
      </x:c>
      <x:c r="P1527" s="27" t="n">
        <x:f>(VLOOKUP(O1527,'Fee Data'!$C$6:$G$50,2,TRUE)+O1527*VLOOKUP(O1527,'Fee Data'!$C$6:$G$50,3,TRUE)+VLOOKUP(O1527,'Fee Data'!$I$6:$J$14,2,TRUE)+'Fee Data'!$J$20+'Fee Data'!$J$21)*'Assumptions'!K37</x:f>
        <x:v>1195</x:v>
      </x:c>
      <x:c r="Q1527" s="27" t="n">
        <x:f>(VLOOKUP(O1527,'Fee Data'!$C$6:$G$50,4,TRUE)+O1527*VLOOKUP(O1527,'Fee Data'!$C$6:$G$50,5,TRUE)+VLOOKUP(O1527,'Fee Data'!$I$6:$J$14,2,TRUE)+'Fee Data'!$J$20+'Fee Data'!$J$21)*'Assumptions'!K37</x:f>
        <x:v>1070</x:v>
      </x:c>
      <x:c r="R1527" s="27" t="n">
        <x:f>P1527*(1-'Assumptions'!$D$14)+Q1527*'Assumptions'!$D$14</x:f>
        <x:v>1132.5</x:v>
      </x:c>
      <x:c r="S1527" s="27" t="n">
        <x:f>O1527*'Carrier Engine'!E98</x:f>
        <x:v>346.19525554327276</x:v>
      </x:c>
      <x:c r="T1527" s="28" t="n">
        <x:f>R1527+S1527</x:f>
        <x:v>1478.6952555432727</x:v>
      </x:c>
      <x:c r="U1527" s="27" t="n">
        <x:f>N1527*'Fleet Engine'!M195</x:f>
        <x:v>0</x:v>
      </x:c>
      <x:c r="V1527" s="28" t="n">
        <x:f>U1527*T1527</x:f>
        <x:v>0</x:v>
      </x:c>
      <x:c r="W1527" s="28" t="n">
        <x:f>U1527*O1527</x:f>
        <x:v>0</x:v>
      </x:c>
    </x:row>
    <x:row r="1528" ht="19" customHeight="1">
      <x:c r="A1528" s="2"/>
      <x:c r="B1528" s="2"/>
      <x:c r="C1528" s="46" t="n">
        <x:v>7</x:v>
      </x:c>
      <x:c r="D1528" s="46" t="n">
        <x:v>1</x:v>
      </x:c>
      <x:c r="E1528" s="46" t="n">
        <x:v>0</x:v>
      </x:c>
      <x:c r="F1528" s="46" t="n">
        <x:v>1</x:v>
      </x:c>
      <x:c r="G1528" s="12" t="n">
        <x:v>0.1111111111111111</x:v>
      </x:c>
      <x:c r="H1528" s="12" t="n">
        <x:v>0.2222222222222222</x:v>
      </x:c>
      <x:c r="I1528" s="29" t="n">
        <x:f>'Assumptions'!$D$11+'Assumptions'!$D$12*(0.5-(G1528+H1528)/2)</x:f>
        <x:v>0.3666666666666667</x:v>
      </x:c>
      <x:c r="J1528" s="27" t="n">
        <x:f>'Assumptions'!$D$8*EXP(-'Assumptions'!$D$9*('Fleet Engine'!E195-10))*'Assumptions'!E55*'Assumptions'!K36</x:f>
        <x:v>22255.409284924677</x:v>
      </x:c>
      <x:c r="K1528" s="27" t="n">
        <x:f>'Source Data'!F218+LN('Assumptions'!D55)+LN('Assumptions'!K35)</x:f>
        <x:v>7.909903025975467</x:v>
      </x:c>
      <x:c r="L1528" s="27" t="n">
        <x:f>J1528*(1-I1528*(1-'Carrier Engine'!E98))</x:f>
        <x:v>14421.505216631189</x:v>
      </x:c>
      <x:c r="M1528" s="29" t="n">
        <x:f>NORM.S.DIST((LN(L1528)-K1528)/'Assumptions'!$D$10,TRUE)</x:f>
        <x:v>0.8557395814099102</x:v>
      </x:c>
      <x:c r="N1528" s="30" t="n">
        <x:f>MAX(0,H1528-MAX(G1528,M1528))</x:f>
        <x:v>0</x:v>
      </x:c>
      <x:c r="O1528" s="28" t="n">
        <x:f>J1528*I1528</x:f>
        <x:v>8160.316737805716</x:v>
      </x:c>
      <x:c r="P1528" s="27" t="n">
        <x:f>(VLOOKUP(O1528,'Fee Data'!$C$6:$G$50,2,TRUE)+O1528*VLOOKUP(O1528,'Fee Data'!$C$6:$G$50,3,TRUE)+VLOOKUP(O1528,'Fee Data'!$I$6:$J$14,2,TRUE)+'Fee Data'!$J$20+'Fee Data'!$J$21)*'Assumptions'!K37</x:f>
        <x:v>1175</x:v>
      </x:c>
      <x:c r="Q1528" s="27" t="n">
        <x:f>(VLOOKUP(O1528,'Fee Data'!$C$6:$G$50,4,TRUE)+O1528*VLOOKUP(O1528,'Fee Data'!$C$6:$G$50,5,TRUE)+VLOOKUP(O1528,'Fee Data'!$I$6:$J$14,2,TRUE)+'Fee Data'!$J$20+'Fee Data'!$J$21)*'Assumptions'!K37</x:f>
        <x:v>1050</x:v>
      </x:c>
      <x:c r="R1528" s="27" t="n">
        <x:f>P1528*(1-'Assumptions'!$D$14)+Q1528*'Assumptions'!$D$14</x:f>
        <x:v>1112.5</x:v>
      </x:c>
      <x:c r="S1528" s="27" t="n">
        <x:f>O1528*'Carrier Engine'!E98</x:f>
        <x:v>326.4126695122286</x:v>
      </x:c>
      <x:c r="T1528" s="28" t="n">
        <x:f>R1528+S1528</x:f>
        <x:v>1438.9126695122286</x:v>
      </x:c>
      <x:c r="U1528" s="27" t="n">
        <x:f>N1528*'Fleet Engine'!M195</x:f>
        <x:v>0</x:v>
      </x:c>
      <x:c r="V1528" s="28" t="n">
        <x:f>U1528*T1528</x:f>
        <x:v>0</x:v>
      </x:c>
      <x:c r="W1528" s="28" t="n">
        <x:f>U1528*O1528</x:f>
        <x:v>0</x:v>
      </x:c>
    </x:row>
    <x:row r="1529" ht="19" customHeight="1">
      <x:c r="A1529" s="2"/>
      <x:c r="B1529" s="2"/>
      <x:c r="C1529" s="46" t="n">
        <x:v>7</x:v>
      </x:c>
      <x:c r="D1529" s="46" t="n">
        <x:v>1</x:v>
      </x:c>
      <x:c r="E1529" s="46" t="n">
        <x:v>0</x:v>
      </x:c>
      <x:c r="F1529" s="46" t="n">
        <x:v>1</x:v>
      </x:c>
      <x:c r="G1529" s="12" t="n">
        <x:v>0.2222222222222222</x:v>
      </x:c>
      <x:c r="H1529" s="12" t="n">
        <x:v>0.3333333333333333</x:v>
      </x:c>
      <x:c r="I1529" s="29" t="n">
        <x:f>'Assumptions'!$D$11+'Assumptions'!$D$12*(0.5-(G1529+H1529)/2)</x:f>
        <x:v>0.34444444444444444</x:v>
      </x:c>
      <x:c r="J1529" s="27" t="n">
        <x:f>'Assumptions'!$D$8*EXP(-'Assumptions'!$D$9*('Fleet Engine'!E195-10))*'Assumptions'!E55*'Assumptions'!K36</x:f>
        <x:v>22255.409284924677</x:v>
      </x:c>
      <x:c r="K1529" s="27" t="n">
        <x:f>'Source Data'!F218+LN('Assumptions'!D55)+LN('Assumptions'!K35)</x:f>
        <x:v>7.909903025975467</x:v>
      </x:c>
      <x:c r="L1529" s="27" t="n">
        <x:f>J1529*(1-I1529*(1-'Carrier Engine'!E98))</x:f>
        <x:v>14896.287281376251</x:v>
      </x:c>
      <x:c r="M1529" s="29" t="n">
        <x:f>NORM.S.DIST((LN(L1529)-K1529)/'Assumptions'!$D$10,TRUE)</x:f>
        <x:v>0.8603739374321665</x:v>
      </x:c>
      <x:c r="N1529" s="30" t="n">
        <x:f>MAX(0,H1529-MAX(G1529,M1529))</x:f>
        <x:v>0</x:v>
      </x:c>
      <x:c r="O1529" s="28" t="n">
        <x:f>J1529*I1529</x:f>
        <x:v>7665.752087029611</x:v>
      </x:c>
      <x:c r="P1529" s="27" t="n">
        <x:f>(VLOOKUP(O1529,'Fee Data'!$C$6:$G$50,2,TRUE)+O1529*VLOOKUP(O1529,'Fee Data'!$C$6:$G$50,3,TRUE)+VLOOKUP(O1529,'Fee Data'!$I$6:$J$14,2,TRUE)+'Fee Data'!$J$20+'Fee Data'!$J$21)*'Assumptions'!K37</x:f>
        <x:v>1135</x:v>
      </x:c>
      <x:c r="Q1529" s="27" t="n">
        <x:f>(VLOOKUP(O1529,'Fee Data'!$C$6:$G$50,4,TRUE)+O1529*VLOOKUP(O1529,'Fee Data'!$C$6:$G$50,5,TRUE)+VLOOKUP(O1529,'Fee Data'!$I$6:$J$14,2,TRUE)+'Fee Data'!$J$20+'Fee Data'!$J$21)*'Assumptions'!K37</x:f>
        <x:v>1010</x:v>
      </x:c>
      <x:c r="R1529" s="27" t="n">
        <x:f>P1529*(1-'Assumptions'!$D$14)+Q1529*'Assumptions'!$D$14</x:f>
        <x:v>1072.5</x:v>
      </x:c>
      <x:c r="S1529" s="27" t="n">
        <x:f>O1529*'Carrier Engine'!E98</x:f>
        <x:v>306.6300834811844</x:v>
      </x:c>
      <x:c r="T1529" s="28" t="n">
        <x:f>R1529+S1529</x:f>
        <x:v>1379.1300834811843</x:v>
      </x:c>
      <x:c r="U1529" s="27" t="n">
        <x:f>N1529*'Fleet Engine'!M195</x:f>
        <x:v>0</x:v>
      </x:c>
      <x:c r="V1529" s="28" t="n">
        <x:f>U1529*T1529</x:f>
        <x:v>0</x:v>
      </x:c>
      <x:c r="W1529" s="28" t="n">
        <x:f>U1529*O1529</x:f>
        <x:v>0</x:v>
      </x:c>
    </x:row>
    <x:row r="1530" ht="19" customHeight="1">
      <x:c r="A1530" s="2"/>
      <x:c r="B1530" s="2"/>
      <x:c r="C1530" s="46" t="n">
        <x:v>7</x:v>
      </x:c>
      <x:c r="D1530" s="46" t="n">
        <x:v>1</x:v>
      </x:c>
      <x:c r="E1530" s="46" t="n">
        <x:v>0</x:v>
      </x:c>
      <x:c r="F1530" s="46" t="n">
        <x:v>1</x:v>
      </x:c>
      <x:c r="G1530" s="12" t="n">
        <x:v>0.3333333333333333</x:v>
      </x:c>
      <x:c r="H1530" s="12" t="n">
        <x:v>0.4444444444444444</x:v>
      </x:c>
      <x:c r="I1530" s="29" t="n">
        <x:f>'Assumptions'!$D$11+'Assumptions'!$D$12*(0.5-(G1530+H1530)/2)</x:f>
        <x:v>0.32222222222222224</x:v>
      </x:c>
      <x:c r="J1530" s="27" t="n">
        <x:f>'Assumptions'!$D$8*EXP(-'Assumptions'!$D$9*('Fleet Engine'!E195-10))*'Assumptions'!E55*'Assumptions'!K36</x:f>
        <x:v>22255.409284924677</x:v>
      </x:c>
      <x:c r="K1530" s="27" t="n">
        <x:f>'Source Data'!F218+LN('Assumptions'!D55)+LN('Assumptions'!K35)</x:f>
        <x:v>7.909903025975467</x:v>
      </x:c>
      <x:c r="L1530" s="27" t="n">
        <x:f>J1530*(1-I1530*(1-'Carrier Engine'!E98))</x:f>
        <x:v>15371.06934612131</x:v>
      </x:c>
      <x:c r="M1530" s="29" t="n">
        <x:f>NORM.S.DIST((LN(L1530)-K1530)/'Assumptions'!$D$10,TRUE)</x:f>
        <x:v>0.8647653470677638</x:v>
      </x:c>
      <x:c r="N1530" s="30" t="n">
        <x:f>MAX(0,H1530-MAX(G1530,M1530))</x:f>
        <x:v>0</x:v>
      </x:c>
      <x:c r="O1530" s="28" t="n">
        <x:f>J1530*I1530</x:f>
        <x:v>7171.187436253507</x:v>
      </x:c>
      <x:c r="P1530" s="27" t="n">
        <x:f>(VLOOKUP(O1530,'Fee Data'!$C$6:$G$50,2,TRUE)+O1530*VLOOKUP(O1530,'Fee Data'!$C$6:$G$50,3,TRUE)+VLOOKUP(O1530,'Fee Data'!$I$6:$J$14,2,TRUE)+'Fee Data'!$J$20+'Fee Data'!$J$21)*'Assumptions'!K37</x:f>
        <x:v>1115</x:v>
      </x:c>
      <x:c r="Q1530" s="27" t="n">
        <x:f>(VLOOKUP(O1530,'Fee Data'!$C$6:$G$50,4,TRUE)+O1530*VLOOKUP(O1530,'Fee Data'!$C$6:$G$50,5,TRUE)+VLOOKUP(O1530,'Fee Data'!$I$6:$J$14,2,TRUE)+'Fee Data'!$J$20+'Fee Data'!$J$21)*'Assumptions'!K37</x:f>
        <x:v>990</x:v>
      </x:c>
      <x:c r="R1530" s="27" t="n">
        <x:f>P1530*(1-'Assumptions'!$D$14)+Q1530*'Assumptions'!$D$14</x:f>
        <x:v>1052.5</x:v>
      </x:c>
      <x:c r="S1530" s="27" t="n">
        <x:f>O1530*'Carrier Engine'!E98</x:f>
        <x:v>286.8474974501402</x:v>
      </x:c>
      <x:c r="T1530" s="28" t="n">
        <x:f>R1530+S1530</x:f>
        <x:v>1339.3474974501403</x:v>
      </x:c>
      <x:c r="U1530" s="27" t="n">
        <x:f>N1530*'Fleet Engine'!M195</x:f>
        <x:v>0</x:v>
      </x:c>
      <x:c r="V1530" s="28" t="n">
        <x:f>U1530*T1530</x:f>
        <x:v>0</x:v>
      </x:c>
      <x:c r="W1530" s="28" t="n">
        <x:f>U1530*O1530</x:f>
        <x:v>0</x:v>
      </x:c>
    </x:row>
    <x:row r="1531" ht="19" customHeight="1">
      <x:c r="A1531" s="2"/>
      <x:c r="B1531" s="2"/>
      <x:c r="C1531" s="46" t="n">
        <x:v>7</x:v>
      </x:c>
      <x:c r="D1531" s="46" t="n">
        <x:v>1</x:v>
      </x:c>
      <x:c r="E1531" s="46" t="n">
        <x:v>0</x:v>
      </x:c>
      <x:c r="F1531" s="46" t="n">
        <x:v>1</x:v>
      </x:c>
      <x:c r="G1531" s="12" t="n">
        <x:v>0.4444444444444444</x:v>
      </x:c>
      <x:c r="H1531" s="12" t="n">
        <x:v>0.5555555555555556</x:v>
      </x:c>
      <x:c r="I1531" s="29" t="n">
        <x:f>'Assumptions'!$D$11+'Assumptions'!$D$12*(0.5-(G1531+H1531)/2)</x:f>
        <x:v>0.3</x:v>
      </x:c>
      <x:c r="J1531" s="27" t="n">
        <x:f>'Assumptions'!$D$8*EXP(-'Assumptions'!$D$9*('Fleet Engine'!E195-10))*'Assumptions'!E55*'Assumptions'!K36</x:f>
        <x:v>22255.409284924677</x:v>
      </x:c>
      <x:c r="K1531" s="27" t="n">
        <x:f>'Source Data'!F218+LN('Assumptions'!D55)+LN('Assumptions'!K35)</x:f>
        <x:v>7.909903025975467</x:v>
      </x:c>
      <x:c r="L1531" s="27" t="n">
        <x:f>J1531*(1-I1531*(1-'Carrier Engine'!E98))</x:f>
        <x:v>15845.85141086637</x:v>
      </x:c>
      <x:c r="M1531" s="29" t="n">
        <x:f>NORM.S.DIST((LN(L1531)-K1531)/'Assumptions'!$D$10,TRUE)</x:f>
        <x:v>0.8689318372553634</x:v>
      </x:c>
      <x:c r="N1531" s="30" t="n">
        <x:f>MAX(0,H1531-MAX(G1531,M1531))</x:f>
        <x:v>0</x:v>
      </x:c>
      <x:c r="O1531" s="28" t="n">
        <x:f>J1531*I1531</x:f>
        <x:v>6676.622785477403</x:v>
      </x:c>
      <x:c r="P1531" s="27" t="n">
        <x:f>(VLOOKUP(O1531,'Fee Data'!$C$6:$G$50,2,TRUE)+O1531*VLOOKUP(O1531,'Fee Data'!$C$6:$G$50,3,TRUE)+VLOOKUP(O1531,'Fee Data'!$I$6:$J$14,2,TRUE)+'Fee Data'!$J$20+'Fee Data'!$J$21)*'Assumptions'!K37</x:f>
        <x:v>1080</x:v>
      </x:c>
      <x:c r="Q1531" s="27" t="n">
        <x:f>(VLOOKUP(O1531,'Fee Data'!$C$6:$G$50,4,TRUE)+O1531*VLOOKUP(O1531,'Fee Data'!$C$6:$G$50,5,TRUE)+VLOOKUP(O1531,'Fee Data'!$I$6:$J$14,2,TRUE)+'Fee Data'!$J$20+'Fee Data'!$J$21)*'Assumptions'!K37</x:f>
        <x:v>955</x:v>
      </x:c>
      <x:c r="R1531" s="27" t="n">
        <x:f>P1531*(1-'Assumptions'!$D$14)+Q1531*'Assumptions'!$D$14</x:f>
        <x:v>1017.5</x:v>
      </x:c>
      <x:c r="S1531" s="27" t="n">
        <x:f>O1531*'Carrier Engine'!E98</x:f>
        <x:v>267.0649114190961</x:v>
      </x:c>
      <x:c r="T1531" s="28" t="n">
        <x:f>R1531+S1531</x:f>
        <x:v>1284.564911419096</x:v>
      </x:c>
      <x:c r="U1531" s="27" t="n">
        <x:f>N1531*'Fleet Engine'!M195</x:f>
        <x:v>0</x:v>
      </x:c>
      <x:c r="V1531" s="28" t="n">
        <x:f>U1531*T1531</x:f>
        <x:v>0</x:v>
      </x:c>
      <x:c r="W1531" s="28" t="n">
        <x:f>U1531*O1531</x:f>
        <x:v>0</x:v>
      </x:c>
    </x:row>
    <x:row r="1532" ht="19" customHeight="1">
      <x:c r="A1532" s="2"/>
      <x:c r="B1532" s="2"/>
      <x:c r="C1532" s="46" t="n">
        <x:v>7</x:v>
      </x:c>
      <x:c r="D1532" s="46" t="n">
        <x:v>1</x:v>
      </x:c>
      <x:c r="E1532" s="46" t="n">
        <x:v>0</x:v>
      </x:c>
      <x:c r="F1532" s="46" t="n">
        <x:v>1</x:v>
      </x:c>
      <x:c r="G1532" s="12" t="n">
        <x:v>0.5555555555555556</x:v>
      </x:c>
      <x:c r="H1532" s="12" t="n">
        <x:v>0.6666666666666666</x:v>
      </x:c>
      <x:c r="I1532" s="29" t="n">
        <x:f>'Assumptions'!$D$11+'Assumptions'!$D$12*(0.5-(G1532+H1532)/2)</x:f>
        <x:v>0.27777777777777773</x:v>
      </x:c>
      <x:c r="J1532" s="27" t="n">
        <x:f>'Assumptions'!$D$8*EXP(-'Assumptions'!$D$9*('Fleet Engine'!E195-10))*'Assumptions'!E55*'Assumptions'!K36</x:f>
        <x:v>22255.409284924677</x:v>
      </x:c>
      <x:c r="K1532" s="27" t="n">
        <x:f>'Source Data'!F218+LN('Assumptions'!D55)+LN('Assumptions'!K35)</x:f>
        <x:v>7.909903025975467</x:v>
      </x:c>
      <x:c r="L1532" s="27" t="n">
        <x:f>J1532*(1-I1532*(1-'Carrier Engine'!E98))</x:f>
        <x:v>16320.633475611432</x:v>
      </x:c>
      <x:c r="M1532" s="29" t="n">
        <x:f>NORM.S.DIST((LN(L1532)-K1532)/'Assumptions'!$D$10,TRUE)</x:f>
        <x:v>0.8728896986796358</x:v>
      </x:c>
      <x:c r="N1532" s="30" t="n">
        <x:f>MAX(0,H1532-MAX(G1532,M1532))</x:f>
        <x:v>0</x:v>
      </x:c>
      <x:c r="O1532" s="28" t="n">
        <x:f>J1532*I1532</x:f>
        <x:v>6182.0581347012985</x:v>
      </x:c>
      <x:c r="P1532" s="27" t="n">
        <x:f>(VLOOKUP(O1532,'Fee Data'!$C$6:$G$50,2,TRUE)+O1532*VLOOKUP(O1532,'Fee Data'!$C$6:$G$50,3,TRUE)+VLOOKUP(O1532,'Fee Data'!$I$6:$J$14,2,TRUE)+'Fee Data'!$J$20+'Fee Data'!$J$21)*'Assumptions'!K37</x:f>
        <x:v>1060</x:v>
      </x:c>
      <x:c r="Q1532" s="27" t="n">
        <x:f>(VLOOKUP(O1532,'Fee Data'!$C$6:$G$50,4,TRUE)+O1532*VLOOKUP(O1532,'Fee Data'!$C$6:$G$50,5,TRUE)+VLOOKUP(O1532,'Fee Data'!$I$6:$J$14,2,TRUE)+'Fee Data'!$J$20+'Fee Data'!$J$21)*'Assumptions'!K37</x:f>
        <x:v>935</x:v>
      </x:c>
      <x:c r="R1532" s="27" t="n">
        <x:f>P1532*(1-'Assumptions'!$D$14)+Q1532*'Assumptions'!$D$14</x:f>
        <x:v>997.5</x:v>
      </x:c>
      <x:c r="S1532" s="27" t="n">
        <x:f>O1532*'Carrier Engine'!E98</x:f>
        <x:v>247.2823253880519</x:v>
      </x:c>
      <x:c r="T1532" s="28" t="n">
        <x:f>R1532+S1532</x:f>
        <x:v>1244.782325388052</x:v>
      </x:c>
      <x:c r="U1532" s="27" t="n">
        <x:f>N1532*'Fleet Engine'!M195</x:f>
        <x:v>0</x:v>
      </x:c>
      <x:c r="V1532" s="28" t="n">
        <x:f>U1532*T1532</x:f>
        <x:v>0</x:v>
      </x:c>
      <x:c r="W1532" s="28" t="n">
        <x:f>U1532*O1532</x:f>
        <x:v>0</x:v>
      </x:c>
    </x:row>
    <x:row r="1533" ht="19" customHeight="1">
      <x:c r="A1533" s="2"/>
      <x:c r="B1533" s="2"/>
      <x:c r="C1533" s="46" t="n">
        <x:v>7</x:v>
      </x:c>
      <x:c r="D1533" s="46" t="n">
        <x:v>1</x:v>
      </x:c>
      <x:c r="E1533" s="46" t="n">
        <x:v>0</x:v>
      </x:c>
      <x:c r="F1533" s="46" t="n">
        <x:v>1</x:v>
      </x:c>
      <x:c r="G1533" s="12" t="n">
        <x:v>0.6666666666666666</x:v>
      </x:c>
      <x:c r="H1533" s="12" t="n">
        <x:v>0.7777777777777778</x:v>
      </x:c>
      <x:c r="I1533" s="29" t="n">
        <x:f>'Assumptions'!$D$11+'Assumptions'!$D$12*(0.5-(G1533+H1533)/2)</x:f>
        <x:v>0.25555555555555554</x:v>
      </x:c>
      <x:c r="J1533" s="27" t="n">
        <x:f>'Assumptions'!$D$8*EXP(-'Assumptions'!$D$9*('Fleet Engine'!E195-10))*'Assumptions'!E55*'Assumptions'!K36</x:f>
        <x:v>22255.409284924677</x:v>
      </x:c>
      <x:c r="K1533" s="27" t="n">
        <x:f>'Source Data'!F218+LN('Assumptions'!D55)+LN('Assumptions'!K35)</x:f>
        <x:v>7.909903025975467</x:v>
      </x:c>
      <x:c r="L1533" s="27" t="n">
        <x:f>J1533*(1-I1533*(1-'Carrier Engine'!E98))</x:f>
        <x:v>16795.41554035649</x:v>
      </x:c>
      <x:c r="M1533" s="29" t="n">
        <x:f>NORM.S.DIST((LN(L1533)-K1533)/'Assumptions'!$D$10,TRUE)</x:f>
        <x:v>0.8766536909691995</x:v>
      </x:c>
      <x:c r="N1533" s="30" t="n">
        <x:f>MAX(0,H1533-MAX(G1533,M1533))</x:f>
        <x:v>0</x:v>
      </x:c>
      <x:c r="O1533" s="28" t="n">
        <x:f>J1533*I1533</x:f>
        <x:v>5687.493483925195</x:v>
      </x:c>
      <x:c r="P1533" s="27" t="n">
        <x:f>(VLOOKUP(O1533,'Fee Data'!$C$6:$G$50,2,TRUE)+O1533*VLOOKUP(O1533,'Fee Data'!$C$6:$G$50,3,TRUE)+VLOOKUP(O1533,'Fee Data'!$I$6:$J$14,2,TRUE)+'Fee Data'!$J$20+'Fee Data'!$J$21)*'Assumptions'!K37</x:f>
        <x:v>1020</x:v>
      </x:c>
      <x:c r="Q1533" s="27" t="n">
        <x:f>(VLOOKUP(O1533,'Fee Data'!$C$6:$G$50,4,TRUE)+O1533*VLOOKUP(O1533,'Fee Data'!$C$6:$G$50,5,TRUE)+VLOOKUP(O1533,'Fee Data'!$I$6:$J$14,2,TRUE)+'Fee Data'!$J$20+'Fee Data'!$J$21)*'Assumptions'!K37</x:f>
        <x:v>895</x:v>
      </x:c>
      <x:c r="R1533" s="27" t="n">
        <x:f>P1533*(1-'Assumptions'!$D$14)+Q1533*'Assumptions'!$D$14</x:f>
        <x:v>957.5</x:v>
      </x:c>
      <x:c r="S1533" s="27" t="n">
        <x:f>O1533*'Carrier Engine'!E98</x:f>
        <x:v>227.49973935700774</x:v>
      </x:c>
      <x:c r="T1533" s="28" t="n">
        <x:f>R1533+S1533</x:f>
        <x:v>1184.9997393570077</x:v>
      </x:c>
      <x:c r="U1533" s="27" t="n">
        <x:f>N1533*'Fleet Engine'!M195</x:f>
        <x:v>0</x:v>
      </x:c>
      <x:c r="V1533" s="28" t="n">
        <x:f>U1533*T1533</x:f>
        <x:v>0</x:v>
      </x:c>
      <x:c r="W1533" s="28" t="n">
        <x:f>U1533*O1533</x:f>
        <x:v>0</x:v>
      </x:c>
    </x:row>
    <x:row r="1534" ht="19" customHeight="1">
      <x:c r="A1534" s="2"/>
      <x:c r="B1534" s="2"/>
      <x:c r="C1534" s="46" t="n">
        <x:v>7</x:v>
      </x:c>
      <x:c r="D1534" s="46" t="n">
        <x:v>1</x:v>
      </x:c>
      <x:c r="E1534" s="46" t="n">
        <x:v>0</x:v>
      </x:c>
      <x:c r="F1534" s="46" t="n">
        <x:v>1</x:v>
      </x:c>
      <x:c r="G1534" s="12" t="n">
        <x:v>0.7777777777777778</x:v>
      </x:c>
      <x:c r="H1534" s="12" t="n">
        <x:v>0.8888888888888888</x:v>
      </x:c>
      <x:c r="I1534" s="29" t="n">
        <x:f>'Assumptions'!$D$11+'Assumptions'!$D$12*(0.5-(G1534+H1534)/2)</x:f>
        <x:v>0.23333333333333334</x:v>
      </x:c>
      <x:c r="J1534" s="27" t="n">
        <x:f>'Assumptions'!$D$8*EXP(-'Assumptions'!$D$9*('Fleet Engine'!E195-10))*'Assumptions'!E55*'Assumptions'!K36</x:f>
        <x:v>22255.409284924677</x:v>
      </x:c>
      <x:c r="K1534" s="27" t="n">
        <x:f>'Source Data'!F218+LN('Assumptions'!D55)+LN('Assumptions'!K35)</x:f>
        <x:v>7.909903025975467</x:v>
      </x:c>
      <x:c r="L1534" s="27" t="n">
        <x:f>J1534*(1-I1534*(1-'Carrier Engine'!E98))</x:f>
        <x:v>17270.19760510155</x:v>
      </x:c>
      <x:c r="M1534" s="29" t="n">
        <x:f>NORM.S.DIST((LN(L1534)-K1534)/'Assumptions'!$D$10,TRUE)</x:f>
        <x:v>0.880237219264955</x:v>
      </x:c>
      <x:c r="N1534" s="30" t="n">
        <x:f>MAX(0,H1534-MAX(G1534,M1534))</x:f>
        <x:v>0.008651669623933822</x:v>
      </x:c>
      <x:c r="O1534" s="28" t="n">
        <x:f>J1534*I1534</x:f>
        <x:v>5192.928833149092</x:v>
      </x:c>
      <x:c r="P1534" s="27" t="n">
        <x:f>(VLOOKUP(O1534,'Fee Data'!$C$6:$G$50,2,TRUE)+O1534*VLOOKUP(O1534,'Fee Data'!$C$6:$G$50,3,TRUE)+VLOOKUP(O1534,'Fee Data'!$I$6:$J$14,2,TRUE)+'Fee Data'!$J$20+'Fee Data'!$J$21)*'Assumptions'!K37</x:f>
        <x:v>995</x:v>
      </x:c>
      <x:c r="Q1534" s="27" t="n">
        <x:f>(VLOOKUP(O1534,'Fee Data'!$C$6:$G$50,4,TRUE)+O1534*VLOOKUP(O1534,'Fee Data'!$C$6:$G$50,5,TRUE)+VLOOKUP(O1534,'Fee Data'!$I$6:$J$14,2,TRUE)+'Fee Data'!$J$20+'Fee Data'!$J$21)*'Assumptions'!K37</x:f>
        <x:v>870</x:v>
      </x:c>
      <x:c r="R1534" s="27" t="n">
        <x:f>P1534*(1-'Assumptions'!$D$14)+Q1534*'Assumptions'!$D$14</x:f>
        <x:v>932.5</x:v>
      </x:c>
      <x:c r="S1534" s="27" t="n">
        <x:f>O1534*'Carrier Engine'!E98</x:f>
        <x:v>207.71715332596364</x:v>
      </x:c>
      <x:c r="T1534" s="28" t="n">
        <x:f>R1534+S1534</x:f>
        <x:v>1140.2171533259636</x:v>
      </x:c>
      <x:c r="U1534" s="27" t="n">
        <x:f>N1534*'Fleet Engine'!M195</x:f>
        <x:v>75.74114166540826</x:v>
      </x:c>
      <x:c r="V1534" s="28" t="n">
        <x:f>U1534*T1534</x:f>
        <x:v>86361.34893939034</x:v>
      </x:c>
      <x:c r="W1534" s="28" t="n">
        <x:f>U1534*O1534</x:f>
        <x:v>393318.35840992857</x:v>
      </x:c>
    </x:row>
    <x:row r="1535" ht="19" customHeight="1">
      <x:c r="A1535" s="2"/>
      <x:c r="B1535" s="2"/>
      <x:c r="C1535" s="46" t="n">
        <x:v>7</x:v>
      </x:c>
      <x:c r="D1535" s="46" t="n">
        <x:v>1</x:v>
      </x:c>
      <x:c r="E1535" s="46" t="n">
        <x:v>0</x:v>
      </x:c>
      <x:c r="F1535" s="46" t="n">
        <x:v>1</x:v>
      </x:c>
      <x:c r="G1535" s="12" t="n">
        <x:v>0.8888888888888888</x:v>
      </x:c>
      <x:c r="H1535" s="12" t="n">
        <x:v>1</x:v>
      </x:c>
      <x:c r="I1535" s="29" t="n">
        <x:f>'Assumptions'!$D$11+'Assumptions'!$D$12*(0.5-(G1535+H1535)/2)</x:f>
        <x:v>0.21111111111111108</x:v>
      </x:c>
      <x:c r="J1535" s="27" t="n">
        <x:f>'Assumptions'!$D$8*EXP(-'Assumptions'!$D$9*('Fleet Engine'!E195-10))*'Assumptions'!E55*'Assumptions'!K36</x:f>
        <x:v>22255.409284924677</x:v>
      </x:c>
      <x:c r="K1535" s="27" t="n">
        <x:f>'Source Data'!F218+LN('Assumptions'!D55)+LN('Assumptions'!K35)</x:f>
        <x:v>7.909903025975467</x:v>
      </x:c>
      <x:c r="L1535" s="27" t="n">
        <x:f>J1535*(1-I1535*(1-'Carrier Engine'!E98))</x:f>
        <x:v>17744.97966984661</x:v>
      </x:c>
      <x:c r="M1535" s="29" t="n">
        <x:f>NORM.S.DIST((LN(L1535)-K1535)/'Assumptions'!$D$10,TRUE)</x:f>
        <x:v>0.8836524867448694</x:v>
      </x:c>
      <x:c r="N1535" s="30" t="n">
        <x:f>MAX(0,H1535-MAX(G1535,M1535))</x:f>
        <x:v>0.11111111111111116</x:v>
      </x:c>
      <x:c r="O1535" s="28" t="n">
        <x:f>J1535*I1535</x:f>
        <x:v>4698.364182372987</x:v>
      </x:c>
      <x:c r="P1535" s="27" t="n">
        <x:f>(VLOOKUP(O1535,'Fee Data'!$C$6:$G$50,2,TRUE)+O1535*VLOOKUP(O1535,'Fee Data'!$C$6:$G$50,3,TRUE)+VLOOKUP(O1535,'Fee Data'!$I$6:$J$14,2,TRUE)+'Fee Data'!$J$20+'Fee Data'!$J$21)*'Assumptions'!K37</x:f>
        <x:v>970</x:v>
      </x:c>
      <x:c r="Q1535" s="27" t="n">
        <x:f>(VLOOKUP(O1535,'Fee Data'!$C$6:$G$50,4,TRUE)+O1535*VLOOKUP(O1535,'Fee Data'!$C$6:$G$50,5,TRUE)+VLOOKUP(O1535,'Fee Data'!$I$6:$J$14,2,TRUE)+'Fee Data'!$J$20+'Fee Data'!$J$21)*'Assumptions'!K37</x:f>
        <x:v>845</x:v>
      </x:c>
      <x:c r="R1535" s="27" t="n">
        <x:f>P1535*(1-'Assumptions'!$D$14)+Q1535*'Assumptions'!$D$14</x:f>
        <x:v>907.5</x:v>
      </x:c>
      <x:c r="S1535" s="27" t="n">
        <x:f>O1535*'Carrier Engine'!E98</x:f>
        <x:v>187.93456729491945</x:v>
      </x:c>
      <x:c r="T1535" s="28" t="n">
        <x:f>R1535+S1535</x:f>
        <x:v>1095.4345672949194</x:v>
      </x:c>
      <x:c r="U1535" s="27" t="n">
        <x:f>N1535*'Fleet Engine'!M195</x:f>
        <x:v>972.7235057596972</x:v>
      </x:c>
      <x:c r="V1535" s="28" t="n">
        <x:f>U1535*T1535</x:f>
        <x:v>1065554.952629471</x:v>
      </x:c>
      <x:c r="W1535" s="28" t="n">
        <x:f>U1535*O1535</x:f>
        <x:v>4570209.278813645</x:v>
      </x:c>
    </x:row>
    <x:row r="1536" ht="19" customHeight="1">
      <x:c r="A1536" s="2"/>
      <x:c r="B1536" s="2"/>
      <x:c r="C1536" s="46" t="n">
        <x:v>7</x:v>
      </x:c>
      <x:c r="D1536" s="46" t="n">
        <x:v>2</x:v>
      </x:c>
      <x:c r="E1536" s="46" t="n">
        <x:v>0</x:v>
      </x:c>
      <x:c r="F1536" s="46" t="n">
        <x:v>2</x:v>
      </x:c>
      <x:c r="G1536" s="12" t="n">
        <x:v>0</x:v>
      </x:c>
      <x:c r="H1536" s="12" t="n">
        <x:v>0.1111111111111111</x:v>
      </x:c>
      <x:c r="I1536" s="29" t="n">
        <x:f>'Assumptions'!$D$11+'Assumptions'!$D$12*(0.5-(G1536+H1536)/2)</x:f>
        <x:v>0.3888888888888889</x:v>
      </x:c>
      <x:c r="J1536" s="27" t="n">
        <x:f>'Assumptions'!$D$8*EXP(-'Assumptions'!$D$9*('Fleet Engine'!E196-10))*'Assumptions'!E55*'Assumptions'!K36</x:f>
        <x:v>16487.212707001283</x:v>
      </x:c>
      <x:c r="K1536" s="27" t="n">
        <x:f>'Source Data'!F219+LN('Assumptions'!D55)+LN('Assumptions'!K35)</x:f>
        <x:v>7.955584867261274</x:v>
      </x:c>
      <x:c r="L1536" s="27" t="n">
        <x:f>J1536*(1-I1536*(1-'Carrier Engine'!E98))</x:f>
        <x:v>10331.986629720805</x:v>
      </x:c>
      <x:c r="M1536" s="29" t="n">
        <x:f>NORM.S.DIST((LN(L1536)-K1536)/'Assumptions'!$D$10,TRUE)</x:f>
        <x:v>0.7938640109511643</x:v>
      </x:c>
      <x:c r="N1536" s="30" t="n">
        <x:f>MAX(0,H1536-MAX(G1536,M1536))</x:f>
        <x:v>0</x:v>
      </x:c>
      <x:c r="O1536" s="28" t="n">
        <x:f>J1536*I1536</x:f>
        <x:v>6411.693830500499</x:v>
      </x:c>
      <x:c r="P1536" s="27" t="n">
        <x:f>(VLOOKUP(O1536,'Fee Data'!$C$6:$G$50,2,TRUE)+O1536*VLOOKUP(O1536,'Fee Data'!$C$6:$G$50,3,TRUE)+VLOOKUP(O1536,'Fee Data'!$I$6:$J$14,2,TRUE)+'Fee Data'!$J$20+'Fee Data'!$J$21)*'Assumptions'!K37</x:f>
        <x:v>1060</x:v>
      </x:c>
      <x:c r="Q1536" s="27" t="n">
        <x:f>(VLOOKUP(O1536,'Fee Data'!$C$6:$G$50,4,TRUE)+O1536*VLOOKUP(O1536,'Fee Data'!$C$6:$G$50,5,TRUE)+VLOOKUP(O1536,'Fee Data'!$I$6:$J$14,2,TRUE)+'Fee Data'!$J$20+'Fee Data'!$J$21)*'Assumptions'!K37</x:f>
        <x:v>935</x:v>
      </x:c>
      <x:c r="R1536" s="27" t="n">
        <x:f>P1536*(1-'Assumptions'!$D$14)+Q1536*'Assumptions'!$D$14</x:f>
        <x:v>997.5</x:v>
      </x:c>
      <x:c r="S1536" s="27" t="n">
        <x:f>O1536*'Carrier Engine'!E98</x:f>
        <x:v>256.4677532200199</x:v>
      </x:c>
      <x:c r="T1536" s="28" t="n">
        <x:f>R1536+S1536</x:f>
        <x:v>1253.9677532200199</x:v>
      </x:c>
      <x:c r="U1536" s="27" t="n">
        <x:f>N1536*'Fleet Engine'!M196</x:f>
        <x:v>0</x:v>
      </x:c>
      <x:c r="V1536" s="28" t="n">
        <x:f>U1536*T1536</x:f>
        <x:v>0</x:v>
      </x:c>
      <x:c r="W1536" s="28" t="n">
        <x:f>U1536*O1536</x:f>
        <x:v>0</x:v>
      </x:c>
    </x:row>
    <x:row r="1537" ht="19" customHeight="1">
      <x:c r="A1537" s="2"/>
      <x:c r="B1537" s="2"/>
      <x:c r="C1537" s="46" t="n">
        <x:v>7</x:v>
      </x:c>
      <x:c r="D1537" s="46" t="n">
        <x:v>2</x:v>
      </x:c>
      <x:c r="E1537" s="46" t="n">
        <x:v>0</x:v>
      </x:c>
      <x:c r="F1537" s="46" t="n">
        <x:v>2</x:v>
      </x:c>
      <x:c r="G1537" s="12" t="n">
        <x:v>0.1111111111111111</x:v>
      </x:c>
      <x:c r="H1537" s="12" t="n">
        <x:v>0.2222222222222222</x:v>
      </x:c>
      <x:c r="I1537" s="29" t="n">
        <x:f>'Assumptions'!$D$11+'Assumptions'!$D$12*(0.5-(G1537+H1537)/2)</x:f>
        <x:v>0.3666666666666667</x:v>
      </x:c>
      <x:c r="J1537" s="27" t="n">
        <x:f>'Assumptions'!$D$8*EXP(-'Assumptions'!$D$9*('Fleet Engine'!E196-10))*'Assumptions'!E55*'Assumptions'!K36</x:f>
        <x:v>16487.212707001283</x:v>
      </x:c>
      <x:c r="K1537" s="27" t="n">
        <x:f>'Source Data'!F219+LN('Assumptions'!D55)+LN('Assumptions'!K35)</x:f>
        <x:v>7.955584867261274</x:v>
      </x:c>
      <x:c r="L1537" s="27" t="n">
        <x:f>J1537*(1-I1537*(1-'Carrier Engine'!E98))</x:f>
        <x:v>10683.71383413683</x:v>
      </x:c>
      <x:c r="M1537" s="29" t="n">
        <x:f>NORM.S.DIST((LN(L1537)-K1537)/'Assumptions'!$D$10,TRUE)</x:f>
        <x:v>0.7998880565872375</x:v>
      </x:c>
      <x:c r="N1537" s="30" t="n">
        <x:f>MAX(0,H1537-MAX(G1537,M1537))</x:f>
        <x:v>0</x:v>
      </x:c>
      <x:c r="O1537" s="28" t="n">
        <x:f>J1537*I1537</x:f>
        <x:v>6045.311325900471</x:v>
      </x:c>
      <x:c r="P1537" s="27" t="n">
        <x:f>(VLOOKUP(O1537,'Fee Data'!$C$6:$G$50,2,TRUE)+O1537*VLOOKUP(O1537,'Fee Data'!$C$6:$G$50,3,TRUE)+VLOOKUP(O1537,'Fee Data'!$I$6:$J$14,2,TRUE)+'Fee Data'!$J$20+'Fee Data'!$J$21)*'Assumptions'!K37</x:f>
        <x:v>1060</x:v>
      </x:c>
      <x:c r="Q1537" s="27" t="n">
        <x:f>(VLOOKUP(O1537,'Fee Data'!$C$6:$G$50,4,TRUE)+O1537*VLOOKUP(O1537,'Fee Data'!$C$6:$G$50,5,TRUE)+VLOOKUP(O1537,'Fee Data'!$I$6:$J$14,2,TRUE)+'Fee Data'!$J$20+'Fee Data'!$J$21)*'Assumptions'!K37</x:f>
        <x:v>935</x:v>
      </x:c>
      <x:c r="R1537" s="27" t="n">
        <x:f>P1537*(1-'Assumptions'!$D$14)+Q1537*'Assumptions'!$D$14</x:f>
        <x:v>997.5</x:v>
      </x:c>
      <x:c r="S1537" s="27" t="n">
        <x:f>O1537*'Carrier Engine'!E98</x:f>
        <x:v>241.8124530360188</x:v>
      </x:c>
      <x:c r="T1537" s="28" t="n">
        <x:f>R1537+S1537</x:f>
        <x:v>1239.3124530360187</x:v>
      </x:c>
      <x:c r="U1537" s="27" t="n">
        <x:f>N1537*'Fleet Engine'!M196</x:f>
        <x:v>0</x:v>
      </x:c>
      <x:c r="V1537" s="28" t="n">
        <x:f>U1537*T1537</x:f>
        <x:v>0</x:v>
      </x:c>
      <x:c r="W1537" s="28" t="n">
        <x:f>U1537*O1537</x:f>
        <x:v>0</x:v>
      </x:c>
    </x:row>
    <x:row r="1538" ht="19" customHeight="1">
      <x:c r="A1538" s="2"/>
      <x:c r="B1538" s="2"/>
      <x:c r="C1538" s="46" t="n">
        <x:v>7</x:v>
      </x:c>
      <x:c r="D1538" s="46" t="n">
        <x:v>2</x:v>
      </x:c>
      <x:c r="E1538" s="46" t="n">
        <x:v>0</x:v>
      </x:c>
      <x:c r="F1538" s="46" t="n">
        <x:v>2</x:v>
      </x:c>
      <x:c r="G1538" s="12" t="n">
        <x:v>0.2222222222222222</x:v>
      </x:c>
      <x:c r="H1538" s="12" t="n">
        <x:v>0.3333333333333333</x:v>
      </x:c>
      <x:c r="I1538" s="29" t="n">
        <x:f>'Assumptions'!$D$11+'Assumptions'!$D$12*(0.5-(G1538+H1538)/2)</x:f>
        <x:v>0.34444444444444444</x:v>
      </x:c>
      <x:c r="J1538" s="27" t="n">
        <x:f>'Assumptions'!$D$8*EXP(-'Assumptions'!$D$9*('Fleet Engine'!E196-10))*'Assumptions'!E55*'Assumptions'!K36</x:f>
        <x:v>16487.212707001283</x:v>
      </x:c>
      <x:c r="K1538" s="27" t="n">
        <x:f>'Source Data'!F219+LN('Assumptions'!D55)+LN('Assumptions'!K35)</x:f>
        <x:v>7.955584867261274</x:v>
      </x:c>
      <x:c r="L1538" s="27" t="n">
        <x:f>J1538*(1-I1538*(1-'Carrier Engine'!E98))</x:f>
        <x:v>11035.441038552859</x:v>
      </x:c>
      <x:c r="M1538" s="29" t="n">
        <x:f>NORM.S.DIST((LN(L1538)-K1538)/'Assumptions'!$D$10,TRUE)</x:f>
        <x:v>0.8056150406948284</x:v>
      </x:c>
      <x:c r="N1538" s="30" t="n">
        <x:f>MAX(0,H1538-MAX(G1538,M1538))</x:f>
        <x:v>0</x:v>
      </x:c>
      <x:c r="O1538" s="28" t="n">
        <x:f>J1538*I1538</x:f>
        <x:v>5678.928821300442</x:v>
      </x:c>
      <x:c r="P1538" s="27" t="n">
        <x:f>(VLOOKUP(O1538,'Fee Data'!$C$6:$G$50,2,TRUE)+O1538*VLOOKUP(O1538,'Fee Data'!$C$6:$G$50,3,TRUE)+VLOOKUP(O1538,'Fee Data'!$I$6:$J$14,2,TRUE)+'Fee Data'!$J$20+'Fee Data'!$J$21)*'Assumptions'!K37</x:f>
        <x:v>1020</x:v>
      </x:c>
      <x:c r="Q1538" s="27" t="n">
        <x:f>(VLOOKUP(O1538,'Fee Data'!$C$6:$G$50,4,TRUE)+O1538*VLOOKUP(O1538,'Fee Data'!$C$6:$G$50,5,TRUE)+VLOOKUP(O1538,'Fee Data'!$I$6:$J$14,2,TRUE)+'Fee Data'!$J$20+'Fee Data'!$J$21)*'Assumptions'!K37</x:f>
        <x:v>895</x:v>
      </x:c>
      <x:c r="R1538" s="27" t="n">
        <x:f>P1538*(1-'Assumptions'!$D$14)+Q1538*'Assumptions'!$D$14</x:f>
        <x:v>957.5</x:v>
      </x:c>
      <x:c r="S1538" s="27" t="n">
        <x:f>O1538*'Carrier Engine'!E98</x:f>
        <x:v>227.15715285201765</x:v>
      </x:c>
      <x:c r="T1538" s="28" t="n">
        <x:f>R1538+S1538</x:f>
        <x:v>1184.6571528520176</x:v>
      </x:c>
      <x:c r="U1538" s="27" t="n">
        <x:f>N1538*'Fleet Engine'!M196</x:f>
        <x:v>0</x:v>
      </x:c>
      <x:c r="V1538" s="28" t="n">
        <x:f>U1538*T1538</x:f>
        <x:v>0</x:v>
      </x:c>
      <x:c r="W1538" s="28" t="n">
        <x:f>U1538*O1538</x:f>
        <x:v>0</x:v>
      </x:c>
    </x:row>
    <x:row r="1539" ht="19" customHeight="1">
      <x:c r="A1539" s="2"/>
      <x:c r="B1539" s="2"/>
      <x:c r="C1539" s="46" t="n">
        <x:v>7</x:v>
      </x:c>
      <x:c r="D1539" s="46" t="n">
        <x:v>2</x:v>
      </x:c>
      <x:c r="E1539" s="46" t="n">
        <x:v>0</x:v>
      </x:c>
      <x:c r="F1539" s="46" t="n">
        <x:v>2</x:v>
      </x:c>
      <x:c r="G1539" s="12" t="n">
        <x:v>0.3333333333333333</x:v>
      </x:c>
      <x:c r="H1539" s="12" t="n">
        <x:v>0.4444444444444444</x:v>
      </x:c>
      <x:c r="I1539" s="29" t="n">
        <x:f>'Assumptions'!$D$11+'Assumptions'!$D$12*(0.5-(G1539+H1539)/2)</x:f>
        <x:v>0.32222222222222224</x:v>
      </x:c>
      <x:c r="J1539" s="27" t="n">
        <x:f>'Assumptions'!$D$8*EXP(-'Assumptions'!$D$9*('Fleet Engine'!E196-10))*'Assumptions'!E55*'Assumptions'!K36</x:f>
        <x:v>16487.212707001283</x:v>
      </x:c>
      <x:c r="K1539" s="27" t="n">
        <x:f>'Source Data'!F219+LN('Assumptions'!D55)+LN('Assumptions'!K35)</x:f>
        <x:v>7.955584867261274</x:v>
      </x:c>
      <x:c r="L1539" s="27" t="n">
        <x:f>J1539*(1-I1539*(1-'Carrier Engine'!E98))</x:f>
        <x:v>11387.168242968886</x:v>
      </x:c>
      <x:c r="M1539" s="29" t="n">
        <x:f>NORM.S.DIST((LN(L1539)-K1539)/'Assumptions'!$D$10,TRUE)</x:f>
        <x:v>0.8110661143853564</x:v>
      </x:c>
      <x:c r="N1539" s="30" t="n">
        <x:f>MAX(0,H1539-MAX(G1539,M1539))</x:f>
        <x:v>0</x:v>
      </x:c>
      <x:c r="O1539" s="28" t="n">
        <x:f>J1539*I1539</x:f>
        <x:v>5312.546316700414</x:v>
      </x:c>
      <x:c r="P1539" s="27" t="n">
        <x:f>(VLOOKUP(O1539,'Fee Data'!$C$6:$G$50,2,TRUE)+O1539*VLOOKUP(O1539,'Fee Data'!$C$6:$G$50,3,TRUE)+VLOOKUP(O1539,'Fee Data'!$I$6:$J$14,2,TRUE)+'Fee Data'!$J$20+'Fee Data'!$J$21)*'Assumptions'!K37</x:f>
        <x:v>995</x:v>
      </x:c>
      <x:c r="Q1539" s="27" t="n">
        <x:f>(VLOOKUP(O1539,'Fee Data'!$C$6:$G$50,4,TRUE)+O1539*VLOOKUP(O1539,'Fee Data'!$C$6:$G$50,5,TRUE)+VLOOKUP(O1539,'Fee Data'!$I$6:$J$14,2,TRUE)+'Fee Data'!$J$20+'Fee Data'!$J$21)*'Assumptions'!K37</x:f>
        <x:v>870</x:v>
      </x:c>
      <x:c r="R1539" s="27" t="n">
        <x:f>P1539*(1-'Assumptions'!$D$14)+Q1539*'Assumptions'!$D$14</x:f>
        <x:v>932.5</x:v>
      </x:c>
      <x:c r="S1539" s="27" t="n">
        <x:f>O1539*'Carrier Engine'!E98</x:f>
        <x:v>212.5018526680165</x:v>
      </x:c>
      <x:c r="T1539" s="28" t="n">
        <x:f>R1539+S1539</x:f>
        <x:v>1145.0018526680165</x:v>
      </x:c>
      <x:c r="U1539" s="27" t="n">
        <x:f>N1539*'Fleet Engine'!M196</x:f>
        <x:v>0</x:v>
      </x:c>
      <x:c r="V1539" s="28" t="n">
        <x:f>U1539*T1539</x:f>
        <x:v>0</x:v>
      </x:c>
      <x:c r="W1539" s="28" t="n">
        <x:f>U1539*O1539</x:f>
        <x:v>0</x:v>
      </x:c>
    </x:row>
    <x:row r="1540" ht="19" customHeight="1">
      <x:c r="A1540" s="2"/>
      <x:c r="B1540" s="2"/>
      <x:c r="C1540" s="46" t="n">
        <x:v>7</x:v>
      </x:c>
      <x:c r="D1540" s="46" t="n">
        <x:v>2</x:v>
      </x:c>
      <x:c r="E1540" s="46" t="n">
        <x:v>0</x:v>
      </x:c>
      <x:c r="F1540" s="46" t="n">
        <x:v>2</x:v>
      </x:c>
      <x:c r="G1540" s="12" t="n">
        <x:v>0.4444444444444444</x:v>
      </x:c>
      <x:c r="H1540" s="12" t="n">
        <x:v>0.5555555555555556</x:v>
      </x:c>
      <x:c r="I1540" s="29" t="n">
        <x:f>'Assumptions'!$D$11+'Assumptions'!$D$12*(0.5-(G1540+H1540)/2)</x:f>
        <x:v>0.3</x:v>
      </x:c>
      <x:c r="J1540" s="27" t="n">
        <x:f>'Assumptions'!$D$8*EXP(-'Assumptions'!$D$9*('Fleet Engine'!E196-10))*'Assumptions'!E55*'Assumptions'!K36</x:f>
        <x:v>16487.212707001283</x:v>
      </x:c>
      <x:c r="K1540" s="27" t="n">
        <x:f>'Source Data'!F219+LN('Assumptions'!D55)+LN('Assumptions'!K35)</x:f>
        <x:v>7.955584867261274</x:v>
      </x:c>
      <x:c r="L1540" s="27" t="n">
        <x:f>J1540*(1-I1540*(1-'Carrier Engine'!E98))</x:f>
        <x:v>11738.895447384913</x:v>
      </x:c>
      <x:c r="M1540" s="29" t="n">
        <x:f>NORM.S.DIST((LN(L1540)-K1540)/'Assumptions'!$D$10,TRUE)</x:f>
        <x:v>0.816260449587562</x:v>
      </x:c>
      <x:c r="N1540" s="30" t="n">
        <x:f>MAX(0,H1540-MAX(G1540,M1540))</x:f>
        <x:v>0</x:v>
      </x:c>
      <x:c r="O1540" s="28" t="n">
        <x:f>J1540*I1540</x:f>
        <x:v>4946.163812100384</x:v>
      </x:c>
      <x:c r="P1540" s="27" t="n">
        <x:f>(VLOOKUP(O1540,'Fee Data'!$C$6:$G$50,2,TRUE)+O1540*VLOOKUP(O1540,'Fee Data'!$C$6:$G$50,3,TRUE)+VLOOKUP(O1540,'Fee Data'!$I$6:$J$14,2,TRUE)+'Fee Data'!$J$20+'Fee Data'!$J$21)*'Assumptions'!K37</x:f>
        <x:v>970</x:v>
      </x:c>
      <x:c r="Q1540" s="27" t="n">
        <x:f>(VLOOKUP(O1540,'Fee Data'!$C$6:$G$50,4,TRUE)+O1540*VLOOKUP(O1540,'Fee Data'!$C$6:$G$50,5,TRUE)+VLOOKUP(O1540,'Fee Data'!$I$6:$J$14,2,TRUE)+'Fee Data'!$J$20+'Fee Data'!$J$21)*'Assumptions'!K37</x:f>
        <x:v>845</x:v>
      </x:c>
      <x:c r="R1540" s="27" t="n">
        <x:f>P1540*(1-'Assumptions'!$D$14)+Q1540*'Assumptions'!$D$14</x:f>
        <x:v>907.5</x:v>
      </x:c>
      <x:c r="S1540" s="27" t="n">
        <x:f>O1540*'Carrier Engine'!E98</x:f>
        <x:v>197.84655248401535</x:v>
      </x:c>
      <x:c r="T1540" s="28" t="n">
        <x:f>R1540+S1540</x:f>
        <x:v>1105.3465524840153</x:v>
      </x:c>
      <x:c r="U1540" s="27" t="n">
        <x:f>N1540*'Fleet Engine'!M196</x:f>
        <x:v>0</x:v>
      </x:c>
      <x:c r="V1540" s="28" t="n">
        <x:f>U1540*T1540</x:f>
        <x:v>0</x:v>
      </x:c>
      <x:c r="W1540" s="28" t="n">
        <x:f>U1540*O1540</x:f>
        <x:v>0</x:v>
      </x:c>
    </x:row>
    <x:row r="1541" ht="19" customHeight="1">
      <x:c r="A1541" s="2"/>
      <x:c r="B1541" s="2"/>
      <x:c r="C1541" s="46" t="n">
        <x:v>7</x:v>
      </x:c>
      <x:c r="D1541" s="46" t="n">
        <x:v>2</x:v>
      </x:c>
      <x:c r="E1541" s="46" t="n">
        <x:v>0</x:v>
      </x:c>
      <x:c r="F1541" s="46" t="n">
        <x:v>2</x:v>
      </x:c>
      <x:c r="G1541" s="12" t="n">
        <x:v>0.5555555555555556</x:v>
      </x:c>
      <x:c r="H1541" s="12" t="n">
        <x:v>0.6666666666666666</x:v>
      </x:c>
      <x:c r="I1541" s="29" t="n">
        <x:f>'Assumptions'!$D$11+'Assumptions'!$D$12*(0.5-(G1541+H1541)/2)</x:f>
        <x:v>0.27777777777777773</x:v>
      </x:c>
      <x:c r="J1541" s="27" t="n">
        <x:f>'Assumptions'!$D$8*EXP(-'Assumptions'!$D$9*('Fleet Engine'!E196-10))*'Assumptions'!E55*'Assumptions'!K36</x:f>
        <x:v>16487.212707001283</x:v>
      </x:c>
      <x:c r="K1541" s="27" t="n">
        <x:f>'Source Data'!F219+LN('Assumptions'!D55)+LN('Assumptions'!K35)</x:f>
        <x:v>7.955584867261274</x:v>
      </x:c>
      <x:c r="L1541" s="27" t="n">
        <x:f>J1541*(1-I1541*(1-'Carrier Engine'!E98))</x:f>
        <x:v>12090.622651800943</x:v>
      </x:c>
      <x:c r="M1541" s="29" t="n">
        <x:f>NORM.S.DIST((LN(L1541)-K1541)/'Assumptions'!$D$10,TRUE)</x:f>
        <x:v>0.8212154681565336</x:v>
      </x:c>
      <x:c r="N1541" s="30" t="n">
        <x:f>MAX(0,H1541-MAX(G1541,M1541))</x:f>
        <x:v>0</x:v>
      </x:c>
      <x:c r="O1541" s="28" t="n">
        <x:f>J1541*I1541</x:f>
        <x:v>4579.781307500356</x:v>
      </x:c>
      <x:c r="P1541" s="27" t="n">
        <x:f>(VLOOKUP(O1541,'Fee Data'!$C$6:$G$50,2,TRUE)+O1541*VLOOKUP(O1541,'Fee Data'!$C$6:$G$50,3,TRUE)+VLOOKUP(O1541,'Fee Data'!$I$6:$J$14,2,TRUE)+'Fee Data'!$J$20+'Fee Data'!$J$21)*'Assumptions'!K37</x:f>
        <x:v>970</x:v>
      </x:c>
      <x:c r="Q1541" s="27" t="n">
        <x:f>(VLOOKUP(O1541,'Fee Data'!$C$6:$G$50,4,TRUE)+O1541*VLOOKUP(O1541,'Fee Data'!$C$6:$G$50,5,TRUE)+VLOOKUP(O1541,'Fee Data'!$I$6:$J$14,2,TRUE)+'Fee Data'!$J$20+'Fee Data'!$J$21)*'Assumptions'!K37</x:f>
        <x:v>845</x:v>
      </x:c>
      <x:c r="R1541" s="27" t="n">
        <x:f>P1541*(1-'Assumptions'!$D$14)+Q1541*'Assumptions'!$D$14</x:f>
        <x:v>907.5</x:v>
      </x:c>
      <x:c r="S1541" s="27" t="n">
        <x:f>O1541*'Carrier Engine'!E98</x:f>
        <x:v>183.1912523000142</x:v>
      </x:c>
      <x:c r="T1541" s="28" t="n">
        <x:f>R1541+S1541</x:f>
        <x:v>1090.6912523000142</x:v>
      </x:c>
      <x:c r="U1541" s="27" t="n">
        <x:f>N1541*'Fleet Engine'!M196</x:f>
        <x:v>0</x:v>
      </x:c>
      <x:c r="V1541" s="28" t="n">
        <x:f>U1541*T1541</x:f>
        <x:v>0</x:v>
      </x:c>
      <x:c r="W1541" s="28" t="n">
        <x:f>U1541*O1541</x:f>
        <x:v>0</x:v>
      </x:c>
    </x:row>
    <x:row r="1542" ht="19" customHeight="1">
      <x:c r="A1542" s="2"/>
      <x:c r="B1542" s="2"/>
      <x:c r="C1542" s="46" t="n">
        <x:v>7</x:v>
      </x:c>
      <x:c r="D1542" s="46" t="n">
        <x:v>2</x:v>
      </x:c>
      <x:c r="E1542" s="46" t="n">
        <x:v>0</x:v>
      </x:c>
      <x:c r="F1542" s="46" t="n">
        <x:v>2</x:v>
      </x:c>
      <x:c r="G1542" s="12" t="n">
        <x:v>0.6666666666666666</x:v>
      </x:c>
      <x:c r="H1542" s="12" t="n">
        <x:v>0.7777777777777778</x:v>
      </x:c>
      <x:c r="I1542" s="29" t="n">
        <x:f>'Assumptions'!$D$11+'Assumptions'!$D$12*(0.5-(G1542+H1542)/2)</x:f>
        <x:v>0.25555555555555554</x:v>
      </x:c>
      <x:c r="J1542" s="27" t="n">
        <x:f>'Assumptions'!$D$8*EXP(-'Assumptions'!$D$9*('Fleet Engine'!E196-10))*'Assumptions'!E55*'Assumptions'!K36</x:f>
        <x:v>16487.212707001283</x:v>
      </x:c>
      <x:c r="K1542" s="27" t="n">
        <x:f>'Source Data'!F219+LN('Assumptions'!D55)+LN('Assumptions'!K35)</x:f>
        <x:v>7.955584867261274</x:v>
      </x:c>
      <x:c r="L1542" s="27" t="n">
        <x:f>J1542*(1-I1542*(1-'Carrier Engine'!E98))</x:f>
        <x:v>12442.34985621697</x:v>
      </x:c>
      <x:c r="M1542" s="29" t="n">
        <x:f>NORM.S.DIST((LN(L1542)-K1542)/'Assumptions'!$D$10,TRUE)</x:f>
        <x:v>0.8259470394978756</x:v>
      </x:c>
      <x:c r="N1542" s="30" t="n">
        <x:f>MAX(0,H1542-MAX(G1542,M1542))</x:f>
        <x:v>0</x:v>
      </x:c>
      <x:c r="O1542" s="28" t="n">
        <x:f>J1542*I1542</x:f>
        <x:v>4213.398802900328</x:v>
      </x:c>
      <x:c r="P1542" s="27" t="n">
        <x:f>(VLOOKUP(O1542,'Fee Data'!$C$6:$G$50,2,TRUE)+O1542*VLOOKUP(O1542,'Fee Data'!$C$6:$G$50,3,TRUE)+VLOOKUP(O1542,'Fee Data'!$I$6:$J$14,2,TRUE)+'Fee Data'!$J$20+'Fee Data'!$J$21)*'Assumptions'!K37</x:f>
        <x:v>945</x:v>
      </x:c>
      <x:c r="Q1542" s="27" t="n">
        <x:f>(VLOOKUP(O1542,'Fee Data'!$C$6:$G$50,4,TRUE)+O1542*VLOOKUP(O1542,'Fee Data'!$C$6:$G$50,5,TRUE)+VLOOKUP(O1542,'Fee Data'!$I$6:$J$14,2,TRUE)+'Fee Data'!$J$20+'Fee Data'!$J$21)*'Assumptions'!K37</x:f>
        <x:v>820</x:v>
      </x:c>
      <x:c r="R1542" s="27" t="n">
        <x:f>P1542*(1-'Assumptions'!$D$14)+Q1542*'Assumptions'!$D$14</x:f>
        <x:v>882.5</x:v>
      </x:c>
      <x:c r="S1542" s="27" t="n">
        <x:f>O1542*'Carrier Engine'!E98</x:f>
        <x:v>168.53595211601308</x:v>
      </x:c>
      <x:c r="T1542" s="28" t="n">
        <x:f>R1542+S1542</x:f>
        <x:v>1051.035952116013</x:v>
      </x:c>
      <x:c r="U1542" s="27" t="n">
        <x:f>N1542*'Fleet Engine'!M196</x:f>
        <x:v>0</x:v>
      </x:c>
      <x:c r="V1542" s="28" t="n">
        <x:f>U1542*T1542</x:f>
        <x:v>0</x:v>
      </x:c>
      <x:c r="W1542" s="28" t="n">
        <x:f>U1542*O1542</x:f>
        <x:v>0</x:v>
      </x:c>
    </x:row>
    <x:row r="1543" ht="19" customHeight="1">
      <x:c r="A1543" s="2"/>
      <x:c r="B1543" s="2"/>
      <x:c r="C1543" s="46" t="n">
        <x:v>7</x:v>
      </x:c>
      <x:c r="D1543" s="46" t="n">
        <x:v>2</x:v>
      </x:c>
      <x:c r="E1543" s="46" t="n">
        <x:v>0</x:v>
      </x:c>
      <x:c r="F1543" s="46" t="n">
        <x:v>2</x:v>
      </x:c>
      <x:c r="G1543" s="12" t="n">
        <x:v>0.7777777777777778</x:v>
      </x:c>
      <x:c r="H1543" s="12" t="n">
        <x:v>0.8888888888888888</x:v>
      </x:c>
      <x:c r="I1543" s="29" t="n">
        <x:f>'Assumptions'!$D$11+'Assumptions'!$D$12*(0.5-(G1543+H1543)/2)</x:f>
        <x:v>0.23333333333333334</x:v>
      </x:c>
      <x:c r="J1543" s="27" t="n">
        <x:f>'Assumptions'!$D$8*EXP(-'Assumptions'!$D$9*('Fleet Engine'!E196-10))*'Assumptions'!E55*'Assumptions'!K36</x:f>
        <x:v>16487.212707001283</x:v>
      </x:c>
      <x:c r="K1543" s="27" t="n">
        <x:f>'Source Data'!F219+LN('Assumptions'!D55)+LN('Assumptions'!K35)</x:f>
        <x:v>7.955584867261274</x:v>
      </x:c>
      <x:c r="L1543" s="27" t="n">
        <x:f>J1543*(1-I1543*(1-'Carrier Engine'!E98))</x:f>
        <x:v>12794.077060632995</x:v>
      </x:c>
      <x:c r="M1543" s="29" t="n">
        <x:f>NORM.S.DIST((LN(L1543)-K1543)/'Assumptions'!$D$10,TRUE)</x:f>
        <x:v>0.8304696516941905</x:v>
      </x:c>
      <x:c r="N1543" s="30" t="n">
        <x:f>MAX(0,H1543-MAX(G1543,M1543))</x:f>
        <x:v>0.058419237194698326</x:v>
      </x:c>
      <x:c r="O1543" s="28" t="n">
        <x:f>J1543*I1543</x:f>
        <x:v>3847.0162983002992</x:v>
      </x:c>
      <x:c r="P1543" s="27" t="n">
        <x:f>(VLOOKUP(O1543,'Fee Data'!$C$6:$G$50,2,TRUE)+O1543*VLOOKUP(O1543,'Fee Data'!$C$6:$G$50,3,TRUE)+VLOOKUP(O1543,'Fee Data'!$I$6:$J$14,2,TRUE)+'Fee Data'!$J$20+'Fee Data'!$J$21)*'Assumptions'!K37</x:f>
        <x:v>915</x:v>
      </x:c>
      <x:c r="Q1543" s="27" t="n">
        <x:f>(VLOOKUP(O1543,'Fee Data'!$C$6:$G$50,4,TRUE)+O1543*VLOOKUP(O1543,'Fee Data'!$C$6:$G$50,5,TRUE)+VLOOKUP(O1543,'Fee Data'!$I$6:$J$14,2,TRUE)+'Fee Data'!$J$20+'Fee Data'!$J$21)*'Assumptions'!K37</x:f>
        <x:v>765</x:v>
      </x:c>
      <x:c r="R1543" s="27" t="n">
        <x:f>P1543*(1-'Assumptions'!$D$14)+Q1543*'Assumptions'!$D$14</x:f>
        <x:v>840</x:v>
      </x:c>
      <x:c r="S1543" s="27" t="n">
        <x:f>O1543*'Carrier Engine'!E98</x:f>
        <x:v>153.88065193201194</x:v>
      </x:c>
      <x:c r="T1543" s="28" t="n">
        <x:f>R1543+S1543</x:f>
        <x:v>993.8806519320119</x:v>
      </x:c>
      <x:c r="U1543" s="27" t="n">
        <x:f>N1543*'Fleet Engine'!M196</x:f>
        <x:v>550.5885057608963</x:v>
      </x:c>
      <x:c r="V1543" s="28" t="n">
        <x:f>U1543*T1543</x:f>
        <x:v>547219.2630519118</x:v>
      </x:c>
      <x:c r="W1543" s="28" t="n">
        <x:f>U1543*O1543</x:f>
        <x:v>2118122.955318976</x:v>
      </x:c>
    </x:row>
    <x:row r="1544" ht="19" customHeight="1">
      <x:c r="A1544" s="2"/>
      <x:c r="B1544" s="2"/>
      <x:c r="C1544" s="46" t="n">
        <x:v>7</x:v>
      </x:c>
      <x:c r="D1544" s="46" t="n">
        <x:v>2</x:v>
      </x:c>
      <x:c r="E1544" s="46" t="n">
        <x:v>0</x:v>
      </x:c>
      <x:c r="F1544" s="46" t="n">
        <x:v>2</x:v>
      </x:c>
      <x:c r="G1544" s="12" t="n">
        <x:v>0.8888888888888888</x:v>
      </x:c>
      <x:c r="H1544" s="12" t="n">
        <x:v>1</x:v>
      </x:c>
      <x:c r="I1544" s="29" t="n">
        <x:f>'Assumptions'!$D$11+'Assumptions'!$D$12*(0.5-(G1544+H1544)/2)</x:f>
        <x:v>0.21111111111111108</x:v>
      </x:c>
      <x:c r="J1544" s="27" t="n">
        <x:f>'Assumptions'!$D$8*EXP(-'Assumptions'!$D$9*('Fleet Engine'!E196-10))*'Assumptions'!E55*'Assumptions'!K36</x:f>
        <x:v>16487.212707001283</x:v>
      </x:c>
      <x:c r="K1544" s="27" t="n">
        <x:f>'Source Data'!F219+LN('Assumptions'!D55)+LN('Assumptions'!K35)</x:f>
        <x:v>7.955584867261274</x:v>
      </x:c>
      <x:c r="L1544" s="27" t="n">
        <x:f>J1544*(1-I1544*(1-'Carrier Engine'!E98))</x:f>
        <x:v>13145.804265049022</x:v>
      </x:c>
      <x:c r="M1544" s="29" t="n">
        <x:f>NORM.S.DIST((LN(L1544)-K1544)/'Assumptions'!$D$10,TRUE)</x:f>
        <x:v>0.8347965602302723</x:v>
      </x:c>
      <x:c r="N1544" s="30" t="n">
        <x:f>MAX(0,H1544-MAX(G1544,M1544))</x:f>
        <x:v>0.11111111111111116</x:v>
      </x:c>
      <x:c r="O1544" s="28" t="n">
        <x:f>J1544*I1544</x:f>
        <x:v>3480.6337937002704</x:v>
      </x:c>
      <x:c r="P1544" s="27" t="n">
        <x:f>(VLOOKUP(O1544,'Fee Data'!$C$6:$G$50,2,TRUE)+O1544*VLOOKUP(O1544,'Fee Data'!$C$6:$G$50,3,TRUE)+VLOOKUP(O1544,'Fee Data'!$I$6:$J$14,2,TRUE)+'Fee Data'!$J$20+'Fee Data'!$J$21)*'Assumptions'!K37</x:f>
        <x:v>865</x:v>
      </x:c>
      <x:c r="Q1544" s="27" t="n">
        <x:f>(VLOOKUP(O1544,'Fee Data'!$C$6:$G$50,4,TRUE)+O1544*VLOOKUP(O1544,'Fee Data'!$C$6:$G$50,5,TRUE)+VLOOKUP(O1544,'Fee Data'!$I$6:$J$14,2,TRUE)+'Fee Data'!$J$20+'Fee Data'!$J$21)*'Assumptions'!K37</x:f>
        <x:v>715</x:v>
      </x:c>
      <x:c r="R1544" s="27" t="n">
        <x:f>P1544*(1-'Assumptions'!$D$14)+Q1544*'Assumptions'!$D$14</x:f>
        <x:v>790</x:v>
      </x:c>
      <x:c r="S1544" s="27" t="n">
        <x:f>O1544*'Carrier Engine'!E98</x:f>
        <x:v>139.2253517480108</x:v>
      </x:c>
      <x:c r="T1544" s="28" t="n">
        <x:f>R1544+S1544</x:f>
        <x:v>929.2253517480108</x:v>
      </x:c>
      <x:c r="U1544" s="27" t="n">
        <x:f>N1544*'Fleet Engine'!M196</x:f>
        <x:v>1047.1978679935849</x:v>
      </x:c>
      <x:c r="V1544" s="28" t="n">
        <x:f>U1544*T1544</x:f>
        <x:v>973082.8072361058</x:v>
      </x:c>
      <x:c r="W1544" s="28" t="n">
        <x:f>U1544*O1544</x:f>
        <x:v>3644912.288029346</x:v>
      </x:c>
    </x:row>
    <x:row r="1545" ht="19" customHeight="1">
      <x:c r="A1545" s="2"/>
      <x:c r="B1545" s="2"/>
      <x:c r="C1545" s="46" t="n">
        <x:v>7</x:v>
      </x:c>
      <x:c r="D1545" s="46" t="n">
        <x:v>3</x:v>
      </x:c>
      <x:c r="E1545" s="46" t="n">
        <x:v>0</x:v>
      </x:c>
      <x:c r="F1545" s="46" t="n">
        <x:v>3</x:v>
      </x:c>
      <x:c r="G1545" s="12" t="n">
        <x:v>0</x:v>
      </x:c>
      <x:c r="H1545" s="12" t="n">
        <x:v>0.1111111111111111</x:v>
      </x:c>
      <x:c r="I1545" s="29" t="n">
        <x:f>'Assumptions'!$D$11+'Assumptions'!$D$12*(0.5-(G1545+H1545)/2)</x:f>
        <x:v>0.3888888888888889</x:v>
      </x:c>
      <x:c r="J1545" s="27" t="n">
        <x:f>'Assumptions'!$D$8*EXP(-'Assumptions'!$D$9*('Fleet Engine'!E197-10))*'Assumptions'!E55*'Assumptions'!K36</x:f>
        <x:v>12214.027581601698</x:v>
      </x:c>
      <x:c r="K1545" s="27" t="n">
        <x:f>'Source Data'!F220+LN('Assumptions'!D55)+LN('Assumptions'!K35)</x:f>
        <x:v>8.062717438528928</x:v>
      </x:c>
      <x:c r="L1545" s="27" t="n">
        <x:f>J1545*(1-I1545*(1-'Carrier Engine'!E98))</x:f>
        <x:v>7654.123951137065</x:v>
      </x:c>
      <x:c r="M1545" s="29" t="n">
        <x:f>NORM.S.DIST((LN(L1545)-K1545)/'Assumptions'!$D$10,TRUE)</x:f>
        <x:v>0.7124702952152316</x:v>
      </x:c>
      <x:c r="N1545" s="30" t="n">
        <x:f>MAX(0,H1545-MAX(G1545,M1545))</x:f>
        <x:v>0</x:v>
      </x:c>
      <x:c r="O1545" s="28" t="n">
        <x:f>J1545*I1545</x:f>
        <x:v>4749.899615067327</x:v>
      </x:c>
      <x:c r="P1545" s="27" t="n">
        <x:f>(VLOOKUP(O1545,'Fee Data'!$C$6:$G$50,2,TRUE)+O1545*VLOOKUP(O1545,'Fee Data'!$C$6:$G$50,3,TRUE)+VLOOKUP(O1545,'Fee Data'!$I$6:$J$14,2,TRUE)+'Fee Data'!$J$20+'Fee Data'!$J$21)*'Assumptions'!K37</x:f>
        <x:v>970</x:v>
      </x:c>
      <x:c r="Q1545" s="27" t="n">
        <x:f>(VLOOKUP(O1545,'Fee Data'!$C$6:$G$50,4,TRUE)+O1545*VLOOKUP(O1545,'Fee Data'!$C$6:$G$50,5,TRUE)+VLOOKUP(O1545,'Fee Data'!$I$6:$J$14,2,TRUE)+'Fee Data'!$J$20+'Fee Data'!$J$21)*'Assumptions'!K37</x:f>
        <x:v>845</x:v>
      </x:c>
      <x:c r="R1545" s="27" t="n">
        <x:f>P1545*(1-'Assumptions'!$D$14)+Q1545*'Assumptions'!$D$14</x:f>
        <x:v>907.5</x:v>
      </x:c>
      <x:c r="S1545" s="27" t="n">
        <x:f>O1545*'Carrier Engine'!E98</x:f>
        <x:v>189.99598460269306</x:v>
      </x:c>
      <x:c r="T1545" s="28" t="n">
        <x:f>R1545+S1545</x:f>
        <x:v>1097.4959846026932</x:v>
      </x:c>
      <x:c r="U1545" s="27" t="n">
        <x:f>N1545*'Fleet Engine'!M197</x:f>
        <x:v>0</x:v>
      </x:c>
      <x:c r="V1545" s="28" t="n">
        <x:f>U1545*T1545</x:f>
        <x:v>0</x:v>
      </x:c>
      <x:c r="W1545" s="28" t="n">
        <x:f>U1545*O1545</x:f>
        <x:v>0</x:v>
      </x:c>
    </x:row>
    <x:row r="1546" ht="19" customHeight="1">
      <x:c r="A1546" s="2"/>
      <x:c r="B1546" s="2"/>
      <x:c r="C1546" s="46" t="n">
        <x:v>7</x:v>
      </x:c>
      <x:c r="D1546" s="46" t="n">
        <x:v>3</x:v>
      </x:c>
      <x:c r="E1546" s="46" t="n">
        <x:v>0</x:v>
      </x:c>
      <x:c r="F1546" s="46" t="n">
        <x:v>3</x:v>
      </x:c>
      <x:c r="G1546" s="12" t="n">
        <x:v>0.1111111111111111</x:v>
      </x:c>
      <x:c r="H1546" s="12" t="n">
        <x:v>0.2222222222222222</x:v>
      </x:c>
      <x:c r="I1546" s="29" t="n">
        <x:f>'Assumptions'!$D$11+'Assumptions'!$D$12*(0.5-(G1546+H1546)/2)</x:f>
        <x:v>0.3666666666666667</x:v>
      </x:c>
      <x:c r="J1546" s="27" t="n">
        <x:f>'Assumptions'!$D$8*EXP(-'Assumptions'!$D$9*('Fleet Engine'!E197-10))*'Assumptions'!E55*'Assumptions'!K36</x:f>
        <x:v>12214.027581601698</x:v>
      </x:c>
      <x:c r="K1546" s="27" t="n">
        <x:f>'Source Data'!F220+LN('Assumptions'!D55)+LN('Assumptions'!K35)</x:f>
        <x:v>8.062717438528928</x:v>
      </x:c>
      <x:c r="L1546" s="27" t="n">
        <x:f>J1546*(1-I1546*(1-'Carrier Engine'!E98))</x:f>
        <x:v>7914.6898728779</x:v>
      </x:c>
      <x:c r="M1546" s="29" t="n">
        <x:f>NORM.S.DIST((LN(L1546)-K1546)/'Assumptions'!$D$10,TRUE)</x:f>
        <x:v>0.7196948864067317</x:v>
      </x:c>
      <x:c r="N1546" s="30" t="n">
        <x:f>MAX(0,H1546-MAX(G1546,M1546))</x:f>
        <x:v>0</x:v>
      </x:c>
      <x:c r="O1546" s="28" t="n">
        <x:f>J1546*I1546</x:f>
        <x:v>4478.476779920623</x:v>
      </x:c>
      <x:c r="P1546" s="27" t="n">
        <x:f>(VLOOKUP(O1546,'Fee Data'!$C$6:$G$50,2,TRUE)+O1546*VLOOKUP(O1546,'Fee Data'!$C$6:$G$50,3,TRUE)+VLOOKUP(O1546,'Fee Data'!$I$6:$J$14,2,TRUE)+'Fee Data'!$J$20+'Fee Data'!$J$21)*'Assumptions'!K37</x:f>
        <x:v>945</x:v>
      </x:c>
      <x:c r="Q1546" s="27" t="n">
        <x:f>(VLOOKUP(O1546,'Fee Data'!$C$6:$G$50,4,TRUE)+O1546*VLOOKUP(O1546,'Fee Data'!$C$6:$G$50,5,TRUE)+VLOOKUP(O1546,'Fee Data'!$I$6:$J$14,2,TRUE)+'Fee Data'!$J$20+'Fee Data'!$J$21)*'Assumptions'!K37</x:f>
        <x:v>820</x:v>
      </x:c>
      <x:c r="R1546" s="27" t="n">
        <x:f>P1546*(1-'Assumptions'!$D$14)+Q1546*'Assumptions'!$D$14</x:f>
        <x:v>882.5</x:v>
      </x:c>
      <x:c r="S1546" s="27" t="n">
        <x:f>O1546*'Carrier Engine'!E98</x:f>
        <x:v>179.1390711968249</x:v>
      </x:c>
      <x:c r="T1546" s="28" t="n">
        <x:f>R1546+S1546</x:f>
        <x:v>1061.639071196825</x:v>
      </x:c>
      <x:c r="U1546" s="27" t="n">
        <x:f>N1546*'Fleet Engine'!M197</x:f>
        <x:v>0</x:v>
      </x:c>
      <x:c r="V1546" s="28" t="n">
        <x:f>U1546*T1546</x:f>
        <x:v>0</x:v>
      </x:c>
      <x:c r="W1546" s="28" t="n">
        <x:f>U1546*O1546</x:f>
        <x:v>0</x:v>
      </x:c>
    </x:row>
    <x:row r="1547" ht="19" customHeight="1">
      <x:c r="A1547" s="2"/>
      <x:c r="B1547" s="2"/>
      <x:c r="C1547" s="46" t="n">
        <x:v>7</x:v>
      </x:c>
      <x:c r="D1547" s="46" t="n">
        <x:v>3</x:v>
      </x:c>
      <x:c r="E1547" s="46" t="n">
        <x:v>0</x:v>
      </x:c>
      <x:c r="F1547" s="46" t="n">
        <x:v>3</x:v>
      </x:c>
      <x:c r="G1547" s="12" t="n">
        <x:v>0.2222222222222222</x:v>
      </x:c>
      <x:c r="H1547" s="12" t="n">
        <x:v>0.3333333333333333</x:v>
      </x:c>
      <x:c r="I1547" s="29" t="n">
        <x:f>'Assumptions'!$D$11+'Assumptions'!$D$12*(0.5-(G1547+H1547)/2)</x:f>
        <x:v>0.34444444444444444</x:v>
      </x:c>
      <x:c r="J1547" s="27" t="n">
        <x:f>'Assumptions'!$D$8*EXP(-'Assumptions'!$D$9*('Fleet Engine'!E197-10))*'Assumptions'!E55*'Assumptions'!K36</x:f>
        <x:v>12214.027581601698</x:v>
      </x:c>
      <x:c r="K1547" s="27" t="n">
        <x:f>'Source Data'!F220+LN('Assumptions'!D55)+LN('Assumptions'!K35)</x:f>
        <x:v>8.062717438528928</x:v>
      </x:c>
      <x:c r="L1547" s="27" t="n">
        <x:f>J1547*(1-I1547*(1-'Carrier Engine'!E98))</x:f>
        <x:v>8175.255794618737</x:v>
      </x:c>
      <x:c r="M1547" s="29" t="n">
        <x:f>NORM.S.DIST((LN(L1547)-K1547)/'Assumptions'!$D$10,TRUE)</x:f>
        <x:v>0.7266006694983298</x:v>
      </x:c>
      <x:c r="N1547" s="30" t="n">
        <x:f>MAX(0,H1547-MAX(G1547,M1547))</x:f>
        <x:v>0</x:v>
      </x:c>
      <x:c r="O1547" s="28" t="n">
        <x:f>J1547*I1547</x:f>
        <x:v>4207.053944773918</x:v>
      </x:c>
      <x:c r="P1547" s="27" t="n">
        <x:f>(VLOOKUP(O1547,'Fee Data'!$C$6:$G$50,2,TRUE)+O1547*VLOOKUP(O1547,'Fee Data'!$C$6:$G$50,3,TRUE)+VLOOKUP(O1547,'Fee Data'!$I$6:$J$14,2,TRUE)+'Fee Data'!$J$20+'Fee Data'!$J$21)*'Assumptions'!K37</x:f>
        <x:v>945</x:v>
      </x:c>
      <x:c r="Q1547" s="27" t="n">
        <x:f>(VLOOKUP(O1547,'Fee Data'!$C$6:$G$50,4,TRUE)+O1547*VLOOKUP(O1547,'Fee Data'!$C$6:$G$50,5,TRUE)+VLOOKUP(O1547,'Fee Data'!$I$6:$J$14,2,TRUE)+'Fee Data'!$J$20+'Fee Data'!$J$21)*'Assumptions'!K37</x:f>
        <x:v>820</x:v>
      </x:c>
      <x:c r="R1547" s="27" t="n">
        <x:f>P1547*(1-'Assumptions'!$D$14)+Q1547*'Assumptions'!$D$14</x:f>
        <x:v>882.5</x:v>
      </x:c>
      <x:c r="S1547" s="27" t="n">
        <x:f>O1547*'Carrier Engine'!E98</x:f>
        <x:v>168.28215779095672</x:v>
      </x:c>
      <x:c r="T1547" s="28" t="n">
        <x:f>R1547+S1547</x:f>
        <x:v>1050.7821577909567</x:v>
      </x:c>
      <x:c r="U1547" s="27" t="n">
        <x:f>N1547*'Fleet Engine'!M197</x:f>
        <x:v>0</x:v>
      </x:c>
      <x:c r="V1547" s="28" t="n">
        <x:f>U1547*T1547</x:f>
        <x:v>0</x:v>
      </x:c>
      <x:c r="W1547" s="28" t="n">
        <x:f>U1547*O1547</x:f>
        <x:v>0</x:v>
      </x:c>
    </x:row>
    <x:row r="1548" ht="19" customHeight="1">
      <x:c r="A1548" s="2"/>
      <x:c r="B1548" s="2"/>
      <x:c r="C1548" s="46" t="n">
        <x:v>7</x:v>
      </x:c>
      <x:c r="D1548" s="46" t="n">
        <x:v>3</x:v>
      </x:c>
      <x:c r="E1548" s="46" t="n">
        <x:v>0</x:v>
      </x:c>
      <x:c r="F1548" s="46" t="n">
        <x:v>3</x:v>
      </x:c>
      <x:c r="G1548" s="12" t="n">
        <x:v>0.3333333333333333</x:v>
      </x:c>
      <x:c r="H1548" s="12" t="n">
        <x:v>0.4444444444444444</x:v>
      </x:c>
      <x:c r="I1548" s="29" t="n">
        <x:f>'Assumptions'!$D$11+'Assumptions'!$D$12*(0.5-(G1548+H1548)/2)</x:f>
        <x:v>0.32222222222222224</x:v>
      </x:c>
      <x:c r="J1548" s="27" t="n">
        <x:f>'Assumptions'!$D$8*EXP(-'Assumptions'!$D$9*('Fleet Engine'!E197-10))*'Assumptions'!E55*'Assumptions'!K36</x:f>
        <x:v>12214.027581601698</x:v>
      </x:c>
      <x:c r="K1548" s="27" t="n">
        <x:f>'Source Data'!F220+LN('Assumptions'!D55)+LN('Assumptions'!K35)</x:f>
        <x:v>8.062717438528928</x:v>
      </x:c>
      <x:c r="L1548" s="27" t="n">
        <x:f>J1548*(1-I1548*(1-'Carrier Engine'!E98))</x:f>
        <x:v>8435.821716359573</x:v>
      </x:c>
      <x:c r="M1548" s="29" t="n">
        <x:f>NORM.S.DIST((LN(L1548)-K1548)/'Assumptions'!$D$10,TRUE)</x:f>
        <x:v>0.7332084499624358</x:v>
      </x:c>
      <x:c r="N1548" s="30" t="n">
        <x:f>MAX(0,H1548-MAX(G1548,M1548))</x:f>
        <x:v>0</x:v>
      </x:c>
      <x:c r="O1548" s="28" t="n">
        <x:f>J1548*I1548</x:f>
        <x:v>3935.6311096272143</x:v>
      </x:c>
      <x:c r="P1548" s="27" t="n">
        <x:f>(VLOOKUP(O1548,'Fee Data'!$C$6:$G$50,2,TRUE)+O1548*VLOOKUP(O1548,'Fee Data'!$C$6:$G$50,3,TRUE)+VLOOKUP(O1548,'Fee Data'!$I$6:$J$14,2,TRUE)+'Fee Data'!$J$20+'Fee Data'!$J$21)*'Assumptions'!K37</x:f>
        <x:v>915</x:v>
      </x:c>
      <x:c r="Q1548" s="27" t="n">
        <x:f>(VLOOKUP(O1548,'Fee Data'!$C$6:$G$50,4,TRUE)+O1548*VLOOKUP(O1548,'Fee Data'!$C$6:$G$50,5,TRUE)+VLOOKUP(O1548,'Fee Data'!$I$6:$J$14,2,TRUE)+'Fee Data'!$J$20+'Fee Data'!$J$21)*'Assumptions'!K37</x:f>
        <x:v>765</x:v>
      </x:c>
      <x:c r="R1548" s="27" t="n">
        <x:f>P1548*(1-'Assumptions'!$D$14)+Q1548*'Assumptions'!$D$14</x:f>
        <x:v>840</x:v>
      </x:c>
      <x:c r="S1548" s="27" t="n">
        <x:f>O1548*'Carrier Engine'!E98</x:f>
        <x:v>157.42524438508855</x:v>
      </x:c>
      <x:c r="T1548" s="28" t="n">
        <x:f>R1548+S1548</x:f>
        <x:v>997.4252443850885</x:v>
      </x:c>
      <x:c r="U1548" s="27" t="n">
        <x:f>N1548*'Fleet Engine'!M197</x:f>
        <x:v>0</x:v>
      </x:c>
      <x:c r="V1548" s="28" t="n">
        <x:f>U1548*T1548</x:f>
        <x:v>0</x:v>
      </x:c>
      <x:c r="W1548" s="28" t="n">
        <x:f>U1548*O1548</x:f>
        <x:v>0</x:v>
      </x:c>
    </x:row>
    <x:row r="1549" ht="19" customHeight="1">
      <x:c r="A1549" s="2"/>
      <x:c r="B1549" s="2"/>
      <x:c r="C1549" s="46" t="n">
        <x:v>7</x:v>
      </x:c>
      <x:c r="D1549" s="46" t="n">
        <x:v>3</x:v>
      </x:c>
      <x:c r="E1549" s="46" t="n">
        <x:v>0</x:v>
      </x:c>
      <x:c r="F1549" s="46" t="n">
        <x:v>3</x:v>
      </x:c>
      <x:c r="G1549" s="12" t="n">
        <x:v>0.4444444444444444</x:v>
      </x:c>
      <x:c r="H1549" s="12" t="n">
        <x:v>0.5555555555555556</x:v>
      </x:c>
      <x:c r="I1549" s="29" t="n">
        <x:f>'Assumptions'!$D$11+'Assumptions'!$D$12*(0.5-(G1549+H1549)/2)</x:f>
        <x:v>0.3</x:v>
      </x:c>
      <x:c r="J1549" s="27" t="n">
        <x:f>'Assumptions'!$D$8*EXP(-'Assumptions'!$D$9*('Fleet Engine'!E197-10))*'Assumptions'!E55*'Assumptions'!K36</x:f>
        <x:v>12214.027581601698</x:v>
      </x:c>
      <x:c r="K1549" s="27" t="n">
        <x:f>'Source Data'!F220+LN('Assumptions'!D55)+LN('Assumptions'!K35)</x:f>
        <x:v>8.062717438528928</x:v>
      </x:c>
      <x:c r="L1549" s="27" t="n">
        <x:f>J1549*(1-I1549*(1-'Carrier Engine'!E98))</x:f>
        <x:v>8696.387638100408</x:v>
      </x:c>
      <x:c r="M1549" s="29" t="n">
        <x:f>NORM.S.DIST((LN(L1549)-K1549)/'Assumptions'!$D$10,TRUE)</x:f>
        <x:v>0.7395372219077186</x:v>
      </x:c>
      <x:c r="N1549" s="30" t="n">
        <x:f>MAX(0,H1549-MAX(G1549,M1549))</x:f>
        <x:v>0</x:v>
      </x:c>
      <x:c r="O1549" s="28" t="n">
        <x:f>J1549*I1549</x:f>
        <x:v>3664.2082744805093</x:v>
      </x:c>
      <x:c r="P1549" s="27" t="n">
        <x:f>(VLOOKUP(O1549,'Fee Data'!$C$6:$G$50,2,TRUE)+O1549*VLOOKUP(O1549,'Fee Data'!$C$6:$G$50,3,TRUE)+VLOOKUP(O1549,'Fee Data'!$I$6:$J$14,2,TRUE)+'Fee Data'!$J$20+'Fee Data'!$J$21)*'Assumptions'!K37</x:f>
        <x:v>915</x:v>
      </x:c>
      <x:c r="Q1549" s="27" t="n">
        <x:f>(VLOOKUP(O1549,'Fee Data'!$C$6:$G$50,4,TRUE)+O1549*VLOOKUP(O1549,'Fee Data'!$C$6:$G$50,5,TRUE)+VLOOKUP(O1549,'Fee Data'!$I$6:$J$14,2,TRUE)+'Fee Data'!$J$20+'Fee Data'!$J$21)*'Assumptions'!K37</x:f>
        <x:v>765</x:v>
      </x:c>
      <x:c r="R1549" s="27" t="n">
        <x:f>P1549*(1-'Assumptions'!$D$14)+Q1549*'Assumptions'!$D$14</x:f>
        <x:v>840</x:v>
      </x:c>
      <x:c r="S1549" s="27" t="n">
        <x:f>O1549*'Carrier Engine'!E98</x:f>
        <x:v>146.56833097922035</x:v>
      </x:c>
      <x:c r="T1549" s="28" t="n">
        <x:f>R1549+S1549</x:f>
        <x:v>986.5683309792204</x:v>
      </x:c>
      <x:c r="U1549" s="27" t="n">
        <x:f>N1549*'Fleet Engine'!M197</x:f>
        <x:v>0</x:v>
      </x:c>
      <x:c r="V1549" s="28" t="n">
        <x:f>U1549*T1549</x:f>
        <x:v>0</x:v>
      </x:c>
      <x:c r="W1549" s="28" t="n">
        <x:f>U1549*O1549</x:f>
        <x:v>0</x:v>
      </x:c>
    </x:row>
    <x:row r="1550" ht="19" customHeight="1">
      <x:c r="A1550" s="2"/>
      <x:c r="B1550" s="2"/>
      <x:c r="C1550" s="46" t="n">
        <x:v>7</x:v>
      </x:c>
      <x:c r="D1550" s="46" t="n">
        <x:v>3</x:v>
      </x:c>
      <x:c r="E1550" s="46" t="n">
        <x:v>0</x:v>
      </x:c>
      <x:c r="F1550" s="46" t="n">
        <x:v>3</x:v>
      </x:c>
      <x:c r="G1550" s="12" t="n">
        <x:v>0.5555555555555556</x:v>
      </x:c>
      <x:c r="H1550" s="12" t="n">
        <x:v>0.6666666666666666</x:v>
      </x:c>
      <x:c r="I1550" s="29" t="n">
        <x:f>'Assumptions'!$D$11+'Assumptions'!$D$12*(0.5-(G1550+H1550)/2)</x:f>
        <x:v>0.27777777777777773</x:v>
      </x:c>
      <x:c r="J1550" s="27" t="n">
        <x:f>'Assumptions'!$D$8*EXP(-'Assumptions'!$D$9*('Fleet Engine'!E197-10))*'Assumptions'!E55*'Assumptions'!K36</x:f>
        <x:v>12214.027581601698</x:v>
      </x:c>
      <x:c r="K1550" s="27" t="n">
        <x:f>'Source Data'!F220+LN('Assumptions'!D55)+LN('Assumptions'!K35)</x:f>
        <x:v>8.062717438528928</x:v>
      </x:c>
      <x:c r="L1550" s="27" t="n">
        <x:f>J1550*(1-I1550*(1-'Carrier Engine'!E98))</x:f>
        <x:v>8956.953559841246</x:v>
      </x:c>
      <x:c r="M1550" s="29" t="n">
        <x:f>NORM.S.DIST((LN(L1550)-K1550)/'Assumptions'!$D$10,TRUE)</x:f>
        <x:v>0.7456043651066011</x:v>
      </x:c>
      <x:c r="N1550" s="30" t="n">
        <x:f>MAX(0,H1550-MAX(G1550,M1550))</x:f>
        <x:v>0</x:v>
      </x:c>
      <x:c r="O1550" s="28" t="n">
        <x:f>J1550*I1550</x:f>
        <x:v>3392.785439333805</x:v>
      </x:c>
      <x:c r="P1550" s="27" t="n">
        <x:f>(VLOOKUP(O1550,'Fee Data'!$C$6:$G$50,2,TRUE)+O1550*VLOOKUP(O1550,'Fee Data'!$C$6:$G$50,3,TRUE)+VLOOKUP(O1550,'Fee Data'!$I$6:$J$14,2,TRUE)+'Fee Data'!$J$20+'Fee Data'!$J$21)*'Assumptions'!K37</x:f>
        <x:v>865</x:v>
      </x:c>
      <x:c r="Q1550" s="27" t="n">
        <x:f>(VLOOKUP(O1550,'Fee Data'!$C$6:$G$50,4,TRUE)+O1550*VLOOKUP(O1550,'Fee Data'!$C$6:$G$50,5,TRUE)+VLOOKUP(O1550,'Fee Data'!$I$6:$J$14,2,TRUE)+'Fee Data'!$J$20+'Fee Data'!$J$21)*'Assumptions'!K37</x:f>
        <x:v>715</x:v>
      </x:c>
      <x:c r="R1550" s="27" t="n">
        <x:f>P1550*(1-'Assumptions'!$D$14)+Q1550*'Assumptions'!$D$14</x:f>
        <x:v>790</x:v>
      </x:c>
      <x:c r="S1550" s="27" t="n">
        <x:f>O1550*'Carrier Engine'!E98</x:f>
        <x:v>135.71141757335218</x:v>
      </x:c>
      <x:c r="T1550" s="28" t="n">
        <x:f>R1550+S1550</x:f>
        <x:v>925.7114175733522</x:v>
      </x:c>
      <x:c r="U1550" s="27" t="n">
        <x:f>N1550*'Fleet Engine'!M197</x:f>
        <x:v>0</x:v>
      </x:c>
      <x:c r="V1550" s="28" t="n">
        <x:f>U1550*T1550</x:f>
        <x:v>0</x:v>
      </x:c>
      <x:c r="W1550" s="28" t="n">
        <x:f>U1550*O1550</x:f>
        <x:v>0</x:v>
      </x:c>
    </x:row>
    <x:row r="1551" ht="19" customHeight="1">
      <x:c r="A1551" s="2"/>
      <x:c r="B1551" s="2"/>
      <x:c r="C1551" s="46" t="n">
        <x:v>7</x:v>
      </x:c>
      <x:c r="D1551" s="46" t="n">
        <x:v>3</x:v>
      </x:c>
      <x:c r="E1551" s="46" t="n">
        <x:v>0</x:v>
      </x:c>
      <x:c r="F1551" s="46" t="n">
        <x:v>3</x:v>
      </x:c>
      <x:c r="G1551" s="12" t="n">
        <x:v>0.6666666666666666</x:v>
      </x:c>
      <x:c r="H1551" s="12" t="n">
        <x:v>0.7777777777777778</x:v>
      </x:c>
      <x:c r="I1551" s="29" t="n">
        <x:f>'Assumptions'!$D$11+'Assumptions'!$D$12*(0.5-(G1551+H1551)/2)</x:f>
        <x:v>0.25555555555555554</x:v>
      </x:c>
      <x:c r="J1551" s="27" t="n">
        <x:f>'Assumptions'!$D$8*EXP(-'Assumptions'!$D$9*('Fleet Engine'!E197-10))*'Assumptions'!E55*'Assumptions'!K36</x:f>
        <x:v>12214.027581601698</x:v>
      </x:c>
      <x:c r="K1551" s="27" t="n">
        <x:f>'Source Data'!F220+LN('Assumptions'!D55)+LN('Assumptions'!K35)</x:f>
        <x:v>8.062717438528928</x:v>
      </x:c>
      <x:c r="L1551" s="27" t="n">
        <x:f>J1551*(1-I1551*(1-'Carrier Engine'!E98))</x:f>
        <x:v>9217.519481582081</x:v>
      </x:c>
      <x:c r="M1551" s="29" t="n">
        <x:f>NORM.S.DIST((LN(L1551)-K1551)/'Assumptions'!$D$10,TRUE)</x:f>
        <x:v>0.7514258164078012</x:v>
      </x:c>
      <x:c r="N1551" s="30" t="n">
        <x:f>MAX(0,H1551-MAX(G1551,M1551))</x:f>
        <x:v>0.02635196136997664</x:v>
      </x:c>
      <x:c r="O1551" s="28" t="n">
        <x:f>J1551*I1551</x:f>
        <x:v>3121.3626041871003</x:v>
      </x:c>
      <x:c r="P1551" s="27" t="n">
        <x:f>(VLOOKUP(O1551,'Fee Data'!$C$6:$G$50,2,TRUE)+O1551*VLOOKUP(O1551,'Fee Data'!$C$6:$G$50,3,TRUE)+VLOOKUP(O1551,'Fee Data'!$I$6:$J$14,2,TRUE)+'Fee Data'!$J$20+'Fee Data'!$J$21)*'Assumptions'!K37</x:f>
        <x:v>865</x:v>
      </x:c>
      <x:c r="Q1551" s="27" t="n">
        <x:f>(VLOOKUP(O1551,'Fee Data'!$C$6:$G$50,4,TRUE)+O1551*VLOOKUP(O1551,'Fee Data'!$C$6:$G$50,5,TRUE)+VLOOKUP(O1551,'Fee Data'!$I$6:$J$14,2,TRUE)+'Fee Data'!$J$20+'Fee Data'!$J$21)*'Assumptions'!K37</x:f>
        <x:v>715</x:v>
      </x:c>
      <x:c r="R1551" s="27" t="n">
        <x:f>P1551*(1-'Assumptions'!$D$14)+Q1551*'Assumptions'!$D$14</x:f>
        <x:v>790</x:v>
      </x:c>
      <x:c r="S1551" s="27" t="n">
        <x:f>O1551*'Carrier Engine'!E98</x:f>
        <x:v>124.854504167484</x:v>
      </x:c>
      <x:c r="T1551" s="28" t="n">
        <x:f>R1551+S1551</x:f>
        <x:v>914.854504167484</x:v>
      </x:c>
      <x:c r="U1551" s="27" t="n">
        <x:f>N1551*'Fleet Engine'!M197</x:f>
        <x:v>310.0880079660999</x:v>
      </x:c>
      <x:c r="V1551" s="28" t="n">
        <x:f>U1551*T1551</x:f>
        <x:v>283685.41077610914</x:v>
      </x:c>
      <x:c r="W1551" s="28" t="n">
        <x:f>U1551*O1551</x:f>
        <x:v>967897.1120722558</x:v>
      </x:c>
    </x:row>
    <x:row r="1552" ht="19" customHeight="1">
      <x:c r="A1552" s="2"/>
      <x:c r="B1552" s="2"/>
      <x:c r="C1552" s="46" t="n">
        <x:v>7</x:v>
      </x:c>
      <x:c r="D1552" s="46" t="n">
        <x:v>3</x:v>
      </x:c>
      <x:c r="E1552" s="46" t="n">
        <x:v>0</x:v>
      </x:c>
      <x:c r="F1552" s="46" t="n">
        <x:v>3</x:v>
      </x:c>
      <x:c r="G1552" s="12" t="n">
        <x:v>0.7777777777777778</x:v>
      </x:c>
      <x:c r="H1552" s="12" t="n">
        <x:v>0.8888888888888888</x:v>
      </x:c>
      <x:c r="I1552" s="29" t="n">
        <x:f>'Assumptions'!$D$11+'Assumptions'!$D$12*(0.5-(G1552+H1552)/2)</x:f>
        <x:v>0.23333333333333334</x:v>
      </x:c>
      <x:c r="J1552" s="27" t="n">
        <x:f>'Assumptions'!$D$8*EXP(-'Assumptions'!$D$9*('Fleet Engine'!E197-10))*'Assumptions'!E55*'Assumptions'!K36</x:f>
        <x:v>12214.027581601698</x:v>
      </x:c>
      <x:c r="K1552" s="27" t="n">
        <x:f>'Source Data'!F220+LN('Assumptions'!D55)+LN('Assumptions'!K35)</x:f>
        <x:v>8.062717438528928</x:v>
      </x:c>
      <x:c r="L1552" s="27" t="n">
        <x:f>J1552*(1-I1552*(1-'Carrier Engine'!E98))</x:f>
        <x:v>9478.085403322919</x:v>
      </x:c>
      <x:c r="M1552" s="29" t="n">
        <x:f>NORM.S.DIST((LN(L1552)-K1552)/'Assumptions'!$D$10,TRUE)</x:f>
        <x:v>0.7570162193907342</x:v>
      </x:c>
      <x:c r="N1552" s="30" t="n">
        <x:f>MAX(0,H1552-MAX(G1552,M1552))</x:f>
        <x:v>0.11111111111111105</x:v>
      </x:c>
      <x:c r="O1552" s="28" t="n">
        <x:f>J1552*I1552</x:f>
        <x:v>2849.939769040396</x:v>
      </x:c>
      <x:c r="P1552" s="27" t="n">
        <x:f>(VLOOKUP(O1552,'Fee Data'!$C$6:$G$50,2,TRUE)+O1552*VLOOKUP(O1552,'Fee Data'!$C$6:$G$50,3,TRUE)+VLOOKUP(O1552,'Fee Data'!$I$6:$J$14,2,TRUE)+'Fee Data'!$J$20+'Fee Data'!$J$21)*'Assumptions'!K37</x:f>
        <x:v>820</x:v>
      </x:c>
      <x:c r="Q1552" s="27" t="n">
        <x:f>(VLOOKUP(O1552,'Fee Data'!$C$6:$G$50,4,TRUE)+O1552*VLOOKUP(O1552,'Fee Data'!$C$6:$G$50,5,TRUE)+VLOOKUP(O1552,'Fee Data'!$I$6:$J$14,2,TRUE)+'Fee Data'!$J$20+'Fee Data'!$J$21)*'Assumptions'!K37</x:f>
        <x:v>670</x:v>
      </x:c>
      <x:c r="R1552" s="27" t="n">
        <x:f>P1552*(1-'Assumptions'!$D$14)+Q1552*'Assumptions'!$D$14</x:f>
        <x:v>745</x:v>
      </x:c>
      <x:c r="S1552" s="27" t="n">
        <x:f>O1552*'Carrier Engine'!E98</x:f>
        <x:v>113.99759076161583</x:v>
      </x:c>
      <x:c r="T1552" s="28" t="n">
        <x:f>R1552+S1552</x:f>
        <x:v>858.9975907616158</x:v>
      </x:c>
      <x:c r="U1552" s="27" t="n">
        <x:f>N1552*'Fleet Engine'!M197</x:f>
        <x:v>1307.463327818887</x:v>
      </x:c>
      <x:c r="V1552" s="28" t="n">
        <x:f>U1552*T1552</x:f>
        <x:v>1123107.8486055885</x:v>
      </x:c>
      <x:c r="W1552" s="28" t="n">
        <x:f>U1552*O1552</x:f>
        <x:v>3726191.7345129466</x:v>
      </x:c>
    </x:row>
    <x:row r="1553" ht="19" customHeight="1">
      <x:c r="A1553" s="2"/>
      <x:c r="B1553" s="2"/>
      <x:c r="C1553" s="46" t="n">
        <x:v>7</x:v>
      </x:c>
      <x:c r="D1553" s="46" t="n">
        <x:v>3</x:v>
      </x:c>
      <x:c r="E1553" s="46" t="n">
        <x:v>0</x:v>
      </x:c>
      <x:c r="F1553" s="46" t="n">
        <x:v>3</x:v>
      </x:c>
      <x:c r="G1553" s="12" t="n">
        <x:v>0.8888888888888888</x:v>
      </x:c>
      <x:c r="H1553" s="12" t="n">
        <x:v>1</x:v>
      </x:c>
      <x:c r="I1553" s="29" t="n">
        <x:f>'Assumptions'!$D$11+'Assumptions'!$D$12*(0.5-(G1553+H1553)/2)</x:f>
        <x:v>0.21111111111111108</x:v>
      </x:c>
      <x:c r="J1553" s="27" t="n">
        <x:f>'Assumptions'!$D$8*EXP(-'Assumptions'!$D$9*('Fleet Engine'!E197-10))*'Assumptions'!E55*'Assumptions'!K36</x:f>
        <x:v>12214.027581601698</x:v>
      </x:c>
      <x:c r="K1553" s="27" t="n">
        <x:f>'Source Data'!F220+LN('Assumptions'!D55)+LN('Assumptions'!K35)</x:f>
        <x:v>8.062717438528928</x:v>
      </x:c>
      <x:c r="L1553" s="27" t="n">
        <x:f>J1553*(1-I1553*(1-'Carrier Engine'!E98))</x:f>
        <x:v>9738.651325063754</x:v>
      </x:c>
      <x:c r="M1553" s="29" t="n">
        <x:f>NORM.S.DIST((LN(L1553)-K1553)/'Assumptions'!$D$10,TRUE)</x:f>
        <x:v>0.76238905546153</x:v>
      </x:c>
      <x:c r="N1553" s="30" t="n">
        <x:f>MAX(0,H1553-MAX(G1553,M1553))</x:f>
        <x:v>0.11111111111111116</x:v>
      </x:c>
      <x:c r="O1553" s="28" t="n">
        <x:f>J1553*I1553</x:f>
        <x:v>2578.5169338936917</x:v>
      </x:c>
      <x:c r="P1553" s="27" t="n">
        <x:f>(VLOOKUP(O1553,'Fee Data'!$C$6:$G$50,2,TRUE)+O1553*VLOOKUP(O1553,'Fee Data'!$C$6:$G$50,3,TRUE)+VLOOKUP(O1553,'Fee Data'!$I$6:$J$14,2,TRUE)+'Fee Data'!$J$20+'Fee Data'!$J$21)*'Assumptions'!K37</x:f>
        <x:v>820</x:v>
      </x:c>
      <x:c r="Q1553" s="27" t="n">
        <x:f>(VLOOKUP(O1553,'Fee Data'!$C$6:$G$50,4,TRUE)+O1553*VLOOKUP(O1553,'Fee Data'!$C$6:$G$50,5,TRUE)+VLOOKUP(O1553,'Fee Data'!$I$6:$J$14,2,TRUE)+'Fee Data'!$J$20+'Fee Data'!$J$21)*'Assumptions'!K37</x:f>
        <x:v>670</x:v>
      </x:c>
      <x:c r="R1553" s="27" t="n">
        <x:f>P1553*(1-'Assumptions'!$D$14)+Q1553*'Assumptions'!$D$14</x:f>
        <x:v>745</x:v>
      </x:c>
      <x:c r="S1553" s="27" t="n">
        <x:f>O1553*'Carrier Engine'!E98</x:f>
        <x:v>103.14067735574766</x:v>
      </x:c>
      <x:c r="T1553" s="28" t="n">
        <x:f>R1553+S1553</x:f>
        <x:v>848.1406773557477</x:v>
      </x:c>
      <x:c r="U1553" s="27" t="n">
        <x:f>N1553*'Fleet Engine'!M197</x:f>
        <x:v>1307.4633278188883</x:v>
      </x:c>
      <x:c r="V1553" s="28" t="n">
        <x:f>U1553*T1553</x:f>
        <x:v>1108912.8324741118</x:v>
      </x:c>
      <x:c r="W1553" s="28" t="n">
        <x:f>U1553*O1553</x:f>
        <x:v>3371316.3312260024</x:v>
      </x:c>
    </x:row>
    <x:row r="1554" ht="19" customHeight="1">
      <x:c r="A1554" s="2"/>
      <x:c r="B1554" s="2"/>
      <x:c r="C1554" s="46" t="n">
        <x:v>7</x:v>
      </x:c>
      <x:c r="D1554" s="46" t="n">
        <x:v>4</x:v>
      </x:c>
      <x:c r="E1554" s="46" t="n">
        <x:v>0</x:v>
      </x:c>
      <x:c r="F1554" s="46" t="n">
        <x:v>4</x:v>
      </x:c>
      <x:c r="G1554" s="12" t="n">
        <x:v>0</x:v>
      </x:c>
      <x:c r="H1554" s="12" t="n">
        <x:v>0.1111111111111111</x:v>
      </x:c>
      <x:c r="I1554" s="29" t="n">
        <x:f>'Assumptions'!$D$11+'Assumptions'!$D$12*(0.5-(G1554+H1554)/2)</x:f>
        <x:v>0.3888888888888889</x:v>
      </x:c>
      <x:c r="J1554" s="27" t="n">
        <x:f>'Assumptions'!$D$8*EXP(-'Assumptions'!$D$9*('Fleet Engine'!E198-10))*'Assumptions'!E55*'Assumptions'!K36</x:f>
        <x:v>9048.374180359595</x:v>
      </x:c>
      <x:c r="K1554" s="27" t="n">
        <x:f>'Source Data'!F221+LN('Assumptions'!D55)+LN('Assumptions'!K35)</x:f>
        <x:v>8.14856556744418</x:v>
      </x:c>
      <x:c r="L1554" s="27" t="n">
        <x:f>J1554*(1-I1554*(1-'Carrier Engine'!E98))</x:f>
        <x:v>5670.3144863586795</x:v>
      </x:c>
      <x:c r="M1554" s="29" t="n">
        <x:f>NORM.S.DIST((LN(L1554)-K1554)/'Assumptions'!$D$10,TRUE)</x:f>
        <x:v>0.6235755127669419</x:v>
      </x:c>
      <x:c r="N1554" s="30" t="n">
        <x:f>MAX(0,H1554-MAX(G1554,M1554))</x:f>
        <x:v>0</x:v>
      </x:c>
      <x:c r="O1554" s="28" t="n">
        <x:f>J1554*I1554</x:f>
        <x:v>3518.8121812509535</x:v>
      </x:c>
      <x:c r="P1554" s="27" t="n">
        <x:f>(VLOOKUP(O1554,'Fee Data'!$C$6:$G$50,2,TRUE)+O1554*VLOOKUP(O1554,'Fee Data'!$C$6:$G$50,3,TRUE)+VLOOKUP(O1554,'Fee Data'!$I$6:$J$14,2,TRUE)+'Fee Data'!$J$20+'Fee Data'!$J$21)*'Assumptions'!K37</x:f>
        <x:v>915</x:v>
      </x:c>
      <x:c r="Q1554" s="27" t="n">
        <x:f>(VLOOKUP(O1554,'Fee Data'!$C$6:$G$50,4,TRUE)+O1554*VLOOKUP(O1554,'Fee Data'!$C$6:$G$50,5,TRUE)+VLOOKUP(O1554,'Fee Data'!$I$6:$J$14,2,TRUE)+'Fee Data'!$J$20+'Fee Data'!$J$21)*'Assumptions'!K37</x:f>
        <x:v>765</x:v>
      </x:c>
      <x:c r="R1554" s="27" t="n">
        <x:f>P1554*(1-'Assumptions'!$D$14)+Q1554*'Assumptions'!$D$14</x:f>
        <x:v>840</x:v>
      </x:c>
      <x:c r="S1554" s="27" t="n">
        <x:f>O1554*'Carrier Engine'!E98</x:f>
        <x:v>140.75248725003812</x:v>
      </x:c>
      <x:c r="T1554" s="28" t="n">
        <x:f>R1554+S1554</x:f>
        <x:v>980.7524872500381</x:v>
      </x:c>
      <x:c r="U1554" s="27" t="n">
        <x:f>N1554*'Fleet Engine'!M198</x:f>
        <x:v>0</x:v>
      </x:c>
      <x:c r="V1554" s="28" t="n">
        <x:f>U1554*T1554</x:f>
        <x:v>0</x:v>
      </x:c>
      <x:c r="W1554" s="28" t="n">
        <x:f>U1554*O1554</x:f>
        <x:v>0</x:v>
      </x:c>
    </x:row>
    <x:row r="1555" ht="19" customHeight="1">
      <x:c r="A1555" s="2"/>
      <x:c r="B1555" s="2"/>
      <x:c r="C1555" s="46" t="n">
        <x:v>7</x:v>
      </x:c>
      <x:c r="D1555" s="46" t="n">
        <x:v>4</x:v>
      </x:c>
      <x:c r="E1555" s="46" t="n">
        <x:v>0</x:v>
      </x:c>
      <x:c r="F1555" s="46" t="n">
        <x:v>4</x:v>
      </x:c>
      <x:c r="G1555" s="12" t="n">
        <x:v>0.1111111111111111</x:v>
      </x:c>
      <x:c r="H1555" s="12" t="n">
        <x:v>0.2222222222222222</x:v>
      </x:c>
      <x:c r="I1555" s="29" t="n">
        <x:f>'Assumptions'!$D$11+'Assumptions'!$D$12*(0.5-(G1555+H1555)/2)</x:f>
        <x:v>0.3666666666666667</x:v>
      </x:c>
      <x:c r="J1555" s="27" t="n">
        <x:f>'Assumptions'!$D$8*EXP(-'Assumptions'!$D$9*('Fleet Engine'!E198-10))*'Assumptions'!E55*'Assumptions'!K36</x:f>
        <x:v>9048.374180359595</x:v>
      </x:c>
      <x:c r="K1555" s="27" t="n">
        <x:f>'Source Data'!F221+LN('Assumptions'!D55)+LN('Assumptions'!K35)</x:f>
        <x:v>8.14856556744418</x:v>
      </x:c>
      <x:c r="L1555" s="27" t="n">
        <x:f>J1555*(1-I1555*(1-'Carrier Engine'!E98))</x:f>
        <x:v>5863.346468873016</x:v>
      </x:c>
      <x:c r="M1555" s="29" t="n">
        <x:f>NORM.S.DIST((LN(L1555)-K1555)/'Assumptions'!$D$10,TRUE)</x:f>
        <x:v>0.6316416500338942</x:v>
      </x:c>
      <x:c r="N1555" s="30" t="n">
        <x:f>MAX(0,H1555-MAX(G1555,M1555))</x:f>
        <x:v>0</x:v>
      </x:c>
      <x:c r="O1555" s="28" t="n">
        <x:f>J1555*I1555</x:f>
        <x:v>3317.737199465185</x:v>
      </x:c>
      <x:c r="P1555" s="27" t="n">
        <x:f>(VLOOKUP(O1555,'Fee Data'!$C$6:$G$50,2,TRUE)+O1555*VLOOKUP(O1555,'Fee Data'!$C$6:$G$50,3,TRUE)+VLOOKUP(O1555,'Fee Data'!$I$6:$J$14,2,TRUE)+'Fee Data'!$J$20+'Fee Data'!$J$21)*'Assumptions'!K37</x:f>
        <x:v>865</x:v>
      </x:c>
      <x:c r="Q1555" s="27" t="n">
        <x:f>(VLOOKUP(O1555,'Fee Data'!$C$6:$G$50,4,TRUE)+O1555*VLOOKUP(O1555,'Fee Data'!$C$6:$G$50,5,TRUE)+VLOOKUP(O1555,'Fee Data'!$I$6:$J$14,2,TRUE)+'Fee Data'!$J$20+'Fee Data'!$J$21)*'Assumptions'!K37</x:f>
        <x:v>715</x:v>
      </x:c>
      <x:c r="R1555" s="27" t="n">
        <x:f>P1555*(1-'Assumptions'!$D$14)+Q1555*'Assumptions'!$D$14</x:f>
        <x:v>790</x:v>
      </x:c>
      <x:c r="S1555" s="27" t="n">
        <x:f>O1555*'Carrier Engine'!E98</x:f>
        <x:v>132.70948797860737</x:v>
      </x:c>
      <x:c r="T1555" s="28" t="n">
        <x:f>R1555+S1555</x:f>
        <x:v>922.7094879786074</x:v>
      </x:c>
      <x:c r="U1555" s="27" t="n">
        <x:f>N1555*'Fleet Engine'!M198</x:f>
        <x:v>0</x:v>
      </x:c>
      <x:c r="V1555" s="28" t="n">
        <x:f>U1555*T1555</x:f>
        <x:v>0</x:v>
      </x:c>
      <x:c r="W1555" s="28" t="n">
        <x:f>U1555*O1555</x:f>
        <x:v>0</x:v>
      </x:c>
    </x:row>
    <x:row r="1556" ht="19" customHeight="1">
      <x:c r="A1556" s="2"/>
      <x:c r="B1556" s="2"/>
      <x:c r="C1556" s="46" t="n">
        <x:v>7</x:v>
      </x:c>
      <x:c r="D1556" s="46" t="n">
        <x:v>4</x:v>
      </x:c>
      <x:c r="E1556" s="46" t="n">
        <x:v>0</x:v>
      </x:c>
      <x:c r="F1556" s="46" t="n">
        <x:v>4</x:v>
      </x:c>
      <x:c r="G1556" s="12" t="n">
        <x:v>0.2222222222222222</x:v>
      </x:c>
      <x:c r="H1556" s="12" t="n">
        <x:v>0.3333333333333333</x:v>
      </x:c>
      <x:c r="I1556" s="29" t="n">
        <x:f>'Assumptions'!$D$11+'Assumptions'!$D$12*(0.5-(G1556+H1556)/2)</x:f>
        <x:v>0.34444444444444444</x:v>
      </x:c>
      <x:c r="J1556" s="27" t="n">
        <x:f>'Assumptions'!$D$8*EXP(-'Assumptions'!$D$9*('Fleet Engine'!E198-10))*'Assumptions'!E55*'Assumptions'!K36</x:f>
        <x:v>9048.374180359595</x:v>
      </x:c>
      <x:c r="K1556" s="27" t="n">
        <x:f>'Source Data'!F221+LN('Assumptions'!D55)+LN('Assumptions'!K35)</x:f>
        <x:v>8.14856556744418</x:v>
      </x:c>
      <x:c r="L1556" s="27" t="n">
        <x:f>J1556*(1-I1556*(1-'Carrier Engine'!E98))</x:f>
        <x:v>6056.378451387355</x:v>
      </x:c>
      <x:c r="M1556" s="29" t="n">
        <x:f>NORM.S.DIST((LN(L1556)-K1556)/'Assumptions'!$D$10,TRUE)</x:f>
        <x:v>0.6393916848110384</x:v>
      </x:c>
      <x:c r="N1556" s="30" t="n">
        <x:f>MAX(0,H1556-MAX(G1556,M1556))</x:f>
        <x:v>0</x:v>
      </x:c>
      <x:c r="O1556" s="28" t="n">
        <x:f>J1556*I1556</x:f>
        <x:v>3116.662217679416</x:v>
      </x:c>
      <x:c r="P1556" s="27" t="n">
        <x:f>(VLOOKUP(O1556,'Fee Data'!$C$6:$G$50,2,TRUE)+O1556*VLOOKUP(O1556,'Fee Data'!$C$6:$G$50,3,TRUE)+VLOOKUP(O1556,'Fee Data'!$I$6:$J$14,2,TRUE)+'Fee Data'!$J$20+'Fee Data'!$J$21)*'Assumptions'!K37</x:f>
        <x:v>865</x:v>
      </x:c>
      <x:c r="Q1556" s="27" t="n">
        <x:f>(VLOOKUP(O1556,'Fee Data'!$C$6:$G$50,4,TRUE)+O1556*VLOOKUP(O1556,'Fee Data'!$C$6:$G$50,5,TRUE)+VLOOKUP(O1556,'Fee Data'!$I$6:$J$14,2,TRUE)+'Fee Data'!$J$20+'Fee Data'!$J$21)*'Assumptions'!K37</x:f>
        <x:v>715</x:v>
      </x:c>
      <x:c r="R1556" s="27" t="n">
        <x:f>P1556*(1-'Assumptions'!$D$14)+Q1556*'Assumptions'!$D$14</x:f>
        <x:v>790</x:v>
      </x:c>
      <x:c r="S1556" s="27" t="n">
        <x:f>O1556*'Carrier Engine'!E98</x:f>
        <x:v>124.66648870717661</x:v>
      </x:c>
      <x:c r="T1556" s="28" t="n">
        <x:f>R1556+S1556</x:f>
        <x:v>914.6664887071767</x:v>
      </x:c>
      <x:c r="U1556" s="27" t="n">
        <x:f>N1556*'Fleet Engine'!M198</x:f>
        <x:v>0</x:v>
      </x:c>
      <x:c r="V1556" s="28" t="n">
        <x:f>U1556*T1556</x:f>
        <x:v>0</x:v>
      </x:c>
      <x:c r="W1556" s="28" t="n">
        <x:f>U1556*O1556</x:f>
        <x:v>0</x:v>
      </x:c>
    </x:row>
    <x:row r="1557" ht="19" customHeight="1">
      <x:c r="A1557" s="2"/>
      <x:c r="B1557" s="2"/>
      <x:c r="C1557" s="46" t="n">
        <x:v>7</x:v>
      </x:c>
      <x:c r="D1557" s="46" t="n">
        <x:v>4</x:v>
      </x:c>
      <x:c r="E1557" s="46" t="n">
        <x:v>0</x:v>
      </x:c>
      <x:c r="F1557" s="46" t="n">
        <x:v>4</x:v>
      </x:c>
      <x:c r="G1557" s="12" t="n">
        <x:v>0.3333333333333333</x:v>
      </x:c>
      <x:c r="H1557" s="12" t="n">
        <x:v>0.4444444444444444</x:v>
      </x:c>
      <x:c r="I1557" s="29" t="n">
        <x:f>'Assumptions'!$D$11+'Assumptions'!$D$12*(0.5-(G1557+H1557)/2)</x:f>
        <x:v>0.32222222222222224</x:v>
      </x:c>
      <x:c r="J1557" s="27" t="n">
        <x:f>'Assumptions'!$D$8*EXP(-'Assumptions'!$D$9*('Fleet Engine'!E198-10))*'Assumptions'!E55*'Assumptions'!K36</x:f>
        <x:v>9048.374180359595</x:v>
      </x:c>
      <x:c r="K1557" s="27" t="n">
        <x:f>'Source Data'!F221+LN('Assumptions'!D55)+LN('Assumptions'!K35)</x:f>
        <x:v>8.14856556744418</x:v>
      </x:c>
      <x:c r="L1557" s="27" t="n">
        <x:f>J1557*(1-I1557*(1-'Carrier Engine'!E98))</x:f>
        <x:v>6249.410433901693</x:v>
      </x:c>
      <x:c r="M1557" s="29" t="n">
        <x:f>NORM.S.DIST((LN(L1557)-K1557)/'Assumptions'!$D$10,TRUE)</x:f>
        <x:v>0.6468443793490292</x:v>
      </x:c>
      <x:c r="N1557" s="30" t="n">
        <x:f>MAX(0,H1557-MAX(G1557,M1557))</x:f>
        <x:v>0</x:v>
      </x:c>
      <x:c r="O1557" s="28" t="n">
        <x:f>J1557*I1557</x:f>
        <x:v>2915.5872358936476</x:v>
      </x:c>
      <x:c r="P1557" s="27" t="n">
        <x:f>(VLOOKUP(O1557,'Fee Data'!$C$6:$G$50,2,TRUE)+O1557*VLOOKUP(O1557,'Fee Data'!$C$6:$G$50,3,TRUE)+VLOOKUP(O1557,'Fee Data'!$I$6:$J$14,2,TRUE)+'Fee Data'!$J$20+'Fee Data'!$J$21)*'Assumptions'!K37</x:f>
        <x:v>820</x:v>
      </x:c>
      <x:c r="Q1557" s="27" t="n">
        <x:f>(VLOOKUP(O1557,'Fee Data'!$C$6:$G$50,4,TRUE)+O1557*VLOOKUP(O1557,'Fee Data'!$C$6:$G$50,5,TRUE)+VLOOKUP(O1557,'Fee Data'!$I$6:$J$14,2,TRUE)+'Fee Data'!$J$20+'Fee Data'!$J$21)*'Assumptions'!K37</x:f>
        <x:v>670</x:v>
      </x:c>
      <x:c r="R1557" s="27" t="n">
        <x:f>P1557*(1-'Assumptions'!$D$14)+Q1557*'Assumptions'!$D$14</x:f>
        <x:v>745</x:v>
      </x:c>
      <x:c r="S1557" s="27" t="n">
        <x:f>O1557*'Carrier Engine'!E98</x:f>
        <x:v>116.62348943574588</x:v>
      </x:c>
      <x:c r="T1557" s="28" t="n">
        <x:f>R1557+S1557</x:f>
        <x:v>861.6234894357459</x:v>
      </x:c>
      <x:c r="U1557" s="27" t="n">
        <x:f>N1557*'Fleet Engine'!M198</x:f>
        <x:v>0</x:v>
      </x:c>
      <x:c r="V1557" s="28" t="n">
        <x:f>U1557*T1557</x:f>
        <x:v>0</x:v>
      </x:c>
      <x:c r="W1557" s="28" t="n">
        <x:f>U1557*O1557</x:f>
        <x:v>0</x:v>
      </x:c>
    </x:row>
    <x:row r="1558" ht="19" customHeight="1">
      <x:c r="A1558" s="2"/>
      <x:c r="B1558" s="2"/>
      <x:c r="C1558" s="46" t="n">
        <x:v>7</x:v>
      </x:c>
      <x:c r="D1558" s="46" t="n">
        <x:v>4</x:v>
      </x:c>
      <x:c r="E1558" s="46" t="n">
        <x:v>0</x:v>
      </x:c>
      <x:c r="F1558" s="46" t="n">
        <x:v>4</x:v>
      </x:c>
      <x:c r="G1558" s="12" t="n">
        <x:v>0.4444444444444444</x:v>
      </x:c>
      <x:c r="H1558" s="12" t="n">
        <x:v>0.5555555555555556</x:v>
      </x:c>
      <x:c r="I1558" s="29" t="n">
        <x:f>'Assumptions'!$D$11+'Assumptions'!$D$12*(0.5-(G1558+H1558)/2)</x:f>
        <x:v>0.3</x:v>
      </x:c>
      <x:c r="J1558" s="27" t="n">
        <x:f>'Assumptions'!$D$8*EXP(-'Assumptions'!$D$9*('Fleet Engine'!E198-10))*'Assumptions'!E55*'Assumptions'!K36</x:f>
        <x:v>9048.374180359595</x:v>
      </x:c>
      <x:c r="K1558" s="27" t="n">
        <x:f>'Source Data'!F221+LN('Assumptions'!D55)+LN('Assumptions'!K35)</x:f>
        <x:v>8.14856556744418</x:v>
      </x:c>
      <x:c r="L1558" s="27" t="n">
        <x:f>J1558*(1-I1558*(1-'Carrier Engine'!E98))</x:f>
        <x:v>6442.442416416031</x:v>
      </x:c>
      <x:c r="M1558" s="29" t="n">
        <x:f>NORM.S.DIST((LN(L1558)-K1558)/'Assumptions'!$D$10,TRUE)</x:f>
        <x:v>0.654016988796613</x:v>
      </x:c>
      <x:c r="N1558" s="30" t="n">
        <x:f>MAX(0,H1558-MAX(G1558,M1558))</x:f>
        <x:v>0</x:v>
      </x:c>
      <x:c r="O1558" s="28" t="n">
        <x:f>J1558*I1558</x:f>
        <x:v>2714.5122541078786</x:v>
      </x:c>
      <x:c r="P1558" s="27" t="n">
        <x:f>(VLOOKUP(O1558,'Fee Data'!$C$6:$G$50,2,TRUE)+O1558*VLOOKUP(O1558,'Fee Data'!$C$6:$G$50,3,TRUE)+VLOOKUP(O1558,'Fee Data'!$I$6:$J$14,2,TRUE)+'Fee Data'!$J$20+'Fee Data'!$J$21)*'Assumptions'!K37</x:f>
        <x:v>820</x:v>
      </x:c>
      <x:c r="Q1558" s="27" t="n">
        <x:f>(VLOOKUP(O1558,'Fee Data'!$C$6:$G$50,4,TRUE)+O1558*VLOOKUP(O1558,'Fee Data'!$C$6:$G$50,5,TRUE)+VLOOKUP(O1558,'Fee Data'!$I$6:$J$14,2,TRUE)+'Fee Data'!$J$20+'Fee Data'!$J$21)*'Assumptions'!K37</x:f>
        <x:v>670</x:v>
      </x:c>
      <x:c r="R1558" s="27" t="n">
        <x:f>P1558*(1-'Assumptions'!$D$14)+Q1558*'Assumptions'!$D$14</x:f>
        <x:v>745</x:v>
      </x:c>
      <x:c r="S1558" s="27" t="n">
        <x:f>O1558*'Carrier Engine'!E98</x:f>
        <x:v>108.58049016431512</x:v>
      </x:c>
      <x:c r="T1558" s="28" t="n">
        <x:f>R1558+S1558</x:f>
        <x:v>853.5804901643152</x:v>
      </x:c>
      <x:c r="U1558" s="27" t="n">
        <x:f>N1558*'Fleet Engine'!M198</x:f>
        <x:v>0</x:v>
      </x:c>
      <x:c r="V1558" s="28" t="n">
        <x:f>U1558*T1558</x:f>
        <x:v>0</x:v>
      </x:c>
      <x:c r="W1558" s="28" t="n">
        <x:f>U1558*O1558</x:f>
        <x:v>0</x:v>
      </x:c>
    </x:row>
    <x:row r="1559" ht="19" customHeight="1">
      <x:c r="A1559" s="2"/>
      <x:c r="B1559" s="2"/>
      <x:c r="C1559" s="46" t="n">
        <x:v>7</x:v>
      </x:c>
      <x:c r="D1559" s="46" t="n">
        <x:v>4</x:v>
      </x:c>
      <x:c r="E1559" s="46" t="n">
        <x:v>0</x:v>
      </x:c>
      <x:c r="F1559" s="46" t="n">
        <x:v>4</x:v>
      </x:c>
      <x:c r="G1559" s="12" t="n">
        <x:v>0.5555555555555556</x:v>
      </x:c>
      <x:c r="H1559" s="12" t="n">
        <x:v>0.6666666666666666</x:v>
      </x:c>
      <x:c r="I1559" s="29" t="n">
        <x:f>'Assumptions'!$D$11+'Assumptions'!$D$12*(0.5-(G1559+H1559)/2)</x:f>
        <x:v>0.27777777777777773</x:v>
      </x:c>
      <x:c r="J1559" s="27" t="n">
        <x:f>'Assumptions'!$D$8*EXP(-'Assumptions'!$D$9*('Fleet Engine'!E198-10))*'Assumptions'!E55*'Assumptions'!K36</x:f>
        <x:v>9048.374180359595</x:v>
      </x:c>
      <x:c r="K1559" s="27" t="n">
        <x:f>'Source Data'!F221+LN('Assumptions'!D55)+LN('Assumptions'!K35)</x:f>
        <x:v>8.14856556744418</x:v>
      </x:c>
      <x:c r="L1559" s="27" t="n">
        <x:f>J1559*(1-I1559*(1-'Carrier Engine'!E98))</x:f>
        <x:v>6635.47439893037</x:v>
      </x:c>
      <x:c r="M1559" s="29" t="n">
        <x:f>NORM.S.DIST((LN(L1559)-K1559)/'Assumptions'!$D$10,TRUE)</x:f>
        <x:v>0.6609254137826943</x:v>
      </x:c>
      <x:c r="N1559" s="30" t="n">
        <x:f>MAX(0,H1559-MAX(G1559,M1559))</x:f>
        <x:v>0.005741252883972314</x:v>
      </x:c>
      <x:c r="O1559" s="28" t="n">
        <x:f>J1559*I1559</x:f>
        <x:v>2513.4372723221095</x:v>
      </x:c>
      <x:c r="P1559" s="27" t="n">
        <x:f>(VLOOKUP(O1559,'Fee Data'!$C$6:$G$50,2,TRUE)+O1559*VLOOKUP(O1559,'Fee Data'!$C$6:$G$50,3,TRUE)+VLOOKUP(O1559,'Fee Data'!$I$6:$J$14,2,TRUE)+'Fee Data'!$J$20+'Fee Data'!$J$21)*'Assumptions'!K37</x:f>
        <x:v>820</x:v>
      </x:c>
      <x:c r="Q1559" s="27" t="n">
        <x:f>(VLOOKUP(O1559,'Fee Data'!$C$6:$G$50,4,TRUE)+O1559*VLOOKUP(O1559,'Fee Data'!$C$6:$G$50,5,TRUE)+VLOOKUP(O1559,'Fee Data'!$I$6:$J$14,2,TRUE)+'Fee Data'!$J$20+'Fee Data'!$J$21)*'Assumptions'!K37</x:f>
        <x:v>670</x:v>
      </x:c>
      <x:c r="R1559" s="27" t="n">
        <x:f>P1559*(1-'Assumptions'!$D$14)+Q1559*'Assumptions'!$D$14</x:f>
        <x:v>745</x:v>
      </x:c>
      <x:c r="S1559" s="27" t="n">
        <x:f>O1559*'Carrier Engine'!E98</x:f>
        <x:v>100.53749089288436</x:v>
      </x:c>
      <x:c r="T1559" s="28" t="n">
        <x:f>R1559+S1559</x:f>
        <x:v>845.5374908928843</x:v>
      </x:c>
      <x:c r="U1559" s="27" t="n">
        <x:f>N1559*'Fleet Engine'!M198</x:f>
        <x:v>70.31733127611294</x:v>
      </x:c>
      <x:c r="V1559" s="28" t="n">
        <x:f>U1559*T1559</x:f>
        <x:v>59455.93985348827</x:v>
      </x:c>
      <x:c r="W1559" s="28" t="n">
        <x:f>U1559*O1559</x:f>
        <x:v>176738.20131960345</x:v>
      </x:c>
    </x:row>
    <x:row r="1560" ht="19" customHeight="1">
      <x:c r="A1560" s="2"/>
      <x:c r="B1560" s="2"/>
      <x:c r="C1560" s="46" t="n">
        <x:v>7</x:v>
      </x:c>
      <x:c r="D1560" s="46" t="n">
        <x:v>4</x:v>
      </x:c>
      <x:c r="E1560" s="46" t="n">
        <x:v>0</x:v>
      </x:c>
      <x:c r="F1560" s="46" t="n">
        <x:v>4</x:v>
      </x:c>
      <x:c r="G1560" s="12" t="n">
        <x:v>0.6666666666666666</x:v>
      </x:c>
      <x:c r="H1560" s="12" t="n">
        <x:v>0.7777777777777778</x:v>
      </x:c>
      <x:c r="I1560" s="29" t="n">
        <x:f>'Assumptions'!$D$11+'Assumptions'!$D$12*(0.5-(G1560+H1560)/2)</x:f>
        <x:v>0.25555555555555554</x:v>
      </x:c>
      <x:c r="J1560" s="27" t="n">
        <x:f>'Assumptions'!$D$8*EXP(-'Assumptions'!$D$9*('Fleet Engine'!E198-10))*'Assumptions'!E55*'Assumptions'!K36</x:f>
        <x:v>9048.374180359595</x:v>
      </x:c>
      <x:c r="K1560" s="27" t="n">
        <x:f>'Source Data'!F221+LN('Assumptions'!D55)+LN('Assumptions'!K35)</x:f>
        <x:v>8.14856556744418</x:v>
      </x:c>
      <x:c r="L1560" s="27" t="n">
        <x:f>J1560*(1-I1560*(1-'Carrier Engine'!E98))</x:f>
        <x:v>6828.506381444708</x:v>
      </x:c>
      <x:c r="M1560" s="29" t="n">
        <x:f>NORM.S.DIST((LN(L1560)-K1560)/'Assumptions'!$D$10,TRUE)</x:f>
        <x:v>0.6675843344367494</x:v>
      </x:c>
      <x:c r="N1560" s="30" t="n">
        <x:f>MAX(0,H1560-MAX(G1560,M1560))</x:f>
        <x:v>0.11019344334102843</x:v>
      </x:c>
      <x:c r="O1560" s="28" t="n">
        <x:f>J1560*I1560</x:f>
        <x:v>2312.362290536341</x:v>
      </x:c>
      <x:c r="P1560" s="27" t="n">
        <x:f>(VLOOKUP(O1560,'Fee Data'!$C$6:$G$50,2,TRUE)+O1560*VLOOKUP(O1560,'Fee Data'!$C$6:$G$50,3,TRUE)+VLOOKUP(O1560,'Fee Data'!$I$6:$J$14,2,TRUE)+'Fee Data'!$J$20+'Fee Data'!$J$21)*'Assumptions'!K37</x:f>
        <x:v>745</x:v>
      </x:c>
      <x:c r="Q1560" s="27" t="n">
        <x:f>(VLOOKUP(O1560,'Fee Data'!$C$6:$G$50,4,TRUE)+O1560*VLOOKUP(O1560,'Fee Data'!$C$6:$G$50,5,TRUE)+VLOOKUP(O1560,'Fee Data'!$I$6:$J$14,2,TRUE)+'Fee Data'!$J$20+'Fee Data'!$J$21)*'Assumptions'!K37</x:f>
        <x:v>600</x:v>
      </x:c>
      <x:c r="R1560" s="27" t="n">
        <x:f>P1560*(1-'Assumptions'!$D$14)+Q1560*'Assumptions'!$D$14</x:f>
        <x:v>672.5</x:v>
      </x:c>
      <x:c r="S1560" s="27" t="n">
        <x:f>O1560*'Carrier Engine'!E98</x:f>
        <x:v>92.49449162145362</x:v>
      </x:c>
      <x:c r="T1560" s="28" t="n">
        <x:f>R1560+S1560</x:f>
        <x:v>764.9944916214536</x:v>
      </x:c>
      <x:c r="U1560" s="27" t="n">
        <x:f>N1560*'Fleet Engine'!M198</x:f>
        <x:v>1349.619850659768</x:v>
      </x:c>
      <x:c r="V1560" s="28" t="n">
        <x:f>U1560*T1560</x:f>
        <x:v>1032451.7515376912</x:v>
      </x:c>
      <x:c r="W1560" s="28" t="n">
        <x:f>U1560*O1560</x:f>
        <x:v>3120810.0492249355</x:v>
      </x:c>
    </x:row>
    <x:row r="1561" ht="19" customHeight="1">
      <x:c r="A1561" s="2"/>
      <x:c r="B1561" s="2"/>
      <x:c r="C1561" s="46" t="n">
        <x:v>7</x:v>
      </x:c>
      <x:c r="D1561" s="46" t="n">
        <x:v>4</x:v>
      </x:c>
      <x:c r="E1561" s="46" t="n">
        <x:v>0</x:v>
      </x:c>
      <x:c r="F1561" s="46" t="n">
        <x:v>4</x:v>
      </x:c>
      <x:c r="G1561" s="12" t="n">
        <x:v>0.7777777777777778</x:v>
      </x:c>
      <x:c r="H1561" s="12" t="n">
        <x:v>0.8888888888888888</x:v>
      </x:c>
      <x:c r="I1561" s="29" t="n">
        <x:f>'Assumptions'!$D$11+'Assumptions'!$D$12*(0.5-(G1561+H1561)/2)</x:f>
        <x:v>0.23333333333333334</x:v>
      </x:c>
      <x:c r="J1561" s="27" t="n">
        <x:f>'Assumptions'!$D$8*EXP(-'Assumptions'!$D$9*('Fleet Engine'!E198-10))*'Assumptions'!E55*'Assumptions'!K36</x:f>
        <x:v>9048.374180359595</x:v>
      </x:c>
      <x:c r="K1561" s="27" t="n">
        <x:f>'Source Data'!F221+LN('Assumptions'!D55)+LN('Assumptions'!K35)</x:f>
        <x:v>8.14856556744418</x:v>
      </x:c>
      <x:c r="L1561" s="27" t="n">
        <x:f>J1561*(1-I1561*(1-'Carrier Engine'!E98))</x:f>
        <x:v>7021.5383639590455</x:v>
      </x:c>
      <x:c r="M1561" s="29" t="n">
        <x:f>NORM.S.DIST((LN(L1561)-K1561)/'Assumptions'!$D$10,TRUE)</x:f>
        <x:v>0.6740073284704973</x:v>
      </x:c>
      <x:c r="N1561" s="30" t="n">
        <x:f>MAX(0,H1561-MAX(G1561,M1561))</x:f>
        <x:v>0.11111111111111105</x:v>
      </x:c>
      <x:c r="O1561" s="28" t="n">
        <x:f>J1561*I1561</x:f>
        <x:v>2111.2873087505723</x:v>
      </x:c>
      <x:c r="P1561" s="27" t="n">
        <x:f>(VLOOKUP(O1561,'Fee Data'!$C$6:$G$50,2,TRUE)+O1561*VLOOKUP(O1561,'Fee Data'!$C$6:$G$50,3,TRUE)+VLOOKUP(O1561,'Fee Data'!$I$6:$J$14,2,TRUE)+'Fee Data'!$J$20+'Fee Data'!$J$21)*'Assumptions'!K37</x:f>
        <x:v>745</x:v>
      </x:c>
      <x:c r="Q1561" s="27" t="n">
        <x:f>(VLOOKUP(O1561,'Fee Data'!$C$6:$G$50,4,TRUE)+O1561*VLOOKUP(O1561,'Fee Data'!$C$6:$G$50,5,TRUE)+VLOOKUP(O1561,'Fee Data'!$I$6:$J$14,2,TRUE)+'Fee Data'!$J$20+'Fee Data'!$J$21)*'Assumptions'!K37</x:f>
        <x:v>600</x:v>
      </x:c>
      <x:c r="R1561" s="27" t="n">
        <x:f>P1561*(1-'Assumptions'!$D$14)+Q1561*'Assumptions'!$D$14</x:f>
        <x:v>672.5</x:v>
      </x:c>
      <x:c r="S1561" s="27" t="n">
        <x:f>O1561*'Carrier Engine'!E98</x:f>
        <x:v>84.45149235002287</x:v>
      </x:c>
      <x:c r="T1561" s="28" t="n">
        <x:f>R1561+S1561</x:f>
        <x:v>756.9514923500228</x:v>
      </x:c>
      <x:c r="U1561" s="27" t="n">
        <x:f>N1561*'Fleet Engine'!M198</x:f>
        <x:v>1360.8592003094677</x:v>
      </x:c>
      <x:c r="V1561" s="28" t="n">
        <x:f>U1561*T1561</x:f>
        <x:v>1030104.4025525103</x:v>
      </x:c>
      <x:c r="W1561" s="28" t="n">
        <x:f>U1561*O1561</x:f>
        <x:v>2873164.7586098323</x:v>
      </x:c>
    </x:row>
    <x:row r="1562" ht="19" customHeight="1">
      <x:c r="A1562" s="2"/>
      <x:c r="B1562" s="2"/>
      <x:c r="C1562" s="46" t="n">
        <x:v>7</x:v>
      </x:c>
      <x:c r="D1562" s="46" t="n">
        <x:v>4</x:v>
      </x:c>
      <x:c r="E1562" s="46" t="n">
        <x:v>0</x:v>
      </x:c>
      <x:c r="F1562" s="46" t="n">
        <x:v>4</x:v>
      </x:c>
      <x:c r="G1562" s="12" t="n">
        <x:v>0.8888888888888888</x:v>
      </x:c>
      <x:c r="H1562" s="12" t="n">
        <x:v>1</x:v>
      </x:c>
      <x:c r="I1562" s="29" t="n">
        <x:f>'Assumptions'!$D$11+'Assumptions'!$D$12*(0.5-(G1562+H1562)/2)</x:f>
        <x:v>0.21111111111111108</x:v>
      </x:c>
      <x:c r="J1562" s="27" t="n">
        <x:f>'Assumptions'!$D$8*EXP(-'Assumptions'!$D$9*('Fleet Engine'!E198-10))*'Assumptions'!E55*'Assumptions'!K36</x:f>
        <x:v>9048.374180359595</x:v>
      </x:c>
      <x:c r="K1562" s="27" t="n">
        <x:f>'Source Data'!F221+LN('Assumptions'!D55)+LN('Assumptions'!K35)</x:f>
        <x:v>8.14856556744418</x:v>
      </x:c>
      <x:c r="L1562" s="27" t="n">
        <x:f>J1562*(1-I1562*(1-'Carrier Engine'!E98))</x:f>
        <x:v>7214.570346473383</x:v>
      </x:c>
      <x:c r="M1562" s="29" t="n">
        <x:f>NORM.S.DIST((LN(L1562)-K1562)/'Assumptions'!$D$10,TRUE)</x:f>
        <x:v>0.680206975523874</x:v>
      </x:c>
      <x:c r="N1562" s="30" t="n">
        <x:f>MAX(0,H1562-MAX(G1562,M1562))</x:f>
        <x:v>0.11111111111111116</x:v>
      </x:c>
      <x:c r="O1562" s="28" t="n">
        <x:f>J1562*I1562</x:f>
        <x:v>1910.2123269648032</x:v>
      </x:c>
      <x:c r="P1562" s="27" t="n">
        <x:f>(VLOOKUP(O1562,'Fee Data'!$C$6:$G$50,2,TRUE)+O1562*VLOOKUP(O1562,'Fee Data'!$C$6:$G$50,3,TRUE)+VLOOKUP(O1562,'Fee Data'!$I$6:$J$14,2,TRUE)+'Fee Data'!$J$20+'Fee Data'!$J$21)*'Assumptions'!K37</x:f>
        <x:v>705</x:v>
      </x:c>
      <x:c r="Q1562" s="27" t="n">
        <x:f>(VLOOKUP(O1562,'Fee Data'!$C$6:$G$50,4,TRUE)+O1562*VLOOKUP(O1562,'Fee Data'!$C$6:$G$50,5,TRUE)+VLOOKUP(O1562,'Fee Data'!$I$6:$J$14,2,TRUE)+'Fee Data'!$J$20+'Fee Data'!$J$21)*'Assumptions'!K37</x:f>
        <x:v>565</x:v>
      </x:c>
      <x:c r="R1562" s="27" t="n">
        <x:f>P1562*(1-'Assumptions'!$D$14)+Q1562*'Assumptions'!$D$14</x:f>
        <x:v>635</x:v>
      </x:c>
      <x:c r="S1562" s="27" t="n">
        <x:f>O1562*'Carrier Engine'!E98</x:f>
        <x:v>76.40849307859212</x:v>
      </x:c>
      <x:c r="T1562" s="28" t="n">
        <x:f>R1562+S1562</x:f>
        <x:v>711.4084930785921</x:v>
      </x:c>
      <x:c r="U1562" s="27" t="n">
        <x:f>N1562*'Fleet Engine'!M198</x:f>
        <x:v>1360.859200309469</x:v>
      </x:c>
      <x:c r="V1562" s="28" t="n">
        <x:f>U1562*T1562</x:f>
        <x:v>968126.7929842973</x:v>
      </x:c>
      <x:c r="W1562" s="28" t="n">
        <x:f>U1562*O1562</x:f>
        <x:v>2599530.0196946124</x:v>
      </x:c>
    </x:row>
    <x:row r="1563" ht="19" customHeight="1">
      <x:c r="A1563" s="2"/>
      <x:c r="B1563" s="2"/>
      <x:c r="C1563" s="46" t="n">
        <x:v>7</x:v>
      </x:c>
      <x:c r="D1563" s="46" t="n">
        <x:v>5</x:v>
      </x:c>
      <x:c r="E1563" s="46" t="n">
        <x:v>0</x:v>
      </x:c>
      <x:c r="F1563" s="46" t="n">
        <x:v>5</x:v>
      </x:c>
      <x:c r="G1563" s="12" t="n">
        <x:v>0</x:v>
      </x:c>
      <x:c r="H1563" s="12" t="n">
        <x:v>0.1111111111111111</x:v>
      </x:c>
      <x:c r="I1563" s="29" t="n">
        <x:f>'Assumptions'!$D$11+'Assumptions'!$D$12*(0.5-(G1563+H1563)/2)</x:f>
        <x:v>0.3888888888888889</x:v>
      </x:c>
      <x:c r="J1563" s="27" t="n">
        <x:f>'Assumptions'!$D$8*EXP(-'Assumptions'!$D$9*('Fleet Engine'!E199-10))*'Assumptions'!E55*'Assumptions'!K36</x:f>
        <x:v>4965.853037914095</x:v>
      </x:c>
      <x:c r="K1563" s="27" t="n">
        <x:f>'Source Data'!F222+LN('Assumptions'!D55)+LN('Assumptions'!K35)</x:f>
        <x:v>8.0496367177205</x:v>
      </x:c>
      <x:c r="L1563" s="27" t="n">
        <x:f>J1563*(1-I1563*(1-'Carrier Engine'!E98))</x:f>
        <x:v>3111.9345704261664</x:v>
      </x:c>
      <x:c r="M1563" s="29" t="n">
        <x:f>NORM.S.DIST((LN(L1563)-K1563)/'Assumptions'!$D$10,TRUE)</x:f>
        <x:v>0.4983137783845791</x:v>
      </x:c>
      <x:c r="N1563" s="30" t="n">
        <x:f>MAX(0,H1563-MAX(G1563,M1563))</x:f>
        <x:v>0</x:v>
      </x:c>
      <x:c r="O1563" s="28" t="n">
        <x:f>J1563*I1563</x:f>
        <x:v>1931.1650702999257</x:v>
      </x:c>
      <x:c r="P1563" s="27" t="n">
        <x:f>(VLOOKUP(O1563,'Fee Data'!$C$6:$G$50,2,TRUE)+O1563*VLOOKUP(O1563,'Fee Data'!$C$6:$G$50,3,TRUE)+VLOOKUP(O1563,'Fee Data'!$I$6:$J$14,2,TRUE)+'Fee Data'!$J$20+'Fee Data'!$J$21)*'Assumptions'!K37</x:f>
        <x:v>705</x:v>
      </x:c>
      <x:c r="Q1563" s="27" t="n">
        <x:f>(VLOOKUP(O1563,'Fee Data'!$C$6:$G$50,4,TRUE)+O1563*VLOOKUP(O1563,'Fee Data'!$C$6:$G$50,5,TRUE)+VLOOKUP(O1563,'Fee Data'!$I$6:$J$14,2,TRUE)+'Fee Data'!$J$20+'Fee Data'!$J$21)*'Assumptions'!K37</x:f>
        <x:v>565</x:v>
      </x:c>
      <x:c r="R1563" s="27" t="n">
        <x:f>P1563*(1-'Assumptions'!$D$14)+Q1563*'Assumptions'!$D$14</x:f>
        <x:v>635</x:v>
      </x:c>
      <x:c r="S1563" s="27" t="n">
        <x:f>O1563*'Carrier Engine'!E98</x:f>
        <x:v>77.24660281199702</x:v>
      </x:c>
      <x:c r="T1563" s="28" t="n">
        <x:f>R1563+S1563</x:f>
        <x:v>712.246602811997</x:v>
      </x:c>
      <x:c r="U1563" s="27" t="n">
        <x:f>N1563*'Fleet Engine'!M199</x:f>
        <x:v>0</x:v>
      </x:c>
      <x:c r="V1563" s="28" t="n">
        <x:f>U1563*T1563</x:f>
        <x:v>0</x:v>
      </x:c>
      <x:c r="W1563" s="28" t="n">
        <x:f>U1563*O1563</x:f>
        <x:v>0</x:v>
      </x:c>
    </x:row>
    <x:row r="1564" ht="19" customHeight="1">
      <x:c r="A1564" s="2"/>
      <x:c r="B1564" s="2"/>
      <x:c r="C1564" s="46" t="n">
        <x:v>7</x:v>
      </x:c>
      <x:c r="D1564" s="46" t="n">
        <x:v>5</x:v>
      </x:c>
      <x:c r="E1564" s="46" t="n">
        <x:v>0</x:v>
      </x:c>
      <x:c r="F1564" s="46" t="n">
        <x:v>5</x:v>
      </x:c>
      <x:c r="G1564" s="12" t="n">
        <x:v>0.1111111111111111</x:v>
      </x:c>
      <x:c r="H1564" s="12" t="n">
        <x:v>0.2222222222222222</x:v>
      </x:c>
      <x:c r="I1564" s="29" t="n">
        <x:f>'Assumptions'!$D$11+'Assumptions'!$D$12*(0.5-(G1564+H1564)/2)</x:f>
        <x:v>0.3666666666666667</x:v>
      </x:c>
      <x:c r="J1564" s="27" t="n">
        <x:f>'Assumptions'!$D$8*EXP(-'Assumptions'!$D$9*('Fleet Engine'!E199-10))*'Assumptions'!E55*'Assumptions'!K36</x:f>
        <x:v>4965.853037914095</x:v>
      </x:c>
      <x:c r="K1564" s="27" t="n">
        <x:f>'Source Data'!F222+LN('Assumptions'!D55)+LN('Assumptions'!K35)</x:f>
        <x:v>8.0496367177205</x:v>
      </x:c>
      <x:c r="L1564" s="27" t="n">
        <x:f>J1564*(1-I1564*(1-'Carrier Engine'!E98))</x:f>
        <x:v>3217.872768568333</x:v>
      </x:c>
      <x:c r="M1564" s="29" t="n">
        <x:f>NORM.S.DIST((LN(L1564)-K1564)/'Assumptions'!$D$10,TRUE)</x:f>
        <x:v>0.5068186718451688</x:v>
      </x:c>
      <x:c r="N1564" s="30" t="n">
        <x:f>MAX(0,H1564-MAX(G1564,M1564))</x:f>
        <x:v>0</x:v>
      </x:c>
      <x:c r="O1564" s="28" t="n">
        <x:f>J1564*I1564</x:f>
        <x:v>1820.8127805685015</x:v>
      </x:c>
      <x:c r="P1564" s="27" t="n">
        <x:f>(VLOOKUP(O1564,'Fee Data'!$C$6:$G$50,2,TRUE)+O1564*VLOOKUP(O1564,'Fee Data'!$C$6:$G$50,3,TRUE)+VLOOKUP(O1564,'Fee Data'!$I$6:$J$14,2,TRUE)+'Fee Data'!$J$20+'Fee Data'!$J$21)*'Assumptions'!K37</x:f>
        <x:v>705</x:v>
      </x:c>
      <x:c r="Q1564" s="27" t="n">
        <x:f>(VLOOKUP(O1564,'Fee Data'!$C$6:$G$50,4,TRUE)+O1564*VLOOKUP(O1564,'Fee Data'!$C$6:$G$50,5,TRUE)+VLOOKUP(O1564,'Fee Data'!$I$6:$J$14,2,TRUE)+'Fee Data'!$J$20+'Fee Data'!$J$21)*'Assumptions'!K37</x:f>
        <x:v>565</x:v>
      </x:c>
      <x:c r="R1564" s="27" t="n">
        <x:f>P1564*(1-'Assumptions'!$D$14)+Q1564*'Assumptions'!$D$14</x:f>
        <x:v>635</x:v>
      </x:c>
      <x:c r="S1564" s="27" t="n">
        <x:f>O1564*'Carrier Engine'!E98</x:f>
        <x:v>72.83251122274005</x:v>
      </x:c>
      <x:c r="T1564" s="28" t="n">
        <x:f>R1564+S1564</x:f>
        <x:v>707.8325112227401</x:v>
      </x:c>
      <x:c r="U1564" s="27" t="n">
        <x:f>N1564*'Fleet Engine'!M199</x:f>
        <x:v>0</x:v>
      </x:c>
      <x:c r="V1564" s="28" t="n">
        <x:f>U1564*T1564</x:f>
        <x:v>0</x:v>
      </x:c>
      <x:c r="W1564" s="28" t="n">
        <x:f>U1564*O1564</x:f>
        <x:v>0</x:v>
      </x:c>
    </x:row>
    <x:row r="1565" ht="19" customHeight="1">
      <x:c r="A1565" s="2"/>
      <x:c r="B1565" s="2"/>
      <x:c r="C1565" s="46" t="n">
        <x:v>7</x:v>
      </x:c>
      <x:c r="D1565" s="46" t="n">
        <x:v>5</x:v>
      </x:c>
      <x:c r="E1565" s="46" t="n">
        <x:v>0</x:v>
      </x:c>
      <x:c r="F1565" s="46" t="n">
        <x:v>5</x:v>
      </x:c>
      <x:c r="G1565" s="12" t="n">
        <x:v>0.2222222222222222</x:v>
      </x:c>
      <x:c r="H1565" s="12" t="n">
        <x:v>0.3333333333333333</x:v>
      </x:c>
      <x:c r="I1565" s="29" t="n">
        <x:f>'Assumptions'!$D$11+'Assumptions'!$D$12*(0.5-(G1565+H1565)/2)</x:f>
        <x:v>0.34444444444444444</x:v>
      </x:c>
      <x:c r="J1565" s="27" t="n">
        <x:f>'Assumptions'!$D$8*EXP(-'Assumptions'!$D$9*('Fleet Engine'!E199-10))*'Assumptions'!E55*'Assumptions'!K36</x:f>
        <x:v>4965.853037914095</x:v>
      </x:c>
      <x:c r="K1565" s="27" t="n">
        <x:f>'Source Data'!F222+LN('Assumptions'!D55)+LN('Assumptions'!K35)</x:f>
        <x:v>8.0496367177205</x:v>
      </x:c>
      <x:c r="L1565" s="27" t="n">
        <x:f>J1565*(1-I1565*(1-'Carrier Engine'!E98))</x:f>
        <x:v>3323.810966710501</x:v>
      </x:c>
      <x:c r="M1565" s="29" t="n">
        <x:f>NORM.S.DIST((LN(L1565)-K1565)/'Assumptions'!$D$10,TRUE)</x:f>
        <x:v>0.5150451442708714</x:v>
      </x:c>
      <x:c r="N1565" s="30" t="n">
        <x:f>MAX(0,H1565-MAX(G1565,M1565))</x:f>
        <x:v>0</x:v>
      </x:c>
      <x:c r="O1565" s="28" t="n">
        <x:f>J1565*I1565</x:f>
        <x:v>1710.460490837077</x:v>
      </x:c>
      <x:c r="P1565" s="27" t="n">
        <x:f>(VLOOKUP(O1565,'Fee Data'!$C$6:$G$50,2,TRUE)+O1565*VLOOKUP(O1565,'Fee Data'!$C$6:$G$50,3,TRUE)+VLOOKUP(O1565,'Fee Data'!$I$6:$J$14,2,TRUE)+'Fee Data'!$J$20+'Fee Data'!$J$21)*'Assumptions'!K37</x:f>
        <x:v>680</x:v>
      </x:c>
      <x:c r="Q1565" s="27" t="n">
        <x:f>(VLOOKUP(O1565,'Fee Data'!$C$6:$G$50,4,TRUE)+O1565*VLOOKUP(O1565,'Fee Data'!$C$6:$G$50,5,TRUE)+VLOOKUP(O1565,'Fee Data'!$I$6:$J$14,2,TRUE)+'Fee Data'!$J$20+'Fee Data'!$J$21)*'Assumptions'!K37</x:f>
        <x:v>545</x:v>
      </x:c>
      <x:c r="R1565" s="27" t="n">
        <x:f>P1565*(1-'Assumptions'!$D$14)+Q1565*'Assumptions'!$D$14</x:f>
        <x:v>612.5</x:v>
      </x:c>
      <x:c r="S1565" s="27" t="n">
        <x:f>O1565*'Carrier Engine'!E98</x:f>
        <x:v>68.41841963348307</x:v>
      </x:c>
      <x:c r="T1565" s="28" t="n">
        <x:f>R1565+S1565</x:f>
        <x:v>680.918419633483</x:v>
      </x:c>
      <x:c r="U1565" s="27" t="n">
        <x:f>N1565*'Fleet Engine'!M199</x:f>
        <x:v>0</x:v>
      </x:c>
      <x:c r="V1565" s="28" t="n">
        <x:f>U1565*T1565</x:f>
        <x:v>0</x:v>
      </x:c>
      <x:c r="W1565" s="28" t="n">
        <x:f>U1565*O1565</x:f>
        <x:v>0</x:v>
      </x:c>
    </x:row>
    <x:row r="1566" ht="19" customHeight="1">
      <x:c r="A1566" s="2"/>
      <x:c r="B1566" s="2"/>
      <x:c r="C1566" s="46" t="n">
        <x:v>7</x:v>
      </x:c>
      <x:c r="D1566" s="46" t="n">
        <x:v>5</x:v>
      </x:c>
      <x:c r="E1566" s="46" t="n">
        <x:v>0</x:v>
      </x:c>
      <x:c r="F1566" s="46" t="n">
        <x:v>5</x:v>
      </x:c>
      <x:c r="G1566" s="12" t="n">
        <x:v>0.3333333333333333</x:v>
      </x:c>
      <x:c r="H1566" s="12" t="n">
        <x:v>0.4444444444444444</x:v>
      </x:c>
      <x:c r="I1566" s="29" t="n">
        <x:f>'Assumptions'!$D$11+'Assumptions'!$D$12*(0.5-(G1566+H1566)/2)</x:f>
        <x:v>0.32222222222222224</x:v>
      </x:c>
      <x:c r="J1566" s="27" t="n">
        <x:f>'Assumptions'!$D$8*EXP(-'Assumptions'!$D$9*('Fleet Engine'!E199-10))*'Assumptions'!E55*'Assumptions'!K36</x:f>
        <x:v>4965.853037914095</x:v>
      </x:c>
      <x:c r="K1566" s="27" t="n">
        <x:f>'Source Data'!F222+LN('Assumptions'!D55)+LN('Assumptions'!K35)</x:f>
        <x:v>8.0496367177205</x:v>
      </x:c>
      <x:c r="L1566" s="27" t="n">
        <x:f>J1566*(1-I1566*(1-'Carrier Engine'!E98))</x:f>
        <x:v>3429.749164852668</x:v>
      </x:c>
      <x:c r="M1566" s="29" t="n">
        <x:f>NORM.S.DIST((LN(L1566)-K1566)/'Assumptions'!$D$10,TRUE)</x:f>
        <x:v>0.5230074223798904</x:v>
      </x:c>
      <x:c r="N1566" s="30" t="n">
        <x:f>MAX(0,H1566-MAX(G1566,M1566))</x:f>
        <x:v>0</x:v>
      </x:c>
      <x:c r="O1566" s="28" t="n">
        <x:f>J1566*I1566</x:f>
        <x:v>1600.1082011056528</x:v>
      </x:c>
      <x:c r="P1566" s="27" t="n">
        <x:f>(VLOOKUP(O1566,'Fee Data'!$C$6:$G$50,2,TRUE)+O1566*VLOOKUP(O1566,'Fee Data'!$C$6:$G$50,3,TRUE)+VLOOKUP(O1566,'Fee Data'!$I$6:$J$14,2,TRUE)+'Fee Data'!$J$20+'Fee Data'!$J$21)*'Assumptions'!K37</x:f>
        <x:v>660</x:v>
      </x:c>
      <x:c r="Q1566" s="27" t="n">
        <x:f>(VLOOKUP(O1566,'Fee Data'!$C$6:$G$50,4,TRUE)+O1566*VLOOKUP(O1566,'Fee Data'!$C$6:$G$50,5,TRUE)+VLOOKUP(O1566,'Fee Data'!$I$6:$J$14,2,TRUE)+'Fee Data'!$J$20+'Fee Data'!$J$21)*'Assumptions'!K37</x:f>
        <x:v>525</x:v>
      </x:c>
      <x:c r="R1566" s="27" t="n">
        <x:f>P1566*(1-'Assumptions'!$D$14)+Q1566*'Assumptions'!$D$14</x:f>
        <x:v>592.5</x:v>
      </x:c>
      <x:c r="S1566" s="27" t="n">
        <x:f>O1566*'Carrier Engine'!E98</x:f>
        <x:v>64.0043280442261</x:v>
      </x:c>
      <x:c r="T1566" s="28" t="n">
        <x:f>R1566+S1566</x:f>
        <x:v>656.5043280442261</x:v>
      </x:c>
      <x:c r="U1566" s="27" t="n">
        <x:f>N1566*'Fleet Engine'!M199</x:f>
        <x:v>0</x:v>
      </x:c>
      <x:c r="V1566" s="28" t="n">
        <x:f>U1566*T1566</x:f>
        <x:v>0</x:v>
      </x:c>
      <x:c r="W1566" s="28" t="n">
        <x:f>U1566*O1566</x:f>
        <x:v>0</x:v>
      </x:c>
    </x:row>
    <x:row r="1567" ht="19" customHeight="1">
      <x:c r="A1567" s="2"/>
      <x:c r="B1567" s="2"/>
      <x:c r="C1567" s="46" t="n">
        <x:v>7</x:v>
      </x:c>
      <x:c r="D1567" s="46" t="n">
        <x:v>5</x:v>
      </x:c>
      <x:c r="E1567" s="46" t="n">
        <x:v>0</x:v>
      </x:c>
      <x:c r="F1567" s="46" t="n">
        <x:v>5</x:v>
      </x:c>
      <x:c r="G1567" s="12" t="n">
        <x:v>0.4444444444444444</x:v>
      </x:c>
      <x:c r="H1567" s="12" t="n">
        <x:v>0.5555555555555556</x:v>
      </x:c>
      <x:c r="I1567" s="29" t="n">
        <x:f>'Assumptions'!$D$11+'Assumptions'!$D$12*(0.5-(G1567+H1567)/2)</x:f>
        <x:v>0.3</x:v>
      </x:c>
      <x:c r="J1567" s="27" t="n">
        <x:f>'Assumptions'!$D$8*EXP(-'Assumptions'!$D$9*('Fleet Engine'!E199-10))*'Assumptions'!E55*'Assumptions'!K36</x:f>
        <x:v>4965.853037914095</x:v>
      </x:c>
      <x:c r="K1567" s="27" t="n">
        <x:f>'Source Data'!F222+LN('Assumptions'!D55)+LN('Assumptions'!K35)</x:f>
        <x:v>8.0496367177205</x:v>
      </x:c>
      <x:c r="L1567" s="27" t="n">
        <x:f>J1567*(1-I1567*(1-'Carrier Engine'!E98))</x:f>
        <x:v>3535.6873629948354</x:v>
      </x:c>
      <x:c r="M1567" s="29" t="n">
        <x:f>NORM.S.DIST((LN(L1567)-K1567)/'Assumptions'!$D$10,TRUE)</x:f>
        <x:v>0.530718734175407</x:v>
      </x:c>
      <x:c r="N1567" s="30" t="n">
        <x:f>MAX(0,H1567-MAX(G1567,M1567))</x:f>
        <x:v>0.024836821380148533</x:v>
      </x:c>
      <x:c r="O1567" s="28" t="n">
        <x:f>J1567*I1567</x:f>
        <x:v>1489.7559113742284</x:v>
      </x:c>
      <x:c r="P1567" s="27" t="n">
        <x:f>(VLOOKUP(O1567,'Fee Data'!$C$6:$G$50,2,TRUE)+O1567*VLOOKUP(O1567,'Fee Data'!$C$6:$G$50,3,TRUE)+VLOOKUP(O1567,'Fee Data'!$I$6:$J$14,2,TRUE)+'Fee Data'!$J$20+'Fee Data'!$J$21)*'Assumptions'!K37</x:f>
        <x:v>615</x:v>
      </x:c>
      <x:c r="Q1567" s="27" t="n">
        <x:f>(VLOOKUP(O1567,'Fee Data'!$C$6:$G$50,4,TRUE)+O1567*VLOOKUP(O1567,'Fee Data'!$C$6:$G$50,5,TRUE)+VLOOKUP(O1567,'Fee Data'!$I$6:$J$14,2,TRUE)+'Fee Data'!$J$20+'Fee Data'!$J$21)*'Assumptions'!K37</x:f>
        <x:v>485</x:v>
      </x:c>
      <x:c r="R1567" s="27" t="n">
        <x:f>P1567*(1-'Assumptions'!$D$14)+Q1567*'Assumptions'!$D$14</x:f>
        <x:v>550</x:v>
      </x:c>
      <x:c r="S1567" s="27" t="n">
        <x:f>O1567*'Carrier Engine'!E98</x:f>
        <x:v>59.59023645496913</x:v>
      </x:c>
      <x:c r="T1567" s="28" t="n">
        <x:f>R1567+S1567</x:f>
        <x:v>609.5902364549692</x:v>
      </x:c>
      <x:c r="U1567" s="27" t="n">
        <x:f>N1567*'Fleet Engine'!M199</x:f>
        <x:v>453.3894737835791</x:v>
      </x:c>
      <x:c r="V1567" s="28" t="n">
        <x:f>U1567*T1567</x:f>
        <x:v>276381.796529926</x:v>
      </x:c>
      <x:c r="W1567" s="28" t="n">
        <x:f>U1567*O1567</x:f>
        <x:v>675439.6487239377</x:v>
      </x:c>
    </x:row>
    <x:row r="1568" ht="19" customHeight="1">
      <x:c r="A1568" s="2"/>
      <x:c r="B1568" s="2"/>
      <x:c r="C1568" s="46" t="n">
        <x:v>7</x:v>
      </x:c>
      <x:c r="D1568" s="46" t="n">
        <x:v>5</x:v>
      </x:c>
      <x:c r="E1568" s="46" t="n">
        <x:v>0</x:v>
      </x:c>
      <x:c r="F1568" s="46" t="n">
        <x:v>5</x:v>
      </x:c>
      <x:c r="G1568" s="12" t="n">
        <x:v>0.5555555555555556</x:v>
      </x:c>
      <x:c r="H1568" s="12" t="n">
        <x:v>0.6666666666666666</x:v>
      </x:c>
      <x:c r="I1568" s="29" t="n">
        <x:f>'Assumptions'!$D$11+'Assumptions'!$D$12*(0.5-(G1568+H1568)/2)</x:f>
        <x:v>0.27777777777777773</x:v>
      </x:c>
      <x:c r="J1568" s="27" t="n">
        <x:f>'Assumptions'!$D$8*EXP(-'Assumptions'!$D$9*('Fleet Engine'!E199-10))*'Assumptions'!E55*'Assumptions'!K36</x:f>
        <x:v>4965.853037914095</x:v>
      </x:c>
      <x:c r="K1568" s="27" t="n">
        <x:f>'Source Data'!F222+LN('Assumptions'!D55)+LN('Assumptions'!K35)</x:f>
        <x:v>8.0496367177205</x:v>
      </x:c>
      <x:c r="L1568" s="27" t="n">
        <x:f>J1568*(1-I1568*(1-'Carrier Engine'!E98))</x:f>
        <x:v>3641.625561137003</x:v>
      </x:c>
      <x:c r="M1568" s="29" t="n">
        <x:f>NORM.S.DIST((LN(L1568)-K1568)/'Assumptions'!$D$10,TRUE)</x:f>
        <x:v>0.5381913977645012</x:v>
      </x:c>
      <x:c r="N1568" s="30" t="n">
        <x:f>MAX(0,H1568-MAX(G1568,M1568))</x:f>
        <x:v>0.11111111111111105</x:v>
      </x:c>
      <x:c r="O1568" s="28" t="n">
        <x:f>J1568*I1568</x:f>
        <x:v>1379.403621642804</x:v>
      </x:c>
      <x:c r="P1568" s="27" t="n">
        <x:f>(VLOOKUP(O1568,'Fee Data'!$C$6:$G$50,2,TRUE)+O1568*VLOOKUP(O1568,'Fee Data'!$C$6:$G$50,3,TRUE)+VLOOKUP(O1568,'Fee Data'!$I$6:$J$14,2,TRUE)+'Fee Data'!$J$20+'Fee Data'!$J$21)*'Assumptions'!K37</x:f>
        <x:v>595</x:v>
      </x:c>
      <x:c r="Q1568" s="27" t="n">
        <x:f>(VLOOKUP(O1568,'Fee Data'!$C$6:$G$50,4,TRUE)+O1568*VLOOKUP(O1568,'Fee Data'!$C$6:$G$50,5,TRUE)+VLOOKUP(O1568,'Fee Data'!$I$6:$J$14,2,TRUE)+'Fee Data'!$J$20+'Fee Data'!$J$21)*'Assumptions'!K37</x:f>
        <x:v>470</x:v>
      </x:c>
      <x:c r="R1568" s="27" t="n">
        <x:f>P1568*(1-'Assumptions'!$D$14)+Q1568*'Assumptions'!$D$14</x:f>
        <x:v>532.5</x:v>
      </x:c>
      <x:c r="S1568" s="27" t="n">
        <x:f>O1568*'Carrier Engine'!E98</x:f>
        <x:v>55.176144865712146</x:v>
      </x:c>
      <x:c r="T1568" s="28" t="n">
        <x:f>R1568+S1568</x:f>
        <x:v>587.6761448657121</x:v>
      </x:c>
      <x:c r="U1568" s="27" t="n">
        <x:f>N1568*'Fleet Engine'!M199</x:f>
        <x:v>2028.303357628534</x:v>
      </x:c>
      <x:c r="V1568" s="28" t="n">
        <x:f>U1568*T1568</x:f>
        <x:v>1191985.4978293166</x:v>
      </x:c>
      <x:c r="W1568" s="28" t="n">
        <x:f>U1568*O1568</x:f>
        <x:v>2797848.9973030593</x:v>
      </x:c>
    </x:row>
    <x:row r="1569" ht="19" customHeight="1">
      <x:c r="A1569" s="2"/>
      <x:c r="B1569" s="2"/>
      <x:c r="C1569" s="46" t="n">
        <x:v>7</x:v>
      </x:c>
      <x:c r="D1569" s="46" t="n">
        <x:v>5</x:v>
      </x:c>
      <x:c r="E1569" s="46" t="n">
        <x:v>0</x:v>
      </x:c>
      <x:c r="F1569" s="46" t="n">
        <x:v>5</x:v>
      </x:c>
      <x:c r="G1569" s="12" t="n">
        <x:v>0.6666666666666666</x:v>
      </x:c>
      <x:c r="H1569" s="12" t="n">
        <x:v>0.7777777777777778</x:v>
      </x:c>
      <x:c r="I1569" s="29" t="n">
        <x:f>'Assumptions'!$D$11+'Assumptions'!$D$12*(0.5-(G1569+H1569)/2)</x:f>
        <x:v>0.25555555555555554</x:v>
      </x:c>
      <x:c r="J1569" s="27" t="n">
        <x:f>'Assumptions'!$D$8*EXP(-'Assumptions'!$D$9*('Fleet Engine'!E199-10))*'Assumptions'!E55*'Assumptions'!K36</x:f>
        <x:v>4965.853037914095</x:v>
      </x:c>
      <x:c r="K1569" s="27" t="n">
        <x:f>'Source Data'!F222+LN('Assumptions'!D55)+LN('Assumptions'!K35)</x:f>
        <x:v>8.0496367177205</x:v>
      </x:c>
      <x:c r="L1569" s="27" t="n">
        <x:f>J1569*(1-I1569*(1-'Carrier Engine'!E98))</x:f>
        <x:v>3747.5637592791704</x:v>
      </x:c>
      <x:c r="M1569" s="29" t="n">
        <x:f>NORM.S.DIST((LN(L1569)-K1569)/'Assumptions'!$D$10,TRUE)</x:f>
        <x:v>0.5454369007114661</x:v>
      </x:c>
      <x:c r="N1569" s="30" t="n">
        <x:f>MAX(0,H1569-MAX(G1569,M1569))</x:f>
        <x:v>0.11111111111111116</x:v>
      </x:c>
      <x:c r="O1569" s="28" t="n">
        <x:f>J1569*I1569</x:f>
        <x:v>1269.0513319113797</x:v>
      </x:c>
      <x:c r="P1569" s="27" t="n">
        <x:f>(VLOOKUP(O1569,'Fee Data'!$C$6:$G$50,2,TRUE)+O1569*VLOOKUP(O1569,'Fee Data'!$C$6:$G$50,3,TRUE)+VLOOKUP(O1569,'Fee Data'!$I$6:$J$14,2,TRUE)+'Fee Data'!$J$20+'Fee Data'!$J$21)*'Assumptions'!K37</x:f>
        <x:v>580</x:v>
      </x:c>
      <x:c r="Q1569" s="27" t="n">
        <x:f>(VLOOKUP(O1569,'Fee Data'!$C$6:$G$50,4,TRUE)+O1569*VLOOKUP(O1569,'Fee Data'!$C$6:$G$50,5,TRUE)+VLOOKUP(O1569,'Fee Data'!$I$6:$J$14,2,TRUE)+'Fee Data'!$J$20+'Fee Data'!$J$21)*'Assumptions'!K37</x:f>
        <x:v>455</x:v>
      </x:c>
      <x:c r="R1569" s="27" t="n">
        <x:f>P1569*(1-'Assumptions'!$D$14)+Q1569*'Assumptions'!$D$14</x:f>
        <x:v>517.5</x:v>
      </x:c>
      <x:c r="S1569" s="27" t="n">
        <x:f>O1569*'Carrier Engine'!E98</x:f>
        <x:v>50.762053276455184</x:v>
      </x:c>
      <x:c r="T1569" s="28" t="n">
        <x:f>R1569+S1569</x:f>
        <x:v>568.2620532764552</x:v>
      </x:c>
      <x:c r="U1569" s="27" t="n">
        <x:f>N1569*'Fleet Engine'!M199</x:f>
        <x:v>2028.303357628536</x:v>
      </x:c>
      <x:c r="V1569" s="28" t="n">
        <x:f>U1569*T1569</x:f>
        <x:v>1152607.83067352</x:v>
      </x:c>
      <x:c r="W1569" s="28" t="n">
        <x:f>U1569*O1569</x:f>
        <x:v>2574021.0775188175</x:v>
      </x:c>
    </x:row>
    <x:row r="1570" ht="19" customHeight="1">
      <x:c r="A1570" s="2"/>
      <x:c r="B1570" s="2"/>
      <x:c r="C1570" s="46" t="n">
        <x:v>7</x:v>
      </x:c>
      <x:c r="D1570" s="46" t="n">
        <x:v>5</x:v>
      </x:c>
      <x:c r="E1570" s="46" t="n">
        <x:v>0</x:v>
      </x:c>
      <x:c r="F1570" s="46" t="n">
        <x:v>5</x:v>
      </x:c>
      <x:c r="G1570" s="12" t="n">
        <x:v>0.7777777777777778</x:v>
      </x:c>
      <x:c r="H1570" s="12" t="n">
        <x:v>0.8888888888888888</x:v>
      </x:c>
      <x:c r="I1570" s="29" t="n">
        <x:f>'Assumptions'!$D$11+'Assumptions'!$D$12*(0.5-(G1570+H1570)/2)</x:f>
        <x:v>0.23333333333333334</x:v>
      </x:c>
      <x:c r="J1570" s="27" t="n">
        <x:f>'Assumptions'!$D$8*EXP(-'Assumptions'!$D$9*('Fleet Engine'!E199-10))*'Assumptions'!E55*'Assumptions'!K36</x:f>
        <x:v>4965.853037914095</x:v>
      </x:c>
      <x:c r="K1570" s="27" t="n">
        <x:f>'Source Data'!F222+LN('Assumptions'!D55)+LN('Assumptions'!K35)</x:f>
        <x:v>8.0496367177205</x:v>
      </x:c>
      <x:c r="L1570" s="27" t="n">
        <x:f>J1570*(1-I1570*(1-'Carrier Engine'!E98))</x:f>
        <x:v>3853.5019574213375</x:v>
      </x:c>
      <x:c r="M1570" s="29" t="n">
        <x:f>NORM.S.DIST((LN(L1570)-K1570)/'Assumptions'!$D$10,TRUE)</x:f>
        <x:v>0.5524659710850595</x:v>
      </x:c>
      <x:c r="N1570" s="30" t="n">
        <x:f>MAX(0,H1570-MAX(G1570,M1570))</x:f>
        <x:v>0.11111111111111105</x:v>
      </x:c>
      <x:c r="O1570" s="28" t="n">
        <x:f>J1570*I1570</x:f>
        <x:v>1158.6990421799555</x:v>
      </x:c>
      <x:c r="P1570" s="27" t="n">
        <x:f>(VLOOKUP(O1570,'Fee Data'!$C$6:$G$50,2,TRUE)+O1570*VLOOKUP(O1570,'Fee Data'!$C$6:$G$50,3,TRUE)+VLOOKUP(O1570,'Fee Data'!$I$6:$J$14,2,TRUE)+'Fee Data'!$J$20+'Fee Data'!$J$21)*'Assumptions'!K37</x:f>
        <x:v>560</x:v>
      </x:c>
      <x:c r="Q1570" s="27" t="n">
        <x:f>(VLOOKUP(O1570,'Fee Data'!$C$6:$G$50,4,TRUE)+O1570*VLOOKUP(O1570,'Fee Data'!$C$6:$G$50,5,TRUE)+VLOOKUP(O1570,'Fee Data'!$I$6:$J$14,2,TRUE)+'Fee Data'!$J$20+'Fee Data'!$J$21)*'Assumptions'!K37</x:f>
        <x:v>435</x:v>
      </x:c>
      <x:c r="R1570" s="27" t="n">
        <x:f>P1570*(1-'Assumptions'!$D$14)+Q1570*'Assumptions'!$D$14</x:f>
        <x:v>497.5</x:v>
      </x:c>
      <x:c r="S1570" s="27" t="n">
        <x:f>O1570*'Carrier Engine'!E98</x:f>
        <x:v>46.347961687198215</x:v>
      </x:c>
      <x:c r="T1570" s="28" t="n">
        <x:f>R1570+S1570</x:f>
        <x:v>543.8479616871982</x:v>
      </x:c>
      <x:c r="U1570" s="27" t="n">
        <x:f>N1570*'Fleet Engine'!M199</x:f>
        <x:v>2028.303357628534</x:v>
      </x:c>
      <x:c r="V1570" s="28" t="n">
        <x:f>U1570*T1570</x:f>
        <x:v>1103088.6467295785</x:v>
      </x:c>
      <x:c r="W1570" s="28" t="n">
        <x:f>U1570*O1570</x:f>
        <x:v>2350193.15773457</x:v>
      </x:c>
    </x:row>
    <x:row r="1571" ht="19" customHeight="1">
      <x:c r="A1571" s="2"/>
      <x:c r="B1571" s="2"/>
      <x:c r="C1571" s="46" t="n">
        <x:v>7</x:v>
      </x:c>
      <x:c r="D1571" s="46" t="n">
        <x:v>5</x:v>
      </x:c>
      <x:c r="E1571" s="46" t="n">
        <x:v>0</x:v>
      </x:c>
      <x:c r="F1571" s="46" t="n">
        <x:v>5</x:v>
      </x:c>
      <x:c r="G1571" s="12" t="n">
        <x:v>0.8888888888888888</x:v>
      </x:c>
      <x:c r="H1571" s="12" t="n">
        <x:v>1</x:v>
      </x:c>
      <x:c r="I1571" s="29" t="n">
        <x:f>'Assumptions'!$D$11+'Assumptions'!$D$12*(0.5-(G1571+H1571)/2)</x:f>
        <x:v>0.21111111111111108</x:v>
      </x:c>
      <x:c r="J1571" s="27" t="n">
        <x:f>'Assumptions'!$D$8*EXP(-'Assumptions'!$D$9*('Fleet Engine'!E199-10))*'Assumptions'!E55*'Assumptions'!K36</x:f>
        <x:v>4965.853037914095</x:v>
      </x:c>
      <x:c r="K1571" s="27" t="n">
        <x:f>'Source Data'!F222+LN('Assumptions'!D55)+LN('Assumptions'!K35)</x:f>
        <x:v>8.0496367177205</x:v>
      </x:c>
      <x:c r="L1571" s="27" t="n">
        <x:f>J1571*(1-I1571*(1-'Carrier Engine'!E98))</x:f>
        <x:v>3959.440155563505</x:v>
      </x:c>
      <x:c r="M1571" s="29" t="n">
        <x:f>NORM.S.DIST((LN(L1571)-K1571)/'Assumptions'!$D$10,TRUE)</x:f>
        <x:v>0.5592886412015461</x:v>
      </x:c>
      <x:c r="N1571" s="30" t="n">
        <x:f>MAX(0,H1571-MAX(G1571,M1571))</x:f>
        <x:v>0.11111111111111116</x:v>
      </x:c>
      <x:c r="O1571" s="28" t="n">
        <x:f>J1571*I1571</x:f>
        <x:v>1048.3467524485309</x:v>
      </x:c>
      <x:c r="P1571" s="27" t="n">
        <x:f>(VLOOKUP(O1571,'Fee Data'!$C$6:$G$50,2,TRUE)+O1571*VLOOKUP(O1571,'Fee Data'!$C$6:$G$50,3,TRUE)+VLOOKUP(O1571,'Fee Data'!$I$6:$J$14,2,TRUE)+'Fee Data'!$J$20+'Fee Data'!$J$21)*'Assumptions'!K37</x:f>
        <x:v>560</x:v>
      </x:c>
      <x:c r="Q1571" s="27" t="n">
        <x:f>(VLOOKUP(O1571,'Fee Data'!$C$6:$G$50,4,TRUE)+O1571*VLOOKUP(O1571,'Fee Data'!$C$6:$G$50,5,TRUE)+VLOOKUP(O1571,'Fee Data'!$I$6:$J$14,2,TRUE)+'Fee Data'!$J$20+'Fee Data'!$J$21)*'Assumptions'!K37</x:f>
        <x:v>435</x:v>
      </x:c>
      <x:c r="R1571" s="27" t="n">
        <x:f>P1571*(1-'Assumptions'!$D$14)+Q1571*'Assumptions'!$D$14</x:f>
        <x:v>497.5</x:v>
      </x:c>
      <x:c r="S1571" s="27" t="n">
        <x:f>O1571*'Carrier Engine'!E98</x:f>
        <x:v>41.93387009794123</x:v>
      </x:c>
      <x:c r="T1571" s="28" t="n">
        <x:f>R1571+S1571</x:f>
        <x:v>539.4338700979413</x:v>
      </x:c>
      <x:c r="U1571" s="27" t="n">
        <x:f>N1571*'Fleet Engine'!M199</x:f>
        <x:v>2028.303357628536</x:v>
      </x:c>
      <x:c r="V1571" s="28" t="n">
        <x:f>U1571*T1571</x:f>
        <x:v>1094135.5299382098</x:v>
      </x:c>
      <x:c r="W1571" s="28" t="n">
        <x:f>U1571*O1571</x:f>
        <x:v>2126365.237950327</x:v>
      </x:c>
    </x:row>
    <x:row r="1572" ht="19" customHeight="1">
      <x:c r="A1572" s="2"/>
      <x:c r="B1572" s="2"/>
      <x:c r="C1572" s="46" t="n">
        <x:v>7</x:v>
      </x:c>
      <x:c r="D1572" s="46" t="n">
        <x:v>6</x:v>
      </x:c>
      <x:c r="E1572" s="46" t="n">
        <x:v>1</x:v>
      </x:c>
      <x:c r="F1572" s="46" t="n">
        <x:v>0</x:v>
      </x:c>
      <x:c r="G1572" s="12" t="n">
        <x:v>0</x:v>
      </x:c>
      <x:c r="H1572" s="12" t="n">
        <x:v>0.1111111111111111</x:v>
      </x:c>
      <x:c r="I1572" s="29" t="n">
        <x:f>'Assumptions'!$D$11+'Assumptions'!$D$12*(0.5-(G1572+H1572)/2)</x:f>
        <x:v>0.3888888888888889</x:v>
      </x:c>
      <x:c r="J1572" s="27" t="n">
        <x:f>'Assumptions'!$D$8*EXP(-'Assumptions'!$D$9*('Fleet Engine'!E200-10))*'Assumptions'!E56*'Assumptions'!K36</x:f>
        <x:v>30662.21902501803</x:v>
      </x:c>
      <x:c r="K1572" s="27" t="n">
        <x:f>'Source Data'!F217+LN('Assumptions'!D56)+LN('Assumptions'!K35)</x:f>
        <x:v>8.031104662881733</x:v>
      </x:c>
      <x:c r="L1572" s="27" t="n">
        <x:f>J1572*(1-I1572*(1-'Carrier Engine'!E98))</x:f>
        <x:v>19214.9905890113</x:v>
      </x:c>
      <x:c r="M1572" s="29" t="n">
        <x:f>NORM.S.DIST((LN(L1572)-K1572)/'Assumptions'!$D$10,TRUE)</x:f>
        <x:v>0.8783833710855731</x:v>
      </x:c>
      <x:c r="N1572" s="30" t="n">
        <x:f>MAX(0,H1572-MAX(G1572,M1572))</x:f>
        <x:v>0</x:v>
      </x:c>
      <x:c r="O1572" s="28" t="n">
        <x:f>J1572*I1572</x:f>
        <x:v>11924.196287507011</x:v>
      </x:c>
      <x:c r="P1572" s="27" t="n">
        <x:f>(VLOOKUP(O1572,'Fee Data'!$C$6:$G$50,2,TRUE)+O1572*VLOOKUP(O1572,'Fee Data'!$C$6:$G$50,3,TRUE)+VLOOKUP(O1572,'Fee Data'!$I$6:$J$14,2,TRUE)+'Fee Data'!$J$20+'Fee Data'!$J$21)*'Assumptions'!K37</x:f>
        <x:v>1250</x:v>
      </x:c>
      <x:c r="Q1572" s="27" t="n">
        <x:f>(VLOOKUP(O1572,'Fee Data'!$C$6:$G$50,4,TRUE)+O1572*VLOOKUP(O1572,'Fee Data'!$C$6:$G$50,5,TRUE)+VLOOKUP(O1572,'Fee Data'!$I$6:$J$14,2,TRUE)+'Fee Data'!$J$20+'Fee Data'!$J$21)*'Assumptions'!K37</x:f>
        <x:v>1110</x:v>
      </x:c>
      <x:c r="R1572" s="27" t="n">
        <x:f>P1572*(1-'Assumptions'!$D$14)+Q1572*'Assumptions'!$D$14</x:f>
        <x:v>1180</x:v>
      </x:c>
      <x:c r="S1572" s="27" t="n">
        <x:f>O1572*'Carrier Engine'!E98</x:f>
        <x:v>476.9678515002804</x:v>
      </x:c>
      <x:c r="T1572" s="28" t="n">
        <x:f>R1572+S1572</x:f>
        <x:v>1656.9678515002804</x:v>
      </x:c>
      <x:c r="U1572" s="27" t="n">
        <x:f>N1572*'Fleet Engine'!M200</x:f>
        <x:v>0</x:v>
      </x:c>
      <x:c r="V1572" s="28" t="n">
        <x:f>U1572*T1572</x:f>
        <x:v>0</x:v>
      </x:c>
      <x:c r="W1572" s="28" t="n">
        <x:f>U1572*O1572</x:f>
        <x:v>0</x:v>
      </x:c>
    </x:row>
    <x:row r="1573" ht="19" customHeight="1">
      <x:c r="A1573" s="2"/>
      <x:c r="B1573" s="2"/>
      <x:c r="C1573" s="46" t="n">
        <x:v>7</x:v>
      </x:c>
      <x:c r="D1573" s="46" t="n">
        <x:v>6</x:v>
      </x:c>
      <x:c r="E1573" s="46" t="n">
        <x:v>1</x:v>
      </x:c>
      <x:c r="F1573" s="46" t="n">
        <x:v>0</x:v>
      </x:c>
      <x:c r="G1573" s="12" t="n">
        <x:v>0.1111111111111111</x:v>
      </x:c>
      <x:c r="H1573" s="12" t="n">
        <x:v>0.2222222222222222</x:v>
      </x:c>
      <x:c r="I1573" s="29" t="n">
        <x:f>'Assumptions'!$D$11+'Assumptions'!$D$12*(0.5-(G1573+H1573)/2)</x:f>
        <x:v>0.3666666666666667</x:v>
      </x:c>
      <x:c r="J1573" s="27" t="n">
        <x:f>'Assumptions'!$D$8*EXP(-'Assumptions'!$D$9*('Fleet Engine'!E200-10))*'Assumptions'!E56*'Assumptions'!K36</x:f>
        <x:v>30662.21902501803</x:v>
      </x:c>
      <x:c r="K1573" s="27" t="n">
        <x:f>'Source Data'!F217+LN('Assumptions'!D56)+LN('Assumptions'!K35)</x:f>
        <x:v>8.031104662881733</x:v>
      </x:c>
      <x:c r="L1573" s="27" t="n">
        <x:f>J1573*(1-I1573*(1-'Carrier Engine'!E98))</x:f>
        <x:v>19869.11792821168</x:v>
      </x:c>
      <x:c r="M1573" s="29" t="n">
        <x:f>NORM.S.DIST((LN(L1573)-K1573)/'Assumptions'!$D$10,TRUE)</x:f>
        <x:v>0.8826350510019572</x:v>
      </x:c>
      <x:c r="N1573" s="30" t="n">
        <x:f>MAX(0,H1573-MAX(G1573,M1573))</x:f>
        <x:v>0</x:v>
      </x:c>
      <x:c r="O1573" s="28" t="n">
        <x:f>J1573*I1573</x:f>
        <x:v>11242.813642506611</x:v>
      </x:c>
      <x:c r="P1573" s="27" t="n">
        <x:f>(VLOOKUP(O1573,'Fee Data'!$C$6:$G$50,2,TRUE)+O1573*VLOOKUP(O1573,'Fee Data'!$C$6:$G$50,3,TRUE)+VLOOKUP(O1573,'Fee Data'!$I$6:$J$14,2,TRUE)+'Fee Data'!$J$20+'Fee Data'!$J$21)*'Assumptions'!K37</x:f>
        <x:v>1250</x:v>
      </x:c>
      <x:c r="Q1573" s="27" t="n">
        <x:f>(VLOOKUP(O1573,'Fee Data'!$C$6:$G$50,4,TRUE)+O1573*VLOOKUP(O1573,'Fee Data'!$C$6:$G$50,5,TRUE)+VLOOKUP(O1573,'Fee Data'!$I$6:$J$14,2,TRUE)+'Fee Data'!$J$20+'Fee Data'!$J$21)*'Assumptions'!K37</x:f>
        <x:v>1100</x:v>
      </x:c>
      <x:c r="R1573" s="27" t="n">
        <x:f>P1573*(1-'Assumptions'!$D$14)+Q1573*'Assumptions'!$D$14</x:f>
        <x:v>1175</x:v>
      </x:c>
      <x:c r="S1573" s="27" t="n">
        <x:f>O1573*'Carrier Engine'!E98</x:f>
        <x:v>449.7125457002644</x:v>
      </x:c>
      <x:c r="T1573" s="28" t="n">
        <x:f>R1573+S1573</x:f>
        <x:v>1624.7125457002644</x:v>
      </x:c>
      <x:c r="U1573" s="27" t="n">
        <x:f>N1573*'Fleet Engine'!M200</x:f>
        <x:v>0</x:v>
      </x:c>
      <x:c r="V1573" s="28" t="n">
        <x:f>U1573*T1573</x:f>
        <x:v>0</x:v>
      </x:c>
      <x:c r="W1573" s="28" t="n">
        <x:f>U1573*O1573</x:f>
        <x:v>0</x:v>
      </x:c>
    </x:row>
    <x:row r="1574" ht="19" customHeight="1">
      <x:c r="A1574" s="2"/>
      <x:c r="B1574" s="2"/>
      <x:c r="C1574" s="46" t="n">
        <x:v>7</x:v>
      </x:c>
      <x:c r="D1574" s="46" t="n">
        <x:v>6</x:v>
      </x:c>
      <x:c r="E1574" s="46" t="n">
        <x:v>1</x:v>
      </x:c>
      <x:c r="F1574" s="46" t="n">
        <x:v>0</x:v>
      </x:c>
      <x:c r="G1574" s="12" t="n">
        <x:v>0.2222222222222222</x:v>
      </x:c>
      <x:c r="H1574" s="12" t="n">
        <x:v>0.3333333333333333</x:v>
      </x:c>
      <x:c r="I1574" s="29" t="n">
        <x:f>'Assumptions'!$D$11+'Assumptions'!$D$12*(0.5-(G1574+H1574)/2)</x:f>
        <x:v>0.34444444444444444</x:v>
      </x:c>
      <x:c r="J1574" s="27" t="n">
        <x:f>'Assumptions'!$D$8*EXP(-'Assumptions'!$D$9*('Fleet Engine'!E200-10))*'Assumptions'!E56*'Assumptions'!K36</x:f>
        <x:v>30662.21902501803</x:v>
      </x:c>
      <x:c r="K1574" s="27" t="n">
        <x:f>'Source Data'!F217+LN('Assumptions'!D56)+LN('Assumptions'!K35)</x:f>
        <x:v>8.031104662881733</x:v>
      </x:c>
      <x:c r="L1574" s="27" t="n">
        <x:f>J1574*(1-I1574*(1-'Carrier Engine'!E98))</x:f>
        <x:v>20523.24526741207</x:v>
      </x:c>
      <x:c r="M1574" s="29" t="n">
        <x:f>NORM.S.DIST((LN(L1574)-K1574)/'Assumptions'!$D$10,TRUE)</x:f>
        <x:v>0.8866477524669126</x:v>
      </x:c>
      <x:c r="N1574" s="30" t="n">
        <x:f>MAX(0,H1574-MAX(G1574,M1574))</x:f>
        <x:v>0</x:v>
      </x:c>
      <x:c r="O1574" s="28" t="n">
        <x:f>J1574*I1574</x:f>
        <x:v>10561.43099750621</x:v>
      </x:c>
      <x:c r="P1574" s="27" t="n">
        <x:f>(VLOOKUP(O1574,'Fee Data'!$C$6:$G$50,2,TRUE)+O1574*VLOOKUP(O1574,'Fee Data'!$C$6:$G$50,3,TRUE)+VLOOKUP(O1574,'Fee Data'!$I$6:$J$14,2,TRUE)+'Fee Data'!$J$20+'Fee Data'!$J$21)*'Assumptions'!K37</x:f>
        <x:v>1250</x:v>
      </x:c>
      <x:c r="Q1574" s="27" t="n">
        <x:f>(VLOOKUP(O1574,'Fee Data'!$C$6:$G$50,4,TRUE)+O1574*VLOOKUP(O1574,'Fee Data'!$C$6:$G$50,5,TRUE)+VLOOKUP(O1574,'Fee Data'!$I$6:$J$14,2,TRUE)+'Fee Data'!$J$20+'Fee Data'!$J$21)*'Assumptions'!K37</x:f>
        <x:v>1100</x:v>
      </x:c>
      <x:c r="R1574" s="27" t="n">
        <x:f>P1574*(1-'Assumptions'!$D$14)+Q1574*'Assumptions'!$D$14</x:f>
        <x:v>1175</x:v>
      </x:c>
      <x:c r="S1574" s="27" t="n">
        <x:f>O1574*'Carrier Engine'!E98</x:f>
        <x:v>422.45723990024834</x:v>
      </x:c>
      <x:c r="T1574" s="28" t="n">
        <x:f>R1574+S1574</x:f>
        <x:v>1597.4572399002484</x:v>
      </x:c>
      <x:c r="U1574" s="27" t="n">
        <x:f>N1574*'Fleet Engine'!M200</x:f>
        <x:v>0</x:v>
      </x:c>
      <x:c r="V1574" s="28" t="n">
        <x:f>U1574*T1574</x:f>
        <x:v>0</x:v>
      </x:c>
      <x:c r="W1574" s="28" t="n">
        <x:f>U1574*O1574</x:f>
        <x:v>0</x:v>
      </x:c>
    </x:row>
    <x:row r="1575" ht="19" customHeight="1">
      <x:c r="A1575" s="2"/>
      <x:c r="B1575" s="2"/>
      <x:c r="C1575" s="46" t="n">
        <x:v>7</x:v>
      </x:c>
      <x:c r="D1575" s="46" t="n">
        <x:v>6</x:v>
      </x:c>
      <x:c r="E1575" s="46" t="n">
        <x:v>1</x:v>
      </x:c>
      <x:c r="F1575" s="46" t="n">
        <x:v>0</x:v>
      </x:c>
      <x:c r="G1575" s="12" t="n">
        <x:v>0.3333333333333333</x:v>
      </x:c>
      <x:c r="H1575" s="12" t="n">
        <x:v>0.4444444444444444</x:v>
      </x:c>
      <x:c r="I1575" s="29" t="n">
        <x:f>'Assumptions'!$D$11+'Assumptions'!$D$12*(0.5-(G1575+H1575)/2)</x:f>
        <x:v>0.32222222222222224</x:v>
      </x:c>
      <x:c r="J1575" s="27" t="n">
        <x:f>'Assumptions'!$D$8*EXP(-'Assumptions'!$D$9*('Fleet Engine'!E200-10))*'Assumptions'!E56*'Assumptions'!K36</x:f>
        <x:v>30662.21902501803</x:v>
      </x:c>
      <x:c r="K1575" s="27" t="n">
        <x:f>'Source Data'!F217+LN('Assumptions'!D56)+LN('Assumptions'!K35)</x:f>
        <x:v>8.031104662881733</x:v>
      </x:c>
      <x:c r="L1575" s="27" t="n">
        <x:f>J1575*(1-I1575*(1-'Carrier Engine'!E98))</x:f>
        <x:v>21177.37260661245</x:v>
      </x:c>
      <x:c r="M1575" s="29" t="n">
        <x:f>NORM.S.DIST((LN(L1575)-K1575)/'Assumptions'!$D$10,TRUE)</x:f>
        <x:v>0.8904403113358262</x:v>
      </x:c>
      <x:c r="N1575" s="30" t="n">
        <x:f>MAX(0,H1575-MAX(G1575,M1575))</x:f>
        <x:v>0</x:v>
      </x:c>
      <x:c r="O1575" s="28" t="n">
        <x:f>J1575*I1575</x:f>
        <x:v>9880.04835250581</x:v>
      </x:c>
      <x:c r="P1575" s="27" t="n">
        <x:f>(VLOOKUP(O1575,'Fee Data'!$C$6:$G$50,2,TRUE)+O1575*VLOOKUP(O1575,'Fee Data'!$C$6:$G$50,3,TRUE)+VLOOKUP(O1575,'Fee Data'!$I$6:$J$14,2,TRUE)+'Fee Data'!$J$20+'Fee Data'!$J$21)*'Assumptions'!K37</x:f>
        <x:v>1195</x:v>
      </x:c>
      <x:c r="Q1575" s="27" t="n">
        <x:f>(VLOOKUP(O1575,'Fee Data'!$C$6:$G$50,4,TRUE)+O1575*VLOOKUP(O1575,'Fee Data'!$C$6:$G$50,5,TRUE)+VLOOKUP(O1575,'Fee Data'!$I$6:$J$14,2,TRUE)+'Fee Data'!$J$20+'Fee Data'!$J$21)*'Assumptions'!K37</x:f>
        <x:v>1070</x:v>
      </x:c>
      <x:c r="R1575" s="27" t="n">
        <x:f>P1575*(1-'Assumptions'!$D$14)+Q1575*'Assumptions'!$D$14</x:f>
        <x:v>1132.5</x:v>
      </x:c>
      <x:c r="S1575" s="27" t="n">
        <x:f>O1575*'Carrier Engine'!E98</x:f>
        <x:v>395.20193410023234</x:v>
      </x:c>
      <x:c r="T1575" s="28" t="n">
        <x:f>R1575+S1575</x:f>
        <x:v>1527.7019341002324</x:v>
      </x:c>
      <x:c r="U1575" s="27" t="n">
        <x:f>N1575*'Fleet Engine'!M200</x:f>
        <x:v>0</x:v>
      </x:c>
      <x:c r="V1575" s="28" t="n">
        <x:f>U1575*T1575</x:f>
        <x:v>0</x:v>
      </x:c>
      <x:c r="W1575" s="28" t="n">
        <x:f>U1575*O1575</x:f>
        <x:v>0</x:v>
      </x:c>
    </x:row>
    <x:row r="1576" ht="19" customHeight="1">
      <x:c r="A1576" s="2"/>
      <x:c r="B1576" s="2"/>
      <x:c r="C1576" s="46" t="n">
        <x:v>7</x:v>
      </x:c>
      <x:c r="D1576" s="46" t="n">
        <x:v>6</x:v>
      </x:c>
      <x:c r="E1576" s="46" t="n">
        <x:v>1</x:v>
      </x:c>
      <x:c r="F1576" s="46" t="n">
        <x:v>0</x:v>
      </x:c>
      <x:c r="G1576" s="12" t="n">
        <x:v>0.4444444444444444</x:v>
      </x:c>
      <x:c r="H1576" s="12" t="n">
        <x:v>0.5555555555555556</x:v>
      </x:c>
      <x:c r="I1576" s="29" t="n">
        <x:f>'Assumptions'!$D$11+'Assumptions'!$D$12*(0.5-(G1576+H1576)/2)</x:f>
        <x:v>0.3</x:v>
      </x:c>
      <x:c r="J1576" s="27" t="n">
        <x:f>'Assumptions'!$D$8*EXP(-'Assumptions'!$D$9*('Fleet Engine'!E200-10))*'Assumptions'!E56*'Assumptions'!K36</x:f>
        <x:v>30662.21902501803</x:v>
      </x:c>
      <x:c r="K1576" s="27" t="n">
        <x:f>'Source Data'!F217+LN('Assumptions'!D56)+LN('Assumptions'!K35)</x:f>
        <x:v>8.031104662881733</x:v>
      </x:c>
      <x:c r="L1576" s="27" t="n">
        <x:f>J1576*(1-I1576*(1-'Carrier Engine'!E98))</x:f>
        <x:v>21831.499945812837</x:v>
      </x:c>
      <x:c r="M1576" s="29" t="n">
        <x:f>NORM.S.DIST((LN(L1576)-K1576)/'Assumptions'!$D$10,TRUE)</x:f>
        <x:v>0.8940296485335917</x:v>
      </x:c>
      <x:c r="N1576" s="30" t="n">
        <x:f>MAX(0,H1576-MAX(G1576,M1576))</x:f>
        <x:v>0</x:v>
      </x:c>
      <x:c r="O1576" s="28" t="n">
        <x:f>J1576*I1576</x:f>
        <x:v>9198.665707505408</x:v>
      </x:c>
      <x:c r="P1576" s="27" t="n">
        <x:f>(VLOOKUP(O1576,'Fee Data'!$C$6:$G$50,2,TRUE)+O1576*VLOOKUP(O1576,'Fee Data'!$C$6:$G$50,3,TRUE)+VLOOKUP(O1576,'Fee Data'!$I$6:$J$14,2,TRUE)+'Fee Data'!$J$20+'Fee Data'!$J$21)*'Assumptions'!K37</x:f>
        <x:v>1195</x:v>
      </x:c>
      <x:c r="Q1576" s="27" t="n">
        <x:f>(VLOOKUP(O1576,'Fee Data'!$C$6:$G$50,4,TRUE)+O1576*VLOOKUP(O1576,'Fee Data'!$C$6:$G$50,5,TRUE)+VLOOKUP(O1576,'Fee Data'!$I$6:$J$14,2,TRUE)+'Fee Data'!$J$20+'Fee Data'!$J$21)*'Assumptions'!K37</x:f>
        <x:v>1070</x:v>
      </x:c>
      <x:c r="R1576" s="27" t="n">
        <x:f>P1576*(1-'Assumptions'!$D$14)+Q1576*'Assumptions'!$D$14</x:f>
        <x:v>1132.5</x:v>
      </x:c>
      <x:c r="S1576" s="27" t="n">
        <x:f>O1576*'Carrier Engine'!E98</x:f>
        <x:v>367.9466283002163</x:v>
      </x:c>
      <x:c r="T1576" s="28" t="n">
        <x:f>R1576+S1576</x:f>
        <x:v>1500.4466283002162</x:v>
      </x:c>
      <x:c r="U1576" s="27" t="n">
        <x:f>N1576*'Fleet Engine'!M200</x:f>
        <x:v>0</x:v>
      </x:c>
      <x:c r="V1576" s="28" t="n">
        <x:f>U1576*T1576</x:f>
        <x:v>0</x:v>
      </x:c>
      <x:c r="W1576" s="28" t="n">
        <x:f>U1576*O1576</x:f>
        <x:v>0</x:v>
      </x:c>
    </x:row>
    <x:row r="1577" ht="19" customHeight="1">
      <x:c r="A1577" s="2"/>
      <x:c r="B1577" s="2"/>
      <x:c r="C1577" s="46" t="n">
        <x:v>7</x:v>
      </x:c>
      <x:c r="D1577" s="46" t="n">
        <x:v>6</x:v>
      </x:c>
      <x:c r="E1577" s="46" t="n">
        <x:v>1</x:v>
      </x:c>
      <x:c r="F1577" s="46" t="n">
        <x:v>0</x:v>
      </x:c>
      <x:c r="G1577" s="12" t="n">
        <x:v>0.5555555555555556</x:v>
      </x:c>
      <x:c r="H1577" s="12" t="n">
        <x:v>0.6666666666666666</x:v>
      </x:c>
      <x:c r="I1577" s="29" t="n">
        <x:f>'Assumptions'!$D$11+'Assumptions'!$D$12*(0.5-(G1577+H1577)/2)</x:f>
        <x:v>0.27777777777777773</x:v>
      </x:c>
      <x:c r="J1577" s="27" t="n">
        <x:f>'Assumptions'!$D$8*EXP(-'Assumptions'!$D$9*('Fleet Engine'!E200-10))*'Assumptions'!E56*'Assumptions'!K36</x:f>
        <x:v>30662.21902501803</x:v>
      </x:c>
      <x:c r="K1577" s="27" t="n">
        <x:f>'Source Data'!F217+LN('Assumptions'!D56)+LN('Assumptions'!K35)</x:f>
        <x:v>8.031104662881733</x:v>
      </x:c>
      <x:c r="L1577" s="27" t="n">
        <x:f>J1577*(1-I1577*(1-'Carrier Engine'!E98))</x:f>
        <x:v>22485.627285013223</x:v>
      </x:c>
      <x:c r="M1577" s="29" t="n">
        <x:f>NORM.S.DIST((LN(L1577)-K1577)/'Assumptions'!$D$10,TRUE)</x:f>
        <x:v>0.8974310078578442</x:v>
      </x:c>
      <x:c r="N1577" s="30" t="n">
        <x:f>MAX(0,H1577-MAX(G1577,M1577))</x:f>
        <x:v>0</x:v>
      </x:c>
      <x:c r="O1577" s="28" t="n">
        <x:f>J1577*I1577</x:f>
        <x:v>8517.283062505006</x:v>
      </x:c>
      <x:c r="P1577" s="27" t="n">
        <x:f>(VLOOKUP(O1577,'Fee Data'!$C$6:$G$50,2,TRUE)+O1577*VLOOKUP(O1577,'Fee Data'!$C$6:$G$50,3,TRUE)+VLOOKUP(O1577,'Fee Data'!$I$6:$J$14,2,TRUE)+'Fee Data'!$J$20+'Fee Data'!$J$21)*'Assumptions'!K37</x:f>
        <x:v>1195</x:v>
      </x:c>
      <x:c r="Q1577" s="27" t="n">
        <x:f>(VLOOKUP(O1577,'Fee Data'!$C$6:$G$50,4,TRUE)+O1577*VLOOKUP(O1577,'Fee Data'!$C$6:$G$50,5,TRUE)+VLOOKUP(O1577,'Fee Data'!$I$6:$J$14,2,TRUE)+'Fee Data'!$J$20+'Fee Data'!$J$21)*'Assumptions'!K37</x:f>
        <x:v>1070</x:v>
      </x:c>
      <x:c r="R1577" s="27" t="n">
        <x:f>P1577*(1-'Assumptions'!$D$14)+Q1577*'Assumptions'!$D$14</x:f>
        <x:v>1132.5</x:v>
      </x:c>
      <x:c r="S1577" s="27" t="n">
        <x:f>O1577*'Carrier Engine'!E98</x:f>
        <x:v>340.6913225002002</x:v>
      </x:c>
      <x:c r="T1577" s="28" t="n">
        <x:f>R1577+S1577</x:f>
        <x:v>1473.1913225002002</x:v>
      </x:c>
      <x:c r="U1577" s="27" t="n">
        <x:f>N1577*'Fleet Engine'!M200</x:f>
        <x:v>0</x:v>
      </x:c>
      <x:c r="V1577" s="28" t="n">
        <x:f>U1577*T1577</x:f>
        <x:v>0</x:v>
      </x:c>
      <x:c r="W1577" s="28" t="n">
        <x:f>U1577*O1577</x:f>
        <x:v>0</x:v>
      </x:c>
    </x:row>
    <x:row r="1578" ht="19" customHeight="1">
      <x:c r="A1578" s="2"/>
      <x:c r="B1578" s="2"/>
      <x:c r="C1578" s="46" t="n">
        <x:v>7</x:v>
      </x:c>
      <x:c r="D1578" s="46" t="n">
        <x:v>6</x:v>
      </x:c>
      <x:c r="E1578" s="46" t="n">
        <x:v>1</x:v>
      </x:c>
      <x:c r="F1578" s="46" t="n">
        <x:v>0</x:v>
      </x:c>
      <x:c r="G1578" s="12" t="n">
        <x:v>0.6666666666666666</x:v>
      </x:c>
      <x:c r="H1578" s="12" t="n">
        <x:v>0.7777777777777778</x:v>
      </x:c>
      <x:c r="I1578" s="29" t="n">
        <x:f>'Assumptions'!$D$11+'Assumptions'!$D$12*(0.5-(G1578+H1578)/2)</x:f>
        <x:v>0.25555555555555554</x:v>
      </x:c>
      <x:c r="J1578" s="27" t="n">
        <x:f>'Assumptions'!$D$8*EXP(-'Assumptions'!$D$9*('Fleet Engine'!E200-10))*'Assumptions'!E56*'Assumptions'!K36</x:f>
        <x:v>30662.21902501803</x:v>
      </x:c>
      <x:c r="K1578" s="27" t="n">
        <x:f>'Source Data'!F217+LN('Assumptions'!D56)+LN('Assumptions'!K35)</x:f>
        <x:v>8.031104662881733</x:v>
      </x:c>
      <x:c r="L1578" s="27" t="n">
        <x:f>J1578*(1-I1578*(1-'Carrier Engine'!E98))</x:f>
        <x:v>23139.754624213605</x:v>
      </x:c>
      <x:c r="M1578" s="29" t="n">
        <x:f>NORM.S.DIST((LN(L1578)-K1578)/'Assumptions'!$D$10,TRUE)</x:f>
        <x:v>0.9006581590391973</x:v>
      </x:c>
      <x:c r="N1578" s="30" t="n">
        <x:f>MAX(0,H1578-MAX(G1578,M1578))</x:f>
        <x:v>0</x:v>
      </x:c>
      <x:c r="O1578" s="28" t="n">
        <x:f>J1578*I1578</x:f>
        <x:v>7835.900417504607</x:v>
      </x:c>
      <x:c r="P1578" s="27" t="n">
        <x:f>(VLOOKUP(O1578,'Fee Data'!$C$6:$G$50,2,TRUE)+O1578*VLOOKUP(O1578,'Fee Data'!$C$6:$G$50,3,TRUE)+VLOOKUP(O1578,'Fee Data'!$I$6:$J$14,2,TRUE)+'Fee Data'!$J$20+'Fee Data'!$J$21)*'Assumptions'!K37</x:f>
        <x:v>1135</x:v>
      </x:c>
      <x:c r="Q1578" s="27" t="n">
        <x:f>(VLOOKUP(O1578,'Fee Data'!$C$6:$G$50,4,TRUE)+O1578*VLOOKUP(O1578,'Fee Data'!$C$6:$G$50,5,TRUE)+VLOOKUP(O1578,'Fee Data'!$I$6:$J$14,2,TRUE)+'Fee Data'!$J$20+'Fee Data'!$J$21)*'Assumptions'!K37</x:f>
        <x:v>1010</x:v>
      </x:c>
      <x:c r="R1578" s="27" t="n">
        <x:f>P1578*(1-'Assumptions'!$D$14)+Q1578*'Assumptions'!$D$14</x:f>
        <x:v>1072.5</x:v>
      </x:c>
      <x:c r="S1578" s="27" t="n">
        <x:f>O1578*'Carrier Engine'!E98</x:f>
        <x:v>313.4360167001842</x:v>
      </x:c>
      <x:c r="T1578" s="28" t="n">
        <x:f>R1578+S1578</x:f>
        <x:v>1385.9360167001842</x:v>
      </x:c>
      <x:c r="U1578" s="27" t="n">
        <x:f>N1578*'Fleet Engine'!M200</x:f>
        <x:v>0</x:v>
      </x:c>
      <x:c r="V1578" s="28" t="n">
        <x:f>U1578*T1578</x:f>
        <x:v>0</x:v>
      </x:c>
      <x:c r="W1578" s="28" t="n">
        <x:f>U1578*O1578</x:f>
        <x:v>0</x:v>
      </x:c>
    </x:row>
    <x:row r="1579" ht="19" customHeight="1">
      <x:c r="A1579" s="2"/>
      <x:c r="B1579" s="2"/>
      <x:c r="C1579" s="46" t="n">
        <x:v>7</x:v>
      </x:c>
      <x:c r="D1579" s="46" t="n">
        <x:v>6</x:v>
      </x:c>
      <x:c r="E1579" s="46" t="n">
        <x:v>1</x:v>
      </x:c>
      <x:c r="F1579" s="46" t="n">
        <x:v>0</x:v>
      </x:c>
      <x:c r="G1579" s="12" t="n">
        <x:v>0.7777777777777778</x:v>
      </x:c>
      <x:c r="H1579" s="12" t="n">
        <x:v>0.8888888888888888</x:v>
      </x:c>
      <x:c r="I1579" s="29" t="n">
        <x:f>'Assumptions'!$D$11+'Assumptions'!$D$12*(0.5-(G1579+H1579)/2)</x:f>
        <x:v>0.23333333333333334</x:v>
      </x:c>
      <x:c r="J1579" s="27" t="n">
        <x:f>'Assumptions'!$D$8*EXP(-'Assumptions'!$D$9*('Fleet Engine'!E200-10))*'Assumptions'!E56*'Assumptions'!K36</x:f>
        <x:v>30662.21902501803</x:v>
      </x:c>
      <x:c r="K1579" s="27" t="n">
        <x:f>'Source Data'!F217+LN('Assumptions'!D56)+LN('Assumptions'!K35)</x:f>
        <x:v>8.031104662881733</x:v>
      </x:c>
      <x:c r="L1579" s="27" t="n">
        <x:f>J1579*(1-I1579*(1-'Carrier Engine'!E98))</x:f>
        <x:v>23793.88196341399</x:v>
      </x:c>
      <x:c r="M1579" s="29" t="n">
        <x:f>NORM.S.DIST((LN(L1579)-K1579)/'Assumptions'!$D$10,TRUE)</x:f>
        <x:v>0.9037235718702767</x:v>
      </x:c>
      <x:c r="N1579" s="30" t="n">
        <x:f>MAX(0,H1579-MAX(G1579,M1579))</x:f>
        <x:v>0</x:v>
      </x:c>
      <x:c r="O1579" s="28" t="n">
        <x:f>J1579*I1579</x:f>
        <x:v>7154.517772504207</x:v>
      </x:c>
      <x:c r="P1579" s="27" t="n">
        <x:f>(VLOOKUP(O1579,'Fee Data'!$C$6:$G$50,2,TRUE)+O1579*VLOOKUP(O1579,'Fee Data'!$C$6:$G$50,3,TRUE)+VLOOKUP(O1579,'Fee Data'!$I$6:$J$14,2,TRUE)+'Fee Data'!$J$20+'Fee Data'!$J$21)*'Assumptions'!K37</x:f>
        <x:v>1115</x:v>
      </x:c>
      <x:c r="Q1579" s="27" t="n">
        <x:f>(VLOOKUP(O1579,'Fee Data'!$C$6:$G$50,4,TRUE)+O1579*VLOOKUP(O1579,'Fee Data'!$C$6:$G$50,5,TRUE)+VLOOKUP(O1579,'Fee Data'!$I$6:$J$14,2,TRUE)+'Fee Data'!$J$20+'Fee Data'!$J$21)*'Assumptions'!K37</x:f>
        <x:v>990</x:v>
      </x:c>
      <x:c r="R1579" s="27" t="n">
        <x:f>P1579*(1-'Assumptions'!$D$14)+Q1579*'Assumptions'!$D$14</x:f>
        <x:v>1052.5</x:v>
      </x:c>
      <x:c r="S1579" s="27" t="n">
        <x:f>O1579*'Carrier Engine'!E98</x:f>
        <x:v>286.1807109001682</x:v>
      </x:c>
      <x:c r="T1579" s="28" t="n">
        <x:f>R1579+S1579</x:f>
        <x:v>1338.6807109001682</x:v>
      </x:c>
      <x:c r="U1579" s="27" t="n">
        <x:f>N1579*'Fleet Engine'!M200</x:f>
        <x:v>0</x:v>
      </x:c>
      <x:c r="V1579" s="28" t="n">
        <x:f>U1579*T1579</x:f>
        <x:v>0</x:v>
      </x:c>
      <x:c r="W1579" s="28" t="n">
        <x:f>U1579*O1579</x:f>
        <x:v>0</x:v>
      </x:c>
    </x:row>
    <x:row r="1580" ht="19" customHeight="1">
      <x:c r="A1580" s="2"/>
      <x:c r="B1580" s="2"/>
      <x:c r="C1580" s="46" t="n">
        <x:v>7</x:v>
      </x:c>
      <x:c r="D1580" s="46" t="n">
        <x:v>6</x:v>
      </x:c>
      <x:c r="E1580" s="46" t="n">
        <x:v>1</x:v>
      </x:c>
      <x:c r="F1580" s="46" t="n">
        <x:v>0</x:v>
      </x:c>
      <x:c r="G1580" s="12" t="n">
        <x:v>0.8888888888888888</x:v>
      </x:c>
      <x:c r="H1580" s="12" t="n">
        <x:v>1</x:v>
      </x:c>
      <x:c r="I1580" s="29" t="n">
        <x:f>'Assumptions'!$D$11+'Assumptions'!$D$12*(0.5-(G1580+H1580)/2)</x:f>
        <x:v>0.21111111111111108</x:v>
      </x:c>
      <x:c r="J1580" s="27" t="n">
        <x:f>'Assumptions'!$D$8*EXP(-'Assumptions'!$D$9*('Fleet Engine'!E200-10))*'Assumptions'!E56*'Assumptions'!K36</x:f>
        <x:v>30662.21902501803</x:v>
      </x:c>
      <x:c r="K1580" s="27" t="n">
        <x:f>'Source Data'!F217+LN('Assumptions'!D56)+LN('Assumptions'!K35)</x:f>
        <x:v>8.031104662881733</x:v>
      </x:c>
      <x:c r="L1580" s="27" t="n">
        <x:f>J1580*(1-I1580*(1-'Carrier Engine'!E98))</x:f>
        <x:v>24448.009302614373</x:v>
      </x:c>
      <x:c r="M1580" s="29" t="n">
        <x:f>NORM.S.DIST((LN(L1580)-K1580)/'Assumptions'!$D$10,TRUE)</x:f>
        <x:v>0.9066385661246656</x:v>
      </x:c>
      <x:c r="N1580" s="30" t="n">
        <x:f>MAX(0,H1580-MAX(G1580,M1580))</x:f>
        <x:v>0.09336143387533435</x:v>
      </x:c>
      <x:c r="O1580" s="28" t="n">
        <x:f>J1580*I1580</x:f>
        <x:v>6473.135127503805</x:v>
      </x:c>
      <x:c r="P1580" s="27" t="n">
        <x:f>(VLOOKUP(O1580,'Fee Data'!$C$6:$G$50,2,TRUE)+O1580*VLOOKUP(O1580,'Fee Data'!$C$6:$G$50,3,TRUE)+VLOOKUP(O1580,'Fee Data'!$I$6:$J$14,2,TRUE)+'Fee Data'!$J$20+'Fee Data'!$J$21)*'Assumptions'!K37</x:f>
        <x:v>1060</x:v>
      </x:c>
      <x:c r="Q1580" s="27" t="n">
        <x:f>(VLOOKUP(O1580,'Fee Data'!$C$6:$G$50,4,TRUE)+O1580*VLOOKUP(O1580,'Fee Data'!$C$6:$G$50,5,TRUE)+VLOOKUP(O1580,'Fee Data'!$I$6:$J$14,2,TRUE)+'Fee Data'!$J$20+'Fee Data'!$J$21)*'Assumptions'!K37</x:f>
        <x:v>935</x:v>
      </x:c>
      <x:c r="R1580" s="27" t="n">
        <x:f>P1580*(1-'Assumptions'!$D$14)+Q1580*'Assumptions'!$D$14</x:f>
        <x:v>997.5</x:v>
      </x:c>
      <x:c r="S1580" s="27" t="n">
        <x:f>O1580*'Carrier Engine'!E98</x:f>
        <x:v>258.92540510015215</x:v>
      </x:c>
      <x:c r="T1580" s="28" t="n">
        <x:f>R1580+S1580</x:f>
        <x:v>1256.4254051001521</x:v>
      </x:c>
      <x:c r="U1580" s="27" t="n">
        <x:f>N1580*'Fleet Engine'!M200</x:f>
        <x:v>442.352628946311</x:v>
      </x:c>
      <x:c r="V1580" s="28" t="n">
        <x:f>U1580*T1580</x:f>
        <x:v>555783.0810209861</x:v>
      </x:c>
      <x:c r="W1580" s="28" t="n">
        <x:f>U1580*O1580</x:f>
        <x:v>2863408.341176022</x:v>
      </x:c>
    </x:row>
    <x:row r="1581" ht="19" customHeight="1">
      <x:c r="A1581" s="2"/>
      <x:c r="B1581" s="2"/>
      <x:c r="C1581" s="46" t="n">
        <x:v>7</x:v>
      </x:c>
      <x:c r="D1581" s="46" t="n">
        <x:v>7</x:v>
      </x:c>
      <x:c r="E1581" s="46" t="n">
        <x:v>1</x:v>
      </x:c>
      <x:c r="F1581" s="46" t="n">
        <x:v>1</x:v>
      </x:c>
      <x:c r="G1581" s="12" t="n">
        <x:v>0</x:v>
      </x:c>
      <x:c r="H1581" s="12" t="n">
        <x:v>0.1111111111111111</x:v>
      </x:c>
      <x:c r="I1581" s="29" t="n">
        <x:f>'Assumptions'!$D$11+'Assumptions'!$D$12*(0.5-(G1581+H1581)/2)</x:f>
        <x:v>0.3888888888888889</x:v>
      </x:c>
      <x:c r="J1581" s="27" t="n">
        <x:f>'Assumptions'!$D$8*EXP(-'Assumptions'!$D$9*('Fleet Engine'!E201-10))*'Assumptions'!E56*'Assumptions'!K36</x:f>
        <x:v>25104.101673395035</x:v>
      </x:c>
      <x:c r="K1581" s="27" t="n">
        <x:f>'Source Data'!F218+LN('Assumptions'!D56)+LN('Assumptions'!K35)</x:f>
        <x:v>7.916663861337495</x:v>
      </x:c>
      <x:c r="L1581" s="27" t="n">
        <x:f>J1581*(1-I1581*(1-'Carrier Engine'!E98))</x:f>
        <x:v>15731.903715327557</x:v>
      </x:c>
      <x:c r="M1581" s="29" t="n">
        <x:f>NORM.S.DIST((LN(L1581)-K1581)/'Assumptions'!$D$10,TRUE)</x:f>
        <x:v>0.867028537246276</x:v>
      </x:c>
      <x:c r="N1581" s="30" t="n">
        <x:f>MAX(0,H1581-MAX(G1581,M1581))</x:f>
        <x:v>0</x:v>
      </x:c>
      <x:c r="O1581" s="28" t="n">
        <x:f>J1581*I1581</x:f>
        <x:v>9762.706206320292</x:v>
      </x:c>
      <x:c r="P1581" s="27" t="n">
        <x:f>(VLOOKUP(O1581,'Fee Data'!$C$6:$G$50,2,TRUE)+O1581*VLOOKUP(O1581,'Fee Data'!$C$6:$G$50,3,TRUE)+VLOOKUP(O1581,'Fee Data'!$I$6:$J$14,2,TRUE)+'Fee Data'!$J$20+'Fee Data'!$J$21)*'Assumptions'!K37</x:f>
        <x:v>1195</x:v>
      </x:c>
      <x:c r="Q1581" s="27" t="n">
        <x:f>(VLOOKUP(O1581,'Fee Data'!$C$6:$G$50,4,TRUE)+O1581*VLOOKUP(O1581,'Fee Data'!$C$6:$G$50,5,TRUE)+VLOOKUP(O1581,'Fee Data'!$I$6:$J$14,2,TRUE)+'Fee Data'!$J$20+'Fee Data'!$J$21)*'Assumptions'!K37</x:f>
        <x:v>1070</x:v>
      </x:c>
      <x:c r="R1581" s="27" t="n">
        <x:f>P1581*(1-'Assumptions'!$D$14)+Q1581*'Assumptions'!$D$14</x:f>
        <x:v>1132.5</x:v>
      </x:c>
      <x:c r="S1581" s="27" t="n">
        <x:f>O1581*'Carrier Engine'!E98</x:f>
        <x:v>390.5082482528116</x:v>
      </x:c>
      <x:c r="T1581" s="28" t="n">
        <x:f>R1581+S1581</x:f>
        <x:v>1523.0082482528117</x:v>
      </x:c>
      <x:c r="U1581" s="27" t="n">
        <x:f>N1581*'Fleet Engine'!M201</x:f>
        <x:v>0</x:v>
      </x:c>
      <x:c r="V1581" s="28" t="n">
        <x:f>U1581*T1581</x:f>
        <x:v>0</x:v>
      </x:c>
      <x:c r="W1581" s="28" t="n">
        <x:f>U1581*O1581</x:f>
        <x:v>0</x:v>
      </x:c>
    </x:row>
    <x:row r="1582" ht="19" customHeight="1">
      <x:c r="A1582" s="2"/>
      <x:c r="B1582" s="2"/>
      <x:c r="C1582" s="46" t="n">
        <x:v>7</x:v>
      </x:c>
      <x:c r="D1582" s="46" t="n">
        <x:v>7</x:v>
      </x:c>
      <x:c r="E1582" s="46" t="n">
        <x:v>1</x:v>
      </x:c>
      <x:c r="F1582" s="46" t="n">
        <x:v>1</x:v>
      </x:c>
      <x:c r="G1582" s="12" t="n">
        <x:v>0.1111111111111111</x:v>
      </x:c>
      <x:c r="H1582" s="12" t="n">
        <x:v>0.2222222222222222</x:v>
      </x:c>
      <x:c r="I1582" s="29" t="n">
        <x:f>'Assumptions'!$D$11+'Assumptions'!$D$12*(0.5-(G1582+H1582)/2)</x:f>
        <x:v>0.3666666666666667</x:v>
      </x:c>
      <x:c r="J1582" s="27" t="n">
        <x:f>'Assumptions'!$D$8*EXP(-'Assumptions'!$D$9*('Fleet Engine'!E201-10))*'Assumptions'!E56*'Assumptions'!K36</x:f>
        <x:v>25104.101673395035</x:v>
      </x:c>
      <x:c r="K1582" s="27" t="n">
        <x:f>'Source Data'!F218+LN('Assumptions'!D56)+LN('Assumptions'!K35)</x:f>
        <x:v>7.916663861337495</x:v>
      </x:c>
      <x:c r="L1582" s="27" t="n">
        <x:f>J1582*(1-I1582*(1-'Carrier Engine'!E98))</x:f>
        <x:v>16267.45788435998</x:v>
      </x:c>
      <x:c r="M1582" s="29" t="n">
        <x:f>NORM.S.DIST((LN(L1582)-K1582)/'Assumptions'!$D$10,TRUE)</x:f>
        <x:v>0.8715552402854367</x:v>
      </x:c>
      <x:c r="N1582" s="30" t="n">
        <x:f>MAX(0,H1582-MAX(G1582,M1582))</x:f>
        <x:v>0</x:v>
      </x:c>
      <x:c r="O1582" s="28" t="n">
        <x:f>J1582*I1582</x:f>
        <x:v>9204.837280244847</x:v>
      </x:c>
      <x:c r="P1582" s="27" t="n">
        <x:f>(VLOOKUP(O1582,'Fee Data'!$C$6:$G$50,2,TRUE)+O1582*VLOOKUP(O1582,'Fee Data'!$C$6:$G$50,3,TRUE)+VLOOKUP(O1582,'Fee Data'!$I$6:$J$14,2,TRUE)+'Fee Data'!$J$20+'Fee Data'!$J$21)*'Assumptions'!K37</x:f>
        <x:v>1195</x:v>
      </x:c>
      <x:c r="Q1582" s="27" t="n">
        <x:f>(VLOOKUP(O1582,'Fee Data'!$C$6:$G$50,4,TRUE)+O1582*VLOOKUP(O1582,'Fee Data'!$C$6:$G$50,5,TRUE)+VLOOKUP(O1582,'Fee Data'!$I$6:$J$14,2,TRUE)+'Fee Data'!$J$20+'Fee Data'!$J$21)*'Assumptions'!K37</x:f>
        <x:v>1070</x:v>
      </x:c>
      <x:c r="R1582" s="27" t="n">
        <x:f>P1582*(1-'Assumptions'!$D$14)+Q1582*'Assumptions'!$D$14</x:f>
        <x:v>1132.5</x:v>
      </x:c>
      <x:c r="S1582" s="27" t="n">
        <x:f>O1582*'Carrier Engine'!E98</x:f>
        <x:v>368.1934912097938</x:v>
      </x:c>
      <x:c r="T1582" s="28" t="n">
        <x:f>R1582+S1582</x:f>
        <x:v>1500.6934912097938</x:v>
      </x:c>
      <x:c r="U1582" s="27" t="n">
        <x:f>N1582*'Fleet Engine'!M201</x:f>
        <x:v>0</x:v>
      </x:c>
      <x:c r="V1582" s="28" t="n">
        <x:f>U1582*T1582</x:f>
        <x:v>0</x:v>
      </x:c>
      <x:c r="W1582" s="28" t="n">
        <x:f>U1582*O1582</x:f>
        <x:v>0</x:v>
      </x:c>
    </x:row>
    <x:row r="1583" ht="19" customHeight="1">
      <x:c r="A1583" s="2"/>
      <x:c r="B1583" s="2"/>
      <x:c r="C1583" s="46" t="n">
        <x:v>7</x:v>
      </x:c>
      <x:c r="D1583" s="46" t="n">
        <x:v>7</x:v>
      </x:c>
      <x:c r="E1583" s="46" t="n">
        <x:v>1</x:v>
      </x:c>
      <x:c r="F1583" s="46" t="n">
        <x:v>1</x:v>
      </x:c>
      <x:c r="G1583" s="12" t="n">
        <x:v>0.2222222222222222</x:v>
      </x:c>
      <x:c r="H1583" s="12" t="n">
        <x:v>0.3333333333333333</x:v>
      </x:c>
      <x:c r="I1583" s="29" t="n">
        <x:f>'Assumptions'!$D$11+'Assumptions'!$D$12*(0.5-(G1583+H1583)/2)</x:f>
        <x:v>0.34444444444444444</x:v>
      </x:c>
      <x:c r="J1583" s="27" t="n">
        <x:f>'Assumptions'!$D$8*EXP(-'Assumptions'!$D$9*('Fleet Engine'!E201-10))*'Assumptions'!E56*'Assumptions'!K36</x:f>
        <x:v>25104.101673395035</x:v>
      </x:c>
      <x:c r="K1583" s="27" t="n">
        <x:f>'Source Data'!F218+LN('Assumptions'!D56)+LN('Assumptions'!K35)</x:f>
        <x:v>7.916663861337495</x:v>
      </x:c>
      <x:c r="L1583" s="27" t="n">
        <x:f>J1583*(1-I1583*(1-'Carrier Engine'!E98))</x:f>
        <x:v>16803.01205339241</x:v>
      </x:c>
      <x:c r="M1583" s="29" t="n">
        <x:f>NORM.S.DIST((LN(L1583)-K1583)/'Assumptions'!$D$10,TRUE)</x:f>
        <x:v>0.8758323922514895</x:v>
      </x:c>
      <x:c r="N1583" s="30" t="n">
        <x:f>MAX(0,H1583-MAX(G1583,M1583))</x:f>
        <x:v>0</x:v>
      </x:c>
      <x:c r="O1583" s="28" t="n">
        <x:f>J1583*I1583</x:f>
        <x:v>8646.968354169401</x:v>
      </x:c>
      <x:c r="P1583" s="27" t="n">
        <x:f>(VLOOKUP(O1583,'Fee Data'!$C$6:$G$50,2,TRUE)+O1583*VLOOKUP(O1583,'Fee Data'!$C$6:$G$50,3,TRUE)+VLOOKUP(O1583,'Fee Data'!$I$6:$J$14,2,TRUE)+'Fee Data'!$J$20+'Fee Data'!$J$21)*'Assumptions'!K37</x:f>
        <x:v>1195</x:v>
      </x:c>
      <x:c r="Q1583" s="27" t="n">
        <x:f>(VLOOKUP(O1583,'Fee Data'!$C$6:$G$50,4,TRUE)+O1583*VLOOKUP(O1583,'Fee Data'!$C$6:$G$50,5,TRUE)+VLOOKUP(O1583,'Fee Data'!$I$6:$J$14,2,TRUE)+'Fee Data'!$J$20+'Fee Data'!$J$21)*'Assumptions'!K37</x:f>
        <x:v>1070</x:v>
      </x:c>
      <x:c r="R1583" s="27" t="n">
        <x:f>P1583*(1-'Assumptions'!$D$14)+Q1583*'Assumptions'!$D$14</x:f>
        <x:v>1132.5</x:v>
      </x:c>
      <x:c r="S1583" s="27" t="n">
        <x:f>O1583*'Carrier Engine'!E98</x:f>
        <x:v>345.878734166776</x:v>
      </x:c>
      <x:c r="T1583" s="28" t="n">
        <x:f>R1583+S1583</x:f>
        <x:v>1478.378734166776</x:v>
      </x:c>
      <x:c r="U1583" s="27" t="n">
        <x:f>N1583*'Fleet Engine'!M201</x:f>
        <x:v>0</x:v>
      </x:c>
      <x:c r="V1583" s="28" t="n">
        <x:f>U1583*T1583</x:f>
        <x:v>0</x:v>
      </x:c>
      <x:c r="W1583" s="28" t="n">
        <x:f>U1583*O1583</x:f>
        <x:v>0</x:v>
      </x:c>
    </x:row>
    <x:row r="1584" ht="19" customHeight="1">
      <x:c r="A1584" s="2"/>
      <x:c r="B1584" s="2"/>
      <x:c r="C1584" s="46" t="n">
        <x:v>7</x:v>
      </x:c>
      <x:c r="D1584" s="46" t="n">
        <x:v>7</x:v>
      </x:c>
      <x:c r="E1584" s="46" t="n">
        <x:v>1</x:v>
      </x:c>
      <x:c r="F1584" s="46" t="n">
        <x:v>1</x:v>
      </x:c>
      <x:c r="G1584" s="12" t="n">
        <x:v>0.3333333333333333</x:v>
      </x:c>
      <x:c r="H1584" s="12" t="n">
        <x:v>0.4444444444444444</x:v>
      </x:c>
      <x:c r="I1584" s="29" t="n">
        <x:f>'Assumptions'!$D$11+'Assumptions'!$D$12*(0.5-(G1584+H1584)/2)</x:f>
        <x:v>0.32222222222222224</x:v>
      </x:c>
      <x:c r="J1584" s="27" t="n">
        <x:f>'Assumptions'!$D$8*EXP(-'Assumptions'!$D$9*('Fleet Engine'!E201-10))*'Assumptions'!E56*'Assumptions'!K36</x:f>
        <x:v>25104.101673395035</x:v>
      </x:c>
      <x:c r="K1584" s="27" t="n">
        <x:f>'Source Data'!F218+LN('Assumptions'!D56)+LN('Assumptions'!K35)</x:f>
        <x:v>7.916663861337495</x:v>
      </x:c>
      <x:c r="L1584" s="27" t="n">
        <x:f>J1584*(1-I1584*(1-'Carrier Engine'!E98))</x:f>
        <x:v>17338.566222424837</x:v>
      </x:c>
      <x:c r="M1584" s="29" t="n">
        <x:f>NORM.S.DIST((LN(L1584)-K1584)/'Assumptions'!$D$10,TRUE)</x:f>
        <x:v>0.8798793690489362</x:v>
      </x:c>
      <x:c r="N1584" s="30" t="n">
        <x:f>MAX(0,H1584-MAX(G1584,M1584))</x:f>
        <x:v>0</x:v>
      </x:c>
      <x:c r="O1584" s="28" t="n">
        <x:f>J1584*I1584</x:f>
        <x:v>8089.099428093956</x:v>
      </x:c>
      <x:c r="P1584" s="27" t="n">
        <x:f>(VLOOKUP(O1584,'Fee Data'!$C$6:$G$50,2,TRUE)+O1584*VLOOKUP(O1584,'Fee Data'!$C$6:$G$50,3,TRUE)+VLOOKUP(O1584,'Fee Data'!$I$6:$J$14,2,TRUE)+'Fee Data'!$J$20+'Fee Data'!$J$21)*'Assumptions'!K37</x:f>
        <x:v>1175</x:v>
      </x:c>
      <x:c r="Q1584" s="27" t="n">
        <x:f>(VLOOKUP(O1584,'Fee Data'!$C$6:$G$50,4,TRUE)+O1584*VLOOKUP(O1584,'Fee Data'!$C$6:$G$50,5,TRUE)+VLOOKUP(O1584,'Fee Data'!$I$6:$J$14,2,TRUE)+'Fee Data'!$J$20+'Fee Data'!$J$21)*'Assumptions'!K37</x:f>
        <x:v>1050</x:v>
      </x:c>
      <x:c r="R1584" s="27" t="n">
        <x:f>P1584*(1-'Assumptions'!$D$14)+Q1584*'Assumptions'!$D$14</x:f>
        <x:v>1112.5</x:v>
      </x:c>
      <x:c r="S1584" s="27" t="n">
        <x:f>O1584*'Carrier Engine'!E98</x:f>
        <x:v>323.5639771237582</x:v>
      </x:c>
      <x:c r="T1584" s="28" t="n">
        <x:f>R1584+S1584</x:f>
        <x:v>1436.0639771237581</x:v>
      </x:c>
      <x:c r="U1584" s="27" t="n">
        <x:f>N1584*'Fleet Engine'!M201</x:f>
        <x:v>0</x:v>
      </x:c>
      <x:c r="V1584" s="28" t="n">
        <x:f>U1584*T1584</x:f>
        <x:v>0</x:v>
      </x:c>
      <x:c r="W1584" s="28" t="n">
        <x:f>U1584*O1584</x:f>
        <x:v>0</x:v>
      </x:c>
    </x:row>
    <x:row r="1585" ht="19" customHeight="1">
      <x:c r="A1585" s="2"/>
      <x:c r="B1585" s="2"/>
      <x:c r="C1585" s="46" t="n">
        <x:v>7</x:v>
      </x:c>
      <x:c r="D1585" s="46" t="n">
        <x:v>7</x:v>
      </x:c>
      <x:c r="E1585" s="46" t="n">
        <x:v>1</x:v>
      </x:c>
      <x:c r="F1585" s="46" t="n">
        <x:v>1</x:v>
      </x:c>
      <x:c r="G1585" s="12" t="n">
        <x:v>0.4444444444444444</x:v>
      </x:c>
      <x:c r="H1585" s="12" t="n">
        <x:v>0.5555555555555556</x:v>
      </x:c>
      <x:c r="I1585" s="29" t="n">
        <x:f>'Assumptions'!$D$11+'Assumptions'!$D$12*(0.5-(G1585+H1585)/2)</x:f>
        <x:v>0.3</x:v>
      </x:c>
      <x:c r="J1585" s="27" t="n">
        <x:f>'Assumptions'!$D$8*EXP(-'Assumptions'!$D$9*('Fleet Engine'!E201-10))*'Assumptions'!E56*'Assumptions'!K36</x:f>
        <x:v>25104.101673395035</x:v>
      </x:c>
      <x:c r="K1585" s="27" t="n">
        <x:f>'Source Data'!F218+LN('Assumptions'!D56)+LN('Assumptions'!K35)</x:f>
        <x:v>7.916663861337495</x:v>
      </x:c>
      <x:c r="L1585" s="27" t="n">
        <x:f>J1585*(1-I1585*(1-'Carrier Engine'!E98))</x:f>
        <x:v>17874.120391457265</x:v>
      </x:c>
      <x:c r="M1585" s="29" t="n">
        <x:f>NORM.S.DIST((LN(L1585)-K1585)/'Assumptions'!$D$10,TRUE)</x:f>
        <x:v>0.883713600649329</x:v>
      </x:c>
      <x:c r="N1585" s="30" t="n">
        <x:f>MAX(0,H1585-MAX(G1585,M1585))</x:f>
        <x:v>0</x:v>
      </x:c>
      <x:c r="O1585" s="28" t="n">
        <x:f>J1585*I1585</x:f>
        <x:v>7531.23050201851</x:v>
      </x:c>
      <x:c r="P1585" s="27" t="n">
        <x:f>(VLOOKUP(O1585,'Fee Data'!$C$6:$G$50,2,TRUE)+O1585*VLOOKUP(O1585,'Fee Data'!$C$6:$G$50,3,TRUE)+VLOOKUP(O1585,'Fee Data'!$I$6:$J$14,2,TRUE)+'Fee Data'!$J$20+'Fee Data'!$J$21)*'Assumptions'!K37</x:f>
        <x:v>1135</x:v>
      </x:c>
      <x:c r="Q1585" s="27" t="n">
        <x:f>(VLOOKUP(O1585,'Fee Data'!$C$6:$G$50,4,TRUE)+O1585*VLOOKUP(O1585,'Fee Data'!$C$6:$G$50,5,TRUE)+VLOOKUP(O1585,'Fee Data'!$I$6:$J$14,2,TRUE)+'Fee Data'!$J$20+'Fee Data'!$J$21)*'Assumptions'!K37</x:f>
        <x:v>1010</x:v>
      </x:c>
      <x:c r="R1585" s="27" t="n">
        <x:f>P1585*(1-'Assumptions'!$D$14)+Q1585*'Assumptions'!$D$14</x:f>
        <x:v>1072.5</x:v>
      </x:c>
      <x:c r="S1585" s="27" t="n">
        <x:f>O1585*'Carrier Engine'!E98</x:f>
        <x:v>301.2492200807404</x:v>
      </x:c>
      <x:c r="T1585" s="28" t="n">
        <x:f>R1585+S1585</x:f>
        <x:v>1373.7492200807403</x:v>
      </x:c>
      <x:c r="U1585" s="27" t="n">
        <x:f>N1585*'Fleet Engine'!M201</x:f>
        <x:v>0</x:v>
      </x:c>
      <x:c r="V1585" s="28" t="n">
        <x:f>U1585*T1585</x:f>
        <x:v>0</x:v>
      </x:c>
      <x:c r="W1585" s="28" t="n">
        <x:f>U1585*O1585</x:f>
        <x:v>0</x:v>
      </x:c>
    </x:row>
    <x:row r="1586" ht="19" customHeight="1">
      <x:c r="A1586" s="2"/>
      <x:c r="B1586" s="2"/>
      <x:c r="C1586" s="46" t="n">
        <x:v>7</x:v>
      </x:c>
      <x:c r="D1586" s="46" t="n">
        <x:v>7</x:v>
      </x:c>
      <x:c r="E1586" s="46" t="n">
        <x:v>1</x:v>
      </x:c>
      <x:c r="F1586" s="46" t="n">
        <x:v>1</x:v>
      </x:c>
      <x:c r="G1586" s="12" t="n">
        <x:v>0.5555555555555556</x:v>
      </x:c>
      <x:c r="H1586" s="12" t="n">
        <x:v>0.6666666666666666</x:v>
      </x:c>
      <x:c r="I1586" s="29" t="n">
        <x:f>'Assumptions'!$D$11+'Assumptions'!$D$12*(0.5-(G1586+H1586)/2)</x:f>
        <x:v>0.27777777777777773</x:v>
      </x:c>
      <x:c r="J1586" s="27" t="n">
        <x:f>'Assumptions'!$D$8*EXP(-'Assumptions'!$D$9*('Fleet Engine'!E201-10))*'Assumptions'!E56*'Assumptions'!K36</x:f>
        <x:v>25104.101673395035</x:v>
      </x:c>
      <x:c r="K1586" s="27" t="n">
        <x:f>'Source Data'!F218+LN('Assumptions'!D56)+LN('Assumptions'!K35)</x:f>
        <x:v>7.916663861337495</x:v>
      </x:c>
      <x:c r="L1586" s="27" t="n">
        <x:f>J1586*(1-I1586*(1-'Carrier Engine'!E98))</x:f>
        <x:v>18409.674560489693</x:v>
      </x:c>
      <x:c r="M1586" s="29" t="n">
        <x:f>NORM.S.DIST((LN(L1586)-K1586)/'Assumptions'!$D$10,TRUE)</x:f>
        <x:v>0.8873508102719798</x:v>
      </x:c>
      <x:c r="N1586" s="30" t="n">
        <x:f>MAX(0,H1586-MAX(G1586,M1586))</x:f>
        <x:v>0</x:v>
      </x:c>
      <x:c r="O1586" s="28" t="n">
        <x:f>J1586*I1586</x:f>
        <x:v>6973.361575943064</x:v>
      </x:c>
      <x:c r="P1586" s="27" t="n">
        <x:f>(VLOOKUP(O1586,'Fee Data'!$C$6:$G$50,2,TRUE)+O1586*VLOOKUP(O1586,'Fee Data'!$C$6:$G$50,3,TRUE)+VLOOKUP(O1586,'Fee Data'!$I$6:$J$14,2,TRUE)+'Fee Data'!$J$20+'Fee Data'!$J$21)*'Assumptions'!K37</x:f>
        <x:v>1080</x:v>
      </x:c>
      <x:c r="Q1586" s="27" t="n">
        <x:f>(VLOOKUP(O1586,'Fee Data'!$C$6:$G$50,4,TRUE)+O1586*VLOOKUP(O1586,'Fee Data'!$C$6:$G$50,5,TRUE)+VLOOKUP(O1586,'Fee Data'!$I$6:$J$14,2,TRUE)+'Fee Data'!$J$20+'Fee Data'!$J$21)*'Assumptions'!K37</x:f>
        <x:v>955</x:v>
      </x:c>
      <x:c r="R1586" s="27" t="n">
        <x:f>P1586*(1-'Assumptions'!$D$14)+Q1586*'Assumptions'!$D$14</x:f>
        <x:v>1017.5</x:v>
      </x:c>
      <x:c r="S1586" s="27" t="n">
        <x:f>O1586*'Carrier Engine'!E98</x:f>
        <x:v>278.93446303772254</x:v>
      </x:c>
      <x:c r="T1586" s="28" t="n">
        <x:f>R1586+S1586</x:f>
        <x:v>1296.4344630377225</x:v>
      </x:c>
      <x:c r="U1586" s="27" t="n">
        <x:f>N1586*'Fleet Engine'!M201</x:f>
        <x:v>0</x:v>
      </x:c>
      <x:c r="V1586" s="28" t="n">
        <x:f>U1586*T1586</x:f>
        <x:v>0</x:v>
      </x:c>
      <x:c r="W1586" s="28" t="n">
        <x:f>U1586*O1586</x:f>
        <x:v>0</x:v>
      </x:c>
    </x:row>
    <x:row r="1587" ht="19" customHeight="1">
      <x:c r="A1587" s="2"/>
      <x:c r="B1587" s="2"/>
      <x:c r="C1587" s="46" t="n">
        <x:v>7</x:v>
      </x:c>
      <x:c r="D1587" s="46" t="n">
        <x:v>7</x:v>
      </x:c>
      <x:c r="E1587" s="46" t="n">
        <x:v>1</x:v>
      </x:c>
      <x:c r="F1587" s="46" t="n">
        <x:v>1</x:v>
      </x:c>
      <x:c r="G1587" s="12" t="n">
        <x:v>0.6666666666666666</x:v>
      </x:c>
      <x:c r="H1587" s="12" t="n">
        <x:v>0.7777777777777778</x:v>
      </x:c>
      <x:c r="I1587" s="29" t="n">
        <x:f>'Assumptions'!$D$11+'Assumptions'!$D$12*(0.5-(G1587+H1587)/2)</x:f>
        <x:v>0.25555555555555554</x:v>
      </x:c>
      <x:c r="J1587" s="27" t="n">
        <x:f>'Assumptions'!$D$8*EXP(-'Assumptions'!$D$9*('Fleet Engine'!E201-10))*'Assumptions'!E56*'Assumptions'!K36</x:f>
        <x:v>25104.101673395035</x:v>
      </x:c>
      <x:c r="K1587" s="27" t="n">
        <x:f>'Source Data'!F218+LN('Assumptions'!D56)+LN('Assumptions'!K35)</x:f>
        <x:v>7.916663861337495</x:v>
      </x:c>
      <x:c r="L1587" s="27" t="n">
        <x:f>J1587*(1-I1587*(1-'Carrier Engine'!E98))</x:f>
        <x:v>18945.22872952212</x:v>
      </x:c>
      <x:c r="M1587" s="29" t="n">
        <x:f>NORM.S.DIST((LN(L1587)-K1587)/'Assumptions'!$D$10,TRUE)</x:f>
        <x:v>0.8908052189301703</x:v>
      </x:c>
      <x:c r="N1587" s="30" t="n">
        <x:f>MAX(0,H1587-MAX(G1587,M1587))</x:f>
        <x:v>0</x:v>
      </x:c>
      <x:c r="O1587" s="28" t="n">
        <x:f>J1587*I1587</x:f>
        <x:v>6415.49264986762</x:v>
      </x:c>
      <x:c r="P1587" s="27" t="n">
        <x:f>(VLOOKUP(O1587,'Fee Data'!$C$6:$G$50,2,TRUE)+O1587*VLOOKUP(O1587,'Fee Data'!$C$6:$G$50,3,TRUE)+VLOOKUP(O1587,'Fee Data'!$I$6:$J$14,2,TRUE)+'Fee Data'!$J$20+'Fee Data'!$J$21)*'Assumptions'!K37</x:f>
        <x:v>1060</x:v>
      </x:c>
      <x:c r="Q1587" s="27" t="n">
        <x:f>(VLOOKUP(O1587,'Fee Data'!$C$6:$G$50,4,TRUE)+O1587*VLOOKUP(O1587,'Fee Data'!$C$6:$G$50,5,TRUE)+VLOOKUP(O1587,'Fee Data'!$I$6:$J$14,2,TRUE)+'Fee Data'!$J$20+'Fee Data'!$J$21)*'Assumptions'!K37</x:f>
        <x:v>935</x:v>
      </x:c>
      <x:c r="R1587" s="27" t="n">
        <x:f>P1587*(1-'Assumptions'!$D$14)+Q1587*'Assumptions'!$D$14</x:f>
        <x:v>997.5</x:v>
      </x:c>
      <x:c r="S1587" s="27" t="n">
        <x:f>O1587*'Carrier Engine'!E98</x:f>
        <x:v>256.61970599470476</x:v>
      </x:c>
      <x:c r="T1587" s="28" t="n">
        <x:f>R1587+S1587</x:f>
        <x:v>1254.1197059947049</x:v>
      </x:c>
      <x:c r="U1587" s="27" t="n">
        <x:f>N1587*'Fleet Engine'!M201</x:f>
        <x:v>0</x:v>
      </x:c>
      <x:c r="V1587" s="28" t="n">
        <x:f>U1587*T1587</x:f>
        <x:v>0</x:v>
      </x:c>
      <x:c r="W1587" s="28" t="n">
        <x:f>U1587*O1587</x:f>
        <x:v>0</x:v>
      </x:c>
    </x:row>
    <x:row r="1588" ht="19" customHeight="1">
      <x:c r="A1588" s="2"/>
      <x:c r="B1588" s="2"/>
      <x:c r="C1588" s="46" t="n">
        <x:v>7</x:v>
      </x:c>
      <x:c r="D1588" s="46" t="n">
        <x:v>7</x:v>
      </x:c>
      <x:c r="E1588" s="46" t="n">
        <x:v>1</x:v>
      </x:c>
      <x:c r="F1588" s="46" t="n">
        <x:v>1</x:v>
      </x:c>
      <x:c r="G1588" s="12" t="n">
        <x:v>0.7777777777777778</x:v>
      </x:c>
      <x:c r="H1588" s="12" t="n">
        <x:v>0.8888888888888888</x:v>
      </x:c>
      <x:c r="I1588" s="29" t="n">
        <x:f>'Assumptions'!$D$11+'Assumptions'!$D$12*(0.5-(G1588+H1588)/2)</x:f>
        <x:v>0.23333333333333334</x:v>
      </x:c>
      <x:c r="J1588" s="27" t="n">
        <x:f>'Assumptions'!$D$8*EXP(-'Assumptions'!$D$9*('Fleet Engine'!E201-10))*'Assumptions'!E56*'Assumptions'!K36</x:f>
        <x:v>25104.101673395035</x:v>
      </x:c>
      <x:c r="K1588" s="27" t="n">
        <x:f>'Source Data'!F218+LN('Assumptions'!D56)+LN('Assumptions'!K35)</x:f>
        <x:v>7.916663861337495</x:v>
      </x:c>
      <x:c r="L1588" s="27" t="n">
        <x:f>J1588*(1-I1588*(1-'Carrier Engine'!E98))</x:f>
        <x:v>19480.782898554546</x:v>
      </x:c>
      <x:c r="M1588" s="29" t="n">
        <x:f>NORM.S.DIST((LN(L1588)-K1588)/'Assumptions'!$D$10,TRUE)</x:f>
        <x:v>0.8940897210910779</x:v>
      </x:c>
      <x:c r="N1588" s="30" t="n">
        <x:f>MAX(0,H1588-MAX(G1588,M1588))</x:f>
        <x:v>0</x:v>
      </x:c>
      <x:c r="O1588" s="28" t="n">
        <x:f>J1588*I1588</x:f>
        <x:v>5857.623723792175</x:v>
      </x:c>
      <x:c r="P1588" s="27" t="n">
        <x:f>(VLOOKUP(O1588,'Fee Data'!$C$6:$G$50,2,TRUE)+O1588*VLOOKUP(O1588,'Fee Data'!$C$6:$G$50,3,TRUE)+VLOOKUP(O1588,'Fee Data'!$I$6:$J$14,2,TRUE)+'Fee Data'!$J$20+'Fee Data'!$J$21)*'Assumptions'!K37</x:f>
        <x:v>1020</x:v>
      </x:c>
      <x:c r="Q1588" s="27" t="n">
        <x:f>(VLOOKUP(O1588,'Fee Data'!$C$6:$G$50,4,TRUE)+O1588*VLOOKUP(O1588,'Fee Data'!$C$6:$G$50,5,TRUE)+VLOOKUP(O1588,'Fee Data'!$I$6:$J$14,2,TRUE)+'Fee Data'!$J$20+'Fee Data'!$J$21)*'Assumptions'!K37</x:f>
        <x:v>895</x:v>
      </x:c>
      <x:c r="R1588" s="27" t="n">
        <x:f>P1588*(1-'Assumptions'!$D$14)+Q1588*'Assumptions'!$D$14</x:f>
        <x:v>957.5</x:v>
      </x:c>
      <x:c r="S1588" s="27" t="n">
        <x:f>O1588*'Carrier Engine'!E98</x:f>
        <x:v>234.30494895168695</x:v>
      </x:c>
      <x:c r="T1588" s="28" t="n">
        <x:f>R1588+S1588</x:f>
        <x:v>1191.804948951687</x:v>
      </x:c>
      <x:c r="U1588" s="27" t="n">
        <x:f>N1588*'Fleet Engine'!M201</x:f>
        <x:v>0</x:v>
      </x:c>
      <x:c r="V1588" s="28" t="n">
        <x:f>U1588*T1588</x:f>
        <x:v>0</x:v>
      </x:c>
      <x:c r="W1588" s="28" t="n">
        <x:f>U1588*O1588</x:f>
        <x:v>0</x:v>
      </x:c>
    </x:row>
    <x:row r="1589" ht="19" customHeight="1">
      <x:c r="A1589" s="2"/>
      <x:c r="B1589" s="2"/>
      <x:c r="C1589" s="46" t="n">
        <x:v>7</x:v>
      </x:c>
      <x:c r="D1589" s="46" t="n">
        <x:v>7</x:v>
      </x:c>
      <x:c r="E1589" s="46" t="n">
        <x:v>1</x:v>
      </x:c>
      <x:c r="F1589" s="46" t="n">
        <x:v>1</x:v>
      </x:c>
      <x:c r="G1589" s="12" t="n">
        <x:v>0.8888888888888888</x:v>
      </x:c>
      <x:c r="H1589" s="12" t="n">
        <x:v>1</x:v>
      </x:c>
      <x:c r="I1589" s="29" t="n">
        <x:f>'Assumptions'!$D$11+'Assumptions'!$D$12*(0.5-(G1589+H1589)/2)</x:f>
        <x:v>0.21111111111111108</x:v>
      </x:c>
      <x:c r="J1589" s="27" t="n">
        <x:f>'Assumptions'!$D$8*EXP(-'Assumptions'!$D$9*('Fleet Engine'!E201-10))*'Assumptions'!E56*'Assumptions'!K36</x:f>
        <x:v>25104.101673395035</x:v>
      </x:c>
      <x:c r="K1589" s="27" t="n">
        <x:f>'Source Data'!F218+LN('Assumptions'!D56)+LN('Assumptions'!K35)</x:f>
        <x:v>7.916663861337495</x:v>
      </x:c>
      <x:c r="L1589" s="27" t="n">
        <x:f>J1589*(1-I1589*(1-'Carrier Engine'!E98))</x:f>
        <x:v>20016.337067586974</x:v>
      </x:c>
      <x:c r="M1589" s="29" t="n">
        <x:f>NORM.S.DIST((LN(L1589)-K1589)/'Assumptions'!$D$10,TRUE)</x:f>
        <x:v>0.897216036126494</x:v>
      </x:c>
      <x:c r="N1589" s="30" t="n">
        <x:f>MAX(0,H1589-MAX(G1589,M1589))</x:f>
        <x:v>0.10278396387350597</x:v>
      </x:c>
      <x:c r="O1589" s="28" t="n">
        <x:f>J1589*I1589</x:f>
        <x:v>5299.754797716729</x:v>
      </x:c>
      <x:c r="P1589" s="27" t="n">
        <x:f>(VLOOKUP(O1589,'Fee Data'!$C$6:$G$50,2,TRUE)+O1589*VLOOKUP(O1589,'Fee Data'!$C$6:$G$50,3,TRUE)+VLOOKUP(O1589,'Fee Data'!$I$6:$J$14,2,TRUE)+'Fee Data'!$J$20+'Fee Data'!$J$21)*'Assumptions'!K37</x:f>
        <x:v>995</x:v>
      </x:c>
      <x:c r="Q1589" s="27" t="n">
        <x:f>(VLOOKUP(O1589,'Fee Data'!$C$6:$G$50,4,TRUE)+O1589*VLOOKUP(O1589,'Fee Data'!$C$6:$G$50,5,TRUE)+VLOOKUP(O1589,'Fee Data'!$I$6:$J$14,2,TRUE)+'Fee Data'!$J$20+'Fee Data'!$J$21)*'Assumptions'!K37</x:f>
        <x:v>870</x:v>
      </x:c>
      <x:c r="R1589" s="27" t="n">
        <x:f>P1589*(1-'Assumptions'!$D$14)+Q1589*'Assumptions'!$D$14</x:f>
        <x:v>932.5</x:v>
      </x:c>
      <x:c r="S1589" s="27" t="n">
        <x:f>O1589*'Carrier Engine'!E98</x:f>
        <x:v>211.99019190866912</x:v>
      </x:c>
      <x:c r="T1589" s="28" t="n">
        <x:f>R1589+S1589</x:f>
        <x:v>1144.4901919086692</x:v>
      </x:c>
      <x:c r="U1589" s="27" t="n">
        <x:f>N1589*'Fleet Engine'!M201</x:f>
        <x:v>2784.321447572783</x:v>
      </x:c>
      <x:c r="V1589" s="28" t="n">
        <x:f>U1589*T1589</x:f>
        <x:v>3186628.587867998</x:v>
      </x:c>
      <x:c r="W1589" s="28" t="n">
        <x:f>U1589*O1589</x:f>
        <x:v>14756220.950159445</x:v>
      </x:c>
    </x:row>
    <x:row r="1590" ht="19" customHeight="1">
      <x:c r="A1590" s="2"/>
      <x:c r="B1590" s="2"/>
      <x:c r="C1590" s="46" t="n">
        <x:v>7</x:v>
      </x:c>
      <x:c r="D1590" s="46" t="n">
        <x:v>8</x:v>
      </x:c>
      <x:c r="E1590" s="46" t="n">
        <x:v>1</x:v>
      </x:c>
      <x:c r="F1590" s="46" t="n">
        <x:v>2</x:v>
      </x:c>
      <x:c r="G1590" s="12" t="n">
        <x:v>0</x:v>
      </x:c>
      <x:c r="H1590" s="12" t="n">
        <x:v>0.1111111111111111</x:v>
      </x:c>
      <x:c r="I1590" s="29" t="n">
        <x:f>'Assumptions'!$D$11+'Assumptions'!$D$12*(0.5-(G1590+H1590)/2)</x:f>
        <x:v>0.3888888888888889</x:v>
      </x:c>
      <x:c r="J1590" s="27" t="n">
        <x:f>'Assumptions'!$D$8*EXP(-'Assumptions'!$D$9*('Fleet Engine'!E202-10))*'Assumptions'!E56*'Assumptions'!K36</x:f>
        <x:v>18597.575933497446</x:v>
      </x:c>
      <x:c r="K1590" s="27" t="n">
        <x:f>'Source Data'!F219+LN('Assumptions'!D56)+LN('Assumptions'!K35)</x:f>
        <x:v>7.962345702623303</x:v>
      </x:c>
      <x:c r="L1590" s="27" t="n">
        <x:f>J1590*(1-I1590*(1-'Carrier Engine'!E98))</x:f>
        <x:v>11654.480918325067</x:v>
      </x:c>
      <x:c r="M1590" s="29" t="n">
        <x:f>NORM.S.DIST((LN(L1590)-K1590)/'Assumptions'!$D$10,TRUE)</x:f>
        <x:v>0.8138848687134156</x:v>
      </x:c>
      <x:c r="N1590" s="30" t="n">
        <x:f>MAX(0,H1590-MAX(G1590,M1590))</x:f>
        <x:v>0</x:v>
      </x:c>
      <x:c r="O1590" s="28" t="n">
        <x:f>J1590*I1590</x:f>
        <x:v>7232.390640804562</x:v>
      </x:c>
      <x:c r="P1590" s="27" t="n">
        <x:f>(VLOOKUP(O1590,'Fee Data'!$C$6:$G$50,2,TRUE)+O1590*VLOOKUP(O1590,'Fee Data'!$C$6:$G$50,3,TRUE)+VLOOKUP(O1590,'Fee Data'!$I$6:$J$14,2,TRUE)+'Fee Data'!$J$20+'Fee Data'!$J$21)*'Assumptions'!K37</x:f>
        <x:v>1115</x:v>
      </x:c>
      <x:c r="Q1590" s="27" t="n">
        <x:f>(VLOOKUP(O1590,'Fee Data'!$C$6:$G$50,4,TRUE)+O1590*VLOOKUP(O1590,'Fee Data'!$C$6:$G$50,5,TRUE)+VLOOKUP(O1590,'Fee Data'!$I$6:$J$14,2,TRUE)+'Fee Data'!$J$20+'Fee Data'!$J$21)*'Assumptions'!K37</x:f>
        <x:v>990</x:v>
      </x:c>
      <x:c r="R1590" s="27" t="n">
        <x:f>P1590*(1-'Assumptions'!$D$14)+Q1590*'Assumptions'!$D$14</x:f>
        <x:v>1052.5</x:v>
      </x:c>
      <x:c r="S1590" s="27" t="n">
        <x:f>O1590*'Carrier Engine'!E98</x:f>
        <x:v>289.29562563218246</x:v>
      </x:c>
      <x:c r="T1590" s="28" t="n">
        <x:f>R1590+S1590</x:f>
        <x:v>1341.7956256321825</x:v>
      </x:c>
      <x:c r="U1590" s="27" t="n">
        <x:f>N1590*'Fleet Engine'!M202</x:f>
        <x:v>0</x:v>
      </x:c>
      <x:c r="V1590" s="28" t="n">
        <x:f>U1590*T1590</x:f>
        <x:v>0</x:v>
      </x:c>
      <x:c r="W1590" s="28" t="n">
        <x:f>U1590*O1590</x:f>
        <x:v>0</x:v>
      </x:c>
    </x:row>
    <x:row r="1591" ht="19" customHeight="1">
      <x:c r="A1591" s="2"/>
      <x:c r="B1591" s="2"/>
      <x:c r="C1591" s="46" t="n">
        <x:v>7</x:v>
      </x:c>
      <x:c r="D1591" s="46" t="n">
        <x:v>8</x:v>
      </x:c>
      <x:c r="E1591" s="46" t="n">
        <x:v>1</x:v>
      </x:c>
      <x:c r="F1591" s="46" t="n">
        <x:v>2</x:v>
      </x:c>
      <x:c r="G1591" s="12" t="n">
        <x:v>0.1111111111111111</x:v>
      </x:c>
      <x:c r="H1591" s="12" t="n">
        <x:v>0.2222222222222222</x:v>
      </x:c>
      <x:c r="I1591" s="29" t="n">
        <x:f>'Assumptions'!$D$11+'Assumptions'!$D$12*(0.5-(G1591+H1591)/2)</x:f>
        <x:v>0.3666666666666667</x:v>
      </x:c>
      <x:c r="J1591" s="27" t="n">
        <x:f>'Assumptions'!$D$8*EXP(-'Assumptions'!$D$9*('Fleet Engine'!E202-10))*'Assumptions'!E56*'Assumptions'!K36</x:f>
        <x:v>18597.575933497446</x:v>
      </x:c>
      <x:c r="K1591" s="27" t="n">
        <x:f>'Source Data'!F219+LN('Assumptions'!D56)+LN('Assumptions'!K35)</x:f>
        <x:v>7.962345702623303</x:v>
      </x:c>
      <x:c r="L1591" s="27" t="n">
        <x:f>J1591*(1-I1591*(1-'Carrier Engine'!E98))</x:f>
        <x:v>12051.229204906344</x:v>
      </x:c>
      <x:c r="M1591" s="29" t="n">
        <x:f>NORM.S.DIST((LN(L1591)-K1591)/'Assumptions'!$D$10,TRUE)</x:f>
        <x:v>0.8195425068236845</x:v>
      </x:c>
      <x:c r="N1591" s="30" t="n">
        <x:f>MAX(0,H1591-MAX(G1591,M1591))</x:f>
        <x:v>0</x:v>
      </x:c>
      <x:c r="O1591" s="28" t="n">
        <x:f>J1591*I1591</x:f>
        <x:v>6819.111175615731</x:v>
      </x:c>
      <x:c r="P1591" s="27" t="n">
        <x:f>(VLOOKUP(O1591,'Fee Data'!$C$6:$G$50,2,TRUE)+O1591*VLOOKUP(O1591,'Fee Data'!$C$6:$G$50,3,TRUE)+VLOOKUP(O1591,'Fee Data'!$I$6:$J$14,2,TRUE)+'Fee Data'!$J$20+'Fee Data'!$J$21)*'Assumptions'!K37</x:f>
        <x:v>1080</x:v>
      </x:c>
      <x:c r="Q1591" s="27" t="n">
        <x:f>(VLOOKUP(O1591,'Fee Data'!$C$6:$G$50,4,TRUE)+O1591*VLOOKUP(O1591,'Fee Data'!$C$6:$G$50,5,TRUE)+VLOOKUP(O1591,'Fee Data'!$I$6:$J$14,2,TRUE)+'Fee Data'!$J$20+'Fee Data'!$J$21)*'Assumptions'!K37</x:f>
        <x:v>955</x:v>
      </x:c>
      <x:c r="R1591" s="27" t="n">
        <x:f>P1591*(1-'Assumptions'!$D$14)+Q1591*'Assumptions'!$D$14</x:f>
        <x:v>1017.5</x:v>
      </x:c>
      <x:c r="S1591" s="27" t="n">
        <x:f>O1591*'Carrier Engine'!E98</x:f>
        <x:v>272.7644470246292</x:v>
      </x:c>
      <x:c r="T1591" s="28" t="n">
        <x:f>R1591+S1591</x:f>
        <x:v>1290.2644470246291</x:v>
      </x:c>
      <x:c r="U1591" s="27" t="n">
        <x:f>N1591*'Fleet Engine'!M202</x:f>
        <x:v>0</x:v>
      </x:c>
      <x:c r="V1591" s="28" t="n">
        <x:f>U1591*T1591</x:f>
        <x:v>0</x:v>
      </x:c>
      <x:c r="W1591" s="28" t="n">
        <x:f>U1591*O1591</x:f>
        <x:v>0</x:v>
      </x:c>
    </x:row>
    <x:row r="1592" ht="19" customHeight="1">
      <x:c r="A1592" s="2"/>
      <x:c r="B1592" s="2"/>
      <x:c r="C1592" s="46" t="n">
        <x:v>7</x:v>
      </x:c>
      <x:c r="D1592" s="46" t="n">
        <x:v>8</x:v>
      </x:c>
      <x:c r="E1592" s="46" t="n">
        <x:v>1</x:v>
      </x:c>
      <x:c r="F1592" s="46" t="n">
        <x:v>2</x:v>
      </x:c>
      <x:c r="G1592" s="12" t="n">
        <x:v>0.2222222222222222</x:v>
      </x:c>
      <x:c r="H1592" s="12" t="n">
        <x:v>0.3333333333333333</x:v>
      </x:c>
      <x:c r="I1592" s="29" t="n">
        <x:f>'Assumptions'!$D$11+'Assumptions'!$D$12*(0.5-(G1592+H1592)/2)</x:f>
        <x:v>0.34444444444444444</x:v>
      </x:c>
      <x:c r="J1592" s="27" t="n">
        <x:f>'Assumptions'!$D$8*EXP(-'Assumptions'!$D$9*('Fleet Engine'!E202-10))*'Assumptions'!E56*'Assumptions'!K36</x:f>
        <x:v>18597.575933497446</x:v>
      </x:c>
      <x:c r="K1592" s="27" t="n">
        <x:f>'Source Data'!F219+LN('Assumptions'!D56)+LN('Assumptions'!K35)</x:f>
        <x:v>7.962345702623303</x:v>
      </x:c>
      <x:c r="L1592" s="27" t="n">
        <x:f>J1592*(1-I1592*(1-'Carrier Engine'!E98))</x:f>
        <x:v>12447.977491487623</x:v>
      </x:c>
      <x:c r="M1592" s="29" t="n">
        <x:f>NORM.S.DIST((LN(L1592)-K1592)/'Assumptions'!$D$10,TRUE)</x:f>
        <x:v>0.8249129898049964</x:v>
      </x:c>
      <x:c r="N1592" s="30" t="n">
        <x:f>MAX(0,H1592-MAX(G1592,M1592))</x:f>
        <x:v>0</x:v>
      </x:c>
      <x:c r="O1592" s="28" t="n">
        <x:f>J1592*I1592</x:f>
        <x:v>6405.831710426898</x:v>
      </x:c>
      <x:c r="P1592" s="27" t="n">
        <x:f>(VLOOKUP(O1592,'Fee Data'!$C$6:$G$50,2,TRUE)+O1592*VLOOKUP(O1592,'Fee Data'!$C$6:$G$50,3,TRUE)+VLOOKUP(O1592,'Fee Data'!$I$6:$J$14,2,TRUE)+'Fee Data'!$J$20+'Fee Data'!$J$21)*'Assumptions'!K37</x:f>
        <x:v>1060</x:v>
      </x:c>
      <x:c r="Q1592" s="27" t="n">
        <x:f>(VLOOKUP(O1592,'Fee Data'!$C$6:$G$50,4,TRUE)+O1592*VLOOKUP(O1592,'Fee Data'!$C$6:$G$50,5,TRUE)+VLOOKUP(O1592,'Fee Data'!$I$6:$J$14,2,TRUE)+'Fee Data'!$J$20+'Fee Data'!$J$21)*'Assumptions'!K37</x:f>
        <x:v>935</x:v>
      </x:c>
      <x:c r="R1592" s="27" t="n">
        <x:f>P1592*(1-'Assumptions'!$D$14)+Q1592*'Assumptions'!$D$14</x:f>
        <x:v>997.5</x:v>
      </x:c>
      <x:c r="S1592" s="27" t="n">
        <x:f>O1592*'Carrier Engine'!E98</x:f>
        <x:v>256.23326841707586</x:v>
      </x:c>
      <x:c r="T1592" s="28" t="n">
        <x:f>R1592+S1592</x:f>
        <x:v>1253.7332684170758</x:v>
      </x:c>
      <x:c r="U1592" s="27" t="n">
        <x:f>N1592*'Fleet Engine'!M202</x:f>
        <x:v>0</x:v>
      </x:c>
      <x:c r="V1592" s="28" t="n">
        <x:f>U1592*T1592</x:f>
        <x:v>0</x:v>
      </x:c>
      <x:c r="W1592" s="28" t="n">
        <x:f>U1592*O1592</x:f>
        <x:v>0</x:v>
      </x:c>
    </x:row>
    <x:row r="1593" ht="19" customHeight="1">
      <x:c r="A1593" s="2"/>
      <x:c r="B1593" s="2"/>
      <x:c r="C1593" s="46" t="n">
        <x:v>7</x:v>
      </x:c>
      <x:c r="D1593" s="46" t="n">
        <x:v>8</x:v>
      </x:c>
      <x:c r="E1593" s="46" t="n">
        <x:v>1</x:v>
      </x:c>
      <x:c r="F1593" s="46" t="n">
        <x:v>2</x:v>
      </x:c>
      <x:c r="G1593" s="12" t="n">
        <x:v>0.3333333333333333</x:v>
      </x:c>
      <x:c r="H1593" s="12" t="n">
        <x:v>0.4444444444444444</x:v>
      </x:c>
      <x:c r="I1593" s="29" t="n">
        <x:f>'Assumptions'!$D$11+'Assumptions'!$D$12*(0.5-(G1593+H1593)/2)</x:f>
        <x:v>0.32222222222222224</x:v>
      </x:c>
      <x:c r="J1593" s="27" t="n">
        <x:f>'Assumptions'!$D$8*EXP(-'Assumptions'!$D$9*('Fleet Engine'!E202-10))*'Assumptions'!E56*'Assumptions'!K36</x:f>
        <x:v>18597.575933497446</x:v>
      </x:c>
      <x:c r="K1593" s="27" t="n">
        <x:f>'Source Data'!F219+LN('Assumptions'!D56)+LN('Assumptions'!K35)</x:f>
        <x:v>7.962345702623303</x:v>
      </x:c>
      <x:c r="L1593" s="27" t="n">
        <x:f>J1593*(1-I1593*(1-'Carrier Engine'!E98))</x:f>
        <x:v>12844.725778068903</x:v>
      </x:c>
      <x:c r="M1593" s="29" t="n">
        <x:f>NORM.S.DIST((LN(L1593)-K1593)/'Assumptions'!$D$10,TRUE)</x:f>
        <x:v>0.8300172277569353</x:v>
      </x:c>
      <x:c r="N1593" s="30" t="n">
        <x:f>MAX(0,H1593-MAX(G1593,M1593))</x:f>
        <x:v>0</x:v>
      </x:c>
      <x:c r="O1593" s="28" t="n">
        <x:f>J1593*I1593</x:f>
        <x:v>5992.5522452380665</x:v>
      </x:c>
      <x:c r="P1593" s="27" t="n">
        <x:f>(VLOOKUP(O1593,'Fee Data'!$C$6:$G$50,2,TRUE)+O1593*VLOOKUP(O1593,'Fee Data'!$C$6:$G$50,3,TRUE)+VLOOKUP(O1593,'Fee Data'!$I$6:$J$14,2,TRUE)+'Fee Data'!$J$20+'Fee Data'!$J$21)*'Assumptions'!K37</x:f>
        <x:v>1020</x:v>
      </x:c>
      <x:c r="Q1593" s="27" t="n">
        <x:f>(VLOOKUP(O1593,'Fee Data'!$C$6:$G$50,4,TRUE)+O1593*VLOOKUP(O1593,'Fee Data'!$C$6:$G$50,5,TRUE)+VLOOKUP(O1593,'Fee Data'!$I$6:$J$14,2,TRUE)+'Fee Data'!$J$20+'Fee Data'!$J$21)*'Assumptions'!K37</x:f>
        <x:v>895</x:v>
      </x:c>
      <x:c r="R1593" s="27" t="n">
        <x:f>P1593*(1-'Assumptions'!$D$14)+Q1593*'Assumptions'!$D$14</x:f>
        <x:v>957.5</x:v>
      </x:c>
      <x:c r="S1593" s="27" t="n">
        <x:f>O1593*'Carrier Engine'!E98</x:f>
        <x:v>239.70208980952262</x:v>
      </x:c>
      <x:c r="T1593" s="28" t="n">
        <x:f>R1593+S1593</x:f>
        <x:v>1197.2020898095227</x:v>
      </x:c>
      <x:c r="U1593" s="27" t="n">
        <x:f>N1593*'Fleet Engine'!M202</x:f>
        <x:v>0</x:v>
      </x:c>
      <x:c r="V1593" s="28" t="n">
        <x:f>U1593*T1593</x:f>
        <x:v>0</x:v>
      </x:c>
      <x:c r="W1593" s="28" t="n">
        <x:f>U1593*O1593</x:f>
        <x:v>0</x:v>
      </x:c>
    </x:row>
    <x:row r="1594" ht="19" customHeight="1">
      <x:c r="A1594" s="2"/>
      <x:c r="B1594" s="2"/>
      <x:c r="C1594" s="46" t="n">
        <x:v>7</x:v>
      </x:c>
      <x:c r="D1594" s="46" t="n">
        <x:v>8</x:v>
      </x:c>
      <x:c r="E1594" s="46" t="n">
        <x:v>1</x:v>
      </x:c>
      <x:c r="F1594" s="46" t="n">
        <x:v>2</x:v>
      </x:c>
      <x:c r="G1594" s="12" t="n">
        <x:v>0.4444444444444444</x:v>
      </x:c>
      <x:c r="H1594" s="12" t="n">
        <x:v>0.5555555555555556</x:v>
      </x:c>
      <x:c r="I1594" s="29" t="n">
        <x:f>'Assumptions'!$D$11+'Assumptions'!$D$12*(0.5-(G1594+H1594)/2)</x:f>
        <x:v>0.3</x:v>
      </x:c>
      <x:c r="J1594" s="27" t="n">
        <x:f>'Assumptions'!$D$8*EXP(-'Assumptions'!$D$9*('Fleet Engine'!E202-10))*'Assumptions'!E56*'Assumptions'!K36</x:f>
        <x:v>18597.575933497446</x:v>
      </x:c>
      <x:c r="K1594" s="27" t="n">
        <x:f>'Source Data'!F219+LN('Assumptions'!D56)+LN('Assumptions'!K35)</x:f>
        <x:v>7.962345702623303</x:v>
      </x:c>
      <x:c r="L1594" s="27" t="n">
        <x:f>J1594*(1-I1594*(1-'Carrier Engine'!E98))</x:f>
        <x:v>13241.474064650181</x:v>
      </x:c>
      <x:c r="M1594" s="29" t="n">
        <x:f>NORM.S.DIST((LN(L1594)-K1594)/'Assumptions'!$D$10,TRUE)</x:f>
        <x:v>0.8348741378031481</x:v>
      </x:c>
      <x:c r="N1594" s="30" t="n">
        <x:f>MAX(0,H1594-MAX(G1594,M1594))</x:f>
        <x:v>0</x:v>
      </x:c>
      <x:c r="O1594" s="28" t="n">
        <x:f>J1594*I1594</x:f>
        <x:v>5579.272780049234</x:v>
      </x:c>
      <x:c r="P1594" s="27" t="n">
        <x:f>(VLOOKUP(O1594,'Fee Data'!$C$6:$G$50,2,TRUE)+O1594*VLOOKUP(O1594,'Fee Data'!$C$6:$G$50,3,TRUE)+VLOOKUP(O1594,'Fee Data'!$I$6:$J$14,2,TRUE)+'Fee Data'!$J$20+'Fee Data'!$J$21)*'Assumptions'!K37</x:f>
        <x:v>1020</x:v>
      </x:c>
      <x:c r="Q1594" s="27" t="n">
        <x:f>(VLOOKUP(O1594,'Fee Data'!$C$6:$G$50,4,TRUE)+O1594*VLOOKUP(O1594,'Fee Data'!$C$6:$G$50,5,TRUE)+VLOOKUP(O1594,'Fee Data'!$I$6:$J$14,2,TRUE)+'Fee Data'!$J$20+'Fee Data'!$J$21)*'Assumptions'!K37</x:f>
        <x:v>895</x:v>
      </x:c>
      <x:c r="R1594" s="27" t="n">
        <x:f>P1594*(1-'Assumptions'!$D$14)+Q1594*'Assumptions'!$D$14</x:f>
        <x:v>957.5</x:v>
      </x:c>
      <x:c r="S1594" s="27" t="n">
        <x:f>O1594*'Carrier Engine'!E98</x:f>
        <x:v>223.17091120196932</x:v>
      </x:c>
      <x:c r="T1594" s="28" t="n">
        <x:f>R1594+S1594</x:f>
        <x:v>1180.6709112019694</x:v>
      </x:c>
      <x:c r="U1594" s="27" t="n">
        <x:f>N1594*'Fleet Engine'!M202</x:f>
        <x:v>0</x:v>
      </x:c>
      <x:c r="V1594" s="28" t="n">
        <x:f>U1594*T1594</x:f>
        <x:v>0</x:v>
      </x:c>
      <x:c r="W1594" s="28" t="n">
        <x:f>U1594*O1594</x:f>
        <x:v>0</x:v>
      </x:c>
    </x:row>
    <x:row r="1595" ht="19" customHeight="1">
      <x:c r="A1595" s="2"/>
      <x:c r="B1595" s="2"/>
      <x:c r="C1595" s="46" t="n">
        <x:v>7</x:v>
      </x:c>
      <x:c r="D1595" s="46" t="n">
        <x:v>8</x:v>
      </x:c>
      <x:c r="E1595" s="46" t="n">
        <x:v>1</x:v>
      </x:c>
      <x:c r="F1595" s="46" t="n">
        <x:v>2</x:v>
      </x:c>
      <x:c r="G1595" s="12" t="n">
        <x:v>0.5555555555555556</x:v>
      </x:c>
      <x:c r="H1595" s="12" t="n">
        <x:v>0.6666666666666666</x:v>
      </x:c>
      <x:c r="I1595" s="29" t="n">
        <x:f>'Assumptions'!$D$11+'Assumptions'!$D$12*(0.5-(G1595+H1595)/2)</x:f>
        <x:v>0.27777777777777773</x:v>
      </x:c>
      <x:c r="J1595" s="27" t="n">
        <x:f>'Assumptions'!$D$8*EXP(-'Assumptions'!$D$9*('Fleet Engine'!E202-10))*'Assumptions'!E56*'Assumptions'!K36</x:f>
        <x:v>18597.575933497446</x:v>
      </x:c>
      <x:c r="K1595" s="27" t="n">
        <x:f>'Source Data'!F219+LN('Assumptions'!D56)+LN('Assumptions'!K35)</x:f>
        <x:v>7.962345702623303</x:v>
      </x:c>
      <x:c r="L1595" s="27" t="n">
        <x:f>J1595*(1-I1595*(1-'Carrier Engine'!E98))</x:f>
        <x:v>13638.222351231461</x:v>
      </x:c>
      <x:c r="M1595" s="29" t="n">
        <x:f>NORM.S.DIST((LN(L1595)-K1595)/'Assumptions'!$D$10,TRUE)</x:f>
        <x:v>0.839500878443892</x:v>
      </x:c>
      <x:c r="N1595" s="30" t="n">
        <x:f>MAX(0,H1595-MAX(G1595,M1595))</x:f>
        <x:v>0</x:v>
      </x:c>
      <x:c r="O1595" s="28" t="n">
        <x:f>J1595*I1595</x:f>
        <x:v>5165.993314860401</x:v>
      </x:c>
      <x:c r="P1595" s="27" t="n">
        <x:f>(VLOOKUP(O1595,'Fee Data'!$C$6:$G$50,2,TRUE)+O1595*VLOOKUP(O1595,'Fee Data'!$C$6:$G$50,3,TRUE)+VLOOKUP(O1595,'Fee Data'!$I$6:$J$14,2,TRUE)+'Fee Data'!$J$20+'Fee Data'!$J$21)*'Assumptions'!K37</x:f>
        <x:v>995</x:v>
      </x:c>
      <x:c r="Q1595" s="27" t="n">
        <x:f>(VLOOKUP(O1595,'Fee Data'!$C$6:$G$50,4,TRUE)+O1595*VLOOKUP(O1595,'Fee Data'!$C$6:$G$50,5,TRUE)+VLOOKUP(O1595,'Fee Data'!$I$6:$J$14,2,TRUE)+'Fee Data'!$J$20+'Fee Data'!$J$21)*'Assumptions'!K37</x:f>
        <x:v>870</x:v>
      </x:c>
      <x:c r="R1595" s="27" t="n">
        <x:f>P1595*(1-'Assumptions'!$D$14)+Q1595*'Assumptions'!$D$14</x:f>
        <x:v>932.5</x:v>
      </x:c>
      <x:c r="S1595" s="27" t="n">
        <x:f>O1595*'Carrier Engine'!E98</x:f>
        <x:v>206.63973259441602</x:v>
      </x:c>
      <x:c r="T1595" s="28" t="n">
        <x:f>R1595+S1595</x:f>
        <x:v>1139.139732594416</x:v>
      </x:c>
      <x:c r="U1595" s="27" t="n">
        <x:f>N1595*'Fleet Engine'!M202</x:f>
        <x:v>0</x:v>
      </x:c>
      <x:c r="V1595" s="28" t="n">
        <x:f>U1595*T1595</x:f>
        <x:v>0</x:v>
      </x:c>
      <x:c r="W1595" s="28" t="n">
        <x:f>U1595*O1595</x:f>
        <x:v>0</x:v>
      </x:c>
    </x:row>
    <x:row r="1596" ht="19" customHeight="1">
      <x:c r="A1596" s="2"/>
      <x:c r="B1596" s="2"/>
      <x:c r="C1596" s="46" t="n">
        <x:v>7</x:v>
      </x:c>
      <x:c r="D1596" s="46" t="n">
        <x:v>8</x:v>
      </x:c>
      <x:c r="E1596" s="46" t="n">
        <x:v>1</x:v>
      </x:c>
      <x:c r="F1596" s="46" t="n">
        <x:v>2</x:v>
      </x:c>
      <x:c r="G1596" s="12" t="n">
        <x:v>0.6666666666666666</x:v>
      </x:c>
      <x:c r="H1596" s="12" t="n">
        <x:v>0.7777777777777778</x:v>
      </x:c>
      <x:c r="I1596" s="29" t="n">
        <x:f>'Assumptions'!$D$11+'Assumptions'!$D$12*(0.5-(G1596+H1596)/2)</x:f>
        <x:v>0.25555555555555554</x:v>
      </x:c>
      <x:c r="J1596" s="27" t="n">
        <x:f>'Assumptions'!$D$8*EXP(-'Assumptions'!$D$9*('Fleet Engine'!E202-10))*'Assumptions'!E56*'Assumptions'!K36</x:f>
        <x:v>18597.575933497446</x:v>
      </x:c>
      <x:c r="K1596" s="27" t="n">
        <x:f>'Source Data'!F219+LN('Assumptions'!D56)+LN('Assumptions'!K35)</x:f>
        <x:v>7.962345702623303</x:v>
      </x:c>
      <x:c r="L1596" s="27" t="n">
        <x:f>J1596*(1-I1596*(1-'Carrier Engine'!E98))</x:f>
        <x:v>14034.970637812741</x:v>
      </x:c>
      <x:c r="M1596" s="29" t="n">
        <x:f>NORM.S.DIST((LN(L1596)-K1596)/'Assumptions'!$D$10,TRUE)</x:f>
        <x:v>0.8439130512567272</x:v>
      </x:c>
      <x:c r="N1596" s="30" t="n">
        <x:f>MAX(0,H1596-MAX(G1596,M1596))</x:f>
        <x:v>0</x:v>
      </x:c>
      <x:c r="O1596" s="28" t="n">
        <x:f>J1596*I1596</x:f>
        <x:v>4752.713849671569</x:v>
      </x:c>
      <x:c r="P1596" s="27" t="n">
        <x:f>(VLOOKUP(O1596,'Fee Data'!$C$6:$G$50,2,TRUE)+O1596*VLOOKUP(O1596,'Fee Data'!$C$6:$G$50,3,TRUE)+VLOOKUP(O1596,'Fee Data'!$I$6:$J$14,2,TRUE)+'Fee Data'!$J$20+'Fee Data'!$J$21)*'Assumptions'!K37</x:f>
        <x:v>970</x:v>
      </x:c>
      <x:c r="Q1596" s="27" t="n">
        <x:f>(VLOOKUP(O1596,'Fee Data'!$C$6:$G$50,4,TRUE)+O1596*VLOOKUP(O1596,'Fee Data'!$C$6:$G$50,5,TRUE)+VLOOKUP(O1596,'Fee Data'!$I$6:$J$14,2,TRUE)+'Fee Data'!$J$20+'Fee Data'!$J$21)*'Assumptions'!K37</x:f>
        <x:v>845</x:v>
      </x:c>
      <x:c r="R1596" s="27" t="n">
        <x:f>P1596*(1-'Assumptions'!$D$14)+Q1596*'Assumptions'!$D$14</x:f>
        <x:v>907.5</x:v>
      </x:c>
      <x:c r="S1596" s="27" t="n">
        <x:f>O1596*'Carrier Engine'!E98</x:f>
        <x:v>190.10855398686272</x:v>
      </x:c>
      <x:c r="T1596" s="28" t="n">
        <x:f>R1596+S1596</x:f>
        <x:v>1097.6085539868627</x:v>
      </x:c>
      <x:c r="U1596" s="27" t="n">
        <x:f>N1596*'Fleet Engine'!M202</x:f>
        <x:v>0</x:v>
      </x:c>
      <x:c r="V1596" s="28" t="n">
        <x:f>U1596*T1596</x:f>
        <x:v>0</x:v>
      </x:c>
      <x:c r="W1596" s="28" t="n">
        <x:f>U1596*O1596</x:f>
        <x:v>0</x:v>
      </x:c>
    </x:row>
    <x:row r="1597" ht="19" customHeight="1">
      <x:c r="A1597" s="2"/>
      <x:c r="B1597" s="2"/>
      <x:c r="C1597" s="46" t="n">
        <x:v>7</x:v>
      </x:c>
      <x:c r="D1597" s="46" t="n">
        <x:v>8</x:v>
      </x:c>
      <x:c r="E1597" s="46" t="n">
        <x:v>1</x:v>
      </x:c>
      <x:c r="F1597" s="46" t="n">
        <x:v>2</x:v>
      </x:c>
      <x:c r="G1597" s="12" t="n">
        <x:v>0.7777777777777778</x:v>
      </x:c>
      <x:c r="H1597" s="12" t="n">
        <x:v>0.8888888888888888</x:v>
      </x:c>
      <x:c r="I1597" s="29" t="n">
        <x:f>'Assumptions'!$D$11+'Assumptions'!$D$12*(0.5-(G1597+H1597)/2)</x:f>
        <x:v>0.23333333333333334</x:v>
      </x:c>
      <x:c r="J1597" s="27" t="n">
        <x:f>'Assumptions'!$D$8*EXP(-'Assumptions'!$D$9*('Fleet Engine'!E202-10))*'Assumptions'!E56*'Assumptions'!K36</x:f>
        <x:v>18597.575933497446</x:v>
      </x:c>
      <x:c r="K1597" s="27" t="n">
        <x:f>'Source Data'!F219+LN('Assumptions'!D56)+LN('Assumptions'!K35)</x:f>
        <x:v>7.962345702623303</x:v>
      </x:c>
      <x:c r="L1597" s="27" t="n">
        <x:f>J1597*(1-I1597*(1-'Carrier Engine'!E98))</x:f>
        <x:v>14431.71892439402</x:v>
      </x:c>
      <x:c r="M1597" s="29" t="n">
        <x:f>NORM.S.DIST((LN(L1597)-K1597)/'Assumptions'!$D$10,TRUE)</x:f>
        <x:v>0.8481248751817181</x:v>
      </x:c>
      <x:c r="N1597" s="30" t="n">
        <x:f>MAX(0,H1597-MAX(G1597,M1597))</x:f>
        <x:v>0.040764013707170754</x:v>
      </x:c>
      <x:c r="O1597" s="28" t="n">
        <x:f>J1597*I1597</x:f>
        <x:v>4339.434384482737</x:v>
      </x:c>
      <x:c r="P1597" s="27" t="n">
        <x:f>(VLOOKUP(O1597,'Fee Data'!$C$6:$G$50,2,TRUE)+O1597*VLOOKUP(O1597,'Fee Data'!$C$6:$G$50,3,TRUE)+VLOOKUP(O1597,'Fee Data'!$I$6:$J$14,2,TRUE)+'Fee Data'!$J$20+'Fee Data'!$J$21)*'Assumptions'!K37</x:f>
        <x:v>945</x:v>
      </x:c>
      <x:c r="Q1597" s="27" t="n">
        <x:f>(VLOOKUP(O1597,'Fee Data'!$C$6:$G$50,4,TRUE)+O1597*VLOOKUP(O1597,'Fee Data'!$C$6:$G$50,5,TRUE)+VLOOKUP(O1597,'Fee Data'!$I$6:$J$14,2,TRUE)+'Fee Data'!$J$20+'Fee Data'!$J$21)*'Assumptions'!K37</x:f>
        <x:v>820</x:v>
      </x:c>
      <x:c r="R1597" s="27" t="n">
        <x:f>P1597*(1-'Assumptions'!$D$14)+Q1597*'Assumptions'!$D$14</x:f>
        <x:v>882.5</x:v>
      </x:c>
      <x:c r="S1597" s="27" t="n">
        <x:f>O1597*'Carrier Engine'!E98</x:f>
        <x:v>173.57737537930947</x:v>
      </x:c>
      <x:c r="T1597" s="28" t="n">
        <x:f>R1597+S1597</x:f>
        <x:v>1056.0773753793094</x:v>
      </x:c>
      <x:c r="U1597" s="27" t="n">
        <x:f>N1597*'Fleet Engine'!M202</x:f>
        <x:v>925.3630310166961</x:v>
      </x:c>
      <x:c r="V1597" s="28" t="n">
        <x:f>U1597*T1597</x:f>
        <x:v>977254.9610691549</x:v>
      </x:c>
      <x:c r="W1597" s="28" t="n">
        <x:f>U1597*O1597</x:f>
        <x:v>4015552.1549230167</x:v>
      </x:c>
    </x:row>
    <x:row r="1598" ht="19" customHeight="1">
      <x:c r="A1598" s="2"/>
      <x:c r="B1598" s="2"/>
      <x:c r="C1598" s="46" t="n">
        <x:v>7</x:v>
      </x:c>
      <x:c r="D1598" s="46" t="n">
        <x:v>8</x:v>
      </x:c>
      <x:c r="E1598" s="46" t="n">
        <x:v>1</x:v>
      </x:c>
      <x:c r="F1598" s="46" t="n">
        <x:v>2</x:v>
      </x:c>
      <x:c r="G1598" s="12" t="n">
        <x:v>0.8888888888888888</x:v>
      </x:c>
      <x:c r="H1598" s="12" t="n">
        <x:v>1</x:v>
      </x:c>
      <x:c r="I1598" s="29" t="n">
        <x:f>'Assumptions'!$D$11+'Assumptions'!$D$12*(0.5-(G1598+H1598)/2)</x:f>
        <x:v>0.21111111111111108</x:v>
      </x:c>
      <x:c r="J1598" s="27" t="n">
        <x:f>'Assumptions'!$D$8*EXP(-'Assumptions'!$D$9*('Fleet Engine'!E202-10))*'Assumptions'!E56*'Assumptions'!K36</x:f>
        <x:v>18597.575933497446</x:v>
      </x:c>
      <x:c r="K1598" s="27" t="n">
        <x:f>'Source Data'!F219+LN('Assumptions'!D56)+LN('Assumptions'!K35)</x:f>
        <x:v>7.962345702623303</x:v>
      </x:c>
      <x:c r="L1598" s="27" t="n">
        <x:f>J1598*(1-I1598*(1-'Carrier Engine'!E98))</x:f>
        <x:v>14828.467210975297</x:v>
      </x:c>
      <x:c r="M1598" s="29" t="n">
        <x:f>NORM.S.DIST((LN(L1598)-K1598)/'Assumptions'!$D$10,TRUE)</x:f>
        <x:v>0.8521493376815981</x:v>
      </x:c>
      <x:c r="N1598" s="30" t="n">
        <x:f>MAX(0,H1598-MAX(G1598,M1598))</x:f>
        <x:v>0.11111111111111116</x:v>
      </x:c>
      <x:c r="O1598" s="28" t="n">
        <x:f>J1598*I1598</x:f>
        <x:v>3926.1549192939046</x:v>
      </x:c>
      <x:c r="P1598" s="27" t="n">
        <x:f>(VLOOKUP(O1598,'Fee Data'!$C$6:$G$50,2,TRUE)+O1598*VLOOKUP(O1598,'Fee Data'!$C$6:$G$50,3,TRUE)+VLOOKUP(O1598,'Fee Data'!$I$6:$J$14,2,TRUE)+'Fee Data'!$J$20+'Fee Data'!$J$21)*'Assumptions'!K37</x:f>
        <x:v>915</x:v>
      </x:c>
      <x:c r="Q1598" s="27" t="n">
        <x:f>(VLOOKUP(O1598,'Fee Data'!$C$6:$G$50,4,TRUE)+O1598*VLOOKUP(O1598,'Fee Data'!$C$6:$G$50,5,TRUE)+VLOOKUP(O1598,'Fee Data'!$I$6:$J$14,2,TRUE)+'Fee Data'!$J$20+'Fee Data'!$J$21)*'Assumptions'!K37</x:f>
        <x:v>765</x:v>
      </x:c>
      <x:c r="R1598" s="27" t="n">
        <x:f>P1598*(1-'Assumptions'!$D$14)+Q1598*'Assumptions'!$D$14</x:f>
        <x:v>840</x:v>
      </x:c>
      <x:c r="S1598" s="27" t="n">
        <x:f>O1598*'Carrier Engine'!E98</x:f>
        <x:v>157.04619677175617</x:v>
      </x:c>
      <x:c r="T1598" s="28" t="n">
        <x:f>R1598+S1598</x:f>
        <x:v>997.0461967717562</x:v>
      </x:c>
      <x:c r="U1598" s="27" t="n">
        <x:f>N1598*'Fleet Engine'!M202</x:f>
        <x:v>2522.276518107541</x:v>
      </x:c>
      <x:c r="V1598" s="28" t="n">
        <x:f>U1598*T1598</x:f>
        <x:v>2514826.2095858315</x:v>
      </x:c>
      <x:c r="W1598" s="28" t="n">
        <x:f>U1598*O1598</x:f>
        <x:v>9902848.359387424</x:v>
      </x:c>
    </x:row>
    <x:row r="1599" ht="19" customHeight="1">
      <x:c r="A1599" s="2"/>
      <x:c r="B1599" s="2"/>
      <x:c r="C1599" s="46" t="n">
        <x:v>7</x:v>
      </x:c>
      <x:c r="D1599" s="46" t="n">
        <x:v>9</x:v>
      </x:c>
      <x:c r="E1599" s="46" t="n">
        <x:v>1</x:v>
      </x:c>
      <x:c r="F1599" s="46" t="n">
        <x:v>3</x:v>
      </x:c>
      <x:c r="G1599" s="12" t="n">
        <x:v>0</x:v>
      </x:c>
      <x:c r="H1599" s="12" t="n">
        <x:v>0.1111111111111111</x:v>
      </x:c>
      <x:c r="I1599" s="29" t="n">
        <x:f>'Assumptions'!$D$11+'Assumptions'!$D$12*(0.5-(G1599+H1599)/2)</x:f>
        <x:v>0.3888888888888889</x:v>
      </x:c>
      <x:c r="J1599" s="27" t="n">
        <x:f>'Assumptions'!$D$8*EXP(-'Assumptions'!$D$9*('Fleet Engine'!E203-10))*'Assumptions'!E56*'Assumptions'!K36</x:f>
        <x:v>13777.423112046714</x:v>
      </x:c>
      <x:c r="K1599" s="27" t="n">
        <x:f>'Source Data'!F220+LN('Assumptions'!D56)+LN('Assumptions'!K35)</x:f>
        <x:v>8.069478273890956</x:v>
      </x:c>
      <x:c r="L1599" s="27" t="n">
        <x:f>J1599*(1-I1599*(1-'Carrier Engine'!E98))</x:f>
        <x:v>8633.851816882609</x:v>
      </x:c>
      <x:c r="M1599" s="29" t="n">
        <x:f>NORM.S.DIST((LN(L1599)-K1599)/'Assumptions'!$D$10,TRUE)</x:f>
        <x:v>0.7366388707689671</x:v>
      </x:c>
      <x:c r="N1599" s="30" t="n">
        <x:f>MAX(0,H1599-MAX(G1599,M1599))</x:f>
        <x:v>0</x:v>
      </x:c>
      <x:c r="O1599" s="28" t="n">
        <x:f>J1599*I1599</x:f>
        <x:v>5357.8867657959445</x:v>
      </x:c>
      <x:c r="P1599" s="27" t="n">
        <x:f>(VLOOKUP(O1599,'Fee Data'!$C$6:$G$50,2,TRUE)+O1599*VLOOKUP(O1599,'Fee Data'!$C$6:$G$50,3,TRUE)+VLOOKUP(O1599,'Fee Data'!$I$6:$J$14,2,TRUE)+'Fee Data'!$J$20+'Fee Data'!$J$21)*'Assumptions'!K37</x:f>
        <x:v>995</x:v>
      </x:c>
      <x:c r="Q1599" s="27" t="n">
        <x:f>(VLOOKUP(O1599,'Fee Data'!$C$6:$G$50,4,TRUE)+O1599*VLOOKUP(O1599,'Fee Data'!$C$6:$G$50,5,TRUE)+VLOOKUP(O1599,'Fee Data'!$I$6:$J$14,2,TRUE)+'Fee Data'!$J$20+'Fee Data'!$J$21)*'Assumptions'!K37</x:f>
        <x:v>870</x:v>
      </x:c>
      <x:c r="R1599" s="27" t="n">
        <x:f>P1599*(1-'Assumptions'!$D$14)+Q1599*'Assumptions'!$D$14</x:f>
        <x:v>932.5</x:v>
      </x:c>
      <x:c r="S1599" s="27" t="n">
        <x:f>O1599*'Carrier Engine'!E98</x:f>
        <x:v>214.31547063183774</x:v>
      </x:c>
      <x:c r="T1599" s="28" t="n">
        <x:f>R1599+S1599</x:f>
        <x:v>1146.8154706318378</x:v>
      </x:c>
      <x:c r="U1599" s="27" t="n">
        <x:f>N1599*'Fleet Engine'!M203</x:f>
        <x:v>0</x:v>
      </x:c>
      <x:c r="V1599" s="28" t="n">
        <x:f>U1599*T1599</x:f>
        <x:v>0</x:v>
      </x:c>
      <x:c r="W1599" s="28" t="n">
        <x:f>U1599*O1599</x:f>
        <x:v>0</x:v>
      </x:c>
    </x:row>
    <x:row r="1600" ht="19" customHeight="1">
      <x:c r="A1600" s="2"/>
      <x:c r="B1600" s="2"/>
      <x:c r="C1600" s="46" t="n">
        <x:v>7</x:v>
      </x:c>
      <x:c r="D1600" s="46" t="n">
        <x:v>9</x:v>
      </x:c>
      <x:c r="E1600" s="46" t="n">
        <x:v>1</x:v>
      </x:c>
      <x:c r="F1600" s="46" t="n">
        <x:v>3</x:v>
      </x:c>
      <x:c r="G1600" s="12" t="n">
        <x:v>0.1111111111111111</x:v>
      </x:c>
      <x:c r="H1600" s="12" t="n">
        <x:v>0.2222222222222222</x:v>
      </x:c>
      <x:c r="I1600" s="29" t="n">
        <x:f>'Assumptions'!$D$11+'Assumptions'!$D$12*(0.5-(G1600+H1600)/2)</x:f>
        <x:v>0.3666666666666667</x:v>
      </x:c>
      <x:c r="J1600" s="27" t="n">
        <x:f>'Assumptions'!$D$8*EXP(-'Assumptions'!$D$9*('Fleet Engine'!E203-10))*'Assumptions'!E56*'Assumptions'!K36</x:f>
        <x:v>13777.423112046714</x:v>
      </x:c>
      <x:c r="K1600" s="27" t="n">
        <x:f>'Source Data'!F220+LN('Assumptions'!D56)+LN('Assumptions'!K35)</x:f>
        <x:v>8.069478273890956</x:v>
      </x:c>
      <x:c r="L1600" s="27" t="n">
        <x:f>J1600*(1-I1600*(1-'Carrier Engine'!E98))</x:f>
        <x:v>8927.77017660627</x:v>
      </x:c>
      <x:c r="M1600" s="29" t="n">
        <x:f>NORM.S.DIST((LN(L1600)-K1600)/'Assumptions'!$D$10,TRUE)</x:f>
        <x:v>0.7435526063287266</x:v>
      </x:c>
      <x:c r="N1600" s="30" t="n">
        <x:f>MAX(0,H1600-MAX(G1600,M1600))</x:f>
        <x:v>0</x:v>
      </x:c>
      <x:c r="O1600" s="28" t="n">
        <x:f>J1600*I1600</x:f>
        <x:v>5051.721807750462</x:v>
      </x:c>
      <x:c r="P1600" s="27" t="n">
        <x:f>(VLOOKUP(O1600,'Fee Data'!$C$6:$G$50,2,TRUE)+O1600*VLOOKUP(O1600,'Fee Data'!$C$6:$G$50,3,TRUE)+VLOOKUP(O1600,'Fee Data'!$I$6:$J$14,2,TRUE)+'Fee Data'!$J$20+'Fee Data'!$J$21)*'Assumptions'!K37</x:f>
        <x:v>995</x:v>
      </x:c>
      <x:c r="Q1600" s="27" t="n">
        <x:f>(VLOOKUP(O1600,'Fee Data'!$C$6:$G$50,4,TRUE)+O1600*VLOOKUP(O1600,'Fee Data'!$C$6:$G$50,5,TRUE)+VLOOKUP(O1600,'Fee Data'!$I$6:$J$14,2,TRUE)+'Fee Data'!$J$20+'Fee Data'!$J$21)*'Assumptions'!K37</x:f>
        <x:v>870</x:v>
      </x:c>
      <x:c r="R1600" s="27" t="n">
        <x:f>P1600*(1-'Assumptions'!$D$14)+Q1600*'Assumptions'!$D$14</x:f>
        <x:v>932.5</x:v>
      </x:c>
      <x:c r="S1600" s="27" t="n">
        <x:f>O1600*'Carrier Engine'!E98</x:f>
        <x:v>202.06887231001846</x:v>
      </x:c>
      <x:c r="T1600" s="28" t="n">
        <x:f>R1600+S1600</x:f>
        <x:v>1134.5688723100184</x:v>
      </x:c>
      <x:c r="U1600" s="27" t="n">
        <x:f>N1600*'Fleet Engine'!M203</x:f>
        <x:v>0</x:v>
      </x:c>
      <x:c r="V1600" s="28" t="n">
        <x:f>U1600*T1600</x:f>
        <x:v>0</x:v>
      </x:c>
      <x:c r="W1600" s="28" t="n">
        <x:f>U1600*O1600</x:f>
        <x:v>0</x:v>
      </x:c>
    </x:row>
    <x:row r="1601" ht="19" customHeight="1">
      <x:c r="A1601" s="2"/>
      <x:c r="B1601" s="2"/>
      <x:c r="C1601" s="46" t="n">
        <x:v>7</x:v>
      </x:c>
      <x:c r="D1601" s="46" t="n">
        <x:v>9</x:v>
      </x:c>
      <x:c r="E1601" s="46" t="n">
        <x:v>1</x:v>
      </x:c>
      <x:c r="F1601" s="46" t="n">
        <x:v>3</x:v>
      </x:c>
      <x:c r="G1601" s="12" t="n">
        <x:v>0.2222222222222222</x:v>
      </x:c>
      <x:c r="H1601" s="12" t="n">
        <x:v>0.3333333333333333</x:v>
      </x:c>
      <x:c r="I1601" s="29" t="n">
        <x:f>'Assumptions'!$D$11+'Assumptions'!$D$12*(0.5-(G1601+H1601)/2)</x:f>
        <x:v>0.34444444444444444</x:v>
      </x:c>
      <x:c r="J1601" s="27" t="n">
        <x:f>'Assumptions'!$D$8*EXP(-'Assumptions'!$D$9*('Fleet Engine'!E203-10))*'Assumptions'!E56*'Assumptions'!K36</x:f>
        <x:v>13777.423112046714</x:v>
      </x:c>
      <x:c r="K1601" s="27" t="n">
        <x:f>'Source Data'!F220+LN('Assumptions'!D56)+LN('Assumptions'!K35)</x:f>
        <x:v>8.069478273890956</x:v>
      </x:c>
      <x:c r="L1601" s="27" t="n">
        <x:f>J1601*(1-I1601*(1-'Carrier Engine'!E98))</x:f>
        <x:v>9221.688536329933</x:v>
      </x:c>
      <x:c r="M1601" s="29" t="n">
        <x:f>NORM.S.DIST((LN(L1601)-K1601)/'Assumptions'!$D$10,TRUE)</x:f>
        <x:v>0.7501512229331906</x:v>
      </x:c>
      <x:c r="N1601" s="30" t="n">
        <x:f>MAX(0,H1601-MAX(G1601,M1601))</x:f>
        <x:v>0</x:v>
      </x:c>
      <x:c r="O1601" s="28" t="n">
        <x:f>J1601*I1601</x:f>
        <x:v>4745.556849704979</x:v>
      </x:c>
      <x:c r="P1601" s="27" t="n">
        <x:f>(VLOOKUP(O1601,'Fee Data'!$C$6:$G$50,2,TRUE)+O1601*VLOOKUP(O1601,'Fee Data'!$C$6:$G$50,3,TRUE)+VLOOKUP(O1601,'Fee Data'!$I$6:$J$14,2,TRUE)+'Fee Data'!$J$20+'Fee Data'!$J$21)*'Assumptions'!K37</x:f>
        <x:v>970</x:v>
      </x:c>
      <x:c r="Q1601" s="27" t="n">
        <x:f>(VLOOKUP(O1601,'Fee Data'!$C$6:$G$50,4,TRUE)+O1601*VLOOKUP(O1601,'Fee Data'!$C$6:$G$50,5,TRUE)+VLOOKUP(O1601,'Fee Data'!$I$6:$J$14,2,TRUE)+'Fee Data'!$J$20+'Fee Data'!$J$21)*'Assumptions'!K37</x:f>
        <x:v>845</x:v>
      </x:c>
      <x:c r="R1601" s="27" t="n">
        <x:f>P1601*(1-'Assumptions'!$D$14)+Q1601*'Assumptions'!$D$14</x:f>
        <x:v>907.5</x:v>
      </x:c>
      <x:c r="S1601" s="27" t="n">
        <x:f>O1601*'Carrier Engine'!E98</x:f>
        <x:v>189.82227398819913</x:v>
      </x:c>
      <x:c r="T1601" s="28" t="n">
        <x:f>R1601+S1601</x:f>
        <x:v>1097.3222739881992</x:v>
      </x:c>
      <x:c r="U1601" s="27" t="n">
        <x:f>N1601*'Fleet Engine'!M203</x:f>
        <x:v>0</x:v>
      </x:c>
      <x:c r="V1601" s="28" t="n">
        <x:f>U1601*T1601</x:f>
        <x:v>0</x:v>
      </x:c>
      <x:c r="W1601" s="28" t="n">
        <x:f>U1601*O1601</x:f>
        <x:v>0</x:v>
      </x:c>
    </x:row>
    <x:row r="1602" ht="19" customHeight="1">
      <x:c r="A1602" s="2"/>
      <x:c r="B1602" s="2"/>
      <x:c r="C1602" s="46" t="n">
        <x:v>7</x:v>
      </x:c>
      <x:c r="D1602" s="46" t="n">
        <x:v>9</x:v>
      </x:c>
      <x:c r="E1602" s="46" t="n">
        <x:v>1</x:v>
      </x:c>
      <x:c r="F1602" s="46" t="n">
        <x:v>3</x:v>
      </x:c>
      <x:c r="G1602" s="12" t="n">
        <x:v>0.3333333333333333</x:v>
      </x:c>
      <x:c r="H1602" s="12" t="n">
        <x:v>0.4444444444444444</x:v>
      </x:c>
      <x:c r="I1602" s="29" t="n">
        <x:f>'Assumptions'!$D$11+'Assumptions'!$D$12*(0.5-(G1602+H1602)/2)</x:f>
        <x:v>0.32222222222222224</x:v>
      </x:c>
      <x:c r="J1602" s="27" t="n">
        <x:f>'Assumptions'!$D$8*EXP(-'Assumptions'!$D$9*('Fleet Engine'!E203-10))*'Assumptions'!E56*'Assumptions'!K36</x:f>
        <x:v>13777.423112046714</x:v>
      </x:c>
      <x:c r="K1602" s="27" t="n">
        <x:f>'Source Data'!F220+LN('Assumptions'!D56)+LN('Assumptions'!K35)</x:f>
        <x:v>8.069478273890956</x:v>
      </x:c>
      <x:c r="L1602" s="27" t="n">
        <x:f>J1602*(1-I1602*(1-'Carrier Engine'!E98))</x:f>
        <x:v>9515.606896053598</x:v>
      </x:c>
      <x:c r="M1602" s="29" t="n">
        <x:f>NORM.S.DIST((LN(L1602)-K1602)/'Assumptions'!$D$10,TRUE)</x:f>
        <x:v>0.7564558162657599</x:v>
      </x:c>
      <x:c r="N1602" s="30" t="n">
        <x:f>MAX(0,H1602-MAX(G1602,M1602))</x:f>
        <x:v>0</x:v>
      </x:c>
      <x:c r="O1602" s="28" t="n">
        <x:f>J1602*I1602</x:f>
        <x:v>4439.391891659497</x:v>
      </x:c>
      <x:c r="P1602" s="27" t="n">
        <x:f>(VLOOKUP(O1602,'Fee Data'!$C$6:$G$50,2,TRUE)+O1602*VLOOKUP(O1602,'Fee Data'!$C$6:$G$50,3,TRUE)+VLOOKUP(O1602,'Fee Data'!$I$6:$J$14,2,TRUE)+'Fee Data'!$J$20+'Fee Data'!$J$21)*'Assumptions'!K37</x:f>
        <x:v>945</x:v>
      </x:c>
      <x:c r="Q1602" s="27" t="n">
        <x:f>(VLOOKUP(O1602,'Fee Data'!$C$6:$G$50,4,TRUE)+O1602*VLOOKUP(O1602,'Fee Data'!$C$6:$G$50,5,TRUE)+VLOOKUP(O1602,'Fee Data'!$I$6:$J$14,2,TRUE)+'Fee Data'!$J$20+'Fee Data'!$J$21)*'Assumptions'!K37</x:f>
        <x:v>820</x:v>
      </x:c>
      <x:c r="R1602" s="27" t="n">
        <x:f>P1602*(1-'Assumptions'!$D$14)+Q1602*'Assumptions'!$D$14</x:f>
        <x:v>882.5</x:v>
      </x:c>
      <x:c r="S1602" s="27" t="n">
        <x:f>O1602*'Carrier Engine'!E98</x:f>
        <x:v>177.57567566637985</x:v>
      </x:c>
      <x:c r="T1602" s="28" t="n">
        <x:f>R1602+S1602</x:f>
        <x:v>1060.0756756663798</x:v>
      </x:c>
      <x:c r="U1602" s="27" t="n">
        <x:f>N1602*'Fleet Engine'!M203</x:f>
        <x:v>0</x:v>
      </x:c>
      <x:c r="V1602" s="28" t="n">
        <x:f>U1602*T1602</x:f>
        <x:v>0</x:v>
      </x:c>
      <x:c r="W1602" s="28" t="n">
        <x:f>U1602*O1602</x:f>
        <x:v>0</x:v>
      </x:c>
    </x:row>
    <x:row r="1603" ht="19" customHeight="1">
      <x:c r="A1603" s="2"/>
      <x:c r="B1603" s="2"/>
      <x:c r="C1603" s="46" t="n">
        <x:v>7</x:v>
      </x:c>
      <x:c r="D1603" s="46" t="n">
        <x:v>9</x:v>
      </x:c>
      <x:c r="E1603" s="46" t="n">
        <x:v>1</x:v>
      </x:c>
      <x:c r="F1603" s="46" t="n">
        <x:v>3</x:v>
      </x:c>
      <x:c r="G1603" s="12" t="n">
        <x:v>0.4444444444444444</x:v>
      </x:c>
      <x:c r="H1603" s="12" t="n">
        <x:v>0.5555555555555556</x:v>
      </x:c>
      <x:c r="I1603" s="29" t="n">
        <x:f>'Assumptions'!$D$11+'Assumptions'!$D$12*(0.5-(G1603+H1603)/2)</x:f>
        <x:v>0.3</x:v>
      </x:c>
      <x:c r="J1603" s="27" t="n">
        <x:f>'Assumptions'!$D$8*EXP(-'Assumptions'!$D$9*('Fleet Engine'!E203-10))*'Assumptions'!E56*'Assumptions'!K36</x:f>
        <x:v>13777.423112046714</x:v>
      </x:c>
      <x:c r="K1603" s="27" t="n">
        <x:f>'Source Data'!F220+LN('Assumptions'!D56)+LN('Assumptions'!K35)</x:f>
        <x:v>8.069478273890956</x:v>
      </x:c>
      <x:c r="L1603" s="27" t="n">
        <x:f>J1603*(1-I1603*(1-'Carrier Engine'!E98))</x:f>
        <x:v>9809.52525577726</x:v>
      </x:c>
      <x:c r="M1603" s="29" t="n">
        <x:f>NORM.S.DIST((LN(L1603)-K1603)/'Assumptions'!$D$10,TRUE)</x:f>
        <x:v>0.7624856059429846</x:v>
      </x:c>
      <x:c r="N1603" s="30" t="n">
        <x:f>MAX(0,H1603-MAX(G1603,M1603))</x:f>
        <x:v>0</x:v>
      </x:c>
      <x:c r="O1603" s="28" t="n">
        <x:f>J1603*I1603</x:f>
        <x:v>4133.226933614014</x:v>
      </x:c>
      <x:c r="P1603" s="27" t="n">
        <x:f>(VLOOKUP(O1603,'Fee Data'!$C$6:$G$50,2,TRUE)+O1603*VLOOKUP(O1603,'Fee Data'!$C$6:$G$50,3,TRUE)+VLOOKUP(O1603,'Fee Data'!$I$6:$J$14,2,TRUE)+'Fee Data'!$J$20+'Fee Data'!$J$21)*'Assumptions'!K37</x:f>
        <x:v>945</x:v>
      </x:c>
      <x:c r="Q1603" s="27" t="n">
        <x:f>(VLOOKUP(O1603,'Fee Data'!$C$6:$G$50,4,TRUE)+O1603*VLOOKUP(O1603,'Fee Data'!$C$6:$G$50,5,TRUE)+VLOOKUP(O1603,'Fee Data'!$I$6:$J$14,2,TRUE)+'Fee Data'!$J$20+'Fee Data'!$J$21)*'Assumptions'!K37</x:f>
        <x:v>820</x:v>
      </x:c>
      <x:c r="R1603" s="27" t="n">
        <x:f>P1603*(1-'Assumptions'!$D$14)+Q1603*'Assumptions'!$D$14</x:f>
        <x:v>882.5</x:v>
      </x:c>
      <x:c r="S1603" s="27" t="n">
        <x:f>O1603*'Carrier Engine'!E98</x:f>
        <x:v>165.32907734456055</x:v>
      </x:c>
      <x:c r="T1603" s="28" t="n">
        <x:f>R1603+S1603</x:f>
        <x:v>1047.8290773445606</x:v>
      </x:c>
      <x:c r="U1603" s="27" t="n">
        <x:f>N1603*'Fleet Engine'!M203</x:f>
        <x:v>0</x:v>
      </x:c>
      <x:c r="V1603" s="28" t="n">
        <x:f>U1603*T1603</x:f>
        <x:v>0</x:v>
      </x:c>
      <x:c r="W1603" s="28" t="n">
        <x:f>U1603*O1603</x:f>
        <x:v>0</x:v>
      </x:c>
    </x:row>
    <x:row r="1604" ht="19" customHeight="1">
      <x:c r="A1604" s="2"/>
      <x:c r="B1604" s="2"/>
      <x:c r="C1604" s="46" t="n">
        <x:v>7</x:v>
      </x:c>
      <x:c r="D1604" s="46" t="n">
        <x:v>9</x:v>
      </x:c>
      <x:c r="E1604" s="46" t="n">
        <x:v>1</x:v>
      </x:c>
      <x:c r="F1604" s="46" t="n">
        <x:v>3</x:v>
      </x:c>
      <x:c r="G1604" s="12" t="n">
        <x:v>0.5555555555555556</x:v>
      </x:c>
      <x:c r="H1604" s="12" t="n">
        <x:v>0.6666666666666666</x:v>
      </x:c>
      <x:c r="I1604" s="29" t="n">
        <x:f>'Assumptions'!$D$11+'Assumptions'!$D$12*(0.5-(G1604+H1604)/2)</x:f>
        <x:v>0.27777777777777773</x:v>
      </x:c>
      <x:c r="J1604" s="27" t="n">
        <x:f>'Assumptions'!$D$8*EXP(-'Assumptions'!$D$9*('Fleet Engine'!E203-10))*'Assumptions'!E56*'Assumptions'!K36</x:f>
        <x:v>13777.423112046714</x:v>
      </x:c>
      <x:c r="K1604" s="27" t="n">
        <x:f>'Source Data'!F220+LN('Assumptions'!D56)+LN('Assumptions'!K35)</x:f>
        <x:v>8.069478273890956</x:v>
      </x:c>
      <x:c r="L1604" s="27" t="n">
        <x:f>J1604*(1-I1604*(1-'Carrier Engine'!E98))</x:f>
        <x:v>10103.443615500924</x:v>
      </x:c>
      <x:c r="M1604" s="29" t="n">
        <x:f>NORM.S.DIST((LN(L1604)-K1604)/'Assumptions'!$D$10,TRUE)</x:f>
        <x:v>0.7682581433884235</x:v>
      </x:c>
      <x:c r="N1604" s="30" t="n">
        <x:f>MAX(0,H1604-MAX(G1604,M1604))</x:f>
        <x:v>0</x:v>
      </x:c>
      <x:c r="O1604" s="28" t="n">
        <x:f>J1604*I1604</x:f>
        <x:v>3827.061975568531</x:v>
      </x:c>
      <x:c r="P1604" s="27" t="n">
        <x:f>(VLOOKUP(O1604,'Fee Data'!$C$6:$G$50,2,TRUE)+O1604*VLOOKUP(O1604,'Fee Data'!$C$6:$G$50,3,TRUE)+VLOOKUP(O1604,'Fee Data'!$I$6:$J$14,2,TRUE)+'Fee Data'!$J$20+'Fee Data'!$J$21)*'Assumptions'!K37</x:f>
        <x:v>915</x:v>
      </x:c>
      <x:c r="Q1604" s="27" t="n">
        <x:f>(VLOOKUP(O1604,'Fee Data'!$C$6:$G$50,4,TRUE)+O1604*VLOOKUP(O1604,'Fee Data'!$C$6:$G$50,5,TRUE)+VLOOKUP(O1604,'Fee Data'!$I$6:$J$14,2,TRUE)+'Fee Data'!$J$20+'Fee Data'!$J$21)*'Assumptions'!K37</x:f>
        <x:v>765</x:v>
      </x:c>
      <x:c r="R1604" s="27" t="n">
        <x:f>P1604*(1-'Assumptions'!$D$14)+Q1604*'Assumptions'!$D$14</x:f>
        <x:v>840</x:v>
      </x:c>
      <x:c r="S1604" s="27" t="n">
        <x:f>O1604*'Carrier Engine'!E98</x:f>
        <x:v>153.0824790227412</x:v>
      </x:c>
      <x:c r="T1604" s="28" t="n">
        <x:f>R1604+S1604</x:f>
        <x:v>993.0824790227412</x:v>
      </x:c>
      <x:c r="U1604" s="27" t="n">
        <x:f>N1604*'Fleet Engine'!M203</x:f>
        <x:v>0</x:v>
      </x:c>
      <x:c r="V1604" s="28" t="n">
        <x:f>U1604*T1604</x:f>
        <x:v>0</x:v>
      </x:c>
      <x:c r="W1604" s="28" t="n">
        <x:f>U1604*O1604</x:f>
        <x:v>0</x:v>
      </x:c>
    </x:row>
    <x:row r="1605" ht="19" customHeight="1">
      <x:c r="A1605" s="2"/>
      <x:c r="B1605" s="2"/>
      <x:c r="C1605" s="46" t="n">
        <x:v>7</x:v>
      </x:c>
      <x:c r="D1605" s="46" t="n">
        <x:v>9</x:v>
      </x:c>
      <x:c r="E1605" s="46" t="n">
        <x:v>1</x:v>
      </x:c>
      <x:c r="F1605" s="46" t="n">
        <x:v>3</x:v>
      </x:c>
      <x:c r="G1605" s="12" t="n">
        <x:v>0.6666666666666666</x:v>
      </x:c>
      <x:c r="H1605" s="12" t="n">
        <x:v>0.7777777777777778</x:v>
      </x:c>
      <x:c r="I1605" s="29" t="n">
        <x:f>'Assumptions'!$D$11+'Assumptions'!$D$12*(0.5-(G1605+H1605)/2)</x:f>
        <x:v>0.25555555555555554</x:v>
      </x:c>
      <x:c r="J1605" s="27" t="n">
        <x:f>'Assumptions'!$D$8*EXP(-'Assumptions'!$D$9*('Fleet Engine'!E203-10))*'Assumptions'!E56*'Assumptions'!K36</x:f>
        <x:v>13777.423112046714</x:v>
      </x:c>
      <x:c r="K1605" s="27" t="n">
        <x:f>'Source Data'!F220+LN('Assumptions'!D56)+LN('Assumptions'!K35)</x:f>
        <x:v>8.069478273890956</x:v>
      </x:c>
      <x:c r="L1605" s="27" t="n">
        <x:f>J1605*(1-I1605*(1-'Carrier Engine'!E98))</x:f>
        <x:v>10397.361975224587</x:v>
      </x:c>
      <x:c r="M1605" s="29" t="n">
        <x:f>NORM.S.DIST((LN(L1605)-K1605)/'Assumptions'!$D$10,TRUE)</x:f>
        <x:v>0.7737894922279166</x:v>
      </x:c>
      <x:c r="N1605" s="30" t="n">
        <x:f>MAX(0,H1605-MAX(G1605,M1605))</x:f>
        <x:v>0.0039882855498611924</x:v>
      </x:c>
      <x:c r="O1605" s="28" t="n">
        <x:f>J1605*I1605</x:f>
        <x:v>3520.897017523049</x:v>
      </x:c>
      <x:c r="P1605" s="27" t="n">
        <x:f>(VLOOKUP(O1605,'Fee Data'!$C$6:$G$50,2,TRUE)+O1605*VLOOKUP(O1605,'Fee Data'!$C$6:$G$50,3,TRUE)+VLOOKUP(O1605,'Fee Data'!$I$6:$J$14,2,TRUE)+'Fee Data'!$J$20+'Fee Data'!$J$21)*'Assumptions'!K37</x:f>
        <x:v>915</x:v>
      </x:c>
      <x:c r="Q1605" s="27" t="n">
        <x:f>(VLOOKUP(O1605,'Fee Data'!$C$6:$G$50,4,TRUE)+O1605*VLOOKUP(O1605,'Fee Data'!$C$6:$G$50,5,TRUE)+VLOOKUP(O1605,'Fee Data'!$I$6:$J$14,2,TRUE)+'Fee Data'!$J$20+'Fee Data'!$J$21)*'Assumptions'!K37</x:f>
        <x:v>765</x:v>
      </x:c>
      <x:c r="R1605" s="27" t="n">
        <x:f>P1605*(1-'Assumptions'!$D$14)+Q1605*'Assumptions'!$D$14</x:f>
        <x:v>840</x:v>
      </x:c>
      <x:c r="S1605" s="27" t="n">
        <x:f>O1605*'Carrier Engine'!E98</x:f>
        <x:v>140.83588070092193</x:v>
      </x:c>
      <x:c r="T1605" s="28" t="n">
        <x:f>R1605+S1605</x:f>
        <x:v>980.835880700922</x:v>
      </x:c>
      <x:c r="U1605" s="27" t="n">
        <x:f>N1605*'Fleet Engine'!M203</x:f>
        <x:v>73.11715890296787</x:v>
      </x:c>
      <x:c r="V1605" s="28" t="n">
        <x:f>U1605*T1605</x:f>
        <x:v>71715.93294694176</x:v>
      </x:c>
      <x:c r="W1605" s="28" t="n">
        <x:f>U1605*O1605</x:f>
        <x:v>257437.98671121843</x:v>
      </x:c>
    </x:row>
    <x:row r="1606" ht="19" customHeight="1">
      <x:c r="A1606" s="2"/>
      <x:c r="B1606" s="2"/>
      <x:c r="C1606" s="46" t="n">
        <x:v>7</x:v>
      </x:c>
      <x:c r="D1606" s="46" t="n">
        <x:v>9</x:v>
      </x:c>
      <x:c r="E1606" s="46" t="n">
        <x:v>1</x:v>
      </x:c>
      <x:c r="F1606" s="46" t="n">
        <x:v>3</x:v>
      </x:c>
      <x:c r="G1606" s="12" t="n">
        <x:v>0.7777777777777778</x:v>
      </x:c>
      <x:c r="H1606" s="12" t="n">
        <x:v>0.8888888888888888</x:v>
      </x:c>
      <x:c r="I1606" s="29" t="n">
        <x:f>'Assumptions'!$D$11+'Assumptions'!$D$12*(0.5-(G1606+H1606)/2)</x:f>
        <x:v>0.23333333333333334</x:v>
      </x:c>
      <x:c r="J1606" s="27" t="n">
        <x:f>'Assumptions'!$D$8*EXP(-'Assumptions'!$D$9*('Fleet Engine'!E203-10))*'Assumptions'!E56*'Assumptions'!K36</x:f>
        <x:v>13777.423112046714</x:v>
      </x:c>
      <x:c r="K1606" s="27" t="n">
        <x:f>'Source Data'!F220+LN('Assumptions'!D56)+LN('Assumptions'!K35)</x:f>
        <x:v>8.069478273890956</x:v>
      </x:c>
      <x:c r="L1606" s="27" t="n">
        <x:f>J1606*(1-I1606*(1-'Carrier Engine'!E98))</x:f>
        <x:v>10691.280334948251</x:v>
      </x:c>
      <x:c r="M1606" s="29" t="n">
        <x:f>NORM.S.DIST((LN(L1606)-K1606)/'Assumptions'!$D$10,TRUE)</x:f>
        <x:v>0.7790943854078269</x:v>
      </x:c>
      <x:c r="N1606" s="30" t="n">
        <x:f>MAX(0,H1606-MAX(G1606,M1606))</x:f>
        <x:v>0.1097945034810619</x:v>
      </x:c>
      <x:c r="O1606" s="28" t="n">
        <x:f>J1606*I1606</x:f>
        <x:v>3214.7320594775665</x:v>
      </x:c>
      <x:c r="P1606" s="27" t="n">
        <x:f>(VLOOKUP(O1606,'Fee Data'!$C$6:$G$50,2,TRUE)+O1606*VLOOKUP(O1606,'Fee Data'!$C$6:$G$50,3,TRUE)+VLOOKUP(O1606,'Fee Data'!$I$6:$J$14,2,TRUE)+'Fee Data'!$J$20+'Fee Data'!$J$21)*'Assumptions'!K37</x:f>
        <x:v>865</x:v>
      </x:c>
      <x:c r="Q1606" s="27" t="n">
        <x:f>(VLOOKUP(O1606,'Fee Data'!$C$6:$G$50,4,TRUE)+O1606*VLOOKUP(O1606,'Fee Data'!$C$6:$G$50,5,TRUE)+VLOOKUP(O1606,'Fee Data'!$I$6:$J$14,2,TRUE)+'Fee Data'!$J$20+'Fee Data'!$J$21)*'Assumptions'!K37</x:f>
        <x:v>715</x:v>
      </x:c>
      <x:c r="R1606" s="27" t="n">
        <x:f>P1606*(1-'Assumptions'!$D$14)+Q1606*'Assumptions'!$D$14</x:f>
        <x:v>790</x:v>
      </x:c>
      <x:c r="S1606" s="27" t="n">
        <x:f>O1606*'Carrier Engine'!E98</x:f>
        <x:v>128.58928237910263</x:v>
      </x:c>
      <x:c r="T1606" s="28" t="n">
        <x:f>R1606+S1606</x:f>
        <x:v>918.5892823791027</x:v>
      </x:c>
      <x:c r="U1606" s="27" t="n">
        <x:f>N1606*'Fleet Engine'!M203</x:f>
        <x:v>2012.8604277034933</x:v>
      </x:c>
      <x:c r="V1606" s="28" t="n">
        <x:f>U1606*T1606</x:f>
        <x:v>1848992.0158134457</x:v>
      </x:c>
      <x:c r="W1606" s="28" t="n">
        <x:f>U1606*O1606</x:f>
        <x:v>6470806.948192147</x:v>
      </x:c>
    </x:row>
    <x:row r="1607" ht="19" customHeight="1">
      <x:c r="A1607" s="2"/>
      <x:c r="B1607" s="2"/>
      <x:c r="C1607" s="46" t="n">
        <x:v>7</x:v>
      </x:c>
      <x:c r="D1607" s="46" t="n">
        <x:v>9</x:v>
      </x:c>
      <x:c r="E1607" s="46" t="n">
        <x:v>1</x:v>
      </x:c>
      <x:c r="F1607" s="46" t="n">
        <x:v>3</x:v>
      </x:c>
      <x:c r="G1607" s="12" t="n">
        <x:v>0.8888888888888888</x:v>
      </x:c>
      <x:c r="H1607" s="12" t="n">
        <x:v>1</x:v>
      </x:c>
      <x:c r="I1607" s="29" t="n">
        <x:f>'Assumptions'!$D$11+'Assumptions'!$D$12*(0.5-(G1607+H1607)/2)</x:f>
        <x:v>0.21111111111111108</x:v>
      </x:c>
      <x:c r="J1607" s="27" t="n">
        <x:f>'Assumptions'!$D$8*EXP(-'Assumptions'!$D$9*('Fleet Engine'!E203-10))*'Assumptions'!E56*'Assumptions'!K36</x:f>
        <x:v>13777.423112046714</x:v>
      </x:c>
      <x:c r="K1607" s="27" t="n">
        <x:f>'Source Data'!F220+LN('Assumptions'!D56)+LN('Assumptions'!K35)</x:f>
        <x:v>8.069478273890956</x:v>
      </x:c>
      <x:c r="L1607" s="27" t="n">
        <x:f>J1607*(1-I1607*(1-'Carrier Engine'!E98))</x:f>
        <x:v>10985.198694671913</x:v>
      </x:c>
      <x:c r="M1607" s="29" t="n">
        <x:f>NORM.S.DIST((LN(L1607)-K1607)/'Assumptions'!$D$10,TRUE)</x:f>
        <x:v>0.7841863625115301</x:v>
      </x:c>
      <x:c r="N1607" s="30" t="n">
        <x:f>MAX(0,H1607-MAX(G1607,M1607))</x:f>
        <x:v>0.11111111111111116</x:v>
      </x:c>
      <x:c r="O1607" s="28" t="n">
        <x:f>J1607*I1607</x:f>
        <x:v>2908.5671014320837</x:v>
      </x:c>
      <x:c r="P1607" s="27" t="n">
        <x:f>(VLOOKUP(O1607,'Fee Data'!$C$6:$G$50,2,TRUE)+O1607*VLOOKUP(O1607,'Fee Data'!$C$6:$G$50,3,TRUE)+VLOOKUP(O1607,'Fee Data'!$I$6:$J$14,2,TRUE)+'Fee Data'!$J$20+'Fee Data'!$J$21)*'Assumptions'!K37</x:f>
        <x:v>820</x:v>
      </x:c>
      <x:c r="Q1607" s="27" t="n">
        <x:f>(VLOOKUP(O1607,'Fee Data'!$C$6:$G$50,4,TRUE)+O1607*VLOOKUP(O1607,'Fee Data'!$C$6:$G$50,5,TRUE)+VLOOKUP(O1607,'Fee Data'!$I$6:$J$14,2,TRUE)+'Fee Data'!$J$20+'Fee Data'!$J$21)*'Assumptions'!K37</x:f>
        <x:v>670</x:v>
      </x:c>
      <x:c r="R1607" s="27" t="n">
        <x:f>P1607*(1-'Assumptions'!$D$14)+Q1607*'Assumptions'!$D$14</x:f>
        <x:v>745</x:v>
      </x:c>
      <x:c r="S1607" s="27" t="n">
        <x:f>O1607*'Carrier Engine'!E98</x:f>
        <x:v>116.34268405728334</x:v>
      </x:c>
      <x:c r="T1607" s="28" t="n">
        <x:f>R1607+S1607</x:f>
        <x:v>861.3426840572833</x:v>
      </x:c>
      <x:c r="U1607" s="27" t="n">
        <x:f>N1607*'Fleet Engine'!M203</x:f>
        <x:v>2036.9977689484106</x:v>
      </x:c>
      <x:c r="V1607" s="28" t="n">
        <x:f>U1607*T1607</x:f>
        <x:v>1754553.125724722</x:v>
      </x:c>
      <x:c r="W1607" s="28" t="n">
        <x:f>U1607*O1607</x:f>
        <x:v>5924744.6964539</x:v>
      </x:c>
    </x:row>
    <x:row r="1608" ht="19" customHeight="1">
      <x:c r="A1608" s="2"/>
      <x:c r="B1608" s="2"/>
      <x:c r="C1608" s="46" t="n">
        <x:v>7</x:v>
      </x:c>
      <x:c r="D1608" s="46" t="n">
        <x:v>10</x:v>
      </x:c>
      <x:c r="E1608" s="46" t="n">
        <x:v>1</x:v>
      </x:c>
      <x:c r="F1608" s="46" t="n">
        <x:v>4</x:v>
      </x:c>
      <x:c r="G1608" s="12" t="n">
        <x:v>0</x:v>
      </x:c>
      <x:c r="H1608" s="12" t="n">
        <x:v>0.1111111111111111</x:v>
      </x:c>
      <x:c r="I1608" s="29" t="n">
        <x:f>'Assumptions'!$D$11+'Assumptions'!$D$12*(0.5-(G1608+H1608)/2)</x:f>
        <x:v>0.3888888888888889</x:v>
      </x:c>
      <x:c r="J1608" s="27" t="n">
        <x:f>'Assumptions'!$D$8*EXP(-'Assumptions'!$D$9*('Fleet Engine'!E204-10))*'Assumptions'!E56*'Assumptions'!K36</x:f>
        <x:v>10206.566075445622</x:v>
      </x:c>
      <x:c r="K1608" s="27" t="n">
        <x:f>'Source Data'!F221+LN('Assumptions'!D56)+LN('Assumptions'!K35)</x:f>
        <x:v>8.155326402806208</x:v>
      </x:c>
      <x:c r="L1608" s="27" t="n">
        <x:f>J1608*(1-I1608*(1-'Carrier Engine'!E98))</x:f>
        <x:v>6396.11474061259</x:v>
      </x:c>
      <x:c r="M1608" s="29" t="n">
        <x:f>NORM.S.DIST((LN(L1608)-K1608)/'Assumptions'!$D$10,TRUE)</x:f>
        <x:v>0.6507279511537387</x:v>
      </x:c>
      <x:c r="N1608" s="30" t="n">
        <x:f>MAX(0,H1608-MAX(G1608,M1608))</x:f>
        <x:v>0</x:v>
      </x:c>
      <x:c r="O1608" s="28" t="n">
        <x:f>J1608*I1608</x:f>
        <x:v>3969.220140451075</x:v>
      </x:c>
      <x:c r="P1608" s="27" t="n">
        <x:f>(VLOOKUP(O1608,'Fee Data'!$C$6:$G$50,2,TRUE)+O1608*VLOOKUP(O1608,'Fee Data'!$C$6:$G$50,3,TRUE)+VLOOKUP(O1608,'Fee Data'!$I$6:$J$14,2,TRUE)+'Fee Data'!$J$20+'Fee Data'!$J$21)*'Assumptions'!K37</x:f>
        <x:v>915</x:v>
      </x:c>
      <x:c r="Q1608" s="27" t="n">
        <x:f>(VLOOKUP(O1608,'Fee Data'!$C$6:$G$50,4,TRUE)+O1608*VLOOKUP(O1608,'Fee Data'!$C$6:$G$50,5,TRUE)+VLOOKUP(O1608,'Fee Data'!$I$6:$J$14,2,TRUE)+'Fee Data'!$J$20+'Fee Data'!$J$21)*'Assumptions'!K37</x:f>
        <x:v>765</x:v>
      </x:c>
      <x:c r="R1608" s="27" t="n">
        <x:f>P1608*(1-'Assumptions'!$D$14)+Q1608*'Assumptions'!$D$14</x:f>
        <x:v>840</x:v>
      </x:c>
      <x:c r="S1608" s="27" t="n">
        <x:f>O1608*'Carrier Engine'!E98</x:f>
        <x:v>158.768805618043</x:v>
      </x:c>
      <x:c r="T1608" s="28" t="n">
        <x:f>R1608+S1608</x:f>
        <x:v>998.768805618043</x:v>
      </x:c>
      <x:c r="U1608" s="27" t="n">
        <x:f>N1608*'Fleet Engine'!M204</x:f>
        <x:v>0</x:v>
      </x:c>
      <x:c r="V1608" s="28" t="n">
        <x:f>U1608*T1608</x:f>
        <x:v>0</x:v>
      </x:c>
      <x:c r="W1608" s="28" t="n">
        <x:f>U1608*O1608</x:f>
        <x:v>0</x:v>
      </x:c>
    </x:row>
    <x:row r="1609" ht="19" customHeight="1">
      <x:c r="A1609" s="2"/>
      <x:c r="B1609" s="2"/>
      <x:c r="C1609" s="46" t="n">
        <x:v>7</x:v>
      </x:c>
      <x:c r="D1609" s="46" t="n">
        <x:v>10</x:v>
      </x:c>
      <x:c r="E1609" s="46" t="n">
        <x:v>1</x:v>
      </x:c>
      <x:c r="F1609" s="46" t="n">
        <x:v>4</x:v>
      </x:c>
      <x:c r="G1609" s="12" t="n">
        <x:v>0.1111111111111111</x:v>
      </x:c>
      <x:c r="H1609" s="12" t="n">
        <x:v>0.2222222222222222</x:v>
      </x:c>
      <x:c r="I1609" s="29" t="n">
        <x:f>'Assumptions'!$D$11+'Assumptions'!$D$12*(0.5-(G1609+H1609)/2)</x:f>
        <x:v>0.3666666666666667</x:v>
      </x:c>
      <x:c r="J1609" s="27" t="n">
        <x:f>'Assumptions'!$D$8*EXP(-'Assumptions'!$D$9*('Fleet Engine'!E204-10))*'Assumptions'!E56*'Assumptions'!K36</x:f>
        <x:v>10206.566075445622</x:v>
      </x:c>
      <x:c r="K1609" s="27" t="n">
        <x:f>'Source Data'!F221+LN('Assumptions'!D56)+LN('Assumptions'!K35)</x:f>
        <x:v>8.155326402806208</x:v>
      </x:c>
      <x:c r="L1609" s="27" t="n">
        <x:f>J1609*(1-I1609*(1-'Carrier Engine'!E98))</x:f>
        <x:v>6613.854816888762</x:v>
      </x:c>
      <x:c r="M1609" s="29" t="n">
        <x:f>NORM.S.DIST((LN(L1609)-K1609)/'Assumptions'!$D$10,TRUE)</x:f>
        <x:v>0.658585579143658</x:v>
      </x:c>
      <x:c r="N1609" s="30" t="n">
        <x:f>MAX(0,H1609-MAX(G1609,M1609))</x:f>
        <x:v>0</x:v>
      </x:c>
      <x:c r="O1609" s="28" t="n">
        <x:f>J1609*I1609</x:f>
        <x:v>3742.4075609967285</x:v>
      </x:c>
      <x:c r="P1609" s="27" t="n">
        <x:f>(VLOOKUP(O1609,'Fee Data'!$C$6:$G$50,2,TRUE)+O1609*VLOOKUP(O1609,'Fee Data'!$C$6:$G$50,3,TRUE)+VLOOKUP(O1609,'Fee Data'!$I$6:$J$14,2,TRUE)+'Fee Data'!$J$20+'Fee Data'!$J$21)*'Assumptions'!K37</x:f>
        <x:v>915</x:v>
      </x:c>
      <x:c r="Q1609" s="27" t="n">
        <x:f>(VLOOKUP(O1609,'Fee Data'!$C$6:$G$50,4,TRUE)+O1609*VLOOKUP(O1609,'Fee Data'!$C$6:$G$50,5,TRUE)+VLOOKUP(O1609,'Fee Data'!$I$6:$J$14,2,TRUE)+'Fee Data'!$J$20+'Fee Data'!$J$21)*'Assumptions'!K37</x:f>
        <x:v>765</x:v>
      </x:c>
      <x:c r="R1609" s="27" t="n">
        <x:f>P1609*(1-'Assumptions'!$D$14)+Q1609*'Assumptions'!$D$14</x:f>
        <x:v>840</x:v>
      </x:c>
      <x:c r="S1609" s="27" t="n">
        <x:f>O1609*'Carrier Engine'!E98</x:f>
        <x:v>149.69630243986913</x:v>
      </x:c>
      <x:c r="T1609" s="28" t="n">
        <x:f>R1609+S1609</x:f>
        <x:v>989.6963024398691</x:v>
      </x:c>
      <x:c r="U1609" s="27" t="n">
        <x:f>N1609*'Fleet Engine'!M204</x:f>
        <x:v>0</x:v>
      </x:c>
      <x:c r="V1609" s="28" t="n">
        <x:f>U1609*T1609</x:f>
        <x:v>0</x:v>
      </x:c>
      <x:c r="W1609" s="28" t="n">
        <x:f>U1609*O1609</x:f>
        <x:v>0</x:v>
      </x:c>
    </x:row>
    <x:row r="1610" ht="19" customHeight="1">
      <x:c r="A1610" s="2"/>
      <x:c r="B1610" s="2"/>
      <x:c r="C1610" s="46" t="n">
        <x:v>7</x:v>
      </x:c>
      <x:c r="D1610" s="46" t="n">
        <x:v>10</x:v>
      </x:c>
      <x:c r="E1610" s="46" t="n">
        <x:v>1</x:v>
      </x:c>
      <x:c r="F1610" s="46" t="n">
        <x:v>4</x:v>
      </x:c>
      <x:c r="G1610" s="12" t="n">
        <x:v>0.2222222222222222</x:v>
      </x:c>
      <x:c r="H1610" s="12" t="n">
        <x:v>0.3333333333333333</x:v>
      </x:c>
      <x:c r="I1610" s="29" t="n">
        <x:f>'Assumptions'!$D$11+'Assumptions'!$D$12*(0.5-(G1610+H1610)/2)</x:f>
        <x:v>0.34444444444444444</x:v>
      </x:c>
      <x:c r="J1610" s="27" t="n">
        <x:f>'Assumptions'!$D$8*EXP(-'Assumptions'!$D$9*('Fleet Engine'!E204-10))*'Assumptions'!E56*'Assumptions'!K36</x:f>
        <x:v>10206.566075445622</x:v>
      </x:c>
      <x:c r="K1610" s="27" t="n">
        <x:f>'Source Data'!F221+LN('Assumptions'!D56)+LN('Assumptions'!K35)</x:f>
        <x:v>8.155326402806208</x:v>
      </x:c>
      <x:c r="L1610" s="27" t="n">
        <x:f>J1610*(1-I1610*(1-'Carrier Engine'!E98))</x:f>
        <x:v>6831.594893164936</x:v>
      </x:c>
      <x:c r="M1610" s="29" t="n">
        <x:f>NORM.S.DIST((LN(L1610)-K1610)/'Assumptions'!$D$10,TRUE)</x:f>
        <x:v>0.6661238198441306</x:v>
      </x:c>
      <x:c r="N1610" s="30" t="n">
        <x:f>MAX(0,H1610-MAX(G1610,M1610))</x:f>
        <x:v>0</x:v>
      </x:c>
      <x:c r="O1610" s="28" t="n">
        <x:f>J1610*I1610</x:f>
        <x:v>3515.594981542381</x:v>
      </x:c>
      <x:c r="P1610" s="27" t="n">
        <x:f>(VLOOKUP(O1610,'Fee Data'!$C$6:$G$50,2,TRUE)+O1610*VLOOKUP(O1610,'Fee Data'!$C$6:$G$50,3,TRUE)+VLOOKUP(O1610,'Fee Data'!$I$6:$J$14,2,TRUE)+'Fee Data'!$J$20+'Fee Data'!$J$21)*'Assumptions'!K37</x:f>
        <x:v>915</x:v>
      </x:c>
      <x:c r="Q1610" s="27" t="n">
        <x:f>(VLOOKUP(O1610,'Fee Data'!$C$6:$G$50,4,TRUE)+O1610*VLOOKUP(O1610,'Fee Data'!$C$6:$G$50,5,TRUE)+VLOOKUP(O1610,'Fee Data'!$I$6:$J$14,2,TRUE)+'Fee Data'!$J$20+'Fee Data'!$J$21)*'Assumptions'!K37</x:f>
        <x:v>765</x:v>
      </x:c>
      <x:c r="R1610" s="27" t="n">
        <x:f>P1610*(1-'Assumptions'!$D$14)+Q1610*'Assumptions'!$D$14</x:f>
        <x:v>840</x:v>
      </x:c>
      <x:c r="S1610" s="27" t="n">
        <x:f>O1610*'Carrier Engine'!E98</x:f>
        <x:v>140.6237992616952</x:v>
      </x:c>
      <x:c r="T1610" s="28" t="n">
        <x:f>R1610+S1610</x:f>
        <x:v>980.6237992616952</x:v>
      </x:c>
      <x:c r="U1610" s="27" t="n">
        <x:f>N1610*'Fleet Engine'!M204</x:f>
        <x:v>0</x:v>
      </x:c>
      <x:c r="V1610" s="28" t="n">
        <x:f>U1610*T1610</x:f>
        <x:v>0</x:v>
      </x:c>
      <x:c r="W1610" s="28" t="n">
        <x:f>U1610*O1610</x:f>
        <x:v>0</x:v>
      </x:c>
    </x:row>
    <x:row r="1611" ht="19" customHeight="1">
      <x:c r="A1611" s="2"/>
      <x:c r="B1611" s="2"/>
      <x:c r="C1611" s="46" t="n">
        <x:v>7</x:v>
      </x:c>
      <x:c r="D1611" s="46" t="n">
        <x:v>10</x:v>
      </x:c>
      <x:c r="E1611" s="46" t="n">
        <x:v>1</x:v>
      </x:c>
      <x:c r="F1611" s="46" t="n">
        <x:v>4</x:v>
      </x:c>
      <x:c r="G1611" s="12" t="n">
        <x:v>0.3333333333333333</x:v>
      </x:c>
      <x:c r="H1611" s="12" t="n">
        <x:v>0.4444444444444444</x:v>
      </x:c>
      <x:c r="I1611" s="29" t="n">
        <x:f>'Assumptions'!$D$11+'Assumptions'!$D$12*(0.5-(G1611+H1611)/2)</x:f>
        <x:v>0.32222222222222224</x:v>
      </x:c>
      <x:c r="J1611" s="27" t="n">
        <x:f>'Assumptions'!$D$8*EXP(-'Assumptions'!$D$9*('Fleet Engine'!E204-10))*'Assumptions'!E56*'Assumptions'!K36</x:f>
        <x:v>10206.566075445622</x:v>
      </x:c>
      <x:c r="K1611" s="27" t="n">
        <x:f>'Source Data'!F221+LN('Assumptions'!D56)+LN('Assumptions'!K35)</x:f>
        <x:v>8.155326402806208</x:v>
      </x:c>
      <x:c r="L1611" s="27" t="n">
        <x:f>J1611*(1-I1611*(1-'Carrier Engine'!E98))</x:f>
        <x:v>7049.33496944111</x:v>
      </x:c>
      <x:c r="M1611" s="29" t="n">
        <x:f>NORM.S.DIST((LN(L1611)-K1611)/'Assumptions'!$D$10,TRUE)</x:f>
        <x:v>0.6733621968258094</x:v>
      </x:c>
      <x:c r="N1611" s="30" t="n">
        <x:f>MAX(0,H1611-MAX(G1611,M1611))</x:f>
        <x:v>0</x:v>
      </x:c>
      <x:c r="O1611" s="28" t="n">
        <x:f>J1611*I1611</x:f>
        <x:v>3288.782402088034</x:v>
      </x:c>
      <x:c r="P1611" s="27" t="n">
        <x:f>(VLOOKUP(O1611,'Fee Data'!$C$6:$G$50,2,TRUE)+O1611*VLOOKUP(O1611,'Fee Data'!$C$6:$G$50,3,TRUE)+VLOOKUP(O1611,'Fee Data'!$I$6:$J$14,2,TRUE)+'Fee Data'!$J$20+'Fee Data'!$J$21)*'Assumptions'!K37</x:f>
        <x:v>865</x:v>
      </x:c>
      <x:c r="Q1611" s="27" t="n">
        <x:f>(VLOOKUP(O1611,'Fee Data'!$C$6:$G$50,4,TRUE)+O1611*VLOOKUP(O1611,'Fee Data'!$C$6:$G$50,5,TRUE)+VLOOKUP(O1611,'Fee Data'!$I$6:$J$14,2,TRUE)+'Fee Data'!$J$20+'Fee Data'!$J$21)*'Assumptions'!K37</x:f>
        <x:v>715</x:v>
      </x:c>
      <x:c r="R1611" s="27" t="n">
        <x:f>P1611*(1-'Assumptions'!$D$14)+Q1611*'Assumptions'!$D$14</x:f>
        <x:v>790</x:v>
      </x:c>
      <x:c r="S1611" s="27" t="n">
        <x:f>O1611*'Carrier Engine'!E98</x:f>
        <x:v>131.55129608352132</x:v>
      </x:c>
      <x:c r="T1611" s="28" t="n">
        <x:f>R1611+S1611</x:f>
        <x:v>921.5512960835213</x:v>
      </x:c>
      <x:c r="U1611" s="27" t="n">
        <x:f>N1611*'Fleet Engine'!M204</x:f>
        <x:v>0</x:v>
      </x:c>
      <x:c r="V1611" s="28" t="n">
        <x:f>U1611*T1611</x:f>
        <x:v>0</x:v>
      </x:c>
      <x:c r="W1611" s="28" t="n">
        <x:f>U1611*O1611</x:f>
        <x:v>0</x:v>
      </x:c>
    </x:row>
    <x:row r="1612" ht="19" customHeight="1">
      <x:c r="A1612" s="2"/>
      <x:c r="B1612" s="2"/>
      <x:c r="C1612" s="46" t="n">
        <x:v>7</x:v>
      </x:c>
      <x:c r="D1612" s="46" t="n">
        <x:v>10</x:v>
      </x:c>
      <x:c r="E1612" s="46" t="n">
        <x:v>1</x:v>
      </x:c>
      <x:c r="F1612" s="46" t="n">
        <x:v>4</x:v>
      </x:c>
      <x:c r="G1612" s="12" t="n">
        <x:v>0.4444444444444444</x:v>
      </x:c>
      <x:c r="H1612" s="12" t="n">
        <x:v>0.5555555555555556</x:v>
      </x:c>
      <x:c r="I1612" s="29" t="n">
        <x:f>'Assumptions'!$D$11+'Assumptions'!$D$12*(0.5-(G1612+H1612)/2)</x:f>
        <x:v>0.3</x:v>
      </x:c>
      <x:c r="J1612" s="27" t="n">
        <x:f>'Assumptions'!$D$8*EXP(-'Assumptions'!$D$9*('Fleet Engine'!E204-10))*'Assumptions'!E56*'Assumptions'!K36</x:f>
        <x:v>10206.566075445622</x:v>
      </x:c>
      <x:c r="K1612" s="27" t="n">
        <x:f>'Source Data'!F221+LN('Assumptions'!D56)+LN('Assumptions'!K35)</x:f>
        <x:v>8.155326402806208</x:v>
      </x:c>
      <x:c r="L1612" s="27" t="n">
        <x:f>J1612*(1-I1612*(1-'Carrier Engine'!E98))</x:f>
        <x:v>7267.075045717283</x:v>
      </x:c>
      <x:c r="M1612" s="29" t="n">
        <x:f>NORM.S.DIST((LN(L1612)-K1612)/'Assumptions'!$D$10,TRUE)</x:f>
        <x:v>0.680318625246847</x:v>
      </x:c>
      <x:c r="N1612" s="30" t="n">
        <x:f>MAX(0,H1612-MAX(G1612,M1612))</x:f>
        <x:v>0</x:v>
      </x:c>
      <x:c r="O1612" s="28" t="n">
        <x:f>J1612*I1612</x:f>
        <x:v>3061.9698226336864</x:v>
      </x:c>
      <x:c r="P1612" s="27" t="n">
        <x:f>(VLOOKUP(O1612,'Fee Data'!$C$6:$G$50,2,TRUE)+O1612*VLOOKUP(O1612,'Fee Data'!$C$6:$G$50,3,TRUE)+VLOOKUP(O1612,'Fee Data'!$I$6:$J$14,2,TRUE)+'Fee Data'!$J$20+'Fee Data'!$J$21)*'Assumptions'!K37</x:f>
        <x:v>865</x:v>
      </x:c>
      <x:c r="Q1612" s="27" t="n">
        <x:f>(VLOOKUP(O1612,'Fee Data'!$C$6:$G$50,4,TRUE)+O1612*VLOOKUP(O1612,'Fee Data'!$C$6:$G$50,5,TRUE)+VLOOKUP(O1612,'Fee Data'!$I$6:$J$14,2,TRUE)+'Fee Data'!$J$20+'Fee Data'!$J$21)*'Assumptions'!K37</x:f>
        <x:v>715</x:v>
      </x:c>
      <x:c r="R1612" s="27" t="n">
        <x:f>P1612*(1-'Assumptions'!$D$14)+Q1612*'Assumptions'!$D$14</x:f>
        <x:v>790</x:v>
      </x:c>
      <x:c r="S1612" s="27" t="n">
        <x:f>O1612*'Carrier Engine'!E98</x:f>
        <x:v>122.47879290534743</x:v>
      </x:c>
      <x:c r="T1612" s="28" t="n">
        <x:f>R1612+S1612</x:f>
        <x:v>912.4787929053474</x:v>
      </x:c>
      <x:c r="U1612" s="27" t="n">
        <x:f>N1612*'Fleet Engine'!M204</x:f>
        <x:v>0</x:v>
      </x:c>
      <x:c r="V1612" s="28" t="n">
        <x:f>U1612*T1612</x:f>
        <x:v>0</x:v>
      </x:c>
      <x:c r="W1612" s="28" t="n">
        <x:f>U1612*O1612</x:f>
        <x:v>0</x:v>
      </x:c>
    </x:row>
    <x:row r="1613" ht="19" customHeight="1">
      <x:c r="A1613" s="2"/>
      <x:c r="B1613" s="2"/>
      <x:c r="C1613" s="46" t="n">
        <x:v>7</x:v>
      </x:c>
      <x:c r="D1613" s="46" t="n">
        <x:v>10</x:v>
      </x:c>
      <x:c r="E1613" s="46" t="n">
        <x:v>1</x:v>
      </x:c>
      <x:c r="F1613" s="46" t="n">
        <x:v>4</x:v>
      </x:c>
      <x:c r="G1613" s="12" t="n">
        <x:v>0.5555555555555556</x:v>
      </x:c>
      <x:c r="H1613" s="12" t="n">
        <x:v>0.6666666666666666</x:v>
      </x:c>
      <x:c r="I1613" s="29" t="n">
        <x:f>'Assumptions'!$D$11+'Assumptions'!$D$12*(0.5-(G1613+H1613)/2)</x:f>
        <x:v>0.27777777777777773</x:v>
      </x:c>
      <x:c r="J1613" s="27" t="n">
        <x:f>'Assumptions'!$D$8*EXP(-'Assumptions'!$D$9*('Fleet Engine'!E204-10))*'Assumptions'!E56*'Assumptions'!K36</x:f>
        <x:v>10206.566075445622</x:v>
      </x:c>
      <x:c r="K1613" s="27" t="n">
        <x:f>'Source Data'!F221+LN('Assumptions'!D56)+LN('Assumptions'!K35)</x:f>
        <x:v>8.155326402806208</x:v>
      </x:c>
      <x:c r="L1613" s="27" t="n">
        <x:f>J1613*(1-I1613*(1-'Carrier Engine'!E98))</x:f>
        <x:v>7484.815121993457</x:v>
      </x:c>
      <x:c r="M1613" s="29" t="n">
        <x:f>NORM.S.DIST((LN(L1613)-K1613)/'Assumptions'!$D$10,TRUE)</x:f>
        <x:v>0.687009578457402</x:v>
      </x:c>
      <x:c r="N1613" s="30" t="n">
        <x:f>MAX(0,H1613-MAX(G1613,M1613))</x:f>
        <x:v>0</x:v>
      </x:c>
      <x:c r="O1613" s="28" t="n">
        <x:f>J1613*I1613</x:f>
        <x:v>2835.157243179339</x:v>
      </x:c>
      <x:c r="P1613" s="27" t="n">
        <x:f>(VLOOKUP(O1613,'Fee Data'!$C$6:$G$50,2,TRUE)+O1613*VLOOKUP(O1613,'Fee Data'!$C$6:$G$50,3,TRUE)+VLOOKUP(O1613,'Fee Data'!$I$6:$J$14,2,TRUE)+'Fee Data'!$J$20+'Fee Data'!$J$21)*'Assumptions'!K37</x:f>
        <x:v>820</x:v>
      </x:c>
      <x:c r="Q1613" s="27" t="n">
        <x:f>(VLOOKUP(O1613,'Fee Data'!$C$6:$G$50,4,TRUE)+O1613*VLOOKUP(O1613,'Fee Data'!$C$6:$G$50,5,TRUE)+VLOOKUP(O1613,'Fee Data'!$I$6:$J$14,2,TRUE)+'Fee Data'!$J$20+'Fee Data'!$J$21)*'Assumptions'!K37</x:f>
        <x:v>670</x:v>
      </x:c>
      <x:c r="R1613" s="27" t="n">
        <x:f>P1613*(1-'Assumptions'!$D$14)+Q1613*'Assumptions'!$D$14</x:f>
        <x:v>745</x:v>
      </x:c>
      <x:c r="S1613" s="27" t="n">
        <x:f>O1613*'Carrier Engine'!E98</x:f>
        <x:v>113.40628972717353</x:v>
      </x:c>
      <x:c r="T1613" s="28" t="n">
        <x:f>R1613+S1613</x:f>
        <x:v>858.4062897271735</x:v>
      </x:c>
      <x:c r="U1613" s="27" t="n">
        <x:f>N1613*'Fleet Engine'!M204</x:f>
        <x:v>0</x:v>
      </x:c>
      <x:c r="V1613" s="28" t="n">
        <x:f>U1613*T1613</x:f>
        <x:v>0</x:v>
      </x:c>
      <x:c r="W1613" s="28" t="n">
        <x:f>U1613*O1613</x:f>
        <x:v>0</x:v>
      </x:c>
    </x:row>
    <x:row r="1614" ht="19" customHeight="1">
      <x:c r="A1614" s="2"/>
      <x:c r="B1614" s="2"/>
      <x:c r="C1614" s="46" t="n">
        <x:v>7</x:v>
      </x:c>
      <x:c r="D1614" s="46" t="n">
        <x:v>10</x:v>
      </x:c>
      <x:c r="E1614" s="46" t="n">
        <x:v>1</x:v>
      </x:c>
      <x:c r="F1614" s="46" t="n">
        <x:v>4</x:v>
      </x:c>
      <x:c r="G1614" s="12" t="n">
        <x:v>0.6666666666666666</x:v>
      </x:c>
      <x:c r="H1614" s="12" t="n">
        <x:v>0.7777777777777778</x:v>
      </x:c>
      <x:c r="I1614" s="29" t="n">
        <x:f>'Assumptions'!$D$11+'Assumptions'!$D$12*(0.5-(G1614+H1614)/2)</x:f>
        <x:v>0.25555555555555554</x:v>
      </x:c>
      <x:c r="J1614" s="27" t="n">
        <x:f>'Assumptions'!$D$8*EXP(-'Assumptions'!$D$9*('Fleet Engine'!E204-10))*'Assumptions'!E56*'Assumptions'!K36</x:f>
        <x:v>10206.566075445622</x:v>
      </x:c>
      <x:c r="K1614" s="27" t="n">
        <x:f>'Source Data'!F221+LN('Assumptions'!D56)+LN('Assumptions'!K35)</x:f>
        <x:v>8.155326402806208</x:v>
      </x:c>
      <x:c r="L1614" s="27" t="n">
        <x:f>J1614*(1-I1614*(1-'Carrier Engine'!E98))</x:f>
        <x:v>7702.55519826963</x:v>
      </x:c>
      <x:c r="M1614" s="29" t="n">
        <x:f>NORM.S.DIST((LN(L1614)-K1614)/'Assumptions'!$D$10,TRUE)</x:f>
        <x:v>0.6934502338952844</x:v>
      </x:c>
      <x:c r="N1614" s="30" t="n">
        <x:f>MAX(0,H1614-MAX(G1614,M1614))</x:f>
        <x:v>0.08432754388249342</x:v>
      </x:c>
      <x:c r="O1614" s="28" t="n">
        <x:f>J1614*I1614</x:f>
        <x:v>2608.344663724992</x:v>
      </x:c>
      <x:c r="P1614" s="27" t="n">
        <x:f>(VLOOKUP(O1614,'Fee Data'!$C$6:$G$50,2,TRUE)+O1614*VLOOKUP(O1614,'Fee Data'!$C$6:$G$50,3,TRUE)+VLOOKUP(O1614,'Fee Data'!$I$6:$J$14,2,TRUE)+'Fee Data'!$J$20+'Fee Data'!$J$21)*'Assumptions'!K37</x:f>
        <x:v>820</x:v>
      </x:c>
      <x:c r="Q1614" s="27" t="n">
        <x:f>(VLOOKUP(O1614,'Fee Data'!$C$6:$G$50,4,TRUE)+O1614*VLOOKUP(O1614,'Fee Data'!$C$6:$G$50,5,TRUE)+VLOOKUP(O1614,'Fee Data'!$I$6:$J$14,2,TRUE)+'Fee Data'!$J$20+'Fee Data'!$J$21)*'Assumptions'!K37</x:f>
        <x:v>670</x:v>
      </x:c>
      <x:c r="R1614" s="27" t="n">
        <x:f>P1614*(1-'Assumptions'!$D$14)+Q1614*'Assumptions'!$D$14</x:f>
        <x:v>745</x:v>
      </x:c>
      <x:c r="S1614" s="27" t="n">
        <x:f>O1614*'Carrier Engine'!E98</x:f>
        <x:v>104.33378654899967</x:v>
      </x:c>
      <x:c r="T1614" s="28" t="n">
        <x:f>R1614+S1614</x:f>
        <x:v>849.3337865489997</x:v>
      </x:c>
      <x:c r="U1614" s="27" t="n">
        <x:f>N1614*'Fleet Engine'!M204</x:f>
        <x:v>905.2162610142116</x:v>
      </x:c>
      <x:c r="V1614" s="28" t="n">
        <x:f>U1614*T1614</x:f>
        <x:v>768830.7546129279</x:v>
      </x:c>
      <x:c r="W1614" s="28" t="n">
        <x:f>U1614*O1614</x:f>
        <x:v>2361116.0039335084</x:v>
      </x:c>
    </x:row>
    <x:row r="1615" ht="19" customHeight="1">
      <x:c r="A1615" s="2"/>
      <x:c r="B1615" s="2"/>
      <x:c r="C1615" s="46" t="n">
        <x:v>7</x:v>
      </x:c>
      <x:c r="D1615" s="46" t="n">
        <x:v>10</x:v>
      </x:c>
      <x:c r="E1615" s="46" t="n">
        <x:v>1</x:v>
      </x:c>
      <x:c r="F1615" s="46" t="n">
        <x:v>4</x:v>
      </x:c>
      <x:c r="G1615" s="12" t="n">
        <x:v>0.7777777777777778</x:v>
      </x:c>
      <x:c r="H1615" s="12" t="n">
        <x:v>0.8888888888888888</x:v>
      </x:c>
      <x:c r="I1615" s="29" t="n">
        <x:f>'Assumptions'!$D$11+'Assumptions'!$D$12*(0.5-(G1615+H1615)/2)</x:f>
        <x:v>0.23333333333333334</x:v>
      </x:c>
      <x:c r="J1615" s="27" t="n">
        <x:f>'Assumptions'!$D$8*EXP(-'Assumptions'!$D$9*('Fleet Engine'!E204-10))*'Assumptions'!E56*'Assumptions'!K36</x:f>
        <x:v>10206.566075445622</x:v>
      </x:c>
      <x:c r="K1615" s="27" t="n">
        <x:f>'Source Data'!F221+LN('Assumptions'!D56)+LN('Assumptions'!K35)</x:f>
        <x:v>8.155326402806208</x:v>
      </x:c>
      <x:c r="L1615" s="27" t="n">
        <x:f>J1615*(1-I1615*(1-'Carrier Engine'!E98))</x:f>
        <x:v>7920.295274545803</x:v>
      </x:c>
      <x:c r="M1615" s="29" t="n">
        <x:f>NORM.S.DIST((LN(L1615)-K1615)/'Assumptions'!$D$10,TRUE)</x:f>
        <x:v>0.699654601261197</x:v>
      </x:c>
      <x:c r="N1615" s="30" t="n">
        <x:f>MAX(0,H1615-MAX(G1615,M1615))</x:f>
        <x:v>0.11111111111111105</x:v>
      </x:c>
      <x:c r="O1615" s="28" t="n">
        <x:f>J1615*I1615</x:f>
        <x:v>2381.532084270645</x:v>
      </x:c>
      <x:c r="P1615" s="27" t="n">
        <x:f>(VLOOKUP(O1615,'Fee Data'!$C$6:$G$50,2,TRUE)+O1615*VLOOKUP(O1615,'Fee Data'!$C$6:$G$50,3,TRUE)+VLOOKUP(O1615,'Fee Data'!$I$6:$J$14,2,TRUE)+'Fee Data'!$J$20+'Fee Data'!$J$21)*'Assumptions'!K37</x:f>
        <x:v>745</x:v>
      </x:c>
      <x:c r="Q1615" s="27" t="n">
        <x:f>(VLOOKUP(O1615,'Fee Data'!$C$6:$G$50,4,TRUE)+O1615*VLOOKUP(O1615,'Fee Data'!$C$6:$G$50,5,TRUE)+VLOOKUP(O1615,'Fee Data'!$I$6:$J$14,2,TRUE)+'Fee Data'!$J$20+'Fee Data'!$J$21)*'Assumptions'!K37</x:f>
        <x:v>600</x:v>
      </x:c>
      <x:c r="R1615" s="27" t="n">
        <x:f>P1615*(1-'Assumptions'!$D$14)+Q1615*'Assumptions'!$D$14</x:f>
        <x:v>672.5</x:v>
      </x:c>
      <x:c r="S1615" s="27" t="n">
        <x:f>O1615*'Carrier Engine'!E98</x:f>
        <x:v>95.2612833708258</x:v>
      </x:c>
      <x:c r="T1615" s="28" t="n">
        <x:f>R1615+S1615</x:f>
        <x:v>767.7612833708258</x:v>
      </x:c>
      <x:c r="U1615" s="27" t="n">
        <x:f>N1615*'Fleet Engine'!M204</x:f>
        <x:v>1192.7251752676164</x:v>
      </x:c>
      <x:c r="V1615" s="28" t="n">
        <x:f>U1615*T1615</x:f>
        <x:v>915728.2112721583</x:v>
      </x:c>
      <x:c r="W1615" s="28" t="n">
        <x:f>U1615*O1615</x:f>
        <x:v>2840513.2726171566</x:v>
      </x:c>
    </x:row>
    <x:row r="1616" ht="19" customHeight="1">
      <x:c r="A1616" s="2"/>
      <x:c r="B1616" s="2"/>
      <x:c r="C1616" s="46" t="n">
        <x:v>7</x:v>
      </x:c>
      <x:c r="D1616" s="46" t="n">
        <x:v>10</x:v>
      </x:c>
      <x:c r="E1616" s="46" t="n">
        <x:v>1</x:v>
      </x:c>
      <x:c r="F1616" s="46" t="n">
        <x:v>4</x:v>
      </x:c>
      <x:c r="G1616" s="12" t="n">
        <x:v>0.8888888888888888</x:v>
      </x:c>
      <x:c r="H1616" s="12" t="n">
        <x:v>1</x:v>
      </x:c>
      <x:c r="I1616" s="29" t="n">
        <x:f>'Assumptions'!$D$11+'Assumptions'!$D$12*(0.5-(G1616+H1616)/2)</x:f>
        <x:v>0.21111111111111108</x:v>
      </x:c>
      <x:c r="J1616" s="27" t="n">
        <x:f>'Assumptions'!$D$8*EXP(-'Assumptions'!$D$9*('Fleet Engine'!E204-10))*'Assumptions'!E56*'Assumptions'!K36</x:f>
        <x:v>10206.566075445622</x:v>
      </x:c>
      <x:c r="K1616" s="27" t="n">
        <x:f>'Source Data'!F221+LN('Assumptions'!D56)+LN('Assumptions'!K35)</x:f>
        <x:v>8.155326402806208</x:v>
      </x:c>
      <x:c r="L1616" s="27" t="n">
        <x:f>J1616*(1-I1616*(1-'Carrier Engine'!E98))</x:f>
        <x:v>8138.035350821976</x:v>
      </x:c>
      <x:c r="M1616" s="29" t="n">
        <x:f>NORM.S.DIST((LN(L1616)-K1616)/'Assumptions'!$D$10,TRUE)</x:f>
        <x:v>0.7056356354734394</x:v>
      </x:c>
      <x:c r="N1616" s="30" t="n">
        <x:f>MAX(0,H1616-MAX(G1616,M1616))</x:f>
        <x:v>0.11111111111111116</x:v>
      </x:c>
      <x:c r="O1616" s="28" t="n">
        <x:f>J1616*I1616</x:f>
        <x:v>2154.7195048162976</x:v>
      </x:c>
      <x:c r="P1616" s="27" t="n">
        <x:f>(VLOOKUP(O1616,'Fee Data'!$C$6:$G$50,2,TRUE)+O1616*VLOOKUP(O1616,'Fee Data'!$C$6:$G$50,3,TRUE)+VLOOKUP(O1616,'Fee Data'!$I$6:$J$14,2,TRUE)+'Fee Data'!$J$20+'Fee Data'!$J$21)*'Assumptions'!K37</x:f>
        <x:v>745</x:v>
      </x:c>
      <x:c r="Q1616" s="27" t="n">
        <x:f>(VLOOKUP(O1616,'Fee Data'!$C$6:$G$50,4,TRUE)+O1616*VLOOKUP(O1616,'Fee Data'!$C$6:$G$50,5,TRUE)+VLOOKUP(O1616,'Fee Data'!$I$6:$J$14,2,TRUE)+'Fee Data'!$J$20+'Fee Data'!$J$21)*'Assumptions'!K37</x:f>
        <x:v>600</x:v>
      </x:c>
      <x:c r="R1616" s="27" t="n">
        <x:f>P1616*(1-'Assumptions'!$D$14)+Q1616*'Assumptions'!$D$14</x:f>
        <x:v>672.5</x:v>
      </x:c>
      <x:c r="S1616" s="27" t="n">
        <x:f>O1616*'Carrier Engine'!E98</x:f>
        <x:v>86.18878019265189</x:v>
      </x:c>
      <x:c r="T1616" s="28" t="n">
        <x:f>R1616+S1616</x:f>
        <x:v>758.6887801926518</x:v>
      </x:c>
      <x:c r="U1616" s="27" t="n">
        <x:f>N1616*'Fleet Engine'!M204</x:f>
        <x:v>1192.7251752676175</x:v>
      </x:c>
      <x:c r="V1616" s="28" t="n">
        <x:f>U1616*T1616</x:f>
        <x:v>904907.2083288556</x:v>
      </x:c>
      <x:c r="W1616" s="28" t="n">
        <x:f>U1616*O1616</x:f>
        <x:v>2569988.1990345726</x:v>
      </x:c>
    </x:row>
    <x:row r="1617" ht="19" customHeight="1">
      <x:c r="A1617" s="2"/>
      <x:c r="B1617" s="2"/>
      <x:c r="C1617" s="46" t="n">
        <x:v>7</x:v>
      </x:c>
      <x:c r="D1617" s="46" t="n">
        <x:v>11</x:v>
      </x:c>
      <x:c r="E1617" s="46" t="n">
        <x:v>1</x:v>
      </x:c>
      <x:c r="F1617" s="46" t="n">
        <x:v>5</x:v>
      </x:c>
      <x:c r="G1617" s="12" t="n">
        <x:v>0</x:v>
      </x:c>
      <x:c r="H1617" s="12" t="n">
        <x:v>0.1111111111111111</x:v>
      </x:c>
      <x:c r="I1617" s="29" t="n">
        <x:f>'Assumptions'!$D$11+'Assumptions'!$D$12*(0.5-(G1617+H1617)/2)</x:f>
        <x:v>0.3888888888888889</x:v>
      </x:c>
      <x:c r="J1617" s="27" t="n">
        <x:f>'Assumptions'!$D$8*EXP(-'Assumptions'!$D$9*('Fleet Engine'!E205-10))*'Assumptions'!E56*'Assumptions'!K36</x:f>
        <x:v>5601.482226767098</x:v>
      </x:c>
      <x:c r="K1617" s="27" t="n">
        <x:f>'Source Data'!F222+LN('Assumptions'!D56)+LN('Assumptions'!K35)</x:f>
        <x:v>8.056397553082528</x:v>
      </x:c>
      <x:c r="L1617" s="27" t="n">
        <x:f>J1617*(1-I1617*(1-'Carrier Engine'!E98))</x:f>
        <x:v>3510.262195440715</x:v>
      </x:c>
      <x:c r="M1617" s="29" t="n">
        <x:f>NORM.S.DIST((LN(L1617)-K1617)/'Assumptions'!$D$10,TRUE)</x:f>
        <x:v>0.5271767523756574</x:v>
      </x:c>
      <x:c r="N1617" s="30" t="n">
        <x:f>MAX(0,H1617-MAX(G1617,M1617))</x:f>
        <x:v>0</x:v>
      </x:c>
      <x:c r="O1617" s="28" t="n">
        <x:f>J1617*I1617</x:f>
        <x:v>2178.354199298316</x:v>
      </x:c>
      <x:c r="P1617" s="27" t="n">
        <x:f>(VLOOKUP(O1617,'Fee Data'!$C$6:$G$50,2,TRUE)+O1617*VLOOKUP(O1617,'Fee Data'!$C$6:$G$50,3,TRUE)+VLOOKUP(O1617,'Fee Data'!$I$6:$J$14,2,TRUE)+'Fee Data'!$J$20+'Fee Data'!$J$21)*'Assumptions'!K37</x:f>
        <x:v>745</x:v>
      </x:c>
      <x:c r="Q1617" s="27" t="n">
        <x:f>(VLOOKUP(O1617,'Fee Data'!$C$6:$G$50,4,TRUE)+O1617*VLOOKUP(O1617,'Fee Data'!$C$6:$G$50,5,TRUE)+VLOOKUP(O1617,'Fee Data'!$I$6:$J$14,2,TRUE)+'Fee Data'!$J$20+'Fee Data'!$J$21)*'Assumptions'!K37</x:f>
        <x:v>600</x:v>
      </x:c>
      <x:c r="R1617" s="27" t="n">
        <x:f>P1617*(1-'Assumptions'!$D$14)+Q1617*'Assumptions'!$D$14</x:f>
        <x:v>672.5</x:v>
      </x:c>
      <x:c r="S1617" s="27" t="n">
        <x:f>O1617*'Carrier Engine'!E98</x:f>
        <x:v>87.13416797193263</x:v>
      </x:c>
      <x:c r="T1617" s="28" t="n">
        <x:f>R1617+S1617</x:f>
        <x:v>759.6341679719326</x:v>
      </x:c>
      <x:c r="U1617" s="27" t="n">
        <x:f>N1617*'Fleet Engine'!M205</x:f>
        <x:v>0</x:v>
      </x:c>
      <x:c r="V1617" s="28" t="n">
        <x:f>U1617*T1617</x:f>
        <x:v>0</x:v>
      </x:c>
      <x:c r="W1617" s="28" t="n">
        <x:f>U1617*O1617</x:f>
        <x:v>0</x:v>
      </x:c>
    </x:row>
    <x:row r="1618" ht="19" customHeight="1">
      <x:c r="A1618" s="2"/>
      <x:c r="B1618" s="2"/>
      <x:c r="C1618" s="46" t="n">
        <x:v>7</x:v>
      </x:c>
      <x:c r="D1618" s="46" t="n">
        <x:v>11</x:v>
      </x:c>
      <x:c r="E1618" s="46" t="n">
        <x:v>1</x:v>
      </x:c>
      <x:c r="F1618" s="46" t="n">
        <x:v>5</x:v>
      </x:c>
      <x:c r="G1618" s="12" t="n">
        <x:v>0.1111111111111111</x:v>
      </x:c>
      <x:c r="H1618" s="12" t="n">
        <x:v>0.2222222222222222</x:v>
      </x:c>
      <x:c r="I1618" s="29" t="n">
        <x:f>'Assumptions'!$D$11+'Assumptions'!$D$12*(0.5-(G1618+H1618)/2)</x:f>
        <x:v>0.3666666666666667</x:v>
      </x:c>
      <x:c r="J1618" s="27" t="n">
        <x:f>'Assumptions'!$D$8*EXP(-'Assumptions'!$D$9*('Fleet Engine'!E205-10))*'Assumptions'!E56*'Assumptions'!K36</x:f>
        <x:v>5601.482226767098</x:v>
      </x:c>
      <x:c r="K1618" s="27" t="n">
        <x:f>'Source Data'!F222+LN('Assumptions'!D56)+LN('Assumptions'!K35)</x:f>
        <x:v>8.056397553082528</x:v>
      </x:c>
      <x:c r="L1618" s="27" t="n">
        <x:f>J1618*(1-I1618*(1-'Carrier Engine'!E98))</x:f>
        <x:v>3629.760482945079</x:v>
      </x:c>
      <x:c r="M1618" s="29" t="n">
        <x:f>NORM.S.DIST((LN(L1618)-K1618)/'Assumptions'!$D$10,TRUE)</x:f>
        <x:v>0.5356554348338565</x:v>
      </x:c>
      <x:c r="N1618" s="30" t="n">
        <x:f>MAX(0,H1618-MAX(G1618,M1618))</x:f>
        <x:v>0</x:v>
      </x:c>
      <x:c r="O1618" s="28" t="n">
        <x:f>J1618*I1618</x:f>
        <x:v>2053.8768164812695</x:v>
      </x:c>
      <x:c r="P1618" s="27" t="n">
        <x:f>(VLOOKUP(O1618,'Fee Data'!$C$6:$G$50,2,TRUE)+O1618*VLOOKUP(O1618,'Fee Data'!$C$6:$G$50,3,TRUE)+VLOOKUP(O1618,'Fee Data'!$I$6:$J$14,2,TRUE)+'Fee Data'!$J$20+'Fee Data'!$J$21)*'Assumptions'!K37</x:f>
        <x:v>745</x:v>
      </x:c>
      <x:c r="Q1618" s="27" t="n">
        <x:f>(VLOOKUP(O1618,'Fee Data'!$C$6:$G$50,4,TRUE)+O1618*VLOOKUP(O1618,'Fee Data'!$C$6:$G$50,5,TRUE)+VLOOKUP(O1618,'Fee Data'!$I$6:$J$14,2,TRUE)+'Fee Data'!$J$20+'Fee Data'!$J$21)*'Assumptions'!K37</x:f>
        <x:v>600</x:v>
      </x:c>
      <x:c r="R1618" s="27" t="n">
        <x:f>P1618*(1-'Assumptions'!$D$14)+Q1618*'Assumptions'!$D$14</x:f>
        <x:v>672.5</x:v>
      </x:c>
      <x:c r="S1618" s="27" t="n">
        <x:f>O1618*'Carrier Engine'!E98</x:f>
        <x:v>82.15507265925076</x:v>
      </x:c>
      <x:c r="T1618" s="28" t="n">
        <x:f>R1618+S1618</x:f>
        <x:v>754.6550726592508</x:v>
      </x:c>
      <x:c r="U1618" s="27" t="n">
        <x:f>N1618*'Fleet Engine'!M205</x:f>
        <x:v>0</x:v>
      </x:c>
      <x:c r="V1618" s="28" t="n">
        <x:f>U1618*T1618</x:f>
        <x:v>0</x:v>
      </x:c>
      <x:c r="W1618" s="28" t="n">
        <x:f>U1618*O1618</x:f>
        <x:v>0</x:v>
      </x:c>
    </x:row>
    <x:row r="1619" ht="19" customHeight="1">
      <x:c r="A1619" s="2"/>
      <x:c r="B1619" s="2"/>
      <x:c r="C1619" s="46" t="n">
        <x:v>7</x:v>
      </x:c>
      <x:c r="D1619" s="46" t="n">
        <x:v>11</x:v>
      </x:c>
      <x:c r="E1619" s="46" t="n">
        <x:v>1</x:v>
      </x:c>
      <x:c r="F1619" s="46" t="n">
        <x:v>5</x:v>
      </x:c>
      <x:c r="G1619" s="12" t="n">
        <x:v>0.2222222222222222</x:v>
      </x:c>
      <x:c r="H1619" s="12" t="n">
        <x:v>0.3333333333333333</x:v>
      </x:c>
      <x:c r="I1619" s="29" t="n">
        <x:f>'Assumptions'!$D$11+'Assumptions'!$D$12*(0.5-(G1619+H1619)/2)</x:f>
        <x:v>0.34444444444444444</x:v>
      </x:c>
      <x:c r="J1619" s="27" t="n">
        <x:f>'Assumptions'!$D$8*EXP(-'Assumptions'!$D$9*('Fleet Engine'!E205-10))*'Assumptions'!E56*'Assumptions'!K36</x:f>
        <x:v>5601.482226767098</x:v>
      </x:c>
      <x:c r="K1619" s="27" t="n">
        <x:f>'Source Data'!F222+LN('Assumptions'!D56)+LN('Assumptions'!K35)</x:f>
        <x:v>8.056397553082528</x:v>
      </x:c>
      <x:c r="L1619" s="27" t="n">
        <x:f>J1619*(1-I1619*(1-'Carrier Engine'!E98))</x:f>
        <x:v>3749.258770449444</x:v>
      </x:c>
      <x:c r="M1619" s="29" t="n">
        <x:f>NORM.S.DIST((LN(L1619)-K1619)/'Assumptions'!$D$10,TRUE)</x:f>
        <x:v>0.5438441102581311</x:v>
      </x:c>
      <x:c r="N1619" s="30" t="n">
        <x:f>MAX(0,H1619-MAX(G1619,M1619))</x:f>
        <x:v>0</x:v>
      </x:c>
      <x:c r="O1619" s="28" t="n">
        <x:f>J1619*I1619</x:f>
        <x:v>1929.3994336642227</x:v>
      </x:c>
      <x:c r="P1619" s="27" t="n">
        <x:f>(VLOOKUP(O1619,'Fee Data'!$C$6:$G$50,2,TRUE)+O1619*VLOOKUP(O1619,'Fee Data'!$C$6:$G$50,3,TRUE)+VLOOKUP(O1619,'Fee Data'!$I$6:$J$14,2,TRUE)+'Fee Data'!$J$20+'Fee Data'!$J$21)*'Assumptions'!K37</x:f>
        <x:v>705</x:v>
      </x:c>
      <x:c r="Q1619" s="27" t="n">
        <x:f>(VLOOKUP(O1619,'Fee Data'!$C$6:$G$50,4,TRUE)+O1619*VLOOKUP(O1619,'Fee Data'!$C$6:$G$50,5,TRUE)+VLOOKUP(O1619,'Fee Data'!$I$6:$J$14,2,TRUE)+'Fee Data'!$J$20+'Fee Data'!$J$21)*'Assumptions'!K37</x:f>
        <x:v>565</x:v>
      </x:c>
      <x:c r="R1619" s="27" t="n">
        <x:f>P1619*(1-'Assumptions'!$D$14)+Q1619*'Assumptions'!$D$14</x:f>
        <x:v>635</x:v>
      </x:c>
      <x:c r="S1619" s="27" t="n">
        <x:f>O1619*'Carrier Engine'!E98</x:f>
        <x:v>77.1759773465689</x:v>
      </x:c>
      <x:c r="T1619" s="28" t="n">
        <x:f>R1619+S1619</x:f>
        <x:v>712.1759773465689</x:v>
      </x:c>
      <x:c r="U1619" s="27" t="n">
        <x:f>N1619*'Fleet Engine'!M205</x:f>
        <x:v>0</x:v>
      </x:c>
      <x:c r="V1619" s="28" t="n">
        <x:f>U1619*T1619</x:f>
        <x:v>0</x:v>
      </x:c>
      <x:c r="W1619" s="28" t="n">
        <x:f>U1619*O1619</x:f>
        <x:v>0</x:v>
      </x:c>
    </x:row>
    <x:row r="1620" ht="19" customHeight="1">
      <x:c r="A1620" s="2"/>
      <x:c r="B1620" s="2"/>
      <x:c r="C1620" s="46" t="n">
        <x:v>7</x:v>
      </x:c>
      <x:c r="D1620" s="46" t="n">
        <x:v>11</x:v>
      </x:c>
      <x:c r="E1620" s="46" t="n">
        <x:v>1</x:v>
      </x:c>
      <x:c r="F1620" s="46" t="n">
        <x:v>5</x:v>
      </x:c>
      <x:c r="G1620" s="12" t="n">
        <x:v>0.3333333333333333</x:v>
      </x:c>
      <x:c r="H1620" s="12" t="n">
        <x:v>0.4444444444444444</x:v>
      </x:c>
      <x:c r="I1620" s="29" t="n">
        <x:f>'Assumptions'!$D$11+'Assumptions'!$D$12*(0.5-(G1620+H1620)/2)</x:f>
        <x:v>0.32222222222222224</x:v>
      </x:c>
      <x:c r="J1620" s="27" t="n">
        <x:f>'Assumptions'!$D$8*EXP(-'Assumptions'!$D$9*('Fleet Engine'!E205-10))*'Assumptions'!E56*'Assumptions'!K36</x:f>
        <x:v>5601.482226767098</x:v>
      </x:c>
      <x:c r="K1620" s="27" t="n">
        <x:f>'Source Data'!F222+LN('Assumptions'!D56)+LN('Assumptions'!K35)</x:f>
        <x:v>8.056397553082528</x:v>
      </x:c>
      <x:c r="L1620" s="27" t="n">
        <x:f>J1620*(1-I1620*(1-'Carrier Engine'!E98))</x:f>
        <x:v>3868.7570579538087</x:v>
      </x:c>
      <x:c r="M1620" s="29" t="n">
        <x:f>NORM.S.DIST((LN(L1620)-K1620)/'Assumptions'!$D$10,TRUE)</x:f>
        <x:v>0.5517581623199981</x:v>
      </x:c>
      <x:c r="N1620" s="30" t="n">
        <x:f>MAX(0,H1620-MAX(G1620,M1620))</x:f>
        <x:v>0</x:v>
      </x:c>
      <x:c r="O1620" s="28" t="n">
        <x:f>J1620*I1620</x:f>
        <x:v>1804.922050847176</x:v>
      </x:c>
      <x:c r="P1620" s="27" t="n">
        <x:f>(VLOOKUP(O1620,'Fee Data'!$C$6:$G$50,2,TRUE)+O1620*VLOOKUP(O1620,'Fee Data'!$C$6:$G$50,3,TRUE)+VLOOKUP(O1620,'Fee Data'!$I$6:$J$14,2,TRUE)+'Fee Data'!$J$20+'Fee Data'!$J$21)*'Assumptions'!K37</x:f>
        <x:v>705</x:v>
      </x:c>
      <x:c r="Q1620" s="27" t="n">
        <x:f>(VLOOKUP(O1620,'Fee Data'!$C$6:$G$50,4,TRUE)+O1620*VLOOKUP(O1620,'Fee Data'!$C$6:$G$50,5,TRUE)+VLOOKUP(O1620,'Fee Data'!$I$6:$J$14,2,TRUE)+'Fee Data'!$J$20+'Fee Data'!$J$21)*'Assumptions'!K37</x:f>
        <x:v>565</x:v>
      </x:c>
      <x:c r="R1620" s="27" t="n">
        <x:f>P1620*(1-'Assumptions'!$D$14)+Q1620*'Assumptions'!$D$14</x:f>
        <x:v>635</x:v>
      </x:c>
      <x:c r="S1620" s="27" t="n">
        <x:f>O1620*'Carrier Engine'!E98</x:f>
        <x:v>72.19688203388704</x:v>
      </x:c>
      <x:c r="T1620" s="28" t="n">
        <x:f>R1620+S1620</x:f>
        <x:v>707.196882033887</x:v>
      </x:c>
      <x:c r="U1620" s="27" t="n">
        <x:f>N1620*'Fleet Engine'!M205</x:f>
        <x:v>0</x:v>
      </x:c>
      <x:c r="V1620" s="28" t="n">
        <x:f>U1620*T1620</x:f>
        <x:v>0</x:v>
      </x:c>
      <x:c r="W1620" s="28" t="n">
        <x:f>U1620*O1620</x:f>
        <x:v>0</x:v>
      </x:c>
    </x:row>
    <x:row r="1621" ht="19" customHeight="1">
      <x:c r="A1621" s="2"/>
      <x:c r="B1621" s="2"/>
      <x:c r="C1621" s="46" t="n">
        <x:v>7</x:v>
      </x:c>
      <x:c r="D1621" s="46" t="n">
        <x:v>11</x:v>
      </x:c>
      <x:c r="E1621" s="46" t="n">
        <x:v>1</x:v>
      </x:c>
      <x:c r="F1621" s="46" t="n">
        <x:v>5</x:v>
      </x:c>
      <x:c r="G1621" s="12" t="n">
        <x:v>0.4444444444444444</x:v>
      </x:c>
      <x:c r="H1621" s="12" t="n">
        <x:v>0.5555555555555556</x:v>
      </x:c>
      <x:c r="I1621" s="29" t="n">
        <x:f>'Assumptions'!$D$11+'Assumptions'!$D$12*(0.5-(G1621+H1621)/2)</x:f>
        <x:v>0.3</x:v>
      </x:c>
      <x:c r="J1621" s="27" t="n">
        <x:f>'Assumptions'!$D$8*EXP(-'Assumptions'!$D$9*('Fleet Engine'!E205-10))*'Assumptions'!E56*'Assumptions'!K36</x:f>
        <x:v>5601.482226767098</x:v>
      </x:c>
      <x:c r="K1621" s="27" t="n">
        <x:f>'Source Data'!F222+LN('Assumptions'!D56)+LN('Assumptions'!K35)</x:f>
        <x:v>8.056397553082528</x:v>
      </x:c>
      <x:c r="L1621" s="27" t="n">
        <x:f>J1621*(1-I1621*(1-'Carrier Engine'!E98))</x:f>
        <x:v>3988.2553454581735</x:v>
      </x:c>
      <x:c r="M1621" s="29" t="n">
        <x:f>NORM.S.DIST((LN(L1621)-K1621)/'Assumptions'!$D$10,TRUE)</x:f>
        <x:v>0.559411856481953</x:v>
      </x:c>
      <x:c r="N1621" s="30" t="n">
        <x:f>MAX(0,H1621-MAX(G1621,M1621))</x:f>
        <x:v>0</x:v>
      </x:c>
      <x:c r="O1621" s="28" t="n">
        <x:f>J1621*I1621</x:f>
        <x:v>1680.4446680301294</x:v>
      </x:c>
      <x:c r="P1621" s="27" t="n">
        <x:f>(VLOOKUP(O1621,'Fee Data'!$C$6:$G$50,2,TRUE)+O1621*VLOOKUP(O1621,'Fee Data'!$C$6:$G$50,3,TRUE)+VLOOKUP(O1621,'Fee Data'!$I$6:$J$14,2,TRUE)+'Fee Data'!$J$20+'Fee Data'!$J$21)*'Assumptions'!K37</x:f>
        <x:v>660</x:v>
      </x:c>
      <x:c r="Q1621" s="27" t="n">
        <x:f>(VLOOKUP(O1621,'Fee Data'!$C$6:$G$50,4,TRUE)+O1621*VLOOKUP(O1621,'Fee Data'!$C$6:$G$50,5,TRUE)+VLOOKUP(O1621,'Fee Data'!$I$6:$J$14,2,TRUE)+'Fee Data'!$J$20+'Fee Data'!$J$21)*'Assumptions'!K37</x:f>
        <x:v>525</x:v>
      </x:c>
      <x:c r="R1621" s="27" t="n">
        <x:f>P1621*(1-'Assumptions'!$D$14)+Q1621*'Assumptions'!$D$14</x:f>
        <x:v>592.5</x:v>
      </x:c>
      <x:c r="S1621" s="27" t="n">
        <x:f>O1621*'Carrier Engine'!E98</x:f>
        <x:v>67.21778672120516</x:v>
      </x:c>
      <x:c r="T1621" s="28" t="n">
        <x:f>R1621+S1621</x:f>
        <x:v>659.7177867212051</x:v>
      </x:c>
      <x:c r="U1621" s="27" t="n">
        <x:f>N1621*'Fleet Engine'!M205</x:f>
        <x:v>0</x:v>
      </x:c>
      <x:c r="V1621" s="28" t="n">
        <x:f>U1621*T1621</x:f>
        <x:v>0</x:v>
      </x:c>
      <x:c r="W1621" s="28" t="n">
        <x:f>U1621*O1621</x:f>
        <x:v>0</x:v>
      </x:c>
    </x:row>
    <x:row r="1622" ht="19" customHeight="1">
      <x:c r="A1622" s="2"/>
      <x:c r="B1622" s="2"/>
      <x:c r="C1622" s="46" t="n">
        <x:v>7</x:v>
      </x:c>
      <x:c r="D1622" s="46" t="n">
        <x:v>11</x:v>
      </x:c>
      <x:c r="E1622" s="46" t="n">
        <x:v>1</x:v>
      </x:c>
      <x:c r="F1622" s="46" t="n">
        <x:v>5</x:v>
      </x:c>
      <x:c r="G1622" s="12" t="n">
        <x:v>0.5555555555555556</x:v>
      </x:c>
      <x:c r="H1622" s="12" t="n">
        <x:v>0.6666666666666666</x:v>
      </x:c>
      <x:c r="I1622" s="29" t="n">
        <x:f>'Assumptions'!$D$11+'Assumptions'!$D$12*(0.5-(G1622+H1622)/2)</x:f>
        <x:v>0.27777777777777773</x:v>
      </x:c>
      <x:c r="J1622" s="27" t="n">
        <x:f>'Assumptions'!$D$8*EXP(-'Assumptions'!$D$9*('Fleet Engine'!E205-10))*'Assumptions'!E56*'Assumptions'!K36</x:f>
        <x:v>5601.482226767098</x:v>
      </x:c>
      <x:c r="K1622" s="27" t="n">
        <x:f>'Source Data'!F222+LN('Assumptions'!D56)+LN('Assumptions'!K35)</x:f>
        <x:v>8.056397553082528</x:v>
      </x:c>
      <x:c r="L1622" s="27" t="n">
        <x:f>J1622*(1-I1622*(1-'Carrier Engine'!E98))</x:f>
        <x:v>4107.753632962539</x:v>
      </x:c>
      <x:c r="M1622" s="29" t="n">
        <x:f>NORM.S.DIST((LN(L1622)-K1622)/'Assumptions'!$D$10,TRUE)</x:f>
        <x:v>0.5668184429915024</x:v>
      </x:c>
      <x:c r="N1622" s="30" t="n">
        <x:f>MAX(0,H1622-MAX(G1622,M1622))</x:f>
        <x:v>0.09984822367516422</x:v>
      </x:c>
      <x:c r="O1622" s="28" t="n">
        <x:f>J1622*I1622</x:f>
        <x:v>1555.9672852130825</x:v>
      </x:c>
      <x:c r="P1622" s="27" t="n">
        <x:f>(VLOOKUP(O1622,'Fee Data'!$C$6:$G$50,2,TRUE)+O1622*VLOOKUP(O1622,'Fee Data'!$C$6:$G$50,3,TRUE)+VLOOKUP(O1622,'Fee Data'!$I$6:$J$14,2,TRUE)+'Fee Data'!$J$20+'Fee Data'!$J$21)*'Assumptions'!K37</x:f>
        <x:v>640</x:v>
      </x:c>
      <x:c r="Q1622" s="27" t="n">
        <x:f>(VLOOKUP(O1622,'Fee Data'!$C$6:$G$50,4,TRUE)+O1622*VLOOKUP(O1622,'Fee Data'!$C$6:$G$50,5,TRUE)+VLOOKUP(O1622,'Fee Data'!$I$6:$J$14,2,TRUE)+'Fee Data'!$J$20+'Fee Data'!$J$21)*'Assumptions'!K37</x:f>
        <x:v>510</x:v>
      </x:c>
      <x:c r="R1622" s="27" t="n">
        <x:f>P1622*(1-'Assumptions'!$D$14)+Q1622*'Assumptions'!$D$14</x:f>
        <x:v>575</x:v>
      </x:c>
      <x:c r="S1622" s="27" t="n">
        <x:f>O1622*'Carrier Engine'!E98</x:f>
        <x:v>62.23869140852329</x:v>
      </x:c>
      <x:c r="T1622" s="28" t="n">
        <x:f>R1622+S1622</x:f>
        <x:v>637.2386914085233</x:v>
      </x:c>
      <x:c r="U1622" s="27" t="n">
        <x:f>N1622*'Fleet Engine'!M205</x:f>
        <x:v>1195.3139879442258</x:v>
      </x:c>
      <x:c r="V1622" s="28" t="n">
        <x:f>U1622*T1622</x:f>
        <x:v>761700.3214998819</x:v>
      </x:c>
      <x:c r="W1622" s="28" t="n">
        <x:f>U1622*O1622</x:f>
        <x:v>1859869.4607988002</x:v>
      </x:c>
    </x:row>
    <x:row r="1623" ht="19" customHeight="1">
      <x:c r="A1623" s="2"/>
      <x:c r="B1623" s="2"/>
      <x:c r="C1623" s="46" t="n">
        <x:v>7</x:v>
      </x:c>
      <x:c r="D1623" s="46" t="n">
        <x:v>11</x:v>
      </x:c>
      <x:c r="E1623" s="46" t="n">
        <x:v>1</x:v>
      </x:c>
      <x:c r="F1623" s="46" t="n">
        <x:v>5</x:v>
      </x:c>
      <x:c r="G1623" s="12" t="n">
        <x:v>0.6666666666666666</x:v>
      </x:c>
      <x:c r="H1623" s="12" t="n">
        <x:v>0.7777777777777778</x:v>
      </x:c>
      <x:c r="I1623" s="29" t="n">
        <x:f>'Assumptions'!$D$11+'Assumptions'!$D$12*(0.5-(G1623+H1623)/2)</x:f>
        <x:v>0.25555555555555554</x:v>
      </x:c>
      <x:c r="J1623" s="27" t="n">
        <x:f>'Assumptions'!$D$8*EXP(-'Assumptions'!$D$9*('Fleet Engine'!E205-10))*'Assumptions'!E56*'Assumptions'!K36</x:f>
        <x:v>5601.482226767098</x:v>
      </x:c>
      <x:c r="K1623" s="27" t="n">
        <x:f>'Source Data'!F222+LN('Assumptions'!D56)+LN('Assumptions'!K35)</x:f>
        <x:v>8.056397553082528</x:v>
      </x:c>
      <x:c r="L1623" s="27" t="n">
        <x:f>J1623*(1-I1623*(1-'Carrier Engine'!E98))</x:f>
        <x:v>4227.251920466903</x:v>
      </x:c>
      <x:c r="M1623" s="29" t="n">
        <x:f>NORM.S.DIST((LN(L1623)-K1623)/'Assumptions'!$D$10,TRUE)</x:f>
        <x:v>0.5739902484750252</x:v>
      </x:c>
      <x:c r="N1623" s="30" t="n">
        <x:f>MAX(0,H1623-MAX(G1623,M1623))</x:f>
        <x:v>0.11111111111111116</x:v>
      </x:c>
      <x:c r="O1623" s="28" t="n">
        <x:f>J1623*I1623</x:f>
        <x:v>1431.489902396036</x:v>
      </x:c>
      <x:c r="P1623" s="27" t="n">
        <x:f>(VLOOKUP(O1623,'Fee Data'!$C$6:$G$50,2,TRUE)+O1623*VLOOKUP(O1623,'Fee Data'!$C$6:$G$50,3,TRUE)+VLOOKUP(O1623,'Fee Data'!$I$6:$J$14,2,TRUE)+'Fee Data'!$J$20+'Fee Data'!$J$21)*'Assumptions'!K37</x:f>
        <x:v>615</x:v>
      </x:c>
      <x:c r="Q1623" s="27" t="n">
        <x:f>(VLOOKUP(O1623,'Fee Data'!$C$6:$G$50,4,TRUE)+O1623*VLOOKUP(O1623,'Fee Data'!$C$6:$G$50,5,TRUE)+VLOOKUP(O1623,'Fee Data'!$I$6:$J$14,2,TRUE)+'Fee Data'!$J$20+'Fee Data'!$J$21)*'Assumptions'!K37</x:f>
        <x:v>485</x:v>
      </x:c>
      <x:c r="R1623" s="27" t="n">
        <x:f>P1623*(1-'Assumptions'!$D$14)+Q1623*'Assumptions'!$D$14</x:f>
        <x:v>550</x:v>
      </x:c>
      <x:c r="S1623" s="27" t="n">
        <x:f>O1623*'Carrier Engine'!E98</x:f>
        <x:v>57.25959609584144</x:v>
      </x:c>
      <x:c r="T1623" s="28" t="n">
        <x:f>R1623+S1623</x:f>
        <x:v>607.2595960958414</x:v>
      </x:c>
      <x:c r="U1623" s="27" t="n">
        <x:f>N1623*'Fleet Engine'!M205</x:f>
        <x:v>1330.145499225055</x:v>
      </x:c>
      <x:c r="V1623" s="28" t="n">
        <x:f>U1623*T1623</x:f>
        <x:v>807743.6186081081</x:v>
      </x:c>
      <x:c r="W1623" s="28" t="n">
        <x:f>U1623*O1623</x:f>
        <x:v>1904089.8508582006</x:v>
      </x:c>
    </x:row>
    <x:row r="1624" ht="19" customHeight="1">
      <x:c r="A1624" s="2"/>
      <x:c r="B1624" s="2"/>
      <x:c r="C1624" s="46" t="n">
        <x:v>7</x:v>
      </x:c>
      <x:c r="D1624" s="46" t="n">
        <x:v>11</x:v>
      </x:c>
      <x:c r="E1624" s="46" t="n">
        <x:v>1</x:v>
      </x:c>
      <x:c r="F1624" s="46" t="n">
        <x:v>5</x:v>
      </x:c>
      <x:c r="G1624" s="12" t="n">
        <x:v>0.7777777777777778</x:v>
      </x:c>
      <x:c r="H1624" s="12" t="n">
        <x:v>0.8888888888888888</x:v>
      </x:c>
      <x:c r="I1624" s="29" t="n">
        <x:f>'Assumptions'!$D$11+'Assumptions'!$D$12*(0.5-(G1624+H1624)/2)</x:f>
        <x:v>0.23333333333333334</x:v>
      </x:c>
      <x:c r="J1624" s="27" t="n">
        <x:f>'Assumptions'!$D$8*EXP(-'Assumptions'!$D$9*('Fleet Engine'!E205-10))*'Assumptions'!E56*'Assumptions'!K36</x:f>
        <x:v>5601.482226767098</x:v>
      </x:c>
      <x:c r="K1624" s="27" t="n">
        <x:f>'Source Data'!F222+LN('Assumptions'!D56)+LN('Assumptions'!K35)</x:f>
        <x:v>8.056397553082528</x:v>
      </x:c>
      <x:c r="L1624" s="27" t="n">
        <x:f>J1624*(1-I1624*(1-'Carrier Engine'!E98))</x:f>
        <x:v>4346.7502079712685</x:v>
      </x:c>
      <x:c r="M1624" s="29" t="n">
        <x:f>NORM.S.DIST((LN(L1624)-K1624)/'Assumptions'!$D$10,TRUE)</x:f>
        <x:v>0.5809387575906335</x:v>
      </x:c>
      <x:c r="N1624" s="30" t="n">
        <x:f>MAX(0,H1624-MAX(G1624,M1624))</x:f>
        <x:v>0.11111111111111105</x:v>
      </x:c>
      <x:c r="O1624" s="28" t="n">
        <x:f>J1624*I1624</x:f>
        <x:v>1307.0125195789894</x:v>
      </x:c>
      <x:c r="P1624" s="27" t="n">
        <x:f>(VLOOKUP(O1624,'Fee Data'!$C$6:$G$50,2,TRUE)+O1624*VLOOKUP(O1624,'Fee Data'!$C$6:$G$50,3,TRUE)+VLOOKUP(O1624,'Fee Data'!$I$6:$J$14,2,TRUE)+'Fee Data'!$J$20+'Fee Data'!$J$21)*'Assumptions'!K37</x:f>
        <x:v>595</x:v>
      </x:c>
      <x:c r="Q1624" s="27" t="n">
        <x:f>(VLOOKUP(O1624,'Fee Data'!$C$6:$G$50,4,TRUE)+O1624*VLOOKUP(O1624,'Fee Data'!$C$6:$G$50,5,TRUE)+VLOOKUP(O1624,'Fee Data'!$I$6:$J$14,2,TRUE)+'Fee Data'!$J$20+'Fee Data'!$J$21)*'Assumptions'!K37</x:f>
        <x:v>470</x:v>
      </x:c>
      <x:c r="R1624" s="27" t="n">
        <x:f>P1624*(1-'Assumptions'!$D$14)+Q1624*'Assumptions'!$D$14</x:f>
        <x:v>532.5</x:v>
      </x:c>
      <x:c r="S1624" s="27" t="n">
        <x:f>O1624*'Carrier Engine'!E98</x:f>
        <x:v>52.28050078315957</x:v>
      </x:c>
      <x:c r="T1624" s="28" t="n">
        <x:f>R1624+S1624</x:f>
        <x:v>584.7805007831596</x:v>
      </x:c>
      <x:c r="U1624" s="27" t="n">
        <x:f>N1624*'Fleet Engine'!M205</x:f>
        <x:v>1330.1454992250535</x:v>
      </x:c>
      <x:c r="V1624" s="28" t="n">
        <x:f>U1624*T1624</x:f>
        <x:v>777843.1511512926</x:v>
      </x:c>
      <x:c r="W1624" s="28" t="n">
        <x:f>U1624*O1624</x:f>
        <x:v>1738516.82034879</x:v>
      </x:c>
    </x:row>
    <x:row r="1625" ht="19" customHeight="1">
      <x:c r="A1625" s="2"/>
      <x:c r="B1625" s="2"/>
      <x:c r="C1625" s="46" t="n">
        <x:v>7</x:v>
      </x:c>
      <x:c r="D1625" s="46" t="n">
        <x:v>11</x:v>
      </x:c>
      <x:c r="E1625" s="46" t="n">
        <x:v>1</x:v>
      </x:c>
      <x:c r="F1625" s="46" t="n">
        <x:v>5</x:v>
      </x:c>
      <x:c r="G1625" s="12" t="n">
        <x:v>0.8888888888888888</x:v>
      </x:c>
      <x:c r="H1625" s="12" t="n">
        <x:v>1</x:v>
      </x:c>
      <x:c r="I1625" s="29" t="n">
        <x:f>'Assumptions'!$D$11+'Assumptions'!$D$12*(0.5-(G1625+H1625)/2)</x:f>
        <x:v>0.21111111111111108</x:v>
      </x:c>
      <x:c r="J1625" s="27" t="n">
        <x:f>'Assumptions'!$D$8*EXP(-'Assumptions'!$D$9*('Fleet Engine'!E205-10))*'Assumptions'!E56*'Assumptions'!K36</x:f>
        <x:v>5601.482226767098</x:v>
      </x:c>
      <x:c r="K1625" s="27" t="n">
        <x:f>'Source Data'!F222+LN('Assumptions'!D56)+LN('Assumptions'!K35)</x:f>
        <x:v>8.056397553082528</x:v>
      </x:c>
      <x:c r="L1625" s="27" t="n">
        <x:f>J1625*(1-I1625*(1-'Carrier Engine'!E98))</x:f>
        <x:v>4466.248495475633</x:v>
      </x:c>
      <x:c r="M1625" s="29" t="n">
        <x:f>NORM.S.DIST((LN(L1625)-K1625)/'Assumptions'!$D$10,TRUE)</x:f>
        <x:v>0.5876746859896276</x:v>
      </x:c>
      <x:c r="N1625" s="30" t="n">
        <x:f>MAX(0,H1625-MAX(G1625,M1625))</x:f>
        <x:v>0.11111111111111116</x:v>
      </x:c>
      <x:c r="O1625" s="28" t="n">
        <x:f>J1625*I1625</x:f>
        <x:v>1182.5351367619428</x:v>
      </x:c>
      <x:c r="P1625" s="27" t="n">
        <x:f>(VLOOKUP(O1625,'Fee Data'!$C$6:$G$50,2,TRUE)+O1625*VLOOKUP(O1625,'Fee Data'!$C$6:$G$50,3,TRUE)+VLOOKUP(O1625,'Fee Data'!$I$6:$J$14,2,TRUE)+'Fee Data'!$J$20+'Fee Data'!$J$21)*'Assumptions'!K37</x:f>
        <x:v>560</x:v>
      </x:c>
      <x:c r="Q1625" s="27" t="n">
        <x:f>(VLOOKUP(O1625,'Fee Data'!$C$6:$G$50,4,TRUE)+O1625*VLOOKUP(O1625,'Fee Data'!$C$6:$G$50,5,TRUE)+VLOOKUP(O1625,'Fee Data'!$I$6:$J$14,2,TRUE)+'Fee Data'!$J$20+'Fee Data'!$J$21)*'Assumptions'!K37</x:f>
        <x:v>435</x:v>
      </x:c>
      <x:c r="R1625" s="27" t="n">
        <x:f>P1625*(1-'Assumptions'!$D$14)+Q1625*'Assumptions'!$D$14</x:f>
        <x:v>497.5</x:v>
      </x:c>
      <x:c r="S1625" s="27" t="n">
        <x:f>O1625*'Carrier Engine'!E98</x:f>
        <x:v>47.301405470477704</x:v>
      </x:c>
      <x:c r="T1625" s="28" t="n">
        <x:f>R1625+S1625</x:f>
        <x:v>544.8014054704777</x:v>
      </x:c>
      <x:c r="U1625" s="27" t="n">
        <x:f>N1625*'Fleet Engine'!M205</x:f>
        <x:v>1330.145499225055</x:v>
      </x:c>
      <x:c r="V1625" s="28" t="n">
        <x:f>U1625*T1625</x:f>
        <x:v>724665.13745804</x:v>
      </x:c>
      <x:c r="W1625" s="28" t="n">
        <x:f>U1625*O1625</x:f>
        <x:v>1572943.789839383</x:v>
      </x:c>
    </x:row>
    <x:row r="1626" ht="19" customHeight="1">
      <x:c r="A1626" s="2"/>
      <x:c r="B1626" s="2"/>
      <x:c r="C1626" s="46" t="n">
        <x:v>7</x:v>
      </x:c>
      <x:c r="D1626" s="46" t="n">
        <x:v>12</x:v>
      </x:c>
      <x:c r="E1626" s="46" t="n">
        <x:v>2</x:v>
      </x:c>
      <x:c r="F1626" s="46" t="n">
        <x:v>0</x:v>
      </x:c>
      <x:c r="G1626" s="12" t="n">
        <x:v>0</x:v>
      </x:c>
      <x:c r="H1626" s="12" t="n">
        <x:v>0.1111111111111111</x:v>
      </x:c>
      <x:c r="I1626" s="29" t="n">
        <x:f>'Assumptions'!$D$11+'Assumptions'!$D$12*(0.5-(G1626+H1626)/2)</x:f>
        <x:v>0.3888888888888889</x:v>
      </x:c>
      <x:c r="J1626" s="27" t="n">
        <x:f>'Assumptions'!$D$8*EXP(-'Assumptions'!$D$9*('Fleet Engine'!E206-10))*'Assumptions'!E57*'Assumptions'!K36</x:f>
        <x:v>40583.94769889355</x:v>
      </x:c>
      <x:c r="K1626" s="27" t="n">
        <x:f>'Source Data'!F217+LN('Assumptions'!D57)+LN('Assumptions'!K35)</x:f>
        <x:v>8.2942644758604</x:v>
      </x:c>
      <x:c r="L1626" s="27" t="n">
        <x:f>J1626*(1-I1626*(1-'Carrier Engine'!E98))</x:f>
        <x:v>25432.60722463996</x:v>
      </x:c>
      <x:c r="M1626" s="29" t="n">
        <x:f>NORM.S.DIST((LN(L1626)-K1626)/'Assumptions'!$D$10,TRUE)</x:f>
        <x:v>0.8805788825170106</x:v>
      </x:c>
      <x:c r="N1626" s="30" t="n">
        <x:f>MAX(0,H1626-MAX(G1626,M1626))</x:f>
        <x:v>0</x:v>
      </x:c>
      <x:c r="O1626" s="28" t="n">
        <x:f>J1626*I1626</x:f>
        <x:v>15782.646327347491</x:v>
      </x:c>
      <x:c r="P1626" s="27" t="n">
        <x:f>(VLOOKUP(O1626,'Fee Data'!$C$6:$G$50,2,TRUE)+O1626*VLOOKUP(O1626,'Fee Data'!$C$6:$G$50,3,TRUE)+VLOOKUP(O1626,'Fee Data'!$I$6:$J$14,2,TRUE)+'Fee Data'!$J$20+'Fee Data'!$J$21)*'Assumptions'!K37</x:f>
        <x:v>1433.6984745510617</x:v>
      </x:c>
      <x:c r="Q1626" s="27" t="n">
        <x:f>(VLOOKUP(O1626,'Fee Data'!$C$6:$G$50,4,TRUE)+O1626*VLOOKUP(O1626,'Fee Data'!$C$6:$G$50,5,TRUE)+VLOOKUP(O1626,'Fee Data'!$I$6:$J$14,2,TRUE)+'Fee Data'!$J$20+'Fee Data'!$J$21)*'Assumptions'!K37</x:f>
        <x:v>1196.9587796408496</x:v>
      </x:c>
      <x:c r="R1626" s="27" t="n">
        <x:f>P1626*(1-'Assumptions'!$D$14)+Q1626*'Assumptions'!$D$14</x:f>
        <x:v>1315.3286270959557</x:v>
      </x:c>
      <x:c r="S1626" s="27" t="n">
        <x:f>O1626*'Carrier Engine'!E98</x:f>
        <x:v>631.3058530938996</x:v>
      </x:c>
      <x:c r="T1626" s="28" t="n">
        <x:f>R1626+S1626</x:f>
        <x:v>1946.6344801898554</x:v>
      </x:c>
      <x:c r="U1626" s="27" t="n">
        <x:f>N1626*'Fleet Engine'!M206</x:f>
        <x:v>0</x:v>
      </x:c>
      <x:c r="V1626" s="28" t="n">
        <x:f>U1626*T1626</x:f>
        <x:v>0</x:v>
      </x:c>
      <x:c r="W1626" s="28" t="n">
        <x:f>U1626*O1626</x:f>
        <x:v>0</x:v>
      </x:c>
    </x:row>
    <x:row r="1627" ht="19" customHeight="1">
      <x:c r="A1627" s="2"/>
      <x:c r="B1627" s="2"/>
      <x:c r="C1627" s="46" t="n">
        <x:v>7</x:v>
      </x:c>
      <x:c r="D1627" s="46" t="n">
        <x:v>12</x:v>
      </x:c>
      <x:c r="E1627" s="46" t="n">
        <x:v>2</x:v>
      </x:c>
      <x:c r="F1627" s="46" t="n">
        <x:v>0</x:v>
      </x:c>
      <x:c r="G1627" s="12" t="n">
        <x:v>0.1111111111111111</x:v>
      </x:c>
      <x:c r="H1627" s="12" t="n">
        <x:v>0.2222222222222222</x:v>
      </x:c>
      <x:c r="I1627" s="29" t="n">
        <x:f>'Assumptions'!$D$11+'Assumptions'!$D$12*(0.5-(G1627+H1627)/2)</x:f>
        <x:v>0.3666666666666667</x:v>
      </x:c>
      <x:c r="J1627" s="27" t="n">
        <x:f>'Assumptions'!$D$8*EXP(-'Assumptions'!$D$9*('Fleet Engine'!E206-10))*'Assumptions'!E57*'Assumptions'!K36</x:f>
        <x:v>40583.94769889355</x:v>
      </x:c>
      <x:c r="K1627" s="27" t="n">
        <x:f>'Source Data'!F217+LN('Assumptions'!D57)+LN('Assumptions'!K35)</x:f>
        <x:v>8.2942644758604</x:v>
      </x:c>
      <x:c r="L1627" s="27" t="n">
        <x:f>J1627*(1-I1627*(1-'Carrier Engine'!E98))</x:f>
        <x:v>26298.398108883015</x:v>
      </x:c>
      <x:c r="M1627" s="29" t="n">
        <x:f>NORM.S.DIST((LN(L1627)-K1627)/'Assumptions'!$D$10,TRUE)</x:f>
        <x:v>0.8847758792317063</x:v>
      </x:c>
      <x:c r="N1627" s="30" t="n">
        <x:f>MAX(0,H1627-MAX(G1627,M1627))</x:f>
        <x:v>0</x:v>
      </x:c>
      <x:c r="O1627" s="28" t="n">
        <x:f>J1627*I1627</x:f>
        <x:v>14880.780822927636</x:v>
      </x:c>
      <x:c r="P1627" s="27" t="n">
        <x:f>(VLOOKUP(O1627,'Fee Data'!$C$6:$G$50,2,TRUE)+O1627*VLOOKUP(O1627,'Fee Data'!$C$6:$G$50,3,TRUE)+VLOOKUP(O1627,'Fee Data'!$I$6:$J$14,2,TRUE)+'Fee Data'!$J$20+'Fee Data'!$J$21)*'Assumptions'!K37</x:f>
        <x:v>1250</x:v>
      </x:c>
      <x:c r="Q1627" s="27" t="n">
        <x:f>(VLOOKUP(O1627,'Fee Data'!$C$6:$G$50,4,TRUE)+O1627*VLOOKUP(O1627,'Fee Data'!$C$6:$G$50,5,TRUE)+VLOOKUP(O1627,'Fee Data'!$I$6:$J$14,2,TRUE)+'Fee Data'!$J$20+'Fee Data'!$J$21)*'Assumptions'!K37</x:f>
        <x:v>1140</x:v>
      </x:c>
      <x:c r="R1627" s="27" t="n">
        <x:f>P1627*(1-'Assumptions'!$D$14)+Q1627*'Assumptions'!$D$14</x:f>
        <x:v>1195</x:v>
      </x:c>
      <x:c r="S1627" s="27" t="n">
        <x:f>O1627*'Carrier Engine'!E98</x:f>
        <x:v>595.2312329171053</x:v>
      </x:c>
      <x:c r="T1627" s="28" t="n">
        <x:f>R1627+S1627</x:f>
        <x:v>1790.2312329171054</x:v>
      </x:c>
      <x:c r="U1627" s="27" t="n">
        <x:f>N1627*'Fleet Engine'!M206</x:f>
        <x:v>0</x:v>
      </x:c>
      <x:c r="V1627" s="28" t="n">
        <x:f>U1627*T1627</x:f>
        <x:v>0</x:v>
      </x:c>
      <x:c r="W1627" s="28" t="n">
        <x:f>U1627*O1627</x:f>
        <x:v>0</x:v>
      </x:c>
    </x:row>
    <x:row r="1628" ht="19" customHeight="1">
      <x:c r="A1628" s="2"/>
      <x:c r="B1628" s="2"/>
      <x:c r="C1628" s="46" t="n">
        <x:v>7</x:v>
      </x:c>
      <x:c r="D1628" s="46" t="n">
        <x:v>12</x:v>
      </x:c>
      <x:c r="E1628" s="46" t="n">
        <x:v>2</x:v>
      </x:c>
      <x:c r="F1628" s="46" t="n">
        <x:v>0</x:v>
      </x:c>
      <x:c r="G1628" s="12" t="n">
        <x:v>0.2222222222222222</x:v>
      </x:c>
      <x:c r="H1628" s="12" t="n">
        <x:v>0.3333333333333333</x:v>
      </x:c>
      <x:c r="I1628" s="29" t="n">
        <x:f>'Assumptions'!$D$11+'Assumptions'!$D$12*(0.5-(G1628+H1628)/2)</x:f>
        <x:v>0.34444444444444444</x:v>
      </x:c>
      <x:c r="J1628" s="27" t="n">
        <x:f>'Assumptions'!$D$8*EXP(-'Assumptions'!$D$9*('Fleet Engine'!E206-10))*'Assumptions'!E57*'Assumptions'!K36</x:f>
        <x:v>40583.94769889355</x:v>
      </x:c>
      <x:c r="K1628" s="27" t="n">
        <x:f>'Source Data'!F217+LN('Assumptions'!D57)+LN('Assumptions'!K35)</x:f>
        <x:v>8.2942644758604</x:v>
      </x:c>
      <x:c r="L1628" s="27" t="n">
        <x:f>J1628*(1-I1628*(1-'Carrier Engine'!E98))</x:f>
        <x:v>27164.18899312608</x:v>
      </x:c>
      <x:c r="M1628" s="29" t="n">
        <x:f>NORM.S.DIST((LN(L1628)-K1628)/'Assumptions'!$D$10,TRUE)</x:f>
        <x:v>0.888736062055902</x:v>
      </x:c>
      <x:c r="N1628" s="30" t="n">
        <x:f>MAX(0,H1628-MAX(G1628,M1628))</x:f>
        <x:v>0</x:v>
      </x:c>
      <x:c r="O1628" s="28" t="n">
        <x:f>J1628*I1628</x:f>
        <x:v>13978.915318507778</x:v>
      </x:c>
      <x:c r="P1628" s="27" t="n">
        <x:f>(VLOOKUP(O1628,'Fee Data'!$C$6:$G$50,2,TRUE)+O1628*VLOOKUP(O1628,'Fee Data'!$C$6:$G$50,3,TRUE)+VLOOKUP(O1628,'Fee Data'!$I$6:$J$14,2,TRUE)+'Fee Data'!$J$20+'Fee Data'!$J$21)*'Assumptions'!K37</x:f>
        <x:v>1250</x:v>
      </x:c>
      <x:c r="Q1628" s="27" t="n">
        <x:f>(VLOOKUP(O1628,'Fee Data'!$C$6:$G$50,4,TRUE)+O1628*VLOOKUP(O1628,'Fee Data'!$C$6:$G$50,5,TRUE)+VLOOKUP(O1628,'Fee Data'!$I$6:$J$14,2,TRUE)+'Fee Data'!$J$20+'Fee Data'!$J$21)*'Assumptions'!K37</x:f>
        <x:v>1140</x:v>
      </x:c>
      <x:c r="R1628" s="27" t="n">
        <x:f>P1628*(1-'Assumptions'!$D$14)+Q1628*'Assumptions'!$D$14</x:f>
        <x:v>1195</x:v>
      </x:c>
      <x:c r="S1628" s="27" t="n">
        <x:f>O1628*'Carrier Engine'!E98</x:f>
        <x:v>559.1566127403111</x:v>
      </x:c>
      <x:c r="T1628" s="28" t="n">
        <x:f>R1628+S1628</x:f>
        <x:v>1754.1566127403112</x:v>
      </x:c>
      <x:c r="U1628" s="27" t="n">
        <x:f>N1628*'Fleet Engine'!M206</x:f>
        <x:v>0</x:v>
      </x:c>
      <x:c r="V1628" s="28" t="n">
        <x:f>U1628*T1628</x:f>
        <x:v>0</x:v>
      </x:c>
      <x:c r="W1628" s="28" t="n">
        <x:f>U1628*O1628</x:f>
        <x:v>0</x:v>
      </x:c>
    </x:row>
    <x:row r="1629" ht="19" customHeight="1">
      <x:c r="A1629" s="2"/>
      <x:c r="B1629" s="2"/>
      <x:c r="C1629" s="46" t="n">
        <x:v>7</x:v>
      </x:c>
      <x:c r="D1629" s="46" t="n">
        <x:v>12</x:v>
      </x:c>
      <x:c r="E1629" s="46" t="n">
        <x:v>2</x:v>
      </x:c>
      <x:c r="F1629" s="46" t="n">
        <x:v>0</x:v>
      </x:c>
      <x:c r="G1629" s="12" t="n">
        <x:v>0.3333333333333333</x:v>
      </x:c>
      <x:c r="H1629" s="12" t="n">
        <x:v>0.4444444444444444</x:v>
      </x:c>
      <x:c r="I1629" s="29" t="n">
        <x:f>'Assumptions'!$D$11+'Assumptions'!$D$12*(0.5-(G1629+H1629)/2)</x:f>
        <x:v>0.32222222222222224</x:v>
      </x:c>
      <x:c r="J1629" s="27" t="n">
        <x:f>'Assumptions'!$D$8*EXP(-'Assumptions'!$D$9*('Fleet Engine'!E206-10))*'Assumptions'!E57*'Assumptions'!K36</x:f>
        <x:v>40583.94769889355</x:v>
      </x:c>
      <x:c r="K1629" s="27" t="n">
        <x:f>'Source Data'!F217+LN('Assumptions'!D57)+LN('Assumptions'!K35)</x:f>
        <x:v>8.2942644758604</x:v>
      </x:c>
      <x:c r="L1629" s="27" t="n">
        <x:f>J1629*(1-I1629*(1-'Carrier Engine'!E98))</x:f>
        <x:v>28029.979877369144</x:v>
      </x:c>
      <x:c r="M1629" s="29" t="n">
        <x:f>NORM.S.DIST((LN(L1629)-K1629)/'Assumptions'!$D$10,TRUE)</x:f>
        <x:v>0.8924781519277265</x:v>
      </x:c>
      <x:c r="N1629" s="30" t="n">
        <x:f>MAX(0,H1629-MAX(G1629,M1629))</x:f>
        <x:v>0</x:v>
      </x:c>
      <x:c r="O1629" s="28" t="n">
        <x:f>J1629*I1629</x:f>
        <x:v>13077.049814087923</x:v>
      </x:c>
      <x:c r="P1629" s="27" t="n">
        <x:f>(VLOOKUP(O1629,'Fee Data'!$C$6:$G$50,2,TRUE)+O1629*VLOOKUP(O1629,'Fee Data'!$C$6:$G$50,3,TRUE)+VLOOKUP(O1629,'Fee Data'!$I$6:$J$14,2,TRUE)+'Fee Data'!$J$20+'Fee Data'!$J$21)*'Assumptions'!K37</x:f>
        <x:v>1250</x:v>
      </x:c>
      <x:c r="Q1629" s="27" t="n">
        <x:f>(VLOOKUP(O1629,'Fee Data'!$C$6:$G$50,4,TRUE)+O1629*VLOOKUP(O1629,'Fee Data'!$C$6:$G$50,5,TRUE)+VLOOKUP(O1629,'Fee Data'!$I$6:$J$14,2,TRUE)+'Fee Data'!$J$20+'Fee Data'!$J$21)*'Assumptions'!K37</x:f>
        <x:v>1140</x:v>
      </x:c>
      <x:c r="R1629" s="27" t="n">
        <x:f>P1629*(1-'Assumptions'!$D$14)+Q1629*'Assumptions'!$D$14</x:f>
        <x:v>1195</x:v>
      </x:c>
      <x:c r="S1629" s="27" t="n">
        <x:f>O1629*'Carrier Engine'!E98</x:f>
        <x:v>523.0819925635168</x:v>
      </x:c>
      <x:c r="T1629" s="28" t="n">
        <x:f>R1629+S1629</x:f>
        <x:v>1718.081992563517</x:v>
      </x:c>
      <x:c r="U1629" s="27" t="n">
        <x:f>N1629*'Fleet Engine'!M206</x:f>
        <x:v>0</x:v>
      </x:c>
      <x:c r="V1629" s="28" t="n">
        <x:f>U1629*T1629</x:f>
        <x:v>0</x:v>
      </x:c>
      <x:c r="W1629" s="28" t="n">
        <x:f>U1629*O1629</x:f>
        <x:v>0</x:v>
      </x:c>
    </x:row>
    <x:row r="1630" ht="19" customHeight="1">
      <x:c r="A1630" s="2"/>
      <x:c r="B1630" s="2"/>
      <x:c r="C1630" s="46" t="n">
        <x:v>7</x:v>
      </x:c>
      <x:c r="D1630" s="46" t="n">
        <x:v>12</x:v>
      </x:c>
      <x:c r="E1630" s="46" t="n">
        <x:v>2</x:v>
      </x:c>
      <x:c r="F1630" s="46" t="n">
        <x:v>0</x:v>
      </x:c>
      <x:c r="G1630" s="12" t="n">
        <x:v>0.4444444444444444</x:v>
      </x:c>
      <x:c r="H1630" s="12" t="n">
        <x:v>0.5555555555555556</x:v>
      </x:c>
      <x:c r="I1630" s="29" t="n">
        <x:f>'Assumptions'!$D$11+'Assumptions'!$D$12*(0.5-(G1630+H1630)/2)</x:f>
        <x:v>0.3</x:v>
      </x:c>
      <x:c r="J1630" s="27" t="n">
        <x:f>'Assumptions'!$D$8*EXP(-'Assumptions'!$D$9*('Fleet Engine'!E206-10))*'Assumptions'!E57*'Assumptions'!K36</x:f>
        <x:v>40583.94769889355</x:v>
      </x:c>
      <x:c r="K1630" s="27" t="n">
        <x:f>'Source Data'!F217+LN('Assumptions'!D57)+LN('Assumptions'!K35)</x:f>
        <x:v>8.2942644758604</x:v>
      </x:c>
      <x:c r="L1630" s="27" t="n">
        <x:f>J1630*(1-I1630*(1-'Carrier Engine'!E98))</x:f>
        <x:v>28895.770761612206</x:v>
      </x:c>
      <x:c r="M1630" s="29" t="n">
        <x:f>NORM.S.DIST((LN(L1630)-K1630)/'Assumptions'!$D$10,TRUE)</x:f>
        <x:v>0.8960189619269877</x:v>
      </x:c>
      <x:c r="N1630" s="30" t="n">
        <x:f>MAX(0,H1630-MAX(G1630,M1630))</x:f>
        <x:v>0</x:v>
      </x:c>
      <x:c r="O1630" s="28" t="n">
        <x:f>J1630*I1630</x:f>
        <x:v>12175.184309668064</x:v>
      </x:c>
      <x:c r="P1630" s="27" t="n">
        <x:f>(VLOOKUP(O1630,'Fee Data'!$C$6:$G$50,2,TRUE)+O1630*VLOOKUP(O1630,'Fee Data'!$C$6:$G$50,3,TRUE)+VLOOKUP(O1630,'Fee Data'!$I$6:$J$14,2,TRUE)+'Fee Data'!$J$20+'Fee Data'!$J$21)*'Assumptions'!K37</x:f>
        <x:v>1250</x:v>
      </x:c>
      <x:c r="Q1630" s="27" t="n">
        <x:f>(VLOOKUP(O1630,'Fee Data'!$C$6:$G$50,4,TRUE)+O1630*VLOOKUP(O1630,'Fee Data'!$C$6:$G$50,5,TRUE)+VLOOKUP(O1630,'Fee Data'!$I$6:$J$14,2,TRUE)+'Fee Data'!$J$20+'Fee Data'!$J$21)*'Assumptions'!K37</x:f>
        <x:v>1125</x:v>
      </x:c>
      <x:c r="R1630" s="27" t="n">
        <x:f>P1630*(1-'Assumptions'!$D$14)+Q1630*'Assumptions'!$D$14</x:f>
        <x:v>1187.5</x:v>
      </x:c>
      <x:c r="S1630" s="27" t="n">
        <x:f>O1630*'Carrier Engine'!E98</x:f>
        <x:v>487.00737238672247</x:v>
      </x:c>
      <x:c r="T1630" s="28" t="n">
        <x:f>R1630+S1630</x:f>
        <x:v>1674.5073723867224</x:v>
      </x:c>
      <x:c r="U1630" s="27" t="n">
        <x:f>N1630*'Fleet Engine'!M206</x:f>
        <x:v>0</x:v>
      </x:c>
      <x:c r="V1630" s="28" t="n">
        <x:f>U1630*T1630</x:f>
        <x:v>0</x:v>
      </x:c>
      <x:c r="W1630" s="28" t="n">
        <x:f>U1630*O1630</x:f>
        <x:v>0</x:v>
      </x:c>
    </x:row>
    <x:row r="1631" ht="19" customHeight="1">
      <x:c r="A1631" s="2"/>
      <x:c r="B1631" s="2"/>
      <x:c r="C1631" s="46" t="n">
        <x:v>7</x:v>
      </x:c>
      <x:c r="D1631" s="46" t="n">
        <x:v>12</x:v>
      </x:c>
      <x:c r="E1631" s="46" t="n">
        <x:v>2</x:v>
      </x:c>
      <x:c r="F1631" s="46" t="n">
        <x:v>0</x:v>
      </x:c>
      <x:c r="G1631" s="12" t="n">
        <x:v>0.5555555555555556</x:v>
      </x:c>
      <x:c r="H1631" s="12" t="n">
        <x:v>0.6666666666666666</x:v>
      </x:c>
      <x:c r="I1631" s="29" t="n">
        <x:f>'Assumptions'!$D$11+'Assumptions'!$D$12*(0.5-(G1631+H1631)/2)</x:f>
        <x:v>0.27777777777777773</x:v>
      </x:c>
      <x:c r="J1631" s="27" t="n">
        <x:f>'Assumptions'!$D$8*EXP(-'Assumptions'!$D$9*('Fleet Engine'!E206-10))*'Assumptions'!E57*'Assumptions'!K36</x:f>
        <x:v>40583.94769889355</x:v>
      </x:c>
      <x:c r="K1631" s="27" t="n">
        <x:f>'Source Data'!F217+LN('Assumptions'!D57)+LN('Assumptions'!K35)</x:f>
        <x:v>8.2942644758604</x:v>
      </x:c>
      <x:c r="L1631" s="27" t="n">
        <x:f>J1631*(1-I1631*(1-'Carrier Engine'!E98))</x:f>
        <x:v>29761.561645855272</x:v>
      </x:c>
      <x:c r="M1631" s="29" t="n">
        <x:f>NORM.S.DIST((LN(L1631)-K1631)/'Assumptions'!$D$10,TRUE)</x:f>
        <x:v>0.899373634683205</x:v>
      </x:c>
      <x:c r="N1631" s="30" t="n">
        <x:f>MAX(0,H1631-MAX(G1631,M1631))</x:f>
        <x:v>0</x:v>
      </x:c>
      <x:c r="O1631" s="28" t="n">
        <x:f>J1631*I1631</x:f>
        <x:v>11273.318805248206</x:v>
      </x:c>
      <x:c r="P1631" s="27" t="n">
        <x:f>(VLOOKUP(O1631,'Fee Data'!$C$6:$G$50,2,TRUE)+O1631*VLOOKUP(O1631,'Fee Data'!$C$6:$G$50,3,TRUE)+VLOOKUP(O1631,'Fee Data'!$I$6:$J$14,2,TRUE)+'Fee Data'!$J$20+'Fee Data'!$J$21)*'Assumptions'!K37</x:f>
        <x:v>1250</x:v>
      </x:c>
      <x:c r="Q1631" s="27" t="n">
        <x:f>(VLOOKUP(O1631,'Fee Data'!$C$6:$G$50,4,TRUE)+O1631*VLOOKUP(O1631,'Fee Data'!$C$6:$G$50,5,TRUE)+VLOOKUP(O1631,'Fee Data'!$I$6:$J$14,2,TRUE)+'Fee Data'!$J$20+'Fee Data'!$J$21)*'Assumptions'!K37</x:f>
        <x:v>1100</x:v>
      </x:c>
      <x:c r="R1631" s="27" t="n">
        <x:f>P1631*(1-'Assumptions'!$D$14)+Q1631*'Assumptions'!$D$14</x:f>
        <x:v>1175</x:v>
      </x:c>
      <x:c r="S1631" s="27" t="n">
        <x:f>O1631*'Carrier Engine'!E98</x:f>
        <x:v>450.93275220992814</x:v>
      </x:c>
      <x:c r="T1631" s="28" t="n">
        <x:f>R1631+S1631</x:f>
        <x:v>1625.9327522099281</x:v>
      </x:c>
      <x:c r="U1631" s="27" t="n">
        <x:f>N1631*'Fleet Engine'!M206</x:f>
        <x:v>0</x:v>
      </x:c>
      <x:c r="V1631" s="28" t="n">
        <x:f>U1631*T1631</x:f>
        <x:v>0</x:v>
      </x:c>
      <x:c r="W1631" s="28" t="n">
        <x:f>U1631*O1631</x:f>
        <x:v>0</x:v>
      </x:c>
    </x:row>
    <x:row r="1632" ht="19" customHeight="1">
      <x:c r="A1632" s="2"/>
      <x:c r="B1632" s="2"/>
      <x:c r="C1632" s="46" t="n">
        <x:v>7</x:v>
      </x:c>
      <x:c r="D1632" s="46" t="n">
        <x:v>12</x:v>
      </x:c>
      <x:c r="E1632" s="46" t="n">
        <x:v>2</x:v>
      </x:c>
      <x:c r="F1632" s="46" t="n">
        <x:v>0</x:v>
      </x:c>
      <x:c r="G1632" s="12" t="n">
        <x:v>0.6666666666666666</x:v>
      </x:c>
      <x:c r="H1632" s="12" t="n">
        <x:v>0.7777777777777778</x:v>
      </x:c>
      <x:c r="I1632" s="29" t="n">
        <x:f>'Assumptions'!$D$11+'Assumptions'!$D$12*(0.5-(G1632+H1632)/2)</x:f>
        <x:v>0.25555555555555554</x:v>
      </x:c>
      <x:c r="J1632" s="27" t="n">
        <x:f>'Assumptions'!$D$8*EXP(-'Assumptions'!$D$9*('Fleet Engine'!E206-10))*'Assumptions'!E57*'Assumptions'!K36</x:f>
        <x:v>40583.94769889355</x:v>
      </x:c>
      <x:c r="K1632" s="27" t="n">
        <x:f>'Source Data'!F217+LN('Assumptions'!D57)+LN('Assumptions'!K35)</x:f>
        <x:v>8.2942644758604</x:v>
      </x:c>
      <x:c r="L1632" s="27" t="n">
        <x:f>J1632*(1-I1632*(1-'Carrier Engine'!E98))</x:f>
        <x:v>30627.352530098335</x:v>
      </x:c>
      <x:c r="M1632" s="29" t="n">
        <x:f>NORM.S.DIST((LN(L1632)-K1632)/'Assumptions'!$D$10,TRUE)</x:f>
        <x:v>0.9025558450372322</x:v>
      </x:c>
      <x:c r="N1632" s="30" t="n">
        <x:f>MAX(0,H1632-MAX(G1632,M1632))</x:f>
        <x:v>0</x:v>
      </x:c>
      <x:c r="O1632" s="28" t="n">
        <x:f>J1632*I1632</x:f>
        <x:v>10371.45330082835</x:v>
      </x:c>
      <x:c r="P1632" s="27" t="n">
        <x:f>(VLOOKUP(O1632,'Fee Data'!$C$6:$G$50,2,TRUE)+O1632*VLOOKUP(O1632,'Fee Data'!$C$6:$G$50,3,TRUE)+VLOOKUP(O1632,'Fee Data'!$I$6:$J$14,2,TRUE)+'Fee Data'!$J$20+'Fee Data'!$J$21)*'Assumptions'!K37</x:f>
        <x:v>1250</x:v>
      </x:c>
      <x:c r="Q1632" s="27" t="n">
        <x:f>(VLOOKUP(O1632,'Fee Data'!$C$6:$G$50,4,TRUE)+O1632*VLOOKUP(O1632,'Fee Data'!$C$6:$G$50,5,TRUE)+VLOOKUP(O1632,'Fee Data'!$I$6:$J$14,2,TRUE)+'Fee Data'!$J$20+'Fee Data'!$J$21)*'Assumptions'!K37</x:f>
        <x:v>1100</x:v>
      </x:c>
      <x:c r="R1632" s="27" t="n">
        <x:f>P1632*(1-'Assumptions'!$D$14)+Q1632*'Assumptions'!$D$14</x:f>
        <x:v>1175</x:v>
      </x:c>
      <x:c r="S1632" s="27" t="n">
        <x:f>O1632*'Carrier Engine'!E98</x:f>
        <x:v>414.858132033134</x:v>
      </x:c>
      <x:c r="T1632" s="28" t="n">
        <x:f>R1632+S1632</x:f>
        <x:v>1589.858132033134</x:v>
      </x:c>
      <x:c r="U1632" s="27" t="n">
        <x:f>N1632*'Fleet Engine'!M206</x:f>
        <x:v>0</x:v>
      </x:c>
      <x:c r="V1632" s="28" t="n">
        <x:f>U1632*T1632</x:f>
        <x:v>0</x:v>
      </x:c>
      <x:c r="W1632" s="28" t="n">
        <x:f>U1632*O1632</x:f>
        <x:v>0</x:v>
      </x:c>
    </x:row>
    <x:row r="1633" ht="19" customHeight="1">
      <x:c r="A1633" s="2"/>
      <x:c r="B1633" s="2"/>
      <x:c r="C1633" s="46" t="n">
        <x:v>7</x:v>
      </x:c>
      <x:c r="D1633" s="46" t="n">
        <x:v>12</x:v>
      </x:c>
      <x:c r="E1633" s="46" t="n">
        <x:v>2</x:v>
      </x:c>
      <x:c r="F1633" s="46" t="n">
        <x:v>0</x:v>
      </x:c>
      <x:c r="G1633" s="12" t="n">
        <x:v>0.7777777777777778</x:v>
      </x:c>
      <x:c r="H1633" s="12" t="n">
        <x:v>0.8888888888888888</x:v>
      </x:c>
      <x:c r="I1633" s="29" t="n">
        <x:f>'Assumptions'!$D$11+'Assumptions'!$D$12*(0.5-(G1633+H1633)/2)</x:f>
        <x:v>0.23333333333333334</x:v>
      </x:c>
      <x:c r="J1633" s="27" t="n">
        <x:f>'Assumptions'!$D$8*EXP(-'Assumptions'!$D$9*('Fleet Engine'!E206-10))*'Assumptions'!E57*'Assumptions'!K36</x:f>
        <x:v>40583.94769889355</x:v>
      </x:c>
      <x:c r="K1633" s="27" t="n">
        <x:f>'Source Data'!F217+LN('Assumptions'!D57)+LN('Assumptions'!K35)</x:f>
        <x:v>8.2942644758604</x:v>
      </x:c>
      <x:c r="L1633" s="27" t="n">
        <x:f>J1633*(1-I1633*(1-'Carrier Engine'!E98))</x:f>
        <x:v>31493.143414341394</x:v>
      </x:c>
      <x:c r="M1633" s="29" t="n">
        <x:f>NORM.S.DIST((LN(L1633)-K1633)/'Assumptions'!$D$10,TRUE)</x:f>
        <x:v>0.9055779737778874</x:v>
      </x:c>
      <x:c r="N1633" s="30" t="n">
        <x:f>MAX(0,H1633-MAX(G1633,M1633))</x:f>
        <x:v>0</x:v>
      </x:c>
      <x:c r="O1633" s="28" t="n">
        <x:f>J1633*I1633</x:f>
        <x:v>9469.587796408496</x:v>
      </x:c>
      <x:c r="P1633" s="27" t="n">
        <x:f>(VLOOKUP(O1633,'Fee Data'!$C$6:$G$50,2,TRUE)+O1633*VLOOKUP(O1633,'Fee Data'!$C$6:$G$50,3,TRUE)+VLOOKUP(O1633,'Fee Data'!$I$6:$J$14,2,TRUE)+'Fee Data'!$J$20+'Fee Data'!$J$21)*'Assumptions'!K37</x:f>
        <x:v>1195</x:v>
      </x:c>
      <x:c r="Q1633" s="27" t="n">
        <x:f>(VLOOKUP(O1633,'Fee Data'!$C$6:$G$50,4,TRUE)+O1633*VLOOKUP(O1633,'Fee Data'!$C$6:$G$50,5,TRUE)+VLOOKUP(O1633,'Fee Data'!$I$6:$J$14,2,TRUE)+'Fee Data'!$J$20+'Fee Data'!$J$21)*'Assumptions'!K37</x:f>
        <x:v>1070</x:v>
      </x:c>
      <x:c r="R1633" s="27" t="n">
        <x:f>P1633*(1-'Assumptions'!$D$14)+Q1633*'Assumptions'!$D$14</x:f>
        <x:v>1132.5</x:v>
      </x:c>
      <x:c r="S1633" s="27" t="n">
        <x:f>O1633*'Carrier Engine'!E98</x:f>
        <x:v>378.78351185633977</x:v>
      </x:c>
      <x:c r="T1633" s="28" t="n">
        <x:f>R1633+S1633</x:f>
        <x:v>1511.2835118563398</x:v>
      </x:c>
      <x:c r="U1633" s="27" t="n">
        <x:f>N1633*'Fleet Engine'!M206</x:f>
        <x:v>0</x:v>
      </x:c>
      <x:c r="V1633" s="28" t="n">
        <x:f>U1633*T1633</x:f>
        <x:v>0</x:v>
      </x:c>
      <x:c r="W1633" s="28" t="n">
        <x:f>U1633*O1633</x:f>
        <x:v>0</x:v>
      </x:c>
    </x:row>
    <x:row r="1634" ht="19" customHeight="1">
      <x:c r="A1634" s="2"/>
      <x:c r="B1634" s="2"/>
      <x:c r="C1634" s="46" t="n">
        <x:v>7</x:v>
      </x:c>
      <x:c r="D1634" s="46" t="n">
        <x:v>12</x:v>
      </x:c>
      <x:c r="E1634" s="46" t="n">
        <x:v>2</x:v>
      </x:c>
      <x:c r="F1634" s="46" t="n">
        <x:v>0</x:v>
      </x:c>
      <x:c r="G1634" s="12" t="n">
        <x:v>0.8888888888888888</x:v>
      </x:c>
      <x:c r="H1634" s="12" t="n">
        <x:v>1</x:v>
      </x:c>
      <x:c r="I1634" s="29" t="n">
        <x:f>'Assumptions'!$D$11+'Assumptions'!$D$12*(0.5-(G1634+H1634)/2)</x:f>
        <x:v>0.21111111111111108</x:v>
      </x:c>
      <x:c r="J1634" s="27" t="n">
        <x:f>'Assumptions'!$D$8*EXP(-'Assumptions'!$D$9*('Fleet Engine'!E206-10))*'Assumptions'!E57*'Assumptions'!K36</x:f>
        <x:v>40583.94769889355</x:v>
      </x:c>
      <x:c r="K1634" s="27" t="n">
        <x:f>'Source Data'!F217+LN('Assumptions'!D57)+LN('Assumptions'!K35)</x:f>
        <x:v>8.2942644758604</x:v>
      </x:c>
      <x:c r="L1634" s="27" t="n">
        <x:f>J1634*(1-I1634*(1-'Carrier Engine'!E98))</x:f>
        <x:v>32358.934298584456</x:v>
      </x:c>
      <x:c r="M1634" s="29" t="n">
        <x:f>NORM.S.DIST((LN(L1634)-K1634)/'Assumptions'!$D$10,TRUE)</x:f>
        <x:v>0.9084512571809873</x:v>
      </x:c>
      <x:c r="N1634" s="30" t="n">
        <x:f>MAX(0,H1634-MAX(G1634,M1634))</x:f>
        <x:v>0.09154874281901271</x:v>
      </x:c>
      <x:c r="O1634" s="28" t="n">
        <x:f>J1634*I1634</x:f>
        <x:v>8567.722291988637</x:v>
      </x:c>
      <x:c r="P1634" s="27" t="n">
        <x:f>(VLOOKUP(O1634,'Fee Data'!$C$6:$G$50,2,TRUE)+O1634*VLOOKUP(O1634,'Fee Data'!$C$6:$G$50,3,TRUE)+VLOOKUP(O1634,'Fee Data'!$I$6:$J$14,2,TRUE)+'Fee Data'!$J$20+'Fee Data'!$J$21)*'Assumptions'!K37</x:f>
        <x:v>1195</x:v>
      </x:c>
      <x:c r="Q1634" s="27" t="n">
        <x:f>(VLOOKUP(O1634,'Fee Data'!$C$6:$G$50,4,TRUE)+O1634*VLOOKUP(O1634,'Fee Data'!$C$6:$G$50,5,TRUE)+VLOOKUP(O1634,'Fee Data'!$I$6:$J$14,2,TRUE)+'Fee Data'!$J$20+'Fee Data'!$J$21)*'Assumptions'!K37</x:f>
        <x:v>1070</x:v>
      </x:c>
      <x:c r="R1634" s="27" t="n">
        <x:f>P1634*(1-'Assumptions'!$D$14)+Q1634*'Assumptions'!$D$14</x:f>
        <x:v>1132.5</x:v>
      </x:c>
      <x:c r="S1634" s="27" t="n">
        <x:f>O1634*'Carrier Engine'!E98</x:f>
        <x:v>342.70889167954545</x:v>
      </x:c>
      <x:c r="T1634" s="28" t="n">
        <x:f>R1634+S1634</x:f>
        <x:v>1475.2088916795456</x:v>
      </x:c>
      <x:c r="U1634" s="27" t="n">
        <x:f>N1634*'Fleet Engine'!M206</x:f>
        <x:v>115.59969128148602</x:v>
      </x:c>
      <x:c r="V1634" s="28" t="n">
        <x:f>U1634*T1634</x:f>
        <x:v>170533.69245385862</x:v>
      </x:c>
      <x:c r="W1634" s="28" t="n">
        <x:f>U1634*O1634</x:f>
        <x:v>990426.0519393922</x:v>
      </x:c>
    </x:row>
    <x:row r="1635" ht="19" customHeight="1">
      <x:c r="A1635" s="2"/>
      <x:c r="B1635" s="2"/>
      <x:c r="C1635" s="46" t="n">
        <x:v>7</x:v>
      </x:c>
      <x:c r="D1635" s="46" t="n">
        <x:v>13</x:v>
      </x:c>
      <x:c r="E1635" s="46" t="n">
        <x:v>2</x:v>
      </x:c>
      <x:c r="F1635" s="46" t="n">
        <x:v>1</x:v>
      </x:c>
      <x:c r="G1635" s="12" t="n">
        <x:v>0</x:v>
      </x:c>
      <x:c r="H1635" s="12" t="n">
        <x:v>0.1111111111111111</x:v>
      </x:c>
      <x:c r="I1635" s="29" t="n">
        <x:f>'Assumptions'!$D$11+'Assumptions'!$D$12*(0.5-(G1635+H1635)/2)</x:f>
        <x:v>0.3888888888888889</x:v>
      </x:c>
      <x:c r="J1635" s="27" t="n">
        <x:f>'Assumptions'!$D$8*EXP(-'Assumptions'!$D$9*('Fleet Engine'!E207-10))*'Assumptions'!E57*'Assumptions'!K36</x:f>
        <x:v>33227.326062392545</x:v>
      </x:c>
      <x:c r="K1635" s="27" t="n">
        <x:f>'Source Data'!F218+LN('Assumptions'!D57)+LN('Assumptions'!K35)</x:f>
        <x:v>8.179823674316163</x:v>
      </x:c>
      <x:c r="L1635" s="27" t="n">
        <x:f>J1635*(1-I1635*(1-'Carrier Engine'!E98))</x:f>
        <x:v>20822.457665765996</x:v>
      </x:c>
      <x:c r="M1635" s="29" t="n">
        <x:f>NORM.S.DIST((LN(L1635)-K1635)/'Assumptions'!$D$10,TRUE)</x:f>
        <x:v>0.8693654103038547</x:v>
      </x:c>
      <x:c r="N1635" s="30" t="n">
        <x:f>MAX(0,H1635-MAX(G1635,M1635))</x:f>
        <x:v>0</x:v>
      </x:c>
      <x:c r="O1635" s="28" t="n">
        <x:f>J1635*I1635</x:f>
        <x:v>12921.737913152656</x:v>
      </x:c>
      <x:c r="P1635" s="27" t="n">
        <x:f>(VLOOKUP(O1635,'Fee Data'!$C$6:$G$50,2,TRUE)+O1635*VLOOKUP(O1635,'Fee Data'!$C$6:$G$50,3,TRUE)+VLOOKUP(O1635,'Fee Data'!$I$6:$J$14,2,TRUE)+'Fee Data'!$J$20+'Fee Data'!$J$21)*'Assumptions'!K37</x:f>
        <x:v>1250</x:v>
      </x:c>
      <x:c r="Q1635" s="27" t="n">
        <x:f>(VLOOKUP(O1635,'Fee Data'!$C$6:$G$50,4,TRUE)+O1635*VLOOKUP(O1635,'Fee Data'!$C$6:$G$50,5,TRUE)+VLOOKUP(O1635,'Fee Data'!$I$6:$J$14,2,TRUE)+'Fee Data'!$J$20+'Fee Data'!$J$21)*'Assumptions'!K37</x:f>
        <x:v>1140</x:v>
      </x:c>
      <x:c r="R1635" s="27" t="n">
        <x:f>P1635*(1-'Assumptions'!$D$14)+Q1635*'Assumptions'!$D$14</x:f>
        <x:v>1195</x:v>
      </x:c>
      <x:c r="S1635" s="27" t="n">
        <x:f>O1635*'Carrier Engine'!E98</x:f>
        <x:v>516.8695165261062</x:v>
      </x:c>
      <x:c r="T1635" s="28" t="n">
        <x:f>R1635+S1635</x:f>
        <x:v>1711.869516526106</x:v>
      </x:c>
      <x:c r="U1635" s="27" t="n">
        <x:f>N1635*'Fleet Engine'!M207</x:f>
        <x:v>0</x:v>
      </x:c>
      <x:c r="V1635" s="28" t="n">
        <x:f>U1635*T1635</x:f>
        <x:v>0</x:v>
      </x:c>
      <x:c r="W1635" s="28" t="n">
        <x:f>U1635*O1635</x:f>
        <x:v>0</x:v>
      </x:c>
    </x:row>
    <x:row r="1636" ht="19" customHeight="1">
      <x:c r="A1636" s="2"/>
      <x:c r="B1636" s="2"/>
      <x:c r="C1636" s="46" t="n">
        <x:v>7</x:v>
      </x:c>
      <x:c r="D1636" s="46" t="n">
        <x:v>13</x:v>
      </x:c>
      <x:c r="E1636" s="46" t="n">
        <x:v>2</x:v>
      </x:c>
      <x:c r="F1636" s="46" t="n">
        <x:v>1</x:v>
      </x:c>
      <x:c r="G1636" s="12" t="n">
        <x:v>0.1111111111111111</x:v>
      </x:c>
      <x:c r="H1636" s="12" t="n">
        <x:v>0.2222222222222222</x:v>
      </x:c>
      <x:c r="I1636" s="29" t="n">
        <x:f>'Assumptions'!$D$11+'Assumptions'!$D$12*(0.5-(G1636+H1636)/2)</x:f>
        <x:v>0.3666666666666667</x:v>
      </x:c>
      <x:c r="J1636" s="27" t="n">
        <x:f>'Assumptions'!$D$8*EXP(-'Assumptions'!$D$9*('Fleet Engine'!E207-10))*'Assumptions'!E57*'Assumptions'!K36</x:f>
        <x:v>33227.326062392545</x:v>
      </x:c>
      <x:c r="K1636" s="27" t="n">
        <x:f>'Source Data'!F218+LN('Assumptions'!D57)+LN('Assumptions'!K35)</x:f>
        <x:v>8.179823674316163</x:v>
      </x:c>
      <x:c r="L1636" s="27" t="n">
        <x:f>J1636*(1-I1636*(1-'Carrier Engine'!E98))</x:f>
        <x:v>21531.307288430366</x:v>
      </x:c>
      <x:c r="M1636" s="29" t="n">
        <x:f>NORM.S.DIST((LN(L1636)-K1636)/'Assumptions'!$D$10,TRUE)</x:f>
        <x:v>0.8738365578665881</x:v>
      </x:c>
      <x:c r="N1636" s="30" t="n">
        <x:f>MAX(0,H1636-MAX(G1636,M1636))</x:f>
        <x:v>0</x:v>
      </x:c>
      <x:c r="O1636" s="28" t="n">
        <x:f>J1636*I1636</x:f>
        <x:v>12183.352889543934</x:v>
      </x:c>
      <x:c r="P1636" s="27" t="n">
        <x:f>(VLOOKUP(O1636,'Fee Data'!$C$6:$G$50,2,TRUE)+O1636*VLOOKUP(O1636,'Fee Data'!$C$6:$G$50,3,TRUE)+VLOOKUP(O1636,'Fee Data'!$I$6:$J$14,2,TRUE)+'Fee Data'!$J$20+'Fee Data'!$J$21)*'Assumptions'!K37</x:f>
        <x:v>1250</x:v>
      </x:c>
      <x:c r="Q1636" s="27" t="n">
        <x:f>(VLOOKUP(O1636,'Fee Data'!$C$6:$G$50,4,TRUE)+O1636*VLOOKUP(O1636,'Fee Data'!$C$6:$G$50,5,TRUE)+VLOOKUP(O1636,'Fee Data'!$I$6:$J$14,2,TRUE)+'Fee Data'!$J$20+'Fee Data'!$J$21)*'Assumptions'!K37</x:f>
        <x:v>1125</x:v>
      </x:c>
      <x:c r="R1636" s="27" t="n">
        <x:f>P1636*(1-'Assumptions'!$D$14)+Q1636*'Assumptions'!$D$14</x:f>
        <x:v>1187.5</x:v>
      </x:c>
      <x:c r="S1636" s="27" t="n">
        <x:f>O1636*'Carrier Engine'!E98</x:f>
        <x:v>487.33411558175726</x:v>
      </x:c>
      <x:c r="T1636" s="28" t="n">
        <x:f>R1636+S1636</x:f>
        <x:v>1674.8341155817573</x:v>
      </x:c>
      <x:c r="U1636" s="27" t="n">
        <x:f>N1636*'Fleet Engine'!M207</x:f>
        <x:v>0</x:v>
      </x:c>
      <x:c r="V1636" s="28" t="n">
        <x:f>U1636*T1636</x:f>
        <x:v>0</x:v>
      </x:c>
      <x:c r="W1636" s="28" t="n">
        <x:f>U1636*O1636</x:f>
        <x:v>0</x:v>
      </x:c>
    </x:row>
    <x:row r="1637" ht="19" customHeight="1">
      <x:c r="A1637" s="2"/>
      <x:c r="B1637" s="2"/>
      <x:c r="C1637" s="46" t="n">
        <x:v>7</x:v>
      </x:c>
      <x:c r="D1637" s="46" t="n">
        <x:v>13</x:v>
      </x:c>
      <x:c r="E1637" s="46" t="n">
        <x:v>2</x:v>
      </x:c>
      <x:c r="F1637" s="46" t="n">
        <x:v>1</x:v>
      </x:c>
      <x:c r="G1637" s="12" t="n">
        <x:v>0.2222222222222222</x:v>
      </x:c>
      <x:c r="H1637" s="12" t="n">
        <x:v>0.3333333333333333</x:v>
      </x:c>
      <x:c r="I1637" s="29" t="n">
        <x:f>'Assumptions'!$D$11+'Assumptions'!$D$12*(0.5-(G1637+H1637)/2)</x:f>
        <x:v>0.34444444444444444</x:v>
      </x:c>
      <x:c r="J1637" s="27" t="n">
        <x:f>'Assumptions'!$D$8*EXP(-'Assumptions'!$D$9*('Fleet Engine'!E207-10))*'Assumptions'!E57*'Assumptions'!K36</x:f>
        <x:v>33227.326062392545</x:v>
      </x:c>
      <x:c r="K1637" s="27" t="n">
        <x:f>'Source Data'!F218+LN('Assumptions'!D57)+LN('Assumptions'!K35)</x:f>
        <x:v>8.179823674316163</x:v>
      </x:c>
      <x:c r="L1637" s="27" t="n">
        <x:f>J1637*(1-I1637*(1-'Carrier Engine'!E98))</x:f>
        <x:v>22240.156911094742</x:v>
      </x:c>
      <x:c r="M1637" s="29" t="n">
        <x:f>NORM.S.DIST((LN(L1637)-K1637)/'Assumptions'!$D$10,TRUE)</x:f>
        <x:v>0.8780602474996113</x:v>
      </x:c>
      <x:c r="N1637" s="30" t="n">
        <x:f>MAX(0,H1637-MAX(G1637,M1637))</x:f>
        <x:v>0</x:v>
      </x:c>
      <x:c r="O1637" s="28" t="n">
        <x:f>J1637*I1637</x:f>
        <x:v>11444.96786593521</x:v>
      </x:c>
      <x:c r="P1637" s="27" t="n">
        <x:f>(VLOOKUP(O1637,'Fee Data'!$C$6:$G$50,2,TRUE)+O1637*VLOOKUP(O1637,'Fee Data'!$C$6:$G$50,3,TRUE)+VLOOKUP(O1637,'Fee Data'!$I$6:$J$14,2,TRUE)+'Fee Data'!$J$20+'Fee Data'!$J$21)*'Assumptions'!K37</x:f>
        <x:v>1250</x:v>
      </x:c>
      <x:c r="Q1637" s="27" t="n">
        <x:f>(VLOOKUP(O1637,'Fee Data'!$C$6:$G$50,4,TRUE)+O1637*VLOOKUP(O1637,'Fee Data'!$C$6:$G$50,5,TRUE)+VLOOKUP(O1637,'Fee Data'!$I$6:$J$14,2,TRUE)+'Fee Data'!$J$20+'Fee Data'!$J$21)*'Assumptions'!K37</x:f>
        <x:v>1100</x:v>
      </x:c>
      <x:c r="R1637" s="27" t="n">
        <x:f>P1637*(1-'Assumptions'!$D$14)+Q1637*'Assumptions'!$D$14</x:f>
        <x:v>1175</x:v>
      </x:c>
      <x:c r="S1637" s="27" t="n">
        <x:f>O1637*'Carrier Engine'!E98</x:f>
        <x:v>457.79871463740835</x:v>
      </x:c>
      <x:c r="T1637" s="28" t="n">
        <x:f>R1637+S1637</x:f>
        <x:v>1632.7987146374085</x:v>
      </x:c>
      <x:c r="U1637" s="27" t="n">
        <x:f>N1637*'Fleet Engine'!M207</x:f>
        <x:v>0</x:v>
      </x:c>
      <x:c r="V1637" s="28" t="n">
        <x:f>U1637*T1637</x:f>
        <x:v>0</x:v>
      </x:c>
      <x:c r="W1637" s="28" t="n">
        <x:f>U1637*O1637</x:f>
        <x:v>0</x:v>
      </x:c>
    </x:row>
    <x:row r="1638" ht="19" customHeight="1">
      <x:c r="A1638" s="2"/>
      <x:c r="B1638" s="2"/>
      <x:c r="C1638" s="46" t="n">
        <x:v>7</x:v>
      </x:c>
      <x:c r="D1638" s="46" t="n">
        <x:v>13</x:v>
      </x:c>
      <x:c r="E1638" s="46" t="n">
        <x:v>2</x:v>
      </x:c>
      <x:c r="F1638" s="46" t="n">
        <x:v>1</x:v>
      </x:c>
      <x:c r="G1638" s="12" t="n">
        <x:v>0.3333333333333333</x:v>
      </x:c>
      <x:c r="H1638" s="12" t="n">
        <x:v>0.4444444444444444</x:v>
      </x:c>
      <x:c r="I1638" s="29" t="n">
        <x:f>'Assumptions'!$D$11+'Assumptions'!$D$12*(0.5-(G1638+H1638)/2)</x:f>
        <x:v>0.32222222222222224</x:v>
      </x:c>
      <x:c r="J1638" s="27" t="n">
        <x:f>'Assumptions'!$D$8*EXP(-'Assumptions'!$D$9*('Fleet Engine'!E207-10))*'Assumptions'!E57*'Assumptions'!K36</x:f>
        <x:v>33227.326062392545</x:v>
      </x:c>
      <x:c r="K1638" s="27" t="n">
        <x:f>'Source Data'!F218+LN('Assumptions'!D57)+LN('Assumptions'!K35)</x:f>
        <x:v>8.179823674316163</x:v>
      </x:c>
      <x:c r="L1638" s="27" t="n">
        <x:f>J1638*(1-I1638*(1-'Carrier Engine'!E98))</x:f>
        <x:v>22949.00653375912</x:v>
      </x:c>
      <x:c r="M1638" s="29" t="n">
        <x:f>NORM.S.DIST((LN(L1638)-K1638)/'Assumptions'!$D$10,TRUE)</x:f>
        <x:v>0.8820557511267051</x:v>
      </x:c>
      <x:c r="N1638" s="30" t="n">
        <x:f>MAX(0,H1638-MAX(G1638,M1638))</x:f>
        <x:v>0</x:v>
      </x:c>
      <x:c r="O1638" s="28" t="n">
        <x:f>J1638*I1638</x:f>
        <x:v>10706.582842326488</x:v>
      </x:c>
      <x:c r="P1638" s="27" t="n">
        <x:f>(VLOOKUP(O1638,'Fee Data'!$C$6:$G$50,2,TRUE)+O1638*VLOOKUP(O1638,'Fee Data'!$C$6:$G$50,3,TRUE)+VLOOKUP(O1638,'Fee Data'!$I$6:$J$14,2,TRUE)+'Fee Data'!$J$20+'Fee Data'!$J$21)*'Assumptions'!K37</x:f>
        <x:v>1250</x:v>
      </x:c>
      <x:c r="Q1638" s="27" t="n">
        <x:f>(VLOOKUP(O1638,'Fee Data'!$C$6:$G$50,4,TRUE)+O1638*VLOOKUP(O1638,'Fee Data'!$C$6:$G$50,5,TRUE)+VLOOKUP(O1638,'Fee Data'!$I$6:$J$14,2,TRUE)+'Fee Data'!$J$20+'Fee Data'!$J$21)*'Assumptions'!K37</x:f>
        <x:v>1100</x:v>
      </x:c>
      <x:c r="R1638" s="27" t="n">
        <x:f>P1638*(1-'Assumptions'!$D$14)+Q1638*'Assumptions'!$D$14</x:f>
        <x:v>1175</x:v>
      </x:c>
      <x:c r="S1638" s="27" t="n">
        <x:f>O1638*'Carrier Engine'!E98</x:f>
        <x:v>428.26331369305944</x:v>
      </x:c>
      <x:c r="T1638" s="28" t="n">
        <x:f>R1638+S1638</x:f>
        <x:v>1603.2633136930594</x:v>
      </x:c>
      <x:c r="U1638" s="27" t="n">
        <x:f>N1638*'Fleet Engine'!M207</x:f>
        <x:v>0</x:v>
      </x:c>
      <x:c r="V1638" s="28" t="n">
        <x:f>U1638*T1638</x:f>
        <x:v>0</x:v>
      </x:c>
      <x:c r="W1638" s="28" t="n">
        <x:f>U1638*O1638</x:f>
        <x:v>0</x:v>
      </x:c>
    </x:row>
    <x:row r="1639" ht="19" customHeight="1">
      <x:c r="A1639" s="2"/>
      <x:c r="B1639" s="2"/>
      <x:c r="C1639" s="46" t="n">
        <x:v>7</x:v>
      </x:c>
      <x:c r="D1639" s="46" t="n">
        <x:v>13</x:v>
      </x:c>
      <x:c r="E1639" s="46" t="n">
        <x:v>2</x:v>
      </x:c>
      <x:c r="F1639" s="46" t="n">
        <x:v>1</x:v>
      </x:c>
      <x:c r="G1639" s="12" t="n">
        <x:v>0.4444444444444444</x:v>
      </x:c>
      <x:c r="H1639" s="12" t="n">
        <x:v>0.5555555555555556</x:v>
      </x:c>
      <x:c r="I1639" s="29" t="n">
        <x:f>'Assumptions'!$D$11+'Assumptions'!$D$12*(0.5-(G1639+H1639)/2)</x:f>
        <x:v>0.3</x:v>
      </x:c>
      <x:c r="J1639" s="27" t="n">
        <x:f>'Assumptions'!$D$8*EXP(-'Assumptions'!$D$9*('Fleet Engine'!E207-10))*'Assumptions'!E57*'Assumptions'!K36</x:f>
        <x:v>33227.326062392545</x:v>
      </x:c>
      <x:c r="K1639" s="27" t="n">
        <x:f>'Source Data'!F218+LN('Assumptions'!D57)+LN('Assumptions'!K35)</x:f>
        <x:v>8.179823674316163</x:v>
      </x:c>
      <x:c r="L1639" s="27" t="n">
        <x:f>J1639*(1-I1639*(1-'Carrier Engine'!E98))</x:f>
        <x:v>23657.85615642349</x:v>
      </x:c>
      <x:c r="M1639" s="29" t="n">
        <x:f>NORM.S.DIST((LN(L1639)-K1639)/'Assumptions'!$D$10,TRUE)</x:f>
        <x:v>0.8858404003889359</x:v>
      </x:c>
      <x:c r="N1639" s="30" t="n">
        <x:f>MAX(0,H1639-MAX(G1639,M1639))</x:f>
        <x:v>0</x:v>
      </x:c>
      <x:c r="O1639" s="28" t="n">
        <x:f>J1639*I1639</x:f>
        <x:v>9968.197818717763</x:v>
      </x:c>
      <x:c r="P1639" s="27" t="n">
        <x:f>(VLOOKUP(O1639,'Fee Data'!$C$6:$G$50,2,TRUE)+O1639*VLOOKUP(O1639,'Fee Data'!$C$6:$G$50,3,TRUE)+VLOOKUP(O1639,'Fee Data'!$I$6:$J$14,2,TRUE)+'Fee Data'!$J$20+'Fee Data'!$J$21)*'Assumptions'!K37</x:f>
        <x:v>1195</x:v>
      </x:c>
      <x:c r="Q1639" s="27" t="n">
        <x:f>(VLOOKUP(O1639,'Fee Data'!$C$6:$G$50,4,TRUE)+O1639*VLOOKUP(O1639,'Fee Data'!$C$6:$G$50,5,TRUE)+VLOOKUP(O1639,'Fee Data'!$I$6:$J$14,2,TRUE)+'Fee Data'!$J$20+'Fee Data'!$J$21)*'Assumptions'!K37</x:f>
        <x:v>1070</x:v>
      </x:c>
      <x:c r="R1639" s="27" t="n">
        <x:f>P1639*(1-'Assumptions'!$D$14)+Q1639*'Assumptions'!$D$14</x:f>
        <x:v>1132.5</x:v>
      </x:c>
      <x:c r="S1639" s="27" t="n">
        <x:f>O1639*'Carrier Engine'!E98</x:f>
        <x:v>398.7279127487105</x:v>
      </x:c>
      <x:c r="T1639" s="28" t="n">
        <x:f>R1639+S1639</x:f>
        <x:v>1531.2279127487104</x:v>
      </x:c>
      <x:c r="U1639" s="27" t="n">
        <x:f>N1639*'Fleet Engine'!M207</x:f>
        <x:v>0</x:v>
      </x:c>
      <x:c r="V1639" s="28" t="n">
        <x:f>U1639*T1639</x:f>
        <x:v>0</x:v>
      </x:c>
      <x:c r="W1639" s="28" t="n">
        <x:f>U1639*O1639</x:f>
        <x:v>0</x:v>
      </x:c>
    </x:row>
    <x:row r="1640" ht="19" customHeight="1">
      <x:c r="A1640" s="2"/>
      <x:c r="B1640" s="2"/>
      <x:c r="C1640" s="46" t="n">
        <x:v>7</x:v>
      </x:c>
      <x:c r="D1640" s="46" t="n">
        <x:v>13</x:v>
      </x:c>
      <x:c r="E1640" s="46" t="n">
        <x:v>2</x:v>
      </x:c>
      <x:c r="F1640" s="46" t="n">
        <x:v>1</x:v>
      </x:c>
      <x:c r="G1640" s="12" t="n">
        <x:v>0.5555555555555556</x:v>
      </x:c>
      <x:c r="H1640" s="12" t="n">
        <x:v>0.6666666666666666</x:v>
      </x:c>
      <x:c r="I1640" s="29" t="n">
        <x:f>'Assumptions'!$D$11+'Assumptions'!$D$12*(0.5-(G1640+H1640)/2)</x:f>
        <x:v>0.27777777777777773</x:v>
      </x:c>
      <x:c r="J1640" s="27" t="n">
        <x:f>'Assumptions'!$D$8*EXP(-'Assumptions'!$D$9*('Fleet Engine'!E207-10))*'Assumptions'!E57*'Assumptions'!K36</x:f>
        <x:v>33227.326062392545</x:v>
      </x:c>
      <x:c r="K1640" s="27" t="n">
        <x:f>'Source Data'!F218+LN('Assumptions'!D57)+LN('Assumptions'!K35)</x:f>
        <x:v>8.179823674316163</x:v>
      </x:c>
      <x:c r="L1640" s="27" t="n">
        <x:f>J1640*(1-I1640*(1-'Carrier Engine'!E98))</x:f>
        <x:v>24366.705779087868</x:v>
      </x:c>
      <x:c r="M1640" s="29" t="n">
        <x:f>NORM.S.DIST((LN(L1640)-K1640)/'Assumptions'!$D$10,TRUE)</x:f>
        <x:v>0.8894298256285628</x:v>
      </x:c>
      <x:c r="N1640" s="30" t="n">
        <x:f>MAX(0,H1640-MAX(G1640,M1640))</x:f>
        <x:v>0</x:v>
      </x:c>
      <x:c r="O1640" s="28" t="n">
        <x:f>J1640*I1640</x:f>
        <x:v>9229.81279510904</x:v>
      </x:c>
      <x:c r="P1640" s="27" t="n">
        <x:f>(VLOOKUP(O1640,'Fee Data'!$C$6:$G$50,2,TRUE)+O1640*VLOOKUP(O1640,'Fee Data'!$C$6:$G$50,3,TRUE)+VLOOKUP(O1640,'Fee Data'!$I$6:$J$14,2,TRUE)+'Fee Data'!$J$20+'Fee Data'!$J$21)*'Assumptions'!K37</x:f>
        <x:v>1195</x:v>
      </x:c>
      <x:c r="Q1640" s="27" t="n">
        <x:f>(VLOOKUP(O1640,'Fee Data'!$C$6:$G$50,4,TRUE)+O1640*VLOOKUP(O1640,'Fee Data'!$C$6:$G$50,5,TRUE)+VLOOKUP(O1640,'Fee Data'!$I$6:$J$14,2,TRUE)+'Fee Data'!$J$20+'Fee Data'!$J$21)*'Assumptions'!K37</x:f>
        <x:v>1070</x:v>
      </x:c>
      <x:c r="R1640" s="27" t="n">
        <x:f>P1640*(1-'Assumptions'!$D$14)+Q1640*'Assumptions'!$D$14</x:f>
        <x:v>1132.5</x:v>
      </x:c>
      <x:c r="S1640" s="27" t="n">
        <x:f>O1640*'Carrier Engine'!E98</x:f>
        <x:v>369.1925118043615</x:v>
      </x:c>
      <x:c r="T1640" s="28" t="n">
        <x:f>R1640+S1640</x:f>
        <x:v>1501.6925118043614</x:v>
      </x:c>
      <x:c r="U1640" s="27" t="n">
        <x:f>N1640*'Fleet Engine'!M207</x:f>
        <x:v>0</x:v>
      </x:c>
      <x:c r="V1640" s="28" t="n">
        <x:f>U1640*T1640</x:f>
        <x:v>0</x:v>
      </x:c>
      <x:c r="W1640" s="28" t="n">
        <x:f>U1640*O1640</x:f>
        <x:v>0</x:v>
      </x:c>
    </x:row>
    <x:row r="1641" ht="19" customHeight="1">
      <x:c r="A1641" s="2"/>
      <x:c r="B1641" s="2"/>
      <x:c r="C1641" s="46" t="n">
        <x:v>7</x:v>
      </x:c>
      <x:c r="D1641" s="46" t="n">
        <x:v>13</x:v>
      </x:c>
      <x:c r="E1641" s="46" t="n">
        <x:v>2</x:v>
      </x:c>
      <x:c r="F1641" s="46" t="n">
        <x:v>1</x:v>
      </x:c>
      <x:c r="G1641" s="12" t="n">
        <x:v>0.6666666666666666</x:v>
      </x:c>
      <x:c r="H1641" s="12" t="n">
        <x:v>0.7777777777777778</x:v>
      </x:c>
      <x:c r="I1641" s="29" t="n">
        <x:f>'Assumptions'!$D$11+'Assumptions'!$D$12*(0.5-(G1641+H1641)/2)</x:f>
        <x:v>0.25555555555555554</x:v>
      </x:c>
      <x:c r="J1641" s="27" t="n">
        <x:f>'Assumptions'!$D$8*EXP(-'Assumptions'!$D$9*('Fleet Engine'!E207-10))*'Assumptions'!E57*'Assumptions'!K36</x:f>
        <x:v>33227.326062392545</x:v>
      </x:c>
      <x:c r="K1641" s="27" t="n">
        <x:f>'Source Data'!F218+LN('Assumptions'!D57)+LN('Assumptions'!K35)</x:f>
        <x:v>8.179823674316163</x:v>
      </x:c>
      <x:c r="L1641" s="27" t="n">
        <x:f>J1641*(1-I1641*(1-'Carrier Engine'!E98))</x:f>
        <x:v>25075.55540175224</x:v>
      </x:c>
      <x:c r="M1641" s="29" t="n">
        <x:f>NORM.S.DIST((LN(L1641)-K1641)/'Assumptions'!$D$10,TRUE)</x:f>
        <x:v>0.8928381602043821</x:v>
      </x:c>
      <x:c r="N1641" s="30" t="n">
        <x:f>MAX(0,H1641-MAX(G1641,M1641))</x:f>
        <x:v>0</x:v>
      </x:c>
      <x:c r="O1641" s="28" t="n">
        <x:f>J1641*I1641</x:f>
        <x:v>8491.427771500317</x:v>
      </x:c>
      <x:c r="P1641" s="27" t="n">
        <x:f>(VLOOKUP(O1641,'Fee Data'!$C$6:$G$50,2,TRUE)+O1641*VLOOKUP(O1641,'Fee Data'!$C$6:$G$50,3,TRUE)+VLOOKUP(O1641,'Fee Data'!$I$6:$J$14,2,TRUE)+'Fee Data'!$J$20+'Fee Data'!$J$21)*'Assumptions'!K37</x:f>
        <x:v>1175</x:v>
      </x:c>
      <x:c r="Q1641" s="27" t="n">
        <x:f>(VLOOKUP(O1641,'Fee Data'!$C$6:$G$50,4,TRUE)+O1641*VLOOKUP(O1641,'Fee Data'!$C$6:$G$50,5,TRUE)+VLOOKUP(O1641,'Fee Data'!$I$6:$J$14,2,TRUE)+'Fee Data'!$J$20+'Fee Data'!$J$21)*'Assumptions'!K37</x:f>
        <x:v>1050</x:v>
      </x:c>
      <x:c r="R1641" s="27" t="n">
        <x:f>P1641*(1-'Assumptions'!$D$14)+Q1641*'Assumptions'!$D$14</x:f>
        <x:v>1112.5</x:v>
      </x:c>
      <x:c r="S1641" s="27" t="n">
        <x:f>O1641*'Carrier Engine'!E98</x:f>
        <x:v>339.65711086001266</x:v>
      </x:c>
      <x:c r="T1641" s="28" t="n">
        <x:f>R1641+S1641</x:f>
        <x:v>1452.1571108600126</x:v>
      </x:c>
      <x:c r="U1641" s="27" t="n">
        <x:f>N1641*'Fleet Engine'!M207</x:f>
        <x:v>0</x:v>
      </x:c>
      <x:c r="V1641" s="28" t="n">
        <x:f>U1641*T1641</x:f>
        <x:v>0</x:v>
      </x:c>
      <x:c r="W1641" s="28" t="n">
        <x:f>U1641*O1641</x:f>
        <x:v>0</x:v>
      </x:c>
    </x:row>
    <x:row r="1642" ht="19" customHeight="1">
      <x:c r="A1642" s="2"/>
      <x:c r="B1642" s="2"/>
      <x:c r="C1642" s="46" t="n">
        <x:v>7</x:v>
      </x:c>
      <x:c r="D1642" s="46" t="n">
        <x:v>13</x:v>
      </x:c>
      <x:c r="E1642" s="46" t="n">
        <x:v>2</x:v>
      </x:c>
      <x:c r="F1642" s="46" t="n">
        <x:v>1</x:v>
      </x:c>
      <x:c r="G1642" s="12" t="n">
        <x:v>0.7777777777777778</x:v>
      </x:c>
      <x:c r="H1642" s="12" t="n">
        <x:v>0.8888888888888888</x:v>
      </x:c>
      <x:c r="I1642" s="29" t="n">
        <x:f>'Assumptions'!$D$11+'Assumptions'!$D$12*(0.5-(G1642+H1642)/2)</x:f>
        <x:v>0.23333333333333334</x:v>
      </x:c>
      <x:c r="J1642" s="27" t="n">
        <x:f>'Assumptions'!$D$8*EXP(-'Assumptions'!$D$9*('Fleet Engine'!E207-10))*'Assumptions'!E57*'Assumptions'!K36</x:f>
        <x:v>33227.326062392545</x:v>
      </x:c>
      <x:c r="K1642" s="27" t="n">
        <x:f>'Source Data'!F218+LN('Assumptions'!D57)+LN('Assumptions'!K35)</x:f>
        <x:v>8.179823674316163</x:v>
      </x:c>
      <x:c r="L1642" s="27" t="n">
        <x:f>J1642*(1-I1642*(1-'Carrier Engine'!E98))</x:f>
        <x:v>25784.405024416617</x:v>
      </x:c>
      <x:c r="M1642" s="29" t="n">
        <x:f>NORM.S.DIST((LN(L1642)-K1642)/'Assumptions'!$D$10,TRUE)</x:f>
        <x:v>0.8960782159015883</x:v>
      </x:c>
      <x:c r="N1642" s="30" t="n">
        <x:f>MAX(0,H1642-MAX(G1642,M1642))</x:f>
        <x:v>0</x:v>
      </x:c>
      <x:c r="O1642" s="28" t="n">
        <x:f>J1642*I1642</x:f>
        <x:v>7753.042747891594</x:v>
      </x:c>
      <x:c r="P1642" s="27" t="n">
        <x:f>(VLOOKUP(O1642,'Fee Data'!$C$6:$G$50,2,TRUE)+O1642*VLOOKUP(O1642,'Fee Data'!$C$6:$G$50,3,TRUE)+VLOOKUP(O1642,'Fee Data'!$I$6:$J$14,2,TRUE)+'Fee Data'!$J$20+'Fee Data'!$J$21)*'Assumptions'!K37</x:f>
        <x:v>1135</x:v>
      </x:c>
      <x:c r="Q1642" s="27" t="n">
        <x:f>(VLOOKUP(O1642,'Fee Data'!$C$6:$G$50,4,TRUE)+O1642*VLOOKUP(O1642,'Fee Data'!$C$6:$G$50,5,TRUE)+VLOOKUP(O1642,'Fee Data'!$I$6:$J$14,2,TRUE)+'Fee Data'!$J$20+'Fee Data'!$J$21)*'Assumptions'!K37</x:f>
        <x:v>1010</x:v>
      </x:c>
      <x:c r="R1642" s="27" t="n">
        <x:f>P1642*(1-'Assumptions'!$D$14)+Q1642*'Assumptions'!$D$14</x:f>
        <x:v>1072.5</x:v>
      </x:c>
      <x:c r="S1642" s="27" t="n">
        <x:f>O1642*'Carrier Engine'!E98</x:f>
        <x:v>310.12170991566376</x:v>
      </x:c>
      <x:c r="T1642" s="28" t="n">
        <x:f>R1642+S1642</x:f>
        <x:v>1382.6217099156638</x:v>
      </x:c>
      <x:c r="U1642" s="27" t="n">
        <x:f>N1642*'Fleet Engine'!M207</x:f>
        <x:v>0</x:v>
      </x:c>
      <x:c r="V1642" s="28" t="n">
        <x:f>U1642*T1642</x:f>
        <x:v>0</x:v>
      </x:c>
      <x:c r="W1642" s="28" t="n">
        <x:f>U1642*O1642</x:f>
        <x:v>0</x:v>
      </x:c>
    </x:row>
    <x:row r="1643" ht="19" customHeight="1">
      <x:c r="A1643" s="2"/>
      <x:c r="B1643" s="2"/>
      <x:c r="C1643" s="46" t="n">
        <x:v>7</x:v>
      </x:c>
      <x:c r="D1643" s="46" t="n">
        <x:v>13</x:v>
      </x:c>
      <x:c r="E1643" s="46" t="n">
        <x:v>2</x:v>
      </x:c>
      <x:c r="F1643" s="46" t="n">
        <x:v>1</x:v>
      </x:c>
      <x:c r="G1643" s="12" t="n">
        <x:v>0.8888888888888888</x:v>
      </x:c>
      <x:c r="H1643" s="12" t="n">
        <x:v>1</x:v>
      </x:c>
      <x:c r="I1643" s="29" t="n">
        <x:f>'Assumptions'!$D$11+'Assumptions'!$D$12*(0.5-(G1643+H1643)/2)</x:f>
        <x:v>0.21111111111111108</x:v>
      </x:c>
      <x:c r="J1643" s="27" t="n">
        <x:f>'Assumptions'!$D$8*EXP(-'Assumptions'!$D$9*('Fleet Engine'!E207-10))*'Assumptions'!E57*'Assumptions'!K36</x:f>
        <x:v>33227.326062392545</x:v>
      </x:c>
      <x:c r="K1643" s="27" t="n">
        <x:f>'Source Data'!F218+LN('Assumptions'!D57)+LN('Assumptions'!K35)</x:f>
        <x:v>8.179823674316163</x:v>
      </x:c>
      <x:c r="L1643" s="27" t="n">
        <x:f>J1643*(1-I1643*(1-'Carrier Engine'!E98))</x:f>
        <x:v>26493.25464708099</x:v>
      </x:c>
      <x:c r="M1643" s="29" t="n">
        <x:f>NORM.S.DIST((LN(L1643)-K1643)/'Assumptions'!$D$10,TRUE)</x:f>
        <x:v>0.8991616341237623</x:v>
      </x:c>
      <x:c r="N1643" s="30" t="n">
        <x:f>MAX(0,H1643-MAX(G1643,M1643))</x:f>
        <x:v>0.10083836587623773</x:v>
      </x:c>
      <x:c r="O1643" s="28" t="n">
        <x:f>J1643*I1643</x:f>
        <x:v>7014.65772428287</x:v>
      </x:c>
      <x:c r="P1643" s="27" t="n">
        <x:f>(VLOOKUP(O1643,'Fee Data'!$C$6:$G$50,2,TRUE)+O1643*VLOOKUP(O1643,'Fee Data'!$C$6:$G$50,3,TRUE)+VLOOKUP(O1643,'Fee Data'!$I$6:$J$14,2,TRUE)+'Fee Data'!$J$20+'Fee Data'!$J$21)*'Assumptions'!K37</x:f>
        <x:v>1115</x:v>
      </x:c>
      <x:c r="Q1643" s="27" t="n">
        <x:f>(VLOOKUP(O1643,'Fee Data'!$C$6:$G$50,4,TRUE)+O1643*VLOOKUP(O1643,'Fee Data'!$C$6:$G$50,5,TRUE)+VLOOKUP(O1643,'Fee Data'!$I$6:$J$14,2,TRUE)+'Fee Data'!$J$20+'Fee Data'!$J$21)*'Assumptions'!K37</x:f>
        <x:v>990</x:v>
      </x:c>
      <x:c r="R1643" s="27" t="n">
        <x:f>P1643*(1-'Assumptions'!$D$14)+Q1643*'Assumptions'!$D$14</x:f>
        <x:v>1052.5</x:v>
      </x:c>
      <x:c r="S1643" s="27" t="n">
        <x:f>O1643*'Carrier Engine'!E98</x:f>
        <x:v>280.58630897131474</x:v>
      </x:c>
      <x:c r="T1643" s="28" t="n">
        <x:f>R1643+S1643</x:f>
        <x:v>1333.0863089713148</x:v>
      </x:c>
      <x:c r="U1643" s="27" t="n">
        <x:f>N1643*'Fleet Engine'!M207</x:f>
        <x:v>727.9859533305471</x:v>
      </x:c>
      <x:c r="V1643" s="28" t="n">
        <x:f>U1643*T1643</x:f>
        <x:v>970468.1075083829</x:v>
      </x:c>
      <x:c r="W1643" s="28" t="n">
        <x:f>U1643*O1643</x:f>
        <x:v>5106572.290699551</x:v>
      </x:c>
    </x:row>
    <x:row r="1644" ht="19" customHeight="1">
      <x:c r="A1644" s="2"/>
      <x:c r="B1644" s="2"/>
      <x:c r="C1644" s="46" t="n">
        <x:v>7</x:v>
      </x:c>
      <x:c r="D1644" s="46" t="n">
        <x:v>14</x:v>
      </x:c>
      <x:c r="E1644" s="46" t="n">
        <x:v>2</x:v>
      </x:c>
      <x:c r="F1644" s="46" t="n">
        <x:v>2</x:v>
      </x:c>
      <x:c r="G1644" s="12" t="n">
        <x:v>0</x:v>
      </x:c>
      <x:c r="H1644" s="12" t="n">
        <x:v>0.1111111111111111</x:v>
      </x:c>
      <x:c r="I1644" s="29" t="n">
        <x:f>'Assumptions'!$D$11+'Assumptions'!$D$12*(0.5-(G1644+H1644)/2)</x:f>
        <x:v>0.3888888888888889</x:v>
      </x:c>
      <x:c r="J1644" s="27" t="n">
        <x:f>'Assumptions'!$D$8*EXP(-'Assumptions'!$D$9*('Fleet Engine'!E208-10))*'Assumptions'!E57*'Assumptions'!K36</x:f>
        <x:v>24615.408571552918</x:v>
      </x:c>
      <x:c r="K1644" s="27" t="n">
        <x:f>'Source Data'!F219+LN('Assumptions'!D57)+LN('Assumptions'!K35)</x:f>
        <x:v>8.22550551560197</x:v>
      </x:c>
      <x:c r="L1644" s="27" t="n">
        <x:f>J1644*(1-I1644*(1-'Carrier Engine'!E98))</x:f>
        <x:v>15425.656038173163</x:v>
      </x:c>
      <x:c r="M1644" s="29" t="n">
        <x:f>NORM.S.DIST((LN(L1644)-K1644)/'Assumptions'!$D$10,TRUE)</x:f>
        <x:v>0.8168022614945112</x:v>
      </x:c>
      <x:c r="N1644" s="30" t="n">
        <x:f>MAX(0,H1644-MAX(G1644,M1644))</x:f>
        <x:v>0</x:v>
      </x:c>
      <x:c r="O1644" s="28" t="n">
        <x:f>J1644*I1644</x:f>
        <x:v>9572.658888937247</x:v>
      </x:c>
      <x:c r="P1644" s="27" t="n">
        <x:f>(VLOOKUP(O1644,'Fee Data'!$C$6:$G$50,2,TRUE)+O1644*VLOOKUP(O1644,'Fee Data'!$C$6:$G$50,3,TRUE)+VLOOKUP(O1644,'Fee Data'!$I$6:$J$14,2,TRUE)+'Fee Data'!$J$20+'Fee Data'!$J$21)*'Assumptions'!K37</x:f>
        <x:v>1195</x:v>
      </x:c>
      <x:c r="Q1644" s="27" t="n">
        <x:f>(VLOOKUP(O1644,'Fee Data'!$C$6:$G$50,4,TRUE)+O1644*VLOOKUP(O1644,'Fee Data'!$C$6:$G$50,5,TRUE)+VLOOKUP(O1644,'Fee Data'!$I$6:$J$14,2,TRUE)+'Fee Data'!$J$20+'Fee Data'!$J$21)*'Assumptions'!K37</x:f>
        <x:v>1070</x:v>
      </x:c>
      <x:c r="R1644" s="27" t="n">
        <x:f>P1644*(1-'Assumptions'!$D$14)+Q1644*'Assumptions'!$D$14</x:f>
        <x:v>1132.5</x:v>
      </x:c>
      <x:c r="S1644" s="27" t="n">
        <x:f>O1644*'Carrier Engine'!E98</x:f>
        <x:v>382.9063555574898</x:v>
      </x:c>
      <x:c r="T1644" s="28" t="n">
        <x:f>R1644+S1644</x:f>
        <x:v>1515.4063555574899</x:v>
      </x:c>
      <x:c r="U1644" s="27" t="n">
        <x:f>N1644*'Fleet Engine'!M208</x:f>
        <x:v>0</x:v>
      </x:c>
      <x:c r="V1644" s="28" t="n">
        <x:f>U1644*T1644</x:f>
        <x:v>0</x:v>
      </x:c>
      <x:c r="W1644" s="28" t="n">
        <x:f>U1644*O1644</x:f>
        <x:v>0</x:v>
      </x:c>
    </x:row>
    <x:row r="1645" ht="19" customHeight="1">
      <x:c r="A1645" s="2"/>
      <x:c r="B1645" s="2"/>
      <x:c r="C1645" s="46" t="n">
        <x:v>7</x:v>
      </x:c>
      <x:c r="D1645" s="46" t="n">
        <x:v>14</x:v>
      </x:c>
      <x:c r="E1645" s="46" t="n">
        <x:v>2</x:v>
      </x:c>
      <x:c r="F1645" s="46" t="n">
        <x:v>2</x:v>
      </x:c>
      <x:c r="G1645" s="12" t="n">
        <x:v>0.1111111111111111</x:v>
      </x:c>
      <x:c r="H1645" s="12" t="n">
        <x:v>0.2222222222222222</x:v>
      </x:c>
      <x:c r="I1645" s="29" t="n">
        <x:f>'Assumptions'!$D$11+'Assumptions'!$D$12*(0.5-(G1645+H1645)/2)</x:f>
        <x:v>0.3666666666666667</x:v>
      </x:c>
      <x:c r="J1645" s="27" t="n">
        <x:f>'Assumptions'!$D$8*EXP(-'Assumptions'!$D$9*('Fleet Engine'!E208-10))*'Assumptions'!E57*'Assumptions'!K36</x:f>
        <x:v>24615.408571552918</x:v>
      </x:c>
      <x:c r="K1645" s="27" t="n">
        <x:f>'Source Data'!F219+LN('Assumptions'!D57)+LN('Assumptions'!K35)</x:f>
        <x:v>8.22550551560197</x:v>
      </x:c>
      <x:c r="L1645" s="27" t="n">
        <x:f>J1645*(1-I1645*(1-'Carrier Engine'!E98))</x:f>
        <x:v>15950.784754366288</x:v>
      </x:c>
      <x:c r="M1645" s="29" t="n">
        <x:f>NORM.S.DIST((LN(L1645)-K1645)/'Assumptions'!$D$10,TRUE)</x:f>
        <x:v>0.8224039417033224</x:v>
      </x:c>
      <x:c r="N1645" s="30" t="n">
        <x:f>MAX(0,H1645-MAX(G1645,M1645))</x:f>
        <x:v>0</x:v>
      </x:c>
      <x:c r="O1645" s="28" t="n">
        <x:f>J1645*I1645</x:f>
        <x:v>9025.649809569404</x:v>
      </x:c>
      <x:c r="P1645" s="27" t="n">
        <x:f>(VLOOKUP(O1645,'Fee Data'!$C$6:$G$50,2,TRUE)+O1645*VLOOKUP(O1645,'Fee Data'!$C$6:$G$50,3,TRUE)+VLOOKUP(O1645,'Fee Data'!$I$6:$J$14,2,TRUE)+'Fee Data'!$J$20+'Fee Data'!$J$21)*'Assumptions'!K37</x:f>
        <x:v>1195</x:v>
      </x:c>
      <x:c r="Q1645" s="27" t="n">
        <x:f>(VLOOKUP(O1645,'Fee Data'!$C$6:$G$50,4,TRUE)+O1645*VLOOKUP(O1645,'Fee Data'!$C$6:$G$50,5,TRUE)+VLOOKUP(O1645,'Fee Data'!$I$6:$J$14,2,TRUE)+'Fee Data'!$J$20+'Fee Data'!$J$21)*'Assumptions'!K37</x:f>
        <x:v>1070</x:v>
      </x:c>
      <x:c r="R1645" s="27" t="n">
        <x:f>P1645*(1-'Assumptions'!$D$14)+Q1645*'Assumptions'!$D$14</x:f>
        <x:v>1132.5</x:v>
      </x:c>
      <x:c r="S1645" s="27" t="n">
        <x:f>O1645*'Carrier Engine'!E98</x:f>
        <x:v>361.0259923827761</x:v>
      </x:c>
      <x:c r="T1645" s="28" t="n">
        <x:f>R1645+S1645</x:f>
        <x:v>1493.5259923827762</x:v>
      </x:c>
      <x:c r="U1645" s="27" t="n">
        <x:f>N1645*'Fleet Engine'!M208</x:f>
        <x:v>0</x:v>
      </x:c>
      <x:c r="V1645" s="28" t="n">
        <x:f>U1645*T1645</x:f>
        <x:v>0</x:v>
      </x:c>
      <x:c r="W1645" s="28" t="n">
        <x:f>U1645*O1645</x:f>
        <x:v>0</x:v>
      </x:c>
    </x:row>
    <x:row r="1646" ht="19" customHeight="1">
      <x:c r="A1646" s="2"/>
      <x:c r="B1646" s="2"/>
      <x:c r="C1646" s="46" t="n">
        <x:v>7</x:v>
      </x:c>
      <x:c r="D1646" s="46" t="n">
        <x:v>14</x:v>
      </x:c>
      <x:c r="E1646" s="46" t="n">
        <x:v>2</x:v>
      </x:c>
      <x:c r="F1646" s="46" t="n">
        <x:v>2</x:v>
      </x:c>
      <x:c r="G1646" s="12" t="n">
        <x:v>0.2222222222222222</x:v>
      </x:c>
      <x:c r="H1646" s="12" t="n">
        <x:v>0.3333333333333333</x:v>
      </x:c>
      <x:c r="I1646" s="29" t="n">
        <x:f>'Assumptions'!$D$11+'Assumptions'!$D$12*(0.5-(G1646+H1646)/2)</x:f>
        <x:v>0.34444444444444444</x:v>
      </x:c>
      <x:c r="J1646" s="27" t="n">
        <x:f>'Assumptions'!$D$8*EXP(-'Assumptions'!$D$9*('Fleet Engine'!E208-10))*'Assumptions'!E57*'Assumptions'!K36</x:f>
        <x:v>24615.408571552918</x:v>
      </x:c>
      <x:c r="K1646" s="27" t="n">
        <x:f>'Source Data'!F219+LN('Assumptions'!D57)+LN('Assumptions'!K35)</x:f>
        <x:v>8.22550551560197</x:v>
      </x:c>
      <x:c r="L1646" s="27" t="n">
        <x:f>J1646*(1-I1646*(1-'Carrier Engine'!E98))</x:f>
        <x:v>16475.91347055942</x:v>
      </x:c>
      <x:c r="M1646" s="29" t="n">
        <x:f>NORM.S.DIST((LN(L1646)-K1646)/'Assumptions'!$D$10,TRUE)</x:f>
        <x:v>0.8277200866436032</x:v>
      </x:c>
      <x:c r="N1646" s="30" t="n">
        <x:f>MAX(0,H1646-MAX(G1646,M1646))</x:f>
        <x:v>0</x:v>
      </x:c>
      <x:c r="O1646" s="28" t="n">
        <x:f>J1646*I1646</x:f>
        <x:v>8478.640730201561</x:v>
      </x:c>
      <x:c r="P1646" s="27" t="n">
        <x:f>(VLOOKUP(O1646,'Fee Data'!$C$6:$G$50,2,TRUE)+O1646*VLOOKUP(O1646,'Fee Data'!$C$6:$G$50,3,TRUE)+VLOOKUP(O1646,'Fee Data'!$I$6:$J$14,2,TRUE)+'Fee Data'!$J$20+'Fee Data'!$J$21)*'Assumptions'!K37</x:f>
        <x:v>1175</x:v>
      </x:c>
      <x:c r="Q1646" s="27" t="n">
        <x:f>(VLOOKUP(O1646,'Fee Data'!$C$6:$G$50,4,TRUE)+O1646*VLOOKUP(O1646,'Fee Data'!$C$6:$G$50,5,TRUE)+VLOOKUP(O1646,'Fee Data'!$I$6:$J$14,2,TRUE)+'Fee Data'!$J$20+'Fee Data'!$J$21)*'Assumptions'!K37</x:f>
        <x:v>1050</x:v>
      </x:c>
      <x:c r="R1646" s="27" t="n">
        <x:f>P1646*(1-'Assumptions'!$D$14)+Q1646*'Assumptions'!$D$14</x:f>
        <x:v>1112.5</x:v>
      </x:c>
      <x:c r="S1646" s="27" t="n">
        <x:f>O1646*'Carrier Engine'!E98</x:f>
        <x:v>339.1456292080624</x:v>
      </x:c>
      <x:c r="T1646" s="28" t="n">
        <x:f>R1646+S1646</x:f>
        <x:v>1451.6456292080625</x:v>
      </x:c>
      <x:c r="U1646" s="27" t="n">
        <x:f>N1646*'Fleet Engine'!M208</x:f>
        <x:v>0</x:v>
      </x:c>
      <x:c r="V1646" s="28" t="n">
        <x:f>U1646*T1646</x:f>
        <x:v>0</x:v>
      </x:c>
      <x:c r="W1646" s="28" t="n">
        <x:f>U1646*O1646</x:f>
        <x:v>0</x:v>
      </x:c>
    </x:row>
    <x:row r="1647" ht="19" customHeight="1">
      <x:c r="A1647" s="2"/>
      <x:c r="B1647" s="2"/>
      <x:c r="C1647" s="46" t="n">
        <x:v>7</x:v>
      </x:c>
      <x:c r="D1647" s="46" t="n">
        <x:v>14</x:v>
      </x:c>
      <x:c r="E1647" s="46" t="n">
        <x:v>2</x:v>
      </x:c>
      <x:c r="F1647" s="46" t="n">
        <x:v>2</x:v>
      </x:c>
      <x:c r="G1647" s="12" t="n">
        <x:v>0.3333333333333333</x:v>
      </x:c>
      <x:c r="H1647" s="12" t="n">
        <x:v>0.4444444444444444</x:v>
      </x:c>
      <x:c r="I1647" s="29" t="n">
        <x:f>'Assumptions'!$D$11+'Assumptions'!$D$12*(0.5-(G1647+H1647)/2)</x:f>
        <x:v>0.32222222222222224</x:v>
      </x:c>
      <x:c r="J1647" s="27" t="n">
        <x:f>'Assumptions'!$D$8*EXP(-'Assumptions'!$D$9*('Fleet Engine'!E208-10))*'Assumptions'!E57*'Assumptions'!K36</x:f>
        <x:v>24615.408571552918</x:v>
      </x:c>
      <x:c r="K1647" s="27" t="n">
        <x:f>'Source Data'!F219+LN('Assumptions'!D57)+LN('Assumptions'!K35)</x:f>
        <x:v>8.22550551560197</x:v>
      </x:c>
      <x:c r="L1647" s="27" t="n">
        <x:f>J1647*(1-I1647*(1-'Carrier Engine'!E98))</x:f>
        <x:v>17001.042186752547</x:v>
      </x:c>
      <x:c r="M1647" s="29" t="n">
        <x:f>NORM.S.DIST((LN(L1647)-K1647)/'Assumptions'!$D$10,TRUE)</x:f>
        <x:v>0.8327715578412461</x:v>
      </x:c>
      <x:c r="N1647" s="30" t="n">
        <x:f>MAX(0,H1647-MAX(G1647,M1647))</x:f>
        <x:v>0</x:v>
      </x:c>
      <x:c r="O1647" s="28" t="n">
        <x:f>J1647*I1647</x:f>
        <x:v>7931.631650833719</x:v>
      </x:c>
      <x:c r="P1647" s="27" t="n">
        <x:f>(VLOOKUP(O1647,'Fee Data'!$C$6:$G$50,2,TRUE)+O1647*VLOOKUP(O1647,'Fee Data'!$C$6:$G$50,3,TRUE)+VLOOKUP(O1647,'Fee Data'!$I$6:$J$14,2,TRUE)+'Fee Data'!$J$20+'Fee Data'!$J$21)*'Assumptions'!K37</x:f>
        <x:v>1135</x:v>
      </x:c>
      <x:c r="Q1647" s="27" t="n">
        <x:f>(VLOOKUP(O1647,'Fee Data'!$C$6:$G$50,4,TRUE)+O1647*VLOOKUP(O1647,'Fee Data'!$C$6:$G$50,5,TRUE)+VLOOKUP(O1647,'Fee Data'!$I$6:$J$14,2,TRUE)+'Fee Data'!$J$20+'Fee Data'!$J$21)*'Assumptions'!K37</x:f>
        <x:v>1010</x:v>
      </x:c>
      <x:c r="R1647" s="27" t="n">
        <x:f>P1647*(1-'Assumptions'!$D$14)+Q1647*'Assumptions'!$D$14</x:f>
        <x:v>1072.5</x:v>
      </x:c>
      <x:c r="S1647" s="27" t="n">
        <x:f>O1647*'Carrier Engine'!E98</x:f>
        <x:v>317.2652660333487</x:v>
      </x:c>
      <x:c r="T1647" s="28" t="n">
        <x:f>R1647+S1647</x:f>
        <x:v>1389.7652660333488</x:v>
      </x:c>
      <x:c r="U1647" s="27" t="n">
        <x:f>N1647*'Fleet Engine'!M208</x:f>
        <x:v>0</x:v>
      </x:c>
      <x:c r="V1647" s="28" t="n">
        <x:f>U1647*T1647</x:f>
        <x:v>0</x:v>
      </x:c>
      <x:c r="W1647" s="28" t="n">
        <x:f>U1647*O1647</x:f>
        <x:v>0</x:v>
      </x:c>
    </x:row>
    <x:row r="1648" ht="19" customHeight="1">
      <x:c r="A1648" s="2"/>
      <x:c r="B1648" s="2"/>
      <x:c r="C1648" s="46" t="n">
        <x:v>7</x:v>
      </x:c>
      <x:c r="D1648" s="46" t="n">
        <x:v>14</x:v>
      </x:c>
      <x:c r="E1648" s="46" t="n">
        <x:v>2</x:v>
      </x:c>
      <x:c r="F1648" s="46" t="n">
        <x:v>2</x:v>
      </x:c>
      <x:c r="G1648" s="12" t="n">
        <x:v>0.4444444444444444</x:v>
      </x:c>
      <x:c r="H1648" s="12" t="n">
        <x:v>0.5555555555555556</x:v>
      </x:c>
      <x:c r="I1648" s="29" t="n">
        <x:f>'Assumptions'!$D$11+'Assumptions'!$D$12*(0.5-(G1648+H1648)/2)</x:f>
        <x:v>0.3</x:v>
      </x:c>
      <x:c r="J1648" s="27" t="n">
        <x:f>'Assumptions'!$D$8*EXP(-'Assumptions'!$D$9*('Fleet Engine'!E208-10))*'Assumptions'!E57*'Assumptions'!K36</x:f>
        <x:v>24615.408571552918</x:v>
      </x:c>
      <x:c r="K1648" s="27" t="n">
        <x:f>'Source Data'!F219+LN('Assumptions'!D57)+LN('Assumptions'!K35)</x:f>
        <x:v>8.22550551560197</x:v>
      </x:c>
      <x:c r="L1648" s="27" t="n">
        <x:f>J1648*(1-I1648*(1-'Carrier Engine'!E98))</x:f>
        <x:v>17526.170902945676</x:v>
      </x:c>
      <x:c r="M1648" s="29" t="n">
        <x:f>NORM.S.DIST((LN(L1648)-K1648)/'Assumptions'!$D$10,TRUE)</x:f>
        <x:v>0.8375772230492653</x:v>
      </x:c>
      <x:c r="N1648" s="30" t="n">
        <x:f>MAX(0,H1648-MAX(G1648,M1648))</x:f>
        <x:v>0</x:v>
      </x:c>
      <x:c r="O1648" s="28" t="n">
        <x:f>J1648*I1648</x:f>
        <x:v>7384.622571465875</x:v>
      </x:c>
      <x:c r="P1648" s="27" t="n">
        <x:f>(VLOOKUP(O1648,'Fee Data'!$C$6:$G$50,2,TRUE)+O1648*VLOOKUP(O1648,'Fee Data'!$C$6:$G$50,3,TRUE)+VLOOKUP(O1648,'Fee Data'!$I$6:$J$14,2,TRUE)+'Fee Data'!$J$20+'Fee Data'!$J$21)*'Assumptions'!K37</x:f>
        <x:v>1115</x:v>
      </x:c>
      <x:c r="Q1648" s="27" t="n">
        <x:f>(VLOOKUP(O1648,'Fee Data'!$C$6:$G$50,4,TRUE)+O1648*VLOOKUP(O1648,'Fee Data'!$C$6:$G$50,5,TRUE)+VLOOKUP(O1648,'Fee Data'!$I$6:$J$14,2,TRUE)+'Fee Data'!$J$20+'Fee Data'!$J$21)*'Assumptions'!K37</x:f>
        <x:v>990</x:v>
      </x:c>
      <x:c r="R1648" s="27" t="n">
        <x:f>P1648*(1-'Assumptions'!$D$14)+Q1648*'Assumptions'!$D$14</x:f>
        <x:v>1052.5</x:v>
      </x:c>
      <x:c r="S1648" s="27" t="n">
        <x:f>O1648*'Carrier Engine'!E98</x:f>
        <x:v>295.384902858635</x:v>
      </x:c>
      <x:c r="T1648" s="28" t="n">
        <x:f>R1648+S1648</x:f>
        <x:v>1347.884902858635</x:v>
      </x:c>
      <x:c r="U1648" s="27" t="n">
        <x:f>N1648*'Fleet Engine'!M208</x:f>
        <x:v>0</x:v>
      </x:c>
      <x:c r="V1648" s="28" t="n">
        <x:f>U1648*T1648</x:f>
        <x:v>0</x:v>
      </x:c>
      <x:c r="W1648" s="28" t="n">
        <x:f>U1648*O1648</x:f>
        <x:v>0</x:v>
      </x:c>
    </x:row>
    <x:row r="1649" ht="19" customHeight="1">
      <x:c r="A1649" s="2"/>
      <x:c r="B1649" s="2"/>
      <x:c r="C1649" s="46" t="n">
        <x:v>7</x:v>
      </x:c>
      <x:c r="D1649" s="46" t="n">
        <x:v>14</x:v>
      </x:c>
      <x:c r="E1649" s="46" t="n">
        <x:v>2</x:v>
      </x:c>
      <x:c r="F1649" s="46" t="n">
        <x:v>2</x:v>
      </x:c>
      <x:c r="G1649" s="12" t="n">
        <x:v>0.5555555555555556</x:v>
      </x:c>
      <x:c r="H1649" s="12" t="n">
        <x:v>0.6666666666666666</x:v>
      </x:c>
      <x:c r="I1649" s="29" t="n">
        <x:f>'Assumptions'!$D$11+'Assumptions'!$D$12*(0.5-(G1649+H1649)/2)</x:f>
        <x:v>0.27777777777777773</x:v>
      </x:c>
      <x:c r="J1649" s="27" t="n">
        <x:f>'Assumptions'!$D$8*EXP(-'Assumptions'!$D$9*('Fleet Engine'!E208-10))*'Assumptions'!E57*'Assumptions'!K36</x:f>
        <x:v>24615.408571552918</x:v>
      </x:c>
      <x:c r="K1649" s="27" t="n">
        <x:f>'Source Data'!F219+LN('Assumptions'!D57)+LN('Assumptions'!K35)</x:f>
        <x:v>8.22550551560197</x:v>
      </x:c>
      <x:c r="L1649" s="27" t="n">
        <x:f>J1649*(1-I1649*(1-'Carrier Engine'!E98))</x:f>
        <x:v>18051.29961913881</x:v>
      </x:c>
      <x:c r="M1649" s="29" t="n">
        <x:f>NORM.S.DIST((LN(L1649)-K1649)/'Assumptions'!$D$10,TRUE)</x:f>
        <x:v>0.8421541912379197</x:v>
      </x:c>
      <x:c r="N1649" s="30" t="n">
        <x:f>MAX(0,H1649-MAX(G1649,M1649))</x:f>
        <x:v>0</x:v>
      </x:c>
      <x:c r="O1649" s="28" t="n">
        <x:f>J1649*I1649</x:f>
        <x:v>6837.613492098032</x:v>
      </x:c>
      <x:c r="P1649" s="27" t="n">
        <x:f>(VLOOKUP(O1649,'Fee Data'!$C$6:$G$50,2,TRUE)+O1649*VLOOKUP(O1649,'Fee Data'!$C$6:$G$50,3,TRUE)+VLOOKUP(O1649,'Fee Data'!$I$6:$J$14,2,TRUE)+'Fee Data'!$J$20+'Fee Data'!$J$21)*'Assumptions'!K37</x:f>
        <x:v>1080</x:v>
      </x:c>
      <x:c r="Q1649" s="27" t="n">
        <x:f>(VLOOKUP(O1649,'Fee Data'!$C$6:$G$50,4,TRUE)+O1649*VLOOKUP(O1649,'Fee Data'!$C$6:$G$50,5,TRUE)+VLOOKUP(O1649,'Fee Data'!$I$6:$J$14,2,TRUE)+'Fee Data'!$J$20+'Fee Data'!$J$21)*'Assumptions'!K37</x:f>
        <x:v>955</x:v>
      </x:c>
      <x:c r="R1649" s="27" t="n">
        <x:f>P1649*(1-'Assumptions'!$D$14)+Q1649*'Assumptions'!$D$14</x:f>
        <x:v>1017.5</x:v>
      </x:c>
      <x:c r="S1649" s="27" t="n">
        <x:f>O1649*'Carrier Engine'!E98</x:f>
        <x:v>273.5045396839212</x:v>
      </x:c>
      <x:c r="T1649" s="28" t="n">
        <x:f>R1649+S1649</x:f>
        <x:v>1291.0045396839212</x:v>
      </x:c>
      <x:c r="U1649" s="27" t="n">
        <x:f>N1649*'Fleet Engine'!M208</x:f>
        <x:v>0</x:v>
      </x:c>
      <x:c r="V1649" s="28" t="n">
        <x:f>U1649*T1649</x:f>
        <x:v>0</x:v>
      </x:c>
      <x:c r="W1649" s="28" t="n">
        <x:f>U1649*O1649</x:f>
        <x:v>0</x:v>
      </x:c>
    </x:row>
    <x:row r="1650" ht="19" customHeight="1">
      <x:c r="A1650" s="2"/>
      <x:c r="B1650" s="2"/>
      <x:c r="C1650" s="46" t="n">
        <x:v>7</x:v>
      </x:c>
      <x:c r="D1650" s="46" t="n">
        <x:v>14</x:v>
      </x:c>
      <x:c r="E1650" s="46" t="n">
        <x:v>2</x:v>
      </x:c>
      <x:c r="F1650" s="46" t="n">
        <x:v>2</x:v>
      </x:c>
      <x:c r="G1650" s="12" t="n">
        <x:v>0.6666666666666666</x:v>
      </x:c>
      <x:c r="H1650" s="12" t="n">
        <x:v>0.7777777777777778</x:v>
      </x:c>
      <x:c r="I1650" s="29" t="n">
        <x:f>'Assumptions'!$D$11+'Assumptions'!$D$12*(0.5-(G1650+H1650)/2)</x:f>
        <x:v>0.25555555555555554</x:v>
      </x:c>
      <x:c r="J1650" s="27" t="n">
        <x:f>'Assumptions'!$D$8*EXP(-'Assumptions'!$D$9*('Fleet Engine'!E208-10))*'Assumptions'!E57*'Assumptions'!K36</x:f>
        <x:v>24615.408571552918</x:v>
      </x:c>
      <x:c r="K1650" s="27" t="n">
        <x:f>'Source Data'!F219+LN('Assumptions'!D57)+LN('Assumptions'!K35)</x:f>
        <x:v>8.22550551560197</x:v>
      </x:c>
      <x:c r="L1650" s="27" t="n">
        <x:f>J1650*(1-I1650*(1-'Carrier Engine'!E98))</x:f>
        <x:v>18576.428335331937</x:v>
      </x:c>
      <x:c r="M1650" s="29" t="n">
        <x:f>NORM.S.DIST((LN(L1650)-K1650)/'Assumptions'!$D$10,TRUE)</x:f>
        <x:v>0.8465180147776781</x:v>
      </x:c>
      <x:c r="N1650" s="30" t="n">
        <x:f>MAX(0,H1650-MAX(G1650,M1650))</x:f>
        <x:v>0</x:v>
      </x:c>
      <x:c r="O1650" s="28" t="n">
        <x:f>J1650*I1650</x:f>
        <x:v>6290.604412730189</x:v>
      </x:c>
      <x:c r="P1650" s="27" t="n">
        <x:f>(VLOOKUP(O1650,'Fee Data'!$C$6:$G$50,2,TRUE)+O1650*VLOOKUP(O1650,'Fee Data'!$C$6:$G$50,3,TRUE)+VLOOKUP(O1650,'Fee Data'!$I$6:$J$14,2,TRUE)+'Fee Data'!$J$20+'Fee Data'!$J$21)*'Assumptions'!K37</x:f>
        <x:v>1060</x:v>
      </x:c>
      <x:c r="Q1650" s="27" t="n">
        <x:f>(VLOOKUP(O1650,'Fee Data'!$C$6:$G$50,4,TRUE)+O1650*VLOOKUP(O1650,'Fee Data'!$C$6:$G$50,5,TRUE)+VLOOKUP(O1650,'Fee Data'!$I$6:$J$14,2,TRUE)+'Fee Data'!$J$20+'Fee Data'!$J$21)*'Assumptions'!K37</x:f>
        <x:v>935</x:v>
      </x:c>
      <x:c r="R1650" s="27" t="n">
        <x:f>P1650*(1-'Assumptions'!$D$14)+Q1650*'Assumptions'!$D$14</x:f>
        <x:v>997.5</x:v>
      </x:c>
      <x:c r="S1650" s="27" t="n">
        <x:f>O1650*'Carrier Engine'!E98</x:f>
        <x:v>251.62417650920753</x:v>
      </x:c>
      <x:c r="T1650" s="28" t="n">
        <x:f>R1650+S1650</x:f>
        <x:v>1249.1241765092075</x:v>
      </x:c>
      <x:c r="U1650" s="27" t="n">
        <x:f>N1650*'Fleet Engine'!M208</x:f>
        <x:v>0</x:v>
      </x:c>
      <x:c r="V1650" s="28" t="n">
        <x:f>U1650*T1650</x:f>
        <x:v>0</x:v>
      </x:c>
      <x:c r="W1650" s="28" t="n">
        <x:f>U1650*O1650</x:f>
        <x:v>0</x:v>
      </x:c>
    </x:row>
    <x:row r="1651" ht="19" customHeight="1">
      <x:c r="A1651" s="2"/>
      <x:c r="B1651" s="2"/>
      <x:c r="C1651" s="46" t="n">
        <x:v>7</x:v>
      </x:c>
      <x:c r="D1651" s="46" t="n">
        <x:v>14</x:v>
      </x:c>
      <x:c r="E1651" s="46" t="n">
        <x:v>2</x:v>
      </x:c>
      <x:c r="F1651" s="46" t="n">
        <x:v>2</x:v>
      </x:c>
      <x:c r="G1651" s="12" t="n">
        <x:v>0.7777777777777778</x:v>
      </x:c>
      <x:c r="H1651" s="12" t="n">
        <x:v>0.8888888888888888</x:v>
      </x:c>
      <x:c r="I1651" s="29" t="n">
        <x:f>'Assumptions'!$D$11+'Assumptions'!$D$12*(0.5-(G1651+H1651)/2)</x:f>
        <x:v>0.23333333333333334</x:v>
      </x:c>
      <x:c r="J1651" s="27" t="n">
        <x:f>'Assumptions'!$D$8*EXP(-'Assumptions'!$D$9*('Fleet Engine'!E208-10))*'Assumptions'!E57*'Assumptions'!K36</x:f>
        <x:v>24615.408571552918</x:v>
      </x:c>
      <x:c r="K1651" s="27" t="n">
        <x:f>'Source Data'!F219+LN('Assumptions'!D57)+LN('Assumptions'!K35)</x:f>
        <x:v>8.22550551560197</x:v>
      </x:c>
      <x:c r="L1651" s="27" t="n">
        <x:f>J1651*(1-I1651*(1-'Carrier Engine'!E98))</x:f>
        <x:v>19101.557051525066</x:v>
      </x:c>
      <x:c r="M1651" s="29" t="n">
        <x:f>NORM.S.DIST((LN(L1651)-K1651)/'Assumptions'!$D$10,TRUE)</x:f>
        <x:v>0.850682864085855</x:v>
      </x:c>
      <x:c r="N1651" s="30" t="n">
        <x:f>MAX(0,H1651-MAX(G1651,M1651))</x:f>
        <x:v>0.03820602480303381</x:v>
      </x:c>
      <x:c r="O1651" s="28" t="n">
        <x:f>J1651*I1651</x:f>
        <x:v>5743.595333362347</x:v>
      </x:c>
      <x:c r="P1651" s="27" t="n">
        <x:f>(VLOOKUP(O1651,'Fee Data'!$C$6:$G$50,2,TRUE)+O1651*VLOOKUP(O1651,'Fee Data'!$C$6:$G$50,3,TRUE)+VLOOKUP(O1651,'Fee Data'!$I$6:$J$14,2,TRUE)+'Fee Data'!$J$20+'Fee Data'!$J$21)*'Assumptions'!K37</x:f>
        <x:v>1020</x:v>
      </x:c>
      <x:c r="Q1651" s="27" t="n">
        <x:f>(VLOOKUP(O1651,'Fee Data'!$C$6:$G$50,4,TRUE)+O1651*VLOOKUP(O1651,'Fee Data'!$C$6:$G$50,5,TRUE)+VLOOKUP(O1651,'Fee Data'!$I$6:$J$14,2,TRUE)+'Fee Data'!$J$20+'Fee Data'!$J$21)*'Assumptions'!K37</x:f>
        <x:v>895</x:v>
      </x:c>
      <x:c r="R1651" s="27" t="n">
        <x:f>P1651*(1-'Assumptions'!$D$14)+Q1651*'Assumptions'!$D$14</x:f>
        <x:v>957.5</x:v>
      </x:c>
      <x:c r="S1651" s="27" t="n">
        <x:f>O1651*'Carrier Engine'!E98</x:f>
        <x:v>229.74381333449386</x:v>
      </x:c>
      <x:c r="T1651" s="28" t="n">
        <x:f>R1651+S1651</x:f>
        <x:v>1187.2438133344938</x:v>
      </x:c>
      <x:c r="U1651" s="27" t="n">
        <x:f>N1651*'Fleet Engine'!M208</x:f>
        <x:v>231.13741365750326</x:v>
      </x:c>
      <x:c r="V1651" s="28" t="n">
        <x:f>U1651*T1651</x:f>
        <x:v>274416.4643950065</x:v>
      </x:c>
      <x:c r="W1651" s="28" t="n">
        <x:f>U1651*O1651</x:f>
        <x:v>1327559.7704486782</x:v>
      </x:c>
    </x:row>
    <x:row r="1652" ht="19" customHeight="1">
      <x:c r="A1652" s="2"/>
      <x:c r="B1652" s="2"/>
      <x:c r="C1652" s="46" t="n">
        <x:v>7</x:v>
      </x:c>
      <x:c r="D1652" s="46" t="n">
        <x:v>14</x:v>
      </x:c>
      <x:c r="E1652" s="46" t="n">
        <x:v>2</x:v>
      </x:c>
      <x:c r="F1652" s="46" t="n">
        <x:v>2</x:v>
      </x:c>
      <x:c r="G1652" s="12" t="n">
        <x:v>0.8888888888888888</x:v>
      </x:c>
      <x:c r="H1652" s="12" t="n">
        <x:v>1</x:v>
      </x:c>
      <x:c r="I1652" s="29" t="n">
        <x:f>'Assumptions'!$D$11+'Assumptions'!$D$12*(0.5-(G1652+H1652)/2)</x:f>
        <x:v>0.21111111111111108</x:v>
      </x:c>
      <x:c r="J1652" s="27" t="n">
        <x:f>'Assumptions'!$D$8*EXP(-'Assumptions'!$D$9*('Fleet Engine'!E208-10))*'Assumptions'!E57*'Assumptions'!K36</x:f>
        <x:v>24615.408571552918</x:v>
      </x:c>
      <x:c r="K1652" s="27" t="n">
        <x:f>'Source Data'!F219+LN('Assumptions'!D57)+LN('Assumptions'!K35)</x:f>
        <x:v>8.22550551560197</x:v>
      </x:c>
      <x:c r="L1652" s="27" t="n">
        <x:f>J1652*(1-I1652*(1-'Carrier Engine'!E98))</x:f>
        <x:v>19626.685767718194</x:v>
      </x:c>
      <x:c r="M1652" s="29" t="n">
        <x:f>NORM.S.DIST((LN(L1652)-K1652)/'Assumptions'!$D$10,TRUE)</x:f>
        <x:v>0.8546616790540353</x:v>
      </x:c>
      <x:c r="N1652" s="30" t="n">
        <x:f>MAX(0,H1652-MAX(G1652,M1652))</x:f>
        <x:v>0.11111111111111116</x:v>
      </x:c>
      <x:c r="O1652" s="28" t="n">
        <x:f>J1652*I1652</x:f>
        <x:v>5196.586253994505</x:v>
      </x:c>
      <x:c r="P1652" s="27" t="n">
        <x:f>(VLOOKUP(O1652,'Fee Data'!$C$6:$G$50,2,TRUE)+O1652*VLOOKUP(O1652,'Fee Data'!$C$6:$G$50,3,TRUE)+VLOOKUP(O1652,'Fee Data'!$I$6:$J$14,2,TRUE)+'Fee Data'!$J$20+'Fee Data'!$J$21)*'Assumptions'!K37</x:f>
        <x:v>995</x:v>
      </x:c>
      <x:c r="Q1652" s="27" t="n">
        <x:f>(VLOOKUP(O1652,'Fee Data'!$C$6:$G$50,4,TRUE)+O1652*VLOOKUP(O1652,'Fee Data'!$C$6:$G$50,5,TRUE)+VLOOKUP(O1652,'Fee Data'!$I$6:$J$14,2,TRUE)+'Fee Data'!$J$20+'Fee Data'!$J$21)*'Assumptions'!K37</x:f>
        <x:v>870</x:v>
      </x:c>
      <x:c r="R1652" s="27" t="n">
        <x:f>P1652*(1-'Assumptions'!$D$14)+Q1652*'Assumptions'!$D$14</x:f>
        <x:v>932.5</x:v>
      </x:c>
      <x:c r="S1652" s="27" t="n">
        <x:f>O1652*'Carrier Engine'!E98</x:f>
        <x:v>207.86345015978014</x:v>
      </x:c>
      <x:c r="T1652" s="28" t="n">
        <x:f>R1652+S1652</x:f>
        <x:v>1140.36345015978</x:v>
      </x:c>
      <x:c r="U1652" s="27" t="n">
        <x:f>N1652*'Fleet Engine'!M208</x:f>
        <x:v>672.1959424785379</x:v>
      </x:c>
      <x:c r="V1652" s="28" t="n">
        <x:f>U1652*T1652</x:f>
        <x:v>766547.6841482305</x:v>
      </x:c>
      <x:c r="W1652" s="28" t="n">
        <x:f>U1652*O1652</x:f>
        <x:v>3493124.1946748504</x:v>
      </x:c>
    </x:row>
    <x:row r="1653" ht="19" customHeight="1">
      <x:c r="A1653" s="2"/>
      <x:c r="B1653" s="2"/>
      <x:c r="C1653" s="46" t="n">
        <x:v>7</x:v>
      </x:c>
      <x:c r="D1653" s="46" t="n">
        <x:v>15</x:v>
      </x:c>
      <x:c r="E1653" s="46" t="n">
        <x:v>2</x:v>
      </x:c>
      <x:c r="F1653" s="46" t="n">
        <x:v>3</x:v>
      </x:c>
      <x:c r="G1653" s="12" t="n">
        <x:v>0</x:v>
      </x:c>
      <x:c r="H1653" s="12" t="n">
        <x:v>0.1111111111111111</x:v>
      </x:c>
      <x:c r="I1653" s="29" t="n">
        <x:f>'Assumptions'!$D$11+'Assumptions'!$D$12*(0.5-(G1653+H1653)/2)</x:f>
        <x:v>0.3888888888888889</x:v>
      </x:c>
      <x:c r="J1653" s="27" t="n">
        <x:f>'Assumptions'!$D$8*EXP(-'Assumptions'!$D$9*('Fleet Engine'!E209-10))*'Assumptions'!E57*'Assumptions'!K36</x:f>
        <x:v>18235.543179331336</x:v>
      </x:c>
      <x:c r="K1653" s="27" t="n">
        <x:f>'Source Data'!F220+LN('Assumptions'!D57)+LN('Assumptions'!K35)</x:f>
        <x:v>8.332638086869624</x:v>
      </x:c>
      <x:c r="L1653" s="27" t="n">
        <x:f>J1653*(1-I1653*(1-'Carrier Engine'!E98))</x:f>
        <x:v>11427.607059047637</x:v>
      </x:c>
      <x:c r="M1653" s="29" t="n">
        <x:f>NORM.S.DIST((LN(L1653)-K1653)/'Assumptions'!$D$10,TRUE)</x:f>
        <x:v>0.7401992041625559</x:v>
      </x:c>
      <x:c r="N1653" s="30" t="n">
        <x:f>MAX(0,H1653-MAX(G1653,M1653))</x:f>
        <x:v>0</x:v>
      </x:c>
      <x:c r="O1653" s="28" t="n">
        <x:f>J1653*I1653</x:f>
        <x:v>7091.60012529552</x:v>
      </x:c>
      <x:c r="P1653" s="27" t="n">
        <x:f>(VLOOKUP(O1653,'Fee Data'!$C$6:$G$50,2,TRUE)+O1653*VLOOKUP(O1653,'Fee Data'!$C$6:$G$50,3,TRUE)+VLOOKUP(O1653,'Fee Data'!$I$6:$J$14,2,TRUE)+'Fee Data'!$J$20+'Fee Data'!$J$21)*'Assumptions'!K37</x:f>
        <x:v>1115</x:v>
      </x:c>
      <x:c r="Q1653" s="27" t="n">
        <x:f>(VLOOKUP(O1653,'Fee Data'!$C$6:$G$50,4,TRUE)+O1653*VLOOKUP(O1653,'Fee Data'!$C$6:$G$50,5,TRUE)+VLOOKUP(O1653,'Fee Data'!$I$6:$J$14,2,TRUE)+'Fee Data'!$J$20+'Fee Data'!$J$21)*'Assumptions'!K37</x:f>
        <x:v>990</x:v>
      </x:c>
      <x:c r="R1653" s="27" t="n">
        <x:f>P1653*(1-'Assumptions'!$D$14)+Q1653*'Assumptions'!$D$14</x:f>
        <x:v>1052.5</x:v>
      </x:c>
      <x:c r="S1653" s="27" t="n">
        <x:f>O1653*'Carrier Engine'!E98</x:f>
        <x:v>283.6640050118208</x:v>
      </x:c>
      <x:c r="T1653" s="28" t="n">
        <x:f>R1653+S1653</x:f>
        <x:v>1336.1640050118208</x:v>
      </x:c>
      <x:c r="U1653" s="27" t="n">
        <x:f>N1653*'Fleet Engine'!M209</x:f>
        <x:v>0</x:v>
      </x:c>
      <x:c r="V1653" s="28" t="n">
        <x:f>U1653*T1653</x:f>
        <x:v>0</x:v>
      </x:c>
      <x:c r="W1653" s="28" t="n">
        <x:f>U1653*O1653</x:f>
        <x:v>0</x:v>
      </x:c>
    </x:row>
    <x:row r="1654" ht="19" customHeight="1">
      <x:c r="A1654" s="2"/>
      <x:c r="B1654" s="2"/>
      <x:c r="C1654" s="46" t="n">
        <x:v>7</x:v>
      </x:c>
      <x:c r="D1654" s="46" t="n">
        <x:v>15</x:v>
      </x:c>
      <x:c r="E1654" s="46" t="n">
        <x:v>2</x:v>
      </x:c>
      <x:c r="F1654" s="46" t="n">
        <x:v>3</x:v>
      </x:c>
      <x:c r="G1654" s="12" t="n">
        <x:v>0.1111111111111111</x:v>
      </x:c>
      <x:c r="H1654" s="12" t="n">
        <x:v>0.2222222222222222</x:v>
      </x:c>
      <x:c r="I1654" s="29" t="n">
        <x:f>'Assumptions'!$D$11+'Assumptions'!$D$12*(0.5-(G1654+H1654)/2)</x:f>
        <x:v>0.3666666666666667</x:v>
      </x:c>
      <x:c r="J1654" s="27" t="n">
        <x:f>'Assumptions'!$D$8*EXP(-'Assumptions'!$D$9*('Fleet Engine'!E209-10))*'Assumptions'!E57*'Assumptions'!K36</x:f>
        <x:v>18235.543179331336</x:v>
      </x:c>
      <x:c r="K1654" s="27" t="n">
        <x:f>'Source Data'!F220+LN('Assumptions'!D57)+LN('Assumptions'!K35)</x:f>
        <x:v>8.332638086869624</x:v>
      </x:c>
      <x:c r="L1654" s="27" t="n">
        <x:f>J1654*(1-I1654*(1-'Carrier Engine'!E98))</x:f>
        <x:v>11816.631980206705</x:v>
      </x:c>
      <x:c r="M1654" s="29" t="n">
        <x:f>NORM.S.DIST((LN(L1654)-K1654)/'Assumptions'!$D$10,TRUE)</x:f>
        <x:v>0.7470640064168992</x:v>
      </x:c>
      <x:c r="N1654" s="30" t="n">
        <x:f>MAX(0,H1654-MAX(G1654,M1654))</x:f>
        <x:v>0</x:v>
      </x:c>
      <x:c r="O1654" s="28" t="n">
        <x:f>J1654*I1654</x:f>
        <x:v>6686.36583242149</x:v>
      </x:c>
      <x:c r="P1654" s="27" t="n">
        <x:f>(VLOOKUP(O1654,'Fee Data'!$C$6:$G$50,2,TRUE)+O1654*VLOOKUP(O1654,'Fee Data'!$C$6:$G$50,3,TRUE)+VLOOKUP(O1654,'Fee Data'!$I$6:$J$14,2,TRUE)+'Fee Data'!$J$20+'Fee Data'!$J$21)*'Assumptions'!K37</x:f>
        <x:v>1080</x:v>
      </x:c>
      <x:c r="Q1654" s="27" t="n">
        <x:f>(VLOOKUP(O1654,'Fee Data'!$C$6:$G$50,4,TRUE)+O1654*VLOOKUP(O1654,'Fee Data'!$C$6:$G$50,5,TRUE)+VLOOKUP(O1654,'Fee Data'!$I$6:$J$14,2,TRUE)+'Fee Data'!$J$20+'Fee Data'!$J$21)*'Assumptions'!K37</x:f>
        <x:v>955</x:v>
      </x:c>
      <x:c r="R1654" s="27" t="n">
        <x:f>P1654*(1-'Assumptions'!$D$14)+Q1654*'Assumptions'!$D$14</x:f>
        <x:v>1017.5</x:v>
      </x:c>
      <x:c r="S1654" s="27" t="n">
        <x:f>O1654*'Carrier Engine'!E98</x:f>
        <x:v>267.4546332968596</x:v>
      </x:c>
      <x:c r="T1654" s="28" t="n">
        <x:f>R1654+S1654</x:f>
        <x:v>1284.9546332968596</x:v>
      </x:c>
      <x:c r="U1654" s="27" t="n">
        <x:f>N1654*'Fleet Engine'!M209</x:f>
        <x:v>0</x:v>
      </x:c>
      <x:c r="V1654" s="28" t="n">
        <x:f>U1654*T1654</x:f>
        <x:v>0</x:v>
      </x:c>
      <x:c r="W1654" s="28" t="n">
        <x:f>U1654*O1654</x:f>
        <x:v>0</x:v>
      </x:c>
    </x:row>
    <x:row r="1655" ht="19" customHeight="1">
      <x:c r="A1655" s="2"/>
      <x:c r="B1655" s="2"/>
      <x:c r="C1655" s="46" t="n">
        <x:v>7</x:v>
      </x:c>
      <x:c r="D1655" s="46" t="n">
        <x:v>15</x:v>
      </x:c>
      <x:c r="E1655" s="46" t="n">
        <x:v>2</x:v>
      </x:c>
      <x:c r="F1655" s="46" t="n">
        <x:v>3</x:v>
      </x:c>
      <x:c r="G1655" s="12" t="n">
        <x:v>0.2222222222222222</x:v>
      </x:c>
      <x:c r="H1655" s="12" t="n">
        <x:v>0.3333333333333333</x:v>
      </x:c>
      <x:c r="I1655" s="29" t="n">
        <x:f>'Assumptions'!$D$11+'Assumptions'!$D$12*(0.5-(G1655+H1655)/2)</x:f>
        <x:v>0.34444444444444444</x:v>
      </x:c>
      <x:c r="J1655" s="27" t="n">
        <x:f>'Assumptions'!$D$8*EXP(-'Assumptions'!$D$9*('Fleet Engine'!E209-10))*'Assumptions'!E57*'Assumptions'!K36</x:f>
        <x:v>18235.543179331336</x:v>
      </x:c>
      <x:c r="K1655" s="27" t="n">
        <x:f>'Source Data'!F220+LN('Assumptions'!D57)+LN('Assumptions'!K35)</x:f>
        <x:v>8.332638086869624</x:v>
      </x:c>
      <x:c r="L1655" s="27" t="n">
        <x:f>J1655*(1-I1655*(1-'Carrier Engine'!E98))</x:f>
        <x:v>12205.656901365775</x:v>
      </x:c>
      <x:c r="M1655" s="29" t="n">
        <x:f>NORM.S.DIST((LN(L1655)-K1655)/'Assumptions'!$D$10,TRUE)</x:f>
        <x:v>0.7536144164560518</x:v>
      </x:c>
      <x:c r="N1655" s="30" t="n">
        <x:f>MAX(0,H1655-MAX(G1655,M1655))</x:f>
        <x:v>0</x:v>
      </x:c>
      <x:c r="O1655" s="28" t="n">
        <x:f>J1655*I1655</x:f>
        <x:v>6281.13153954746</x:v>
      </x:c>
      <x:c r="P1655" s="27" t="n">
        <x:f>(VLOOKUP(O1655,'Fee Data'!$C$6:$G$50,2,TRUE)+O1655*VLOOKUP(O1655,'Fee Data'!$C$6:$G$50,3,TRUE)+VLOOKUP(O1655,'Fee Data'!$I$6:$J$14,2,TRUE)+'Fee Data'!$J$20+'Fee Data'!$J$21)*'Assumptions'!K37</x:f>
        <x:v>1060</x:v>
      </x:c>
      <x:c r="Q1655" s="27" t="n">
        <x:f>(VLOOKUP(O1655,'Fee Data'!$C$6:$G$50,4,TRUE)+O1655*VLOOKUP(O1655,'Fee Data'!$C$6:$G$50,5,TRUE)+VLOOKUP(O1655,'Fee Data'!$I$6:$J$14,2,TRUE)+'Fee Data'!$J$20+'Fee Data'!$J$21)*'Assumptions'!K37</x:f>
        <x:v>935</x:v>
      </x:c>
      <x:c r="R1655" s="27" t="n">
        <x:f>P1655*(1-'Assumptions'!$D$14)+Q1655*'Assumptions'!$D$14</x:f>
        <x:v>997.5</x:v>
      </x:c>
      <x:c r="S1655" s="27" t="n">
        <x:f>O1655*'Carrier Engine'!E98</x:f>
        <x:v>251.24526158189838</x:v>
      </x:c>
      <x:c r="T1655" s="28" t="n">
        <x:f>R1655+S1655</x:f>
        <x:v>1248.7452615818984</x:v>
      </x:c>
      <x:c r="U1655" s="27" t="n">
        <x:f>N1655*'Fleet Engine'!M209</x:f>
        <x:v>0</x:v>
      </x:c>
      <x:c r="V1655" s="28" t="n">
        <x:f>U1655*T1655</x:f>
        <x:v>0</x:v>
      </x:c>
      <x:c r="W1655" s="28" t="n">
        <x:f>U1655*O1655</x:f>
        <x:v>0</x:v>
      </x:c>
    </x:row>
    <x:row r="1656" ht="19" customHeight="1">
      <x:c r="A1656" s="2"/>
      <x:c r="B1656" s="2"/>
      <x:c r="C1656" s="46" t="n">
        <x:v>7</x:v>
      </x:c>
      <x:c r="D1656" s="46" t="n">
        <x:v>15</x:v>
      </x:c>
      <x:c r="E1656" s="46" t="n">
        <x:v>2</x:v>
      </x:c>
      <x:c r="F1656" s="46" t="n">
        <x:v>3</x:v>
      </x:c>
      <x:c r="G1656" s="12" t="n">
        <x:v>0.3333333333333333</x:v>
      </x:c>
      <x:c r="H1656" s="12" t="n">
        <x:v>0.4444444444444444</x:v>
      </x:c>
      <x:c r="I1656" s="29" t="n">
        <x:f>'Assumptions'!$D$11+'Assumptions'!$D$12*(0.5-(G1656+H1656)/2)</x:f>
        <x:v>0.32222222222222224</x:v>
      </x:c>
      <x:c r="J1656" s="27" t="n">
        <x:f>'Assumptions'!$D$8*EXP(-'Assumptions'!$D$9*('Fleet Engine'!E209-10))*'Assumptions'!E57*'Assumptions'!K36</x:f>
        <x:v>18235.543179331336</x:v>
      </x:c>
      <x:c r="K1656" s="27" t="n">
        <x:f>'Source Data'!F220+LN('Assumptions'!D57)+LN('Assumptions'!K35)</x:f>
        <x:v>8.332638086869624</x:v>
      </x:c>
      <x:c r="L1656" s="27" t="n">
        <x:f>J1656*(1-I1656*(1-'Carrier Engine'!E98))</x:f>
        <x:v>12594.681822524843</x:v>
      </x:c>
      <x:c r="M1656" s="29" t="n">
        <x:f>NORM.S.DIST((LN(L1656)-K1656)/'Assumptions'!$D$10,TRUE)</x:f>
        <x:v>0.7598715607815303</x:v>
      </x:c>
      <x:c r="N1656" s="30" t="n">
        <x:f>MAX(0,H1656-MAX(G1656,M1656))</x:f>
        <x:v>0</x:v>
      </x:c>
      <x:c r="O1656" s="28" t="n">
        <x:f>J1656*I1656</x:f>
        <x:v>5875.897246673431</x:v>
      </x:c>
      <x:c r="P1656" s="27" t="n">
        <x:f>(VLOOKUP(O1656,'Fee Data'!$C$6:$G$50,2,TRUE)+O1656*VLOOKUP(O1656,'Fee Data'!$C$6:$G$50,3,TRUE)+VLOOKUP(O1656,'Fee Data'!$I$6:$J$14,2,TRUE)+'Fee Data'!$J$20+'Fee Data'!$J$21)*'Assumptions'!K37</x:f>
        <x:v>1020</x:v>
      </x:c>
      <x:c r="Q1656" s="27" t="n">
        <x:f>(VLOOKUP(O1656,'Fee Data'!$C$6:$G$50,4,TRUE)+O1656*VLOOKUP(O1656,'Fee Data'!$C$6:$G$50,5,TRUE)+VLOOKUP(O1656,'Fee Data'!$I$6:$J$14,2,TRUE)+'Fee Data'!$J$20+'Fee Data'!$J$21)*'Assumptions'!K37</x:f>
        <x:v>895</x:v>
      </x:c>
      <x:c r="R1656" s="27" t="n">
        <x:f>P1656*(1-'Assumptions'!$D$14)+Q1656*'Assumptions'!$D$14</x:f>
        <x:v>957.5</x:v>
      </x:c>
      <x:c r="S1656" s="27" t="n">
        <x:f>O1656*'Carrier Engine'!E98</x:f>
        <x:v>235.03588986693723</x:v>
      </x:c>
      <x:c r="T1656" s="28" t="n">
        <x:f>R1656+S1656</x:f>
        <x:v>1192.5358898669372</x:v>
      </x:c>
      <x:c r="U1656" s="27" t="n">
        <x:f>N1656*'Fleet Engine'!M209</x:f>
        <x:v>0</x:v>
      </x:c>
      <x:c r="V1656" s="28" t="n">
        <x:f>U1656*T1656</x:f>
        <x:v>0</x:v>
      </x:c>
      <x:c r="W1656" s="28" t="n">
        <x:f>U1656*O1656</x:f>
        <x:v>0</x:v>
      </x:c>
    </x:row>
    <x:row r="1657" ht="19" customHeight="1">
      <x:c r="A1657" s="2"/>
      <x:c r="B1657" s="2"/>
      <x:c r="C1657" s="46" t="n">
        <x:v>7</x:v>
      </x:c>
      <x:c r="D1657" s="46" t="n">
        <x:v>15</x:v>
      </x:c>
      <x:c r="E1657" s="46" t="n">
        <x:v>2</x:v>
      </x:c>
      <x:c r="F1657" s="46" t="n">
        <x:v>3</x:v>
      </x:c>
      <x:c r="G1657" s="12" t="n">
        <x:v>0.4444444444444444</x:v>
      </x:c>
      <x:c r="H1657" s="12" t="n">
        <x:v>0.5555555555555556</x:v>
      </x:c>
      <x:c r="I1657" s="29" t="n">
        <x:f>'Assumptions'!$D$11+'Assumptions'!$D$12*(0.5-(G1657+H1657)/2)</x:f>
        <x:v>0.3</x:v>
      </x:c>
      <x:c r="J1657" s="27" t="n">
        <x:f>'Assumptions'!$D$8*EXP(-'Assumptions'!$D$9*('Fleet Engine'!E209-10))*'Assumptions'!E57*'Assumptions'!K36</x:f>
        <x:v>18235.543179331336</x:v>
      </x:c>
      <x:c r="K1657" s="27" t="n">
        <x:f>'Source Data'!F220+LN('Assumptions'!D57)+LN('Assumptions'!K35)</x:f>
        <x:v>8.332638086869624</x:v>
      </x:c>
      <x:c r="L1657" s="27" t="n">
        <x:f>J1657*(1-I1657*(1-'Carrier Engine'!E98))</x:f>
        <x:v>12983.706743683912</x:v>
      </x:c>
      <x:c r="M1657" s="29" t="n">
        <x:f>NORM.S.DIST((LN(L1657)-K1657)/'Assumptions'!$D$10,TRUE)</x:f>
        <x:v>0.7658546811979431</x:v>
      </x:c>
      <x:c r="N1657" s="30" t="n">
        <x:f>MAX(0,H1657-MAX(G1657,M1657))</x:f>
        <x:v>0</x:v>
      </x:c>
      <x:c r="O1657" s="28" t="n">
        <x:f>J1657*I1657</x:f>
        <x:v>5470.6629537994</x:v>
      </x:c>
      <x:c r="P1657" s="27" t="n">
        <x:f>(VLOOKUP(O1657,'Fee Data'!$C$6:$G$50,2,TRUE)+O1657*VLOOKUP(O1657,'Fee Data'!$C$6:$G$50,3,TRUE)+VLOOKUP(O1657,'Fee Data'!$I$6:$J$14,2,TRUE)+'Fee Data'!$J$20+'Fee Data'!$J$21)*'Assumptions'!K37</x:f>
        <x:v>995</x:v>
      </x:c>
      <x:c r="Q1657" s="27" t="n">
        <x:f>(VLOOKUP(O1657,'Fee Data'!$C$6:$G$50,4,TRUE)+O1657*VLOOKUP(O1657,'Fee Data'!$C$6:$G$50,5,TRUE)+VLOOKUP(O1657,'Fee Data'!$I$6:$J$14,2,TRUE)+'Fee Data'!$J$20+'Fee Data'!$J$21)*'Assumptions'!K37</x:f>
        <x:v>870</x:v>
      </x:c>
      <x:c r="R1657" s="27" t="n">
        <x:f>P1657*(1-'Assumptions'!$D$14)+Q1657*'Assumptions'!$D$14</x:f>
        <x:v>932.5</x:v>
      </x:c>
      <x:c r="S1657" s="27" t="n">
        <x:f>O1657*'Carrier Engine'!E98</x:f>
        <x:v>218.826518151976</x:v>
      </x:c>
      <x:c r="T1657" s="28" t="n">
        <x:f>R1657+S1657</x:f>
        <x:v>1151.326518151976</x:v>
      </x:c>
      <x:c r="U1657" s="27" t="n">
        <x:f>N1657*'Fleet Engine'!M209</x:f>
        <x:v>0</x:v>
      </x:c>
      <x:c r="V1657" s="28" t="n">
        <x:f>U1657*T1657</x:f>
        <x:v>0</x:v>
      </x:c>
      <x:c r="W1657" s="28" t="n">
        <x:f>U1657*O1657</x:f>
        <x:v>0</x:v>
      </x:c>
    </x:row>
    <x:row r="1658" ht="19" customHeight="1">
      <x:c r="A1658" s="2"/>
      <x:c r="B1658" s="2"/>
      <x:c r="C1658" s="46" t="n">
        <x:v>7</x:v>
      </x:c>
      <x:c r="D1658" s="46" t="n">
        <x:v>15</x:v>
      </x:c>
      <x:c r="E1658" s="46" t="n">
        <x:v>2</x:v>
      </x:c>
      <x:c r="F1658" s="46" t="n">
        <x:v>3</x:v>
      </x:c>
      <x:c r="G1658" s="12" t="n">
        <x:v>0.5555555555555556</x:v>
      </x:c>
      <x:c r="H1658" s="12" t="n">
        <x:v>0.6666666666666666</x:v>
      </x:c>
      <x:c r="I1658" s="29" t="n">
        <x:f>'Assumptions'!$D$11+'Assumptions'!$D$12*(0.5-(G1658+H1658)/2)</x:f>
        <x:v>0.27777777777777773</x:v>
      </x:c>
      <x:c r="J1658" s="27" t="n">
        <x:f>'Assumptions'!$D$8*EXP(-'Assumptions'!$D$9*('Fleet Engine'!E209-10))*'Assumptions'!E57*'Assumptions'!K36</x:f>
        <x:v>18235.543179331336</x:v>
      </x:c>
      <x:c r="K1658" s="27" t="n">
        <x:f>'Source Data'!F220+LN('Assumptions'!D57)+LN('Assumptions'!K35)</x:f>
        <x:v>8.332638086869624</x:v>
      </x:c>
      <x:c r="L1658" s="27" t="n">
        <x:f>J1658*(1-I1658*(1-'Carrier Engine'!E98))</x:f>
        <x:v>13372.73166484298</x:v>
      </x:c>
      <x:c r="M1658" s="29" t="n">
        <x:f>NORM.S.DIST((LN(L1658)-K1658)/'Assumptions'!$D$10,TRUE)</x:f>
        <x:v>0.7715813442101519</x:v>
      </x:c>
      <x:c r="N1658" s="30" t="n">
        <x:f>MAX(0,H1658-MAX(G1658,M1658))</x:f>
        <x:v>0</x:v>
      </x:c>
      <x:c r="O1658" s="28" t="n">
        <x:f>J1658*I1658</x:f>
        <x:v>5065.42866092537</x:v>
      </x:c>
      <x:c r="P1658" s="27" t="n">
        <x:f>(VLOOKUP(O1658,'Fee Data'!$C$6:$G$50,2,TRUE)+O1658*VLOOKUP(O1658,'Fee Data'!$C$6:$G$50,3,TRUE)+VLOOKUP(O1658,'Fee Data'!$I$6:$J$14,2,TRUE)+'Fee Data'!$J$20+'Fee Data'!$J$21)*'Assumptions'!K37</x:f>
        <x:v>995</x:v>
      </x:c>
      <x:c r="Q1658" s="27" t="n">
        <x:f>(VLOOKUP(O1658,'Fee Data'!$C$6:$G$50,4,TRUE)+O1658*VLOOKUP(O1658,'Fee Data'!$C$6:$G$50,5,TRUE)+VLOOKUP(O1658,'Fee Data'!$I$6:$J$14,2,TRUE)+'Fee Data'!$J$20+'Fee Data'!$J$21)*'Assumptions'!K37</x:f>
        <x:v>870</x:v>
      </x:c>
      <x:c r="R1658" s="27" t="n">
        <x:f>P1658*(1-'Assumptions'!$D$14)+Q1658*'Assumptions'!$D$14</x:f>
        <x:v>932.5</x:v>
      </x:c>
      <x:c r="S1658" s="27" t="n">
        <x:f>O1658*'Carrier Engine'!E98</x:f>
        <x:v>202.61714643701478</x:v>
      </x:c>
      <x:c r="T1658" s="28" t="n">
        <x:f>R1658+S1658</x:f>
        <x:v>1135.1171464370148</x:v>
      </x:c>
      <x:c r="U1658" s="27" t="n">
        <x:f>N1658*'Fleet Engine'!M209</x:f>
        <x:v>0</x:v>
      </x:c>
      <x:c r="V1658" s="28" t="n">
        <x:f>U1658*T1658</x:f>
        <x:v>0</x:v>
      </x:c>
      <x:c r="W1658" s="28" t="n">
        <x:f>U1658*O1658</x:f>
        <x:v>0</x:v>
      </x:c>
    </x:row>
    <x:row r="1659" ht="19" customHeight="1">
      <x:c r="A1659" s="2"/>
      <x:c r="B1659" s="2"/>
      <x:c r="C1659" s="46" t="n">
        <x:v>7</x:v>
      </x:c>
      <x:c r="D1659" s="46" t="n">
        <x:v>15</x:v>
      </x:c>
      <x:c r="E1659" s="46" t="n">
        <x:v>2</x:v>
      </x:c>
      <x:c r="F1659" s="46" t="n">
        <x:v>3</x:v>
      </x:c>
      <x:c r="G1659" s="12" t="n">
        <x:v>0.6666666666666666</x:v>
      </x:c>
      <x:c r="H1659" s="12" t="n">
        <x:v>0.7777777777777778</x:v>
      </x:c>
      <x:c r="I1659" s="29" t="n">
        <x:f>'Assumptions'!$D$11+'Assumptions'!$D$12*(0.5-(G1659+H1659)/2)</x:f>
        <x:v>0.25555555555555554</x:v>
      </x:c>
      <x:c r="J1659" s="27" t="n">
        <x:f>'Assumptions'!$D$8*EXP(-'Assumptions'!$D$9*('Fleet Engine'!E209-10))*'Assumptions'!E57*'Assumptions'!K36</x:f>
        <x:v>18235.543179331336</x:v>
      </x:c>
      <x:c r="K1659" s="27" t="n">
        <x:f>'Source Data'!F220+LN('Assumptions'!D57)+LN('Assumptions'!K35)</x:f>
        <x:v>8.332638086869624</x:v>
      </x:c>
      <x:c r="L1659" s="27" t="n">
        <x:f>J1659*(1-I1659*(1-'Carrier Engine'!E98))</x:f>
        <x:v>13761.75658600205</x:v>
      </x:c>
      <x:c r="M1659" s="29" t="n">
        <x:f>NORM.S.DIST((LN(L1659)-K1659)/'Assumptions'!$D$10,TRUE)</x:f>
        <x:v>0.7770676226732032</x:v>
      </x:c>
      <x:c r="N1659" s="30" t="n">
        <x:f>MAX(0,H1659-MAX(G1659,M1659))</x:f>
        <x:v>0.0007101551045746168</x:v>
      </x:c>
      <x:c r="O1659" s="28" t="n">
        <x:f>J1659*I1659</x:f>
        <x:v>4660.194368051341</x:v>
      </x:c>
      <x:c r="P1659" s="27" t="n">
        <x:f>(VLOOKUP(O1659,'Fee Data'!$C$6:$G$50,2,TRUE)+O1659*VLOOKUP(O1659,'Fee Data'!$C$6:$G$50,3,TRUE)+VLOOKUP(O1659,'Fee Data'!$I$6:$J$14,2,TRUE)+'Fee Data'!$J$20+'Fee Data'!$J$21)*'Assumptions'!K37</x:f>
        <x:v>970</x:v>
      </x:c>
      <x:c r="Q1659" s="27" t="n">
        <x:f>(VLOOKUP(O1659,'Fee Data'!$C$6:$G$50,4,TRUE)+O1659*VLOOKUP(O1659,'Fee Data'!$C$6:$G$50,5,TRUE)+VLOOKUP(O1659,'Fee Data'!$I$6:$J$14,2,TRUE)+'Fee Data'!$J$20+'Fee Data'!$J$21)*'Assumptions'!K37</x:f>
        <x:v>845</x:v>
      </x:c>
      <x:c r="R1659" s="27" t="n">
        <x:f>P1659*(1-'Assumptions'!$D$14)+Q1659*'Assumptions'!$D$14</x:f>
        <x:v>907.5</x:v>
      </x:c>
      <x:c r="S1659" s="27" t="n">
        <x:f>O1659*'Carrier Engine'!E98</x:f>
        <x:v>186.40777472205363</x:v>
      </x:c>
      <x:c r="T1659" s="28" t="n">
        <x:f>R1659+S1659</x:f>
        <x:v>1093.9077747220535</x:v>
      </x:c>
      <x:c r="U1659" s="27" t="n">
        <x:f>N1659*'Fleet Engine'!M209</x:f>
        <x:v>3.4696803440511697</x:v>
      </x:c>
      <x:c r="V1659" s="28" t="n">
        <x:f>U1659*T1659</x:f>
        <x:v>3795.510304157864</x:v>
      </x:c>
      <x:c r="W1659" s="28" t="n">
        <x:f>U1659*O1659</x:f>
        <x:v>16169.3847982857</x:v>
      </x:c>
    </x:row>
    <x:row r="1660" ht="19" customHeight="1">
      <x:c r="A1660" s="2"/>
      <x:c r="B1660" s="2"/>
      <x:c r="C1660" s="46" t="n">
        <x:v>7</x:v>
      </x:c>
      <x:c r="D1660" s="46" t="n">
        <x:v>15</x:v>
      </x:c>
      <x:c r="E1660" s="46" t="n">
        <x:v>2</x:v>
      </x:c>
      <x:c r="F1660" s="46" t="n">
        <x:v>3</x:v>
      </x:c>
      <x:c r="G1660" s="12" t="n">
        <x:v>0.7777777777777778</x:v>
      </x:c>
      <x:c r="H1660" s="12" t="n">
        <x:v>0.8888888888888888</x:v>
      </x:c>
      <x:c r="I1660" s="29" t="n">
        <x:f>'Assumptions'!$D$11+'Assumptions'!$D$12*(0.5-(G1660+H1660)/2)</x:f>
        <x:v>0.23333333333333334</x:v>
      </x:c>
      <x:c r="J1660" s="27" t="n">
        <x:f>'Assumptions'!$D$8*EXP(-'Assumptions'!$D$9*('Fleet Engine'!E209-10))*'Assumptions'!E57*'Assumptions'!K36</x:f>
        <x:v>18235.543179331336</x:v>
      </x:c>
      <x:c r="K1660" s="27" t="n">
        <x:f>'Source Data'!F220+LN('Assumptions'!D57)+LN('Assumptions'!K35)</x:f>
        <x:v>8.332638086869624</x:v>
      </x:c>
      <x:c r="L1660" s="27" t="n">
        <x:f>J1660*(1-I1660*(1-'Carrier Engine'!E98))</x:f>
        <x:v>14150.781507161117</x:v>
      </x:c>
      <x:c r="M1660" s="29" t="n">
        <x:f>NORM.S.DIST((LN(L1660)-K1660)/'Assumptions'!$D$10,TRUE)</x:f>
        <x:v>0.7823282539471316</x:v>
      </x:c>
      <x:c r="N1660" s="30" t="n">
        <x:f>MAX(0,H1660-MAX(G1660,M1660))</x:f>
        <x:v>0.10656063494175727</x:v>
      </x:c>
      <x:c r="O1660" s="28" t="n">
        <x:f>J1660*I1660</x:f>
        <x:v>4254.960075177312</x:v>
      </x:c>
      <x:c r="P1660" s="27" t="n">
        <x:f>(VLOOKUP(O1660,'Fee Data'!$C$6:$G$50,2,TRUE)+O1660*VLOOKUP(O1660,'Fee Data'!$C$6:$G$50,3,TRUE)+VLOOKUP(O1660,'Fee Data'!$I$6:$J$14,2,TRUE)+'Fee Data'!$J$20+'Fee Data'!$J$21)*'Assumptions'!K37</x:f>
        <x:v>945</x:v>
      </x:c>
      <x:c r="Q1660" s="27" t="n">
        <x:f>(VLOOKUP(O1660,'Fee Data'!$C$6:$G$50,4,TRUE)+O1660*VLOOKUP(O1660,'Fee Data'!$C$6:$G$50,5,TRUE)+VLOOKUP(O1660,'Fee Data'!$I$6:$J$14,2,TRUE)+'Fee Data'!$J$20+'Fee Data'!$J$21)*'Assumptions'!K37</x:f>
        <x:v>820</x:v>
      </x:c>
      <x:c r="R1660" s="27" t="n">
        <x:f>P1660*(1-'Assumptions'!$D$14)+Q1660*'Assumptions'!$D$14</x:f>
        <x:v>882.5</x:v>
      </x:c>
      <x:c r="S1660" s="27" t="n">
        <x:f>O1660*'Carrier Engine'!E98</x:f>
        <x:v>170.19840300709248</x:v>
      </x:c>
      <x:c r="T1660" s="28" t="n">
        <x:f>R1660+S1660</x:f>
        <x:v>1052.6984030070926</x:v>
      </x:c>
      <x:c r="U1660" s="27" t="n">
        <x:f>N1660*'Fleet Engine'!M209</x:f>
        <x:v>520.6346305551049</x:v>
      </x:c>
      <x:c r="V1660" s="28" t="n">
        <x:f>U1660*T1660</x:f>
        <x:v>548071.2441355465</x:v>
      </x:c>
      <x:c r="W1660" s="28" t="n">
        <x:f>U1660*O1660</x:f>
        <x:v>2215279.566766661</x:v>
      </x:c>
    </x:row>
    <x:row r="1661" ht="19" customHeight="1">
      <x:c r="A1661" s="2"/>
      <x:c r="B1661" s="2"/>
      <x:c r="C1661" s="46" t="n">
        <x:v>7</x:v>
      </x:c>
      <x:c r="D1661" s="46" t="n">
        <x:v>15</x:v>
      </x:c>
      <x:c r="E1661" s="46" t="n">
        <x:v>2</x:v>
      </x:c>
      <x:c r="F1661" s="46" t="n">
        <x:v>3</x:v>
      </x:c>
      <x:c r="G1661" s="12" t="n">
        <x:v>0.8888888888888888</x:v>
      </x:c>
      <x:c r="H1661" s="12" t="n">
        <x:v>1</x:v>
      </x:c>
      <x:c r="I1661" s="29" t="n">
        <x:f>'Assumptions'!$D$11+'Assumptions'!$D$12*(0.5-(G1661+H1661)/2)</x:f>
        <x:v>0.21111111111111108</x:v>
      </x:c>
      <x:c r="J1661" s="27" t="n">
        <x:f>'Assumptions'!$D$8*EXP(-'Assumptions'!$D$9*('Fleet Engine'!E209-10))*'Assumptions'!E57*'Assumptions'!K36</x:f>
        <x:v>18235.543179331336</x:v>
      </x:c>
      <x:c r="K1661" s="27" t="n">
        <x:f>'Source Data'!F220+LN('Assumptions'!D57)+LN('Assumptions'!K35)</x:f>
        <x:v>8.332638086869624</x:v>
      </x:c>
      <x:c r="L1661" s="27" t="n">
        <x:f>J1661*(1-I1661*(1-'Carrier Engine'!E98))</x:f>
        <x:v>14539.806428320186</x:v>
      </x:c>
      <x:c r="M1661" s="29" t="n">
        <x:f>NORM.S.DIST((LN(L1661)-K1661)/'Assumptions'!$D$10,TRUE)</x:f>
        <x:v>0.7873767780721864</x:v>
      </x:c>
      <x:c r="N1661" s="30" t="n">
        <x:f>MAX(0,H1661-MAX(G1661,M1661))</x:f>
        <x:v>0.11111111111111116</x:v>
      </x:c>
      <x:c r="O1661" s="28" t="n">
        <x:f>J1661*I1661</x:f>
        <x:v>3849.7257823032814</x:v>
      </x:c>
      <x:c r="P1661" s="27" t="n">
        <x:f>(VLOOKUP(O1661,'Fee Data'!$C$6:$G$50,2,TRUE)+O1661*VLOOKUP(O1661,'Fee Data'!$C$6:$G$50,3,TRUE)+VLOOKUP(O1661,'Fee Data'!$I$6:$J$14,2,TRUE)+'Fee Data'!$J$20+'Fee Data'!$J$21)*'Assumptions'!K37</x:f>
        <x:v>915</x:v>
      </x:c>
      <x:c r="Q1661" s="27" t="n">
        <x:f>(VLOOKUP(O1661,'Fee Data'!$C$6:$G$50,4,TRUE)+O1661*VLOOKUP(O1661,'Fee Data'!$C$6:$G$50,5,TRUE)+VLOOKUP(O1661,'Fee Data'!$I$6:$J$14,2,TRUE)+'Fee Data'!$J$20+'Fee Data'!$J$21)*'Assumptions'!K37</x:f>
        <x:v>765</x:v>
      </x:c>
      <x:c r="R1661" s="27" t="n">
        <x:f>P1661*(1-'Assumptions'!$D$14)+Q1661*'Assumptions'!$D$14</x:f>
        <x:v>840</x:v>
      </x:c>
      <x:c r="S1661" s="27" t="n">
        <x:f>O1661*'Carrier Engine'!E98</x:f>
        <x:v>153.98903129213124</x:v>
      </x:c>
      <x:c r="T1661" s="28" t="n">
        <x:f>R1661+S1661</x:f>
        <x:v>993.9890312921312</x:v>
      </x:c>
      <x:c r="U1661" s="27" t="n">
        <x:f>N1661*'Fleet Engine'!M209</x:f>
        <x:v>542.8673760767158</x:v>
      </x:c>
      <x:c r="V1661" s="28" t="n">
        <x:f>U1661*T1661</x:f>
        <x:v>539604.2172665958</x:v>
      </x:c>
      <x:c r="W1661" s="28" t="n">
        <x:f>U1661*O1661</x:f>
        <x:v>2089890.5340538644</x:v>
      </x:c>
    </x:row>
    <x:row r="1662" ht="19" customHeight="1">
      <x:c r="A1662" s="2"/>
      <x:c r="B1662" s="2"/>
      <x:c r="C1662" s="46" t="n">
        <x:v>7</x:v>
      </x:c>
      <x:c r="D1662" s="46" t="n">
        <x:v>16</x:v>
      </x:c>
      <x:c r="E1662" s="46" t="n">
        <x:v>2</x:v>
      </x:c>
      <x:c r="F1662" s="46" t="n">
        <x:v>4</x:v>
      </x:c>
      <x:c r="G1662" s="12" t="n">
        <x:v>0</x:v>
      </x:c>
      <x:c r="H1662" s="12" t="n">
        <x:v>0.1111111111111111</x:v>
      </x:c>
      <x:c r="I1662" s="29" t="n">
        <x:f>'Assumptions'!$D$11+'Assumptions'!$D$12*(0.5-(G1662+H1662)/2)</x:f>
        <x:v>0.3888888888888889</x:v>
      </x:c>
      <x:c r="J1662" s="27" t="n">
        <x:f>'Assumptions'!$D$8*EXP(-'Assumptions'!$D$9*('Fleet Engine'!E210-10))*'Assumptions'!E57*'Assumptions'!K36</x:f>
        <x:v>13509.222651276876</x:v>
      </x:c>
      <x:c r="K1662" s="27" t="n">
        <x:f>'Source Data'!F221+LN('Assumptions'!D57)+LN('Assumptions'!K35)</x:f>
        <x:v>8.418486215784876</x:v>
      </x:c>
      <x:c r="L1662" s="27" t="n">
        <x:f>J1662*(1-I1662*(1-'Carrier Engine'!E98))</x:f>
        <x:v>8465.77952813351</x:v>
      </x:c>
      <x:c r="M1662" s="29" t="n">
        <x:f>NORM.S.DIST((LN(L1662)-K1662)/'Assumptions'!$D$10,TRUE)</x:f>
        <x:v>0.6547692149183624</x:v>
      </x:c>
      <x:c r="N1662" s="30" t="n">
        <x:f>MAX(0,H1662-MAX(G1662,M1662))</x:f>
        <x:v>0</x:v>
      </x:c>
      <x:c r="O1662" s="28" t="n">
        <x:f>J1662*I1662</x:f>
        <x:v>5253.586586607674</x:v>
      </x:c>
      <x:c r="P1662" s="27" t="n">
        <x:f>(VLOOKUP(O1662,'Fee Data'!$C$6:$G$50,2,TRUE)+O1662*VLOOKUP(O1662,'Fee Data'!$C$6:$G$50,3,TRUE)+VLOOKUP(O1662,'Fee Data'!$I$6:$J$14,2,TRUE)+'Fee Data'!$J$20+'Fee Data'!$J$21)*'Assumptions'!K37</x:f>
        <x:v>995</x:v>
      </x:c>
      <x:c r="Q1662" s="27" t="n">
        <x:f>(VLOOKUP(O1662,'Fee Data'!$C$6:$G$50,4,TRUE)+O1662*VLOOKUP(O1662,'Fee Data'!$C$6:$G$50,5,TRUE)+VLOOKUP(O1662,'Fee Data'!$I$6:$J$14,2,TRUE)+'Fee Data'!$J$20+'Fee Data'!$J$21)*'Assumptions'!K37</x:f>
        <x:v>870</x:v>
      </x:c>
      <x:c r="R1662" s="27" t="n">
        <x:f>P1662*(1-'Assumptions'!$D$14)+Q1662*'Assumptions'!$D$14</x:f>
        <x:v>932.5</x:v>
      </x:c>
      <x:c r="S1662" s="27" t="n">
        <x:f>O1662*'Carrier Engine'!E98</x:f>
        <x:v>210.14346346430693</x:v>
      </x:c>
      <x:c r="T1662" s="28" t="n">
        <x:f>R1662+S1662</x:f>
        <x:v>1142.643463464307</x:v>
      </x:c>
      <x:c r="U1662" s="27" t="n">
        <x:f>N1662*'Fleet Engine'!M210</x:f>
        <x:v>0</x:v>
      </x:c>
      <x:c r="V1662" s="28" t="n">
        <x:f>U1662*T1662</x:f>
        <x:v>0</x:v>
      </x:c>
      <x:c r="W1662" s="28" t="n">
        <x:f>U1662*O1662</x:f>
        <x:v>0</x:v>
      </x:c>
    </x:row>
    <x:row r="1663" ht="19" customHeight="1">
      <x:c r="A1663" s="2"/>
      <x:c r="B1663" s="2"/>
      <x:c r="C1663" s="46" t="n">
        <x:v>7</x:v>
      </x:c>
      <x:c r="D1663" s="46" t="n">
        <x:v>16</x:v>
      </x:c>
      <x:c r="E1663" s="46" t="n">
        <x:v>2</x:v>
      </x:c>
      <x:c r="F1663" s="46" t="n">
        <x:v>4</x:v>
      </x:c>
      <x:c r="G1663" s="12" t="n">
        <x:v>0.1111111111111111</x:v>
      </x:c>
      <x:c r="H1663" s="12" t="n">
        <x:v>0.2222222222222222</x:v>
      </x:c>
      <x:c r="I1663" s="29" t="n">
        <x:f>'Assumptions'!$D$11+'Assumptions'!$D$12*(0.5-(G1663+H1663)/2)</x:f>
        <x:v>0.3666666666666667</x:v>
      </x:c>
      <x:c r="J1663" s="27" t="n">
        <x:f>'Assumptions'!$D$8*EXP(-'Assumptions'!$D$9*('Fleet Engine'!E210-10))*'Assumptions'!E57*'Assumptions'!K36</x:f>
        <x:v>13509.222651276876</x:v>
      </x:c>
      <x:c r="K1663" s="27" t="n">
        <x:f>'Source Data'!F221+LN('Assumptions'!D57)+LN('Assumptions'!K35)</x:f>
        <x:v>8.418486215784876</x:v>
      </x:c>
      <x:c r="L1663" s="27" t="n">
        <x:f>J1663*(1-I1663*(1-'Carrier Engine'!E98))</x:f>
        <x:v>8753.976278027414</x:v>
      </x:c>
      <x:c r="M1663" s="29" t="n">
        <x:f>NORM.S.DIST((LN(L1663)-K1663)/'Assumptions'!$D$10,TRUE)</x:f>
        <x:v>0.6625922348502294</x:v>
      </x:c>
      <x:c r="N1663" s="30" t="n">
        <x:f>MAX(0,H1663-MAX(G1663,M1663))</x:f>
        <x:v>0</x:v>
      </x:c>
      <x:c r="O1663" s="28" t="n">
        <x:f>J1663*I1663</x:f>
        <x:v>4953.381638801521</x:v>
      </x:c>
      <x:c r="P1663" s="27" t="n">
        <x:f>(VLOOKUP(O1663,'Fee Data'!$C$6:$G$50,2,TRUE)+O1663*VLOOKUP(O1663,'Fee Data'!$C$6:$G$50,3,TRUE)+VLOOKUP(O1663,'Fee Data'!$I$6:$J$14,2,TRUE)+'Fee Data'!$J$20+'Fee Data'!$J$21)*'Assumptions'!K37</x:f>
        <x:v>970</x:v>
      </x:c>
      <x:c r="Q1663" s="27" t="n">
        <x:f>(VLOOKUP(O1663,'Fee Data'!$C$6:$G$50,4,TRUE)+O1663*VLOOKUP(O1663,'Fee Data'!$C$6:$G$50,5,TRUE)+VLOOKUP(O1663,'Fee Data'!$I$6:$J$14,2,TRUE)+'Fee Data'!$J$20+'Fee Data'!$J$21)*'Assumptions'!K37</x:f>
        <x:v>845</x:v>
      </x:c>
      <x:c r="R1663" s="27" t="n">
        <x:f>P1663*(1-'Assumptions'!$D$14)+Q1663*'Assumptions'!$D$14</x:f>
        <x:v>907.5</x:v>
      </x:c>
      <x:c r="S1663" s="27" t="n">
        <x:f>O1663*'Carrier Engine'!E98</x:f>
        <x:v>198.13526555206082</x:v>
      </x:c>
      <x:c r="T1663" s="28" t="n">
        <x:f>R1663+S1663</x:f>
        <x:v>1105.635265552061</x:v>
      </x:c>
      <x:c r="U1663" s="27" t="n">
        <x:f>N1663*'Fleet Engine'!M210</x:f>
        <x:v>0</x:v>
      </x:c>
      <x:c r="V1663" s="28" t="n">
        <x:f>U1663*T1663</x:f>
        <x:v>0</x:v>
      </x:c>
      <x:c r="W1663" s="28" t="n">
        <x:f>U1663*O1663</x:f>
        <x:v>0</x:v>
      </x:c>
    </x:row>
    <x:row r="1664" ht="19" customHeight="1">
      <x:c r="A1664" s="2"/>
      <x:c r="B1664" s="2"/>
      <x:c r="C1664" s="46" t="n">
        <x:v>7</x:v>
      </x:c>
      <x:c r="D1664" s="46" t="n">
        <x:v>16</x:v>
      </x:c>
      <x:c r="E1664" s="46" t="n">
        <x:v>2</x:v>
      </x:c>
      <x:c r="F1664" s="46" t="n">
        <x:v>4</x:v>
      </x:c>
      <x:c r="G1664" s="12" t="n">
        <x:v>0.2222222222222222</x:v>
      </x:c>
      <x:c r="H1664" s="12" t="n">
        <x:v>0.3333333333333333</x:v>
      </x:c>
      <x:c r="I1664" s="29" t="n">
        <x:f>'Assumptions'!$D$11+'Assumptions'!$D$12*(0.5-(G1664+H1664)/2)</x:f>
        <x:v>0.34444444444444444</x:v>
      </x:c>
      <x:c r="J1664" s="27" t="n">
        <x:f>'Assumptions'!$D$8*EXP(-'Assumptions'!$D$9*('Fleet Engine'!E210-10))*'Assumptions'!E57*'Assumptions'!K36</x:f>
        <x:v>13509.222651276876</x:v>
      </x:c>
      <x:c r="K1664" s="27" t="n">
        <x:f>'Source Data'!F221+LN('Assumptions'!D57)+LN('Assumptions'!K35)</x:f>
        <x:v>8.418486215784876</x:v>
      </x:c>
      <x:c r="L1664" s="27" t="n">
        <x:f>J1664*(1-I1664*(1-'Carrier Engine'!E98))</x:f>
        <x:v>9042.173027921323</x:v>
      </x:c>
      <x:c r="M1664" s="29" t="n">
        <x:f>NORM.S.DIST((LN(L1664)-K1664)/'Assumptions'!$D$10,TRUE)</x:f>
        <x:v>0.6700955519426168</x:v>
      </x:c>
      <x:c r="N1664" s="30" t="n">
        <x:f>MAX(0,H1664-MAX(G1664,M1664))</x:f>
        <x:v>0</x:v>
      </x:c>
      <x:c r="O1664" s="28" t="n">
        <x:f>J1664*I1664</x:f>
        <x:v>4653.1766909953685</x:v>
      </x:c>
      <x:c r="P1664" s="27" t="n">
        <x:f>(VLOOKUP(O1664,'Fee Data'!$C$6:$G$50,2,TRUE)+O1664*VLOOKUP(O1664,'Fee Data'!$C$6:$G$50,3,TRUE)+VLOOKUP(O1664,'Fee Data'!$I$6:$J$14,2,TRUE)+'Fee Data'!$J$20+'Fee Data'!$J$21)*'Assumptions'!K37</x:f>
        <x:v>970</x:v>
      </x:c>
      <x:c r="Q1664" s="27" t="n">
        <x:f>(VLOOKUP(O1664,'Fee Data'!$C$6:$G$50,4,TRUE)+O1664*VLOOKUP(O1664,'Fee Data'!$C$6:$G$50,5,TRUE)+VLOOKUP(O1664,'Fee Data'!$I$6:$J$14,2,TRUE)+'Fee Data'!$J$20+'Fee Data'!$J$21)*'Assumptions'!K37</x:f>
        <x:v>845</x:v>
      </x:c>
      <x:c r="R1664" s="27" t="n">
        <x:f>P1664*(1-'Assumptions'!$D$14)+Q1664*'Assumptions'!$D$14</x:f>
        <x:v>907.5</x:v>
      </x:c>
      <x:c r="S1664" s="27" t="n">
        <x:f>O1664*'Carrier Engine'!E98</x:f>
        <x:v>186.12706763981473</x:v>
      </x:c>
      <x:c r="T1664" s="28" t="n">
        <x:f>R1664+S1664</x:f>
        <x:v>1093.6270676398146</x:v>
      </x:c>
      <x:c r="U1664" s="27" t="n">
        <x:f>N1664*'Fleet Engine'!M210</x:f>
        <x:v>0</x:v>
      </x:c>
      <x:c r="V1664" s="28" t="n">
        <x:f>U1664*T1664</x:f>
        <x:v>0</x:v>
      </x:c>
      <x:c r="W1664" s="28" t="n">
        <x:f>U1664*O1664</x:f>
        <x:v>0</x:v>
      </x:c>
    </x:row>
    <x:row r="1665" ht="19" customHeight="1">
      <x:c r="A1665" s="2"/>
      <x:c r="B1665" s="2"/>
      <x:c r="C1665" s="46" t="n">
        <x:v>7</x:v>
      </x:c>
      <x:c r="D1665" s="46" t="n">
        <x:v>16</x:v>
      </x:c>
      <x:c r="E1665" s="46" t="n">
        <x:v>2</x:v>
      </x:c>
      <x:c r="F1665" s="46" t="n">
        <x:v>4</x:v>
      </x:c>
      <x:c r="G1665" s="12" t="n">
        <x:v>0.3333333333333333</x:v>
      </x:c>
      <x:c r="H1665" s="12" t="n">
        <x:v>0.4444444444444444</x:v>
      </x:c>
      <x:c r="I1665" s="29" t="n">
        <x:f>'Assumptions'!$D$11+'Assumptions'!$D$12*(0.5-(G1665+H1665)/2)</x:f>
        <x:v>0.32222222222222224</x:v>
      </x:c>
      <x:c r="J1665" s="27" t="n">
        <x:f>'Assumptions'!$D$8*EXP(-'Assumptions'!$D$9*('Fleet Engine'!E210-10))*'Assumptions'!E57*'Assumptions'!K36</x:f>
        <x:v>13509.222651276876</x:v>
      </x:c>
      <x:c r="K1665" s="27" t="n">
        <x:f>'Source Data'!F221+LN('Assumptions'!D57)+LN('Assumptions'!K35)</x:f>
        <x:v>8.418486215784876</x:v>
      </x:c>
      <x:c r="L1665" s="27" t="n">
        <x:f>J1665*(1-I1665*(1-'Carrier Engine'!E98))</x:f>
        <x:v>9330.36977781523</x:v>
      </x:c>
      <x:c r="M1665" s="29" t="n">
        <x:f>NORM.S.DIST((LN(L1665)-K1665)/'Assumptions'!$D$10,TRUE)</x:f>
        <x:v>0.6772987939004849</x:v>
      </x:c>
      <x:c r="N1665" s="30" t="n">
        <x:f>MAX(0,H1665-MAX(G1665,M1665))</x:f>
        <x:v>0</x:v>
      </x:c>
      <x:c r="O1665" s="28" t="n">
        <x:f>J1665*I1665</x:f>
        <x:v>4352.971743189216</x:v>
      </x:c>
      <x:c r="P1665" s="27" t="n">
        <x:f>(VLOOKUP(O1665,'Fee Data'!$C$6:$G$50,2,TRUE)+O1665*VLOOKUP(O1665,'Fee Data'!$C$6:$G$50,3,TRUE)+VLOOKUP(O1665,'Fee Data'!$I$6:$J$14,2,TRUE)+'Fee Data'!$J$20+'Fee Data'!$J$21)*'Assumptions'!K37</x:f>
        <x:v>945</x:v>
      </x:c>
      <x:c r="Q1665" s="27" t="n">
        <x:f>(VLOOKUP(O1665,'Fee Data'!$C$6:$G$50,4,TRUE)+O1665*VLOOKUP(O1665,'Fee Data'!$C$6:$G$50,5,TRUE)+VLOOKUP(O1665,'Fee Data'!$I$6:$J$14,2,TRUE)+'Fee Data'!$J$20+'Fee Data'!$J$21)*'Assumptions'!K37</x:f>
        <x:v>820</x:v>
      </x:c>
      <x:c r="R1665" s="27" t="n">
        <x:f>P1665*(1-'Assumptions'!$D$14)+Q1665*'Assumptions'!$D$14</x:f>
        <x:v>882.5</x:v>
      </x:c>
      <x:c r="S1665" s="27" t="n">
        <x:f>O1665*'Carrier Engine'!E98</x:f>
        <x:v>174.1188697275686</x:v>
      </x:c>
      <x:c r="T1665" s="28" t="n">
        <x:f>R1665+S1665</x:f>
        <x:v>1056.6188697275686</x:v>
      </x:c>
      <x:c r="U1665" s="27" t="n">
        <x:f>N1665*'Fleet Engine'!M210</x:f>
        <x:v>0</x:v>
      </x:c>
      <x:c r="V1665" s="28" t="n">
        <x:f>U1665*T1665</x:f>
        <x:v>0</x:v>
      </x:c>
      <x:c r="W1665" s="28" t="n">
        <x:f>U1665*O1665</x:f>
        <x:v>0</x:v>
      </x:c>
    </x:row>
    <x:row r="1666" ht="19" customHeight="1">
      <x:c r="A1666" s="2"/>
      <x:c r="B1666" s="2"/>
      <x:c r="C1666" s="46" t="n">
        <x:v>7</x:v>
      </x:c>
      <x:c r="D1666" s="46" t="n">
        <x:v>16</x:v>
      </x:c>
      <x:c r="E1666" s="46" t="n">
        <x:v>2</x:v>
      </x:c>
      <x:c r="F1666" s="46" t="n">
        <x:v>4</x:v>
      </x:c>
      <x:c r="G1666" s="12" t="n">
        <x:v>0.4444444444444444</x:v>
      </x:c>
      <x:c r="H1666" s="12" t="n">
        <x:v>0.5555555555555556</x:v>
      </x:c>
      <x:c r="I1666" s="29" t="n">
        <x:f>'Assumptions'!$D$11+'Assumptions'!$D$12*(0.5-(G1666+H1666)/2)</x:f>
        <x:v>0.3</x:v>
      </x:c>
      <x:c r="J1666" s="27" t="n">
        <x:f>'Assumptions'!$D$8*EXP(-'Assumptions'!$D$9*('Fleet Engine'!E210-10))*'Assumptions'!E57*'Assumptions'!K36</x:f>
        <x:v>13509.222651276876</x:v>
      </x:c>
      <x:c r="K1666" s="27" t="n">
        <x:f>'Source Data'!F221+LN('Assumptions'!D57)+LN('Assumptions'!K35)</x:f>
        <x:v>8.418486215784876</x:v>
      </x:c>
      <x:c r="L1666" s="27" t="n">
        <x:f>J1666*(1-I1666*(1-'Carrier Engine'!E98))</x:f>
        <x:v>9618.566527709136</x:v>
      </x:c>
      <x:c r="M1666" s="29" t="n">
        <x:f>NORM.S.DIST((LN(L1666)-K1666)/'Assumptions'!$D$10,TRUE)</x:f>
        <x:v>0.6842199654494845</x:v>
      </x:c>
      <x:c r="N1666" s="30" t="n">
        <x:f>MAX(0,H1666-MAX(G1666,M1666))</x:f>
        <x:v>0</x:v>
      </x:c>
      <x:c r="O1666" s="28" t="n">
        <x:f>J1666*I1666</x:f>
        <x:v>4052.7667953830623</x:v>
      </x:c>
      <x:c r="P1666" s="27" t="n">
        <x:f>(VLOOKUP(O1666,'Fee Data'!$C$6:$G$50,2,TRUE)+O1666*VLOOKUP(O1666,'Fee Data'!$C$6:$G$50,3,TRUE)+VLOOKUP(O1666,'Fee Data'!$I$6:$J$14,2,TRUE)+'Fee Data'!$J$20+'Fee Data'!$J$21)*'Assumptions'!K37</x:f>
        <x:v>945</x:v>
      </x:c>
      <x:c r="Q1666" s="27" t="n">
        <x:f>(VLOOKUP(O1666,'Fee Data'!$C$6:$G$50,4,TRUE)+O1666*VLOOKUP(O1666,'Fee Data'!$C$6:$G$50,5,TRUE)+VLOOKUP(O1666,'Fee Data'!$I$6:$J$14,2,TRUE)+'Fee Data'!$J$20+'Fee Data'!$J$21)*'Assumptions'!K37</x:f>
        <x:v>820</x:v>
      </x:c>
      <x:c r="R1666" s="27" t="n">
        <x:f>P1666*(1-'Assumptions'!$D$14)+Q1666*'Assumptions'!$D$14</x:f>
        <x:v>882.5</x:v>
      </x:c>
      <x:c r="S1666" s="27" t="n">
        <x:f>O1666*'Carrier Engine'!E98</x:f>
        <x:v>162.11067181532246</x:v>
      </x:c>
      <x:c r="T1666" s="28" t="n">
        <x:f>R1666+S1666</x:f>
        <x:v>1044.6106718153223</x:v>
      </x:c>
      <x:c r="U1666" s="27" t="n">
        <x:f>N1666*'Fleet Engine'!M210</x:f>
        <x:v>0</x:v>
      </x:c>
      <x:c r="V1666" s="28" t="n">
        <x:f>U1666*T1666</x:f>
        <x:v>0</x:v>
      </x:c>
      <x:c r="W1666" s="28" t="n">
        <x:f>U1666*O1666</x:f>
        <x:v>0</x:v>
      </x:c>
    </x:row>
    <x:row r="1667" ht="19" customHeight="1">
      <x:c r="A1667" s="2"/>
      <x:c r="B1667" s="2"/>
      <x:c r="C1667" s="46" t="n">
        <x:v>7</x:v>
      </x:c>
      <x:c r="D1667" s="46" t="n">
        <x:v>16</x:v>
      </x:c>
      <x:c r="E1667" s="46" t="n">
        <x:v>2</x:v>
      </x:c>
      <x:c r="F1667" s="46" t="n">
        <x:v>4</x:v>
      </x:c>
      <x:c r="G1667" s="12" t="n">
        <x:v>0.5555555555555556</x:v>
      </x:c>
      <x:c r="H1667" s="12" t="n">
        <x:v>0.6666666666666666</x:v>
      </x:c>
      <x:c r="I1667" s="29" t="n">
        <x:f>'Assumptions'!$D$11+'Assumptions'!$D$12*(0.5-(G1667+H1667)/2)</x:f>
        <x:v>0.27777777777777773</x:v>
      </x:c>
      <x:c r="J1667" s="27" t="n">
        <x:f>'Assumptions'!$D$8*EXP(-'Assumptions'!$D$9*('Fleet Engine'!E210-10))*'Assumptions'!E57*'Assumptions'!K36</x:f>
        <x:v>13509.222651276876</x:v>
      </x:c>
      <x:c r="K1667" s="27" t="n">
        <x:f>'Source Data'!F221+LN('Assumptions'!D57)+LN('Assumptions'!K35)</x:f>
        <x:v>8.418486215784876</x:v>
      </x:c>
      <x:c r="L1667" s="27" t="n">
        <x:f>J1667*(1-I1667*(1-'Carrier Engine'!E98))</x:f>
        <x:v>9906.763277603042</x:v>
      </x:c>
      <x:c r="M1667" s="29" t="n">
        <x:f>NORM.S.DIST((LN(L1667)-K1667)/'Assumptions'!$D$10,TRUE)</x:f>
        <x:v>0.6908756170073835</x:v>
      </x:c>
      <x:c r="N1667" s="30" t="n">
        <x:f>MAX(0,H1667-MAX(G1667,M1667))</x:f>
        <x:v>0</x:v>
      </x:c>
      <x:c r="O1667" s="28" t="n">
        <x:f>J1667*I1667</x:f>
        <x:v>3752.5618475769093</x:v>
      </x:c>
      <x:c r="P1667" s="27" t="n">
        <x:f>(VLOOKUP(O1667,'Fee Data'!$C$6:$G$50,2,TRUE)+O1667*VLOOKUP(O1667,'Fee Data'!$C$6:$G$50,3,TRUE)+VLOOKUP(O1667,'Fee Data'!$I$6:$J$14,2,TRUE)+'Fee Data'!$J$20+'Fee Data'!$J$21)*'Assumptions'!K37</x:f>
        <x:v>915</x:v>
      </x:c>
      <x:c r="Q1667" s="27" t="n">
        <x:f>(VLOOKUP(O1667,'Fee Data'!$C$6:$G$50,4,TRUE)+O1667*VLOOKUP(O1667,'Fee Data'!$C$6:$G$50,5,TRUE)+VLOOKUP(O1667,'Fee Data'!$I$6:$J$14,2,TRUE)+'Fee Data'!$J$20+'Fee Data'!$J$21)*'Assumptions'!K37</x:f>
        <x:v>765</x:v>
      </x:c>
      <x:c r="R1667" s="27" t="n">
        <x:f>P1667*(1-'Assumptions'!$D$14)+Q1667*'Assumptions'!$D$14</x:f>
        <x:v>840</x:v>
      </x:c>
      <x:c r="S1667" s="27" t="n">
        <x:f>O1667*'Carrier Engine'!E98</x:f>
        <x:v>150.10247390307634</x:v>
      </x:c>
      <x:c r="T1667" s="28" t="n">
        <x:f>R1667+S1667</x:f>
        <x:v>990.1024739030763</x:v>
      </x:c>
      <x:c r="U1667" s="27" t="n">
        <x:f>N1667*'Fleet Engine'!M210</x:f>
        <x:v>0</x:v>
      </x:c>
      <x:c r="V1667" s="28" t="n">
        <x:f>U1667*T1667</x:f>
        <x:v>0</x:v>
      </x:c>
      <x:c r="W1667" s="28" t="n">
        <x:f>U1667*O1667</x:f>
        <x:v>0</x:v>
      </x:c>
    </x:row>
    <x:row r="1668" ht="19" customHeight="1">
      <x:c r="A1668" s="2"/>
      <x:c r="B1668" s="2"/>
      <x:c r="C1668" s="46" t="n">
        <x:v>7</x:v>
      </x:c>
      <x:c r="D1668" s="46" t="n">
        <x:v>16</x:v>
      </x:c>
      <x:c r="E1668" s="46" t="n">
        <x:v>2</x:v>
      </x:c>
      <x:c r="F1668" s="46" t="n">
        <x:v>4</x:v>
      </x:c>
      <x:c r="G1668" s="12" t="n">
        <x:v>0.6666666666666666</x:v>
      </x:c>
      <x:c r="H1668" s="12" t="n">
        <x:v>0.7777777777777778</x:v>
      </x:c>
      <x:c r="I1668" s="29" t="n">
        <x:f>'Assumptions'!$D$11+'Assumptions'!$D$12*(0.5-(G1668+H1668)/2)</x:f>
        <x:v>0.25555555555555554</x:v>
      </x:c>
      <x:c r="J1668" s="27" t="n">
        <x:f>'Assumptions'!$D$8*EXP(-'Assumptions'!$D$9*('Fleet Engine'!E210-10))*'Assumptions'!E57*'Assumptions'!K36</x:f>
        <x:v>13509.222651276876</x:v>
      </x:c>
      <x:c r="K1668" s="27" t="n">
        <x:f>'Source Data'!F221+LN('Assumptions'!D57)+LN('Assumptions'!K35)</x:f>
        <x:v>8.418486215784876</x:v>
      </x:c>
      <x:c r="L1668" s="27" t="n">
        <x:f>J1668*(1-I1668*(1-'Carrier Engine'!E98))</x:f>
        <x:v>10194.960027496949</x:v>
      </x:c>
      <x:c r="M1668" s="29" t="n">
        <x:f>NORM.S.DIST((LN(L1668)-K1668)/'Assumptions'!$D$10,TRUE)</x:f>
        <x:v>0.697280992324818</x:v>
      </x:c>
      <x:c r="N1668" s="30" t="n">
        <x:f>MAX(0,H1668-MAX(G1668,M1668))</x:f>
        <x:v>0.0804967854529598</x:v>
      </x:c>
      <x:c r="O1668" s="28" t="n">
        <x:f>J1668*I1668</x:f>
        <x:v>3452.356899770757</x:v>
      </x:c>
      <x:c r="P1668" s="27" t="n">
        <x:f>(VLOOKUP(O1668,'Fee Data'!$C$6:$G$50,2,TRUE)+O1668*VLOOKUP(O1668,'Fee Data'!$C$6:$G$50,3,TRUE)+VLOOKUP(O1668,'Fee Data'!$I$6:$J$14,2,TRUE)+'Fee Data'!$J$20+'Fee Data'!$J$21)*'Assumptions'!K37</x:f>
        <x:v>865</x:v>
      </x:c>
      <x:c r="Q1668" s="27" t="n">
        <x:f>(VLOOKUP(O1668,'Fee Data'!$C$6:$G$50,4,TRUE)+O1668*VLOOKUP(O1668,'Fee Data'!$C$6:$G$50,5,TRUE)+VLOOKUP(O1668,'Fee Data'!$I$6:$J$14,2,TRUE)+'Fee Data'!$J$20+'Fee Data'!$J$21)*'Assumptions'!K37</x:f>
        <x:v>715</x:v>
      </x:c>
      <x:c r="R1668" s="27" t="n">
        <x:f>P1668*(1-'Assumptions'!$D$14)+Q1668*'Assumptions'!$D$14</x:f>
        <x:v>790</x:v>
      </x:c>
      <x:c r="S1668" s="27" t="n">
        <x:f>O1668*'Carrier Engine'!E98</x:f>
        <x:v>138.09427599083025</x:v>
      </x:c>
      <x:c r="T1668" s="28" t="n">
        <x:f>R1668+S1668</x:f>
        <x:v>928.0942759908303</x:v>
      </x:c>
      <x:c r="U1668" s="27" t="n">
        <x:f>N1668*'Fleet Engine'!M210</x:f>
        <x:v>230.28445532919767</x:v>
      </x:c>
      <x:c r="V1668" s="28" t="n">
        <x:f>U1668*T1668</x:f>
        <x:v>213725.68484069442</x:v>
      </x:c>
      <x:c r="W1668" s="28" t="n">
        <x:f>U1668*O1668</x:f>
        <x:v>795024.1282657062</x:v>
      </x:c>
    </x:row>
    <x:row r="1669" ht="19" customHeight="1">
      <x:c r="A1669" s="2"/>
      <x:c r="B1669" s="2"/>
      <x:c r="C1669" s="46" t="n">
        <x:v>7</x:v>
      </x:c>
      <x:c r="D1669" s="46" t="n">
        <x:v>16</x:v>
      </x:c>
      <x:c r="E1669" s="46" t="n">
        <x:v>2</x:v>
      </x:c>
      <x:c r="F1669" s="46" t="n">
        <x:v>4</x:v>
      </x:c>
      <x:c r="G1669" s="12" t="n">
        <x:v>0.7777777777777778</x:v>
      </x:c>
      <x:c r="H1669" s="12" t="n">
        <x:v>0.8888888888888888</x:v>
      </x:c>
      <x:c r="I1669" s="29" t="n">
        <x:f>'Assumptions'!$D$11+'Assumptions'!$D$12*(0.5-(G1669+H1669)/2)</x:f>
        <x:v>0.23333333333333334</x:v>
      </x:c>
      <x:c r="J1669" s="27" t="n">
        <x:f>'Assumptions'!$D$8*EXP(-'Assumptions'!$D$9*('Fleet Engine'!E210-10))*'Assumptions'!E57*'Assumptions'!K36</x:f>
        <x:v>13509.222651276876</x:v>
      </x:c>
      <x:c r="K1669" s="27" t="n">
        <x:f>'Source Data'!F221+LN('Assumptions'!D57)+LN('Assumptions'!K35)</x:f>
        <x:v>8.418486215784876</x:v>
      </x:c>
      <x:c r="L1669" s="27" t="n">
        <x:f>J1669*(1-I1669*(1-'Carrier Engine'!E98))</x:f>
        <x:v>10483.156777390855</x:v>
      </x:c>
      <x:c r="M1669" s="29" t="n">
        <x:f>NORM.S.DIST((LN(L1669)-K1669)/'Assumptions'!$D$10,TRUE)</x:f>
        <x:v>0.7034501581393012</x:v>
      </x:c>
      <x:c r="N1669" s="30" t="n">
        <x:f>MAX(0,H1669-MAX(G1669,M1669))</x:f>
        <x:v>0.11111111111111105</x:v>
      </x:c>
      <x:c r="O1669" s="28" t="n">
        <x:f>J1669*I1669</x:f>
        <x:v>3152.1519519646045</x:v>
      </x:c>
      <x:c r="P1669" s="27" t="n">
        <x:f>(VLOOKUP(O1669,'Fee Data'!$C$6:$G$50,2,TRUE)+O1669*VLOOKUP(O1669,'Fee Data'!$C$6:$G$50,3,TRUE)+VLOOKUP(O1669,'Fee Data'!$I$6:$J$14,2,TRUE)+'Fee Data'!$J$20+'Fee Data'!$J$21)*'Assumptions'!K37</x:f>
        <x:v>865</x:v>
      </x:c>
      <x:c r="Q1669" s="27" t="n">
        <x:f>(VLOOKUP(O1669,'Fee Data'!$C$6:$G$50,4,TRUE)+O1669*VLOOKUP(O1669,'Fee Data'!$C$6:$G$50,5,TRUE)+VLOOKUP(O1669,'Fee Data'!$I$6:$J$14,2,TRUE)+'Fee Data'!$J$20+'Fee Data'!$J$21)*'Assumptions'!K37</x:f>
        <x:v>715</x:v>
      </x:c>
      <x:c r="R1669" s="27" t="n">
        <x:f>P1669*(1-'Assumptions'!$D$14)+Q1669*'Assumptions'!$D$14</x:f>
        <x:v>790</x:v>
      </x:c>
      <x:c r="S1669" s="27" t="n">
        <x:f>O1669*'Carrier Engine'!E98</x:f>
        <x:v>126.08607807858417</x:v>
      </x:c>
      <x:c r="T1669" s="28" t="n">
        <x:f>R1669+S1669</x:f>
        <x:v>916.0860780785841</x:v>
      </x:c>
      <x:c r="U1669" s="27" t="n">
        <x:f>N1669*'Fleet Engine'!M210</x:f>
        <x:v>317.86563350652847</x:v>
      </x:c>
      <x:c r="V1669" s="28" t="n">
        <x:f>U1669*T1669</x:f>
        <x:v>291192.28155496024</x:v>
      </x:c>
      <x:c r="W1669" s="28" t="n">
        <x:f>U1669*O1669</x:f>
        <x:v>1001960.7771200693</x:v>
      </x:c>
    </x:row>
    <x:row r="1670" ht="19" customHeight="1">
      <x:c r="A1670" s="2"/>
      <x:c r="B1670" s="2"/>
      <x:c r="C1670" s="46" t="n">
        <x:v>7</x:v>
      </x:c>
      <x:c r="D1670" s="46" t="n">
        <x:v>16</x:v>
      </x:c>
      <x:c r="E1670" s="46" t="n">
        <x:v>2</x:v>
      </x:c>
      <x:c r="F1670" s="46" t="n">
        <x:v>4</x:v>
      </x:c>
      <x:c r="G1670" s="12" t="n">
        <x:v>0.8888888888888888</x:v>
      </x:c>
      <x:c r="H1670" s="12" t="n">
        <x:v>1</x:v>
      </x:c>
      <x:c r="I1670" s="29" t="n">
        <x:f>'Assumptions'!$D$11+'Assumptions'!$D$12*(0.5-(G1670+H1670)/2)</x:f>
        <x:v>0.21111111111111108</x:v>
      </x:c>
      <x:c r="J1670" s="27" t="n">
        <x:f>'Assumptions'!$D$8*EXP(-'Assumptions'!$D$9*('Fleet Engine'!E210-10))*'Assumptions'!E57*'Assumptions'!K36</x:f>
        <x:v>13509.222651276876</x:v>
      </x:c>
      <x:c r="K1670" s="27" t="n">
        <x:f>'Source Data'!F221+LN('Assumptions'!D57)+LN('Assumptions'!K35)</x:f>
        <x:v>8.418486215784876</x:v>
      </x:c>
      <x:c r="L1670" s="27" t="n">
        <x:f>J1670*(1-I1670*(1-'Carrier Engine'!E98))</x:f>
        <x:v>10771.353527284762</x:v>
      </x:c>
      <x:c r="M1670" s="29" t="n">
        <x:f>NORM.S.DIST((LN(L1670)-K1670)/'Assumptions'!$D$10,TRUE)</x:f>
        <x:v>0.7093961183873236</x:v>
      </x:c>
      <x:c r="N1670" s="30" t="n">
        <x:f>MAX(0,H1670-MAX(G1670,M1670))</x:f>
        <x:v>0.11111111111111116</x:v>
      </x:c>
      <x:c r="O1670" s="28" t="n">
        <x:f>J1670*I1670</x:f>
        <x:v>2851.9470041584514</x:v>
      </x:c>
      <x:c r="P1670" s="27" t="n">
        <x:f>(VLOOKUP(O1670,'Fee Data'!$C$6:$G$50,2,TRUE)+O1670*VLOOKUP(O1670,'Fee Data'!$C$6:$G$50,3,TRUE)+VLOOKUP(O1670,'Fee Data'!$I$6:$J$14,2,TRUE)+'Fee Data'!$J$20+'Fee Data'!$J$21)*'Assumptions'!K37</x:f>
        <x:v>820</x:v>
      </x:c>
      <x:c r="Q1670" s="27" t="n">
        <x:f>(VLOOKUP(O1670,'Fee Data'!$C$6:$G$50,4,TRUE)+O1670*VLOOKUP(O1670,'Fee Data'!$C$6:$G$50,5,TRUE)+VLOOKUP(O1670,'Fee Data'!$I$6:$J$14,2,TRUE)+'Fee Data'!$J$20+'Fee Data'!$J$21)*'Assumptions'!K37</x:f>
        <x:v>670</x:v>
      </x:c>
      <x:c r="R1670" s="27" t="n">
        <x:f>P1670*(1-'Assumptions'!$D$14)+Q1670*'Assumptions'!$D$14</x:f>
        <x:v>745</x:v>
      </x:c>
      <x:c r="S1670" s="27" t="n">
        <x:f>O1670*'Carrier Engine'!E98</x:f>
        <x:v>114.07788016633803</x:v>
      </x:c>
      <x:c r="T1670" s="28" t="n">
        <x:f>R1670+S1670</x:f>
        <x:v>859.077880166338</x:v>
      </x:c>
      <x:c r="U1670" s="27" t="n">
        <x:f>N1670*'Fleet Engine'!M210</x:f>
        <x:v>317.8656335065288</x:v>
      </x:c>
      <x:c r="V1670" s="28" t="n">
        <x:f>U1670*T1670</x:f>
        <x:v>273071.3346105189</x:v>
      </x:c>
      <x:c r="W1670" s="28" t="n">
        <x:f>U1670*O1670</x:f>
        <x:v>906535.9412038731</x:v>
      </x:c>
    </x:row>
    <x:row r="1671" ht="19" customHeight="1">
      <x:c r="A1671" s="2"/>
      <x:c r="B1671" s="2"/>
      <x:c r="C1671" s="46" t="n">
        <x:v>7</x:v>
      </x:c>
      <x:c r="D1671" s="46" t="n">
        <x:v>17</x:v>
      </x:c>
      <x:c r="E1671" s="46" t="n">
        <x:v>2</x:v>
      </x:c>
      <x:c r="F1671" s="46" t="n">
        <x:v>5</x:v>
      </x:c>
      <x:c r="G1671" s="12" t="n">
        <x:v>0</x:v>
      </x:c>
      <x:c r="H1671" s="12" t="n">
        <x:v>0.1111111111111111</x:v>
      </x:c>
      <x:c r="I1671" s="29" t="n">
        <x:f>'Assumptions'!$D$11+'Assumptions'!$D$12*(0.5-(G1671+H1671)/2)</x:f>
        <x:v>0.3888888888888889</x:v>
      </x:c>
      <x:c r="J1671" s="27" t="n">
        <x:f>'Assumptions'!$D$8*EXP(-'Assumptions'!$D$9*('Fleet Engine'!E211-10))*'Assumptions'!E57*'Assumptions'!K36</x:f>
        <x:v>7414.018585605744</x:v>
      </x:c>
      <x:c r="K1671" s="27" t="n">
        <x:f>'Source Data'!F222+LN('Assumptions'!D57)+LN('Assumptions'!K35)</x:f>
        <x:v>8.319557366061195</x:v>
      </x:c>
      <x:c r="L1671" s="27" t="n">
        <x:f>J1671*(1-I1671*(1-'Carrier Engine'!E98))</x:f>
        <x:v>4646.118313646267</x:v>
      </x:c>
      <x:c r="M1671" s="29" t="n">
        <x:f>NORM.S.DIST((LN(L1671)-K1671)/'Assumptions'!$D$10,TRUE)</x:f>
        <x:v>0.5315302263315647</x:v>
      </x:c>
      <x:c r="N1671" s="30" t="n">
        <x:f>MAX(0,H1671-MAX(G1671,M1671))</x:f>
        <x:v>0</x:v>
      </x:c>
      <x:c r="O1671" s="28" t="n">
        <x:f>J1671*I1671</x:f>
        <x:v>2883.2294499577893</x:v>
      </x:c>
      <x:c r="P1671" s="27" t="n">
        <x:f>(VLOOKUP(O1671,'Fee Data'!$C$6:$G$50,2,TRUE)+O1671*VLOOKUP(O1671,'Fee Data'!$C$6:$G$50,3,TRUE)+VLOOKUP(O1671,'Fee Data'!$I$6:$J$14,2,TRUE)+'Fee Data'!$J$20+'Fee Data'!$J$21)*'Assumptions'!K37</x:f>
        <x:v>820</x:v>
      </x:c>
      <x:c r="Q1671" s="27" t="n">
        <x:f>(VLOOKUP(O1671,'Fee Data'!$C$6:$G$50,4,TRUE)+O1671*VLOOKUP(O1671,'Fee Data'!$C$6:$G$50,5,TRUE)+VLOOKUP(O1671,'Fee Data'!$I$6:$J$14,2,TRUE)+'Fee Data'!$J$20+'Fee Data'!$J$21)*'Assumptions'!K37</x:f>
        <x:v>670</x:v>
      </x:c>
      <x:c r="R1671" s="27" t="n">
        <x:f>P1671*(1-'Assumptions'!$D$14)+Q1671*'Assumptions'!$D$14</x:f>
        <x:v>745</x:v>
      </x:c>
      <x:c r="S1671" s="27" t="n">
        <x:f>O1671*'Carrier Engine'!E98</x:f>
        <x:v>115.32917799831155</x:v>
      </x:c>
      <x:c r="T1671" s="28" t="n">
        <x:f>R1671+S1671</x:f>
        <x:v>860.3291779983116</x:v>
      </x:c>
      <x:c r="U1671" s="27" t="n">
        <x:f>N1671*'Fleet Engine'!M211</x:f>
        <x:v>0</x:v>
      </x:c>
      <x:c r="V1671" s="28" t="n">
        <x:f>U1671*T1671</x:f>
        <x:v>0</x:v>
      </x:c>
      <x:c r="W1671" s="28" t="n">
        <x:f>U1671*O1671</x:f>
        <x:v>0</x:v>
      </x:c>
    </x:row>
    <x:row r="1672" ht="19" customHeight="1">
      <x:c r="A1672" s="2"/>
      <x:c r="B1672" s="2"/>
      <x:c r="C1672" s="46" t="n">
        <x:v>7</x:v>
      </x:c>
      <x:c r="D1672" s="46" t="n">
        <x:v>17</x:v>
      </x:c>
      <x:c r="E1672" s="46" t="n">
        <x:v>2</x:v>
      </x:c>
      <x:c r="F1672" s="46" t="n">
        <x:v>5</x:v>
      </x:c>
      <x:c r="G1672" s="12" t="n">
        <x:v>0.1111111111111111</x:v>
      </x:c>
      <x:c r="H1672" s="12" t="n">
        <x:v>0.2222222222222222</x:v>
      </x:c>
      <x:c r="I1672" s="29" t="n">
        <x:f>'Assumptions'!$D$11+'Assumptions'!$D$12*(0.5-(G1672+H1672)/2)</x:f>
        <x:v>0.3666666666666667</x:v>
      </x:c>
      <x:c r="J1672" s="27" t="n">
        <x:f>'Assumptions'!$D$8*EXP(-'Assumptions'!$D$9*('Fleet Engine'!E211-10))*'Assumptions'!E57*'Assumptions'!K36</x:f>
        <x:v>7414.018585605744</x:v>
      </x:c>
      <x:c r="K1672" s="27" t="n">
        <x:f>'Source Data'!F222+LN('Assumptions'!D57)+LN('Assumptions'!K35)</x:f>
        <x:v>8.319557366061195</x:v>
      </x:c>
      <x:c r="L1672" s="27" t="n">
        <x:f>J1672*(1-I1672*(1-'Carrier Engine'!E98))</x:f>
        <x:v>4804.284043472521</x:v>
      </x:c>
      <x:c r="M1672" s="29" t="n">
        <x:f>NORM.S.DIST((LN(L1672)-K1672)/'Assumptions'!$D$10,TRUE)</x:f>
        <x:v>0.5400010911799831</x:v>
      </x:c>
      <x:c r="N1672" s="30" t="n">
        <x:f>MAX(0,H1672-MAX(G1672,M1672))</x:f>
        <x:v>0</x:v>
      </x:c>
      <x:c r="O1672" s="28" t="n">
        <x:f>J1672*I1672</x:f>
        <x:v>2718.473481388773</x:v>
      </x:c>
      <x:c r="P1672" s="27" t="n">
        <x:f>(VLOOKUP(O1672,'Fee Data'!$C$6:$G$50,2,TRUE)+O1672*VLOOKUP(O1672,'Fee Data'!$C$6:$G$50,3,TRUE)+VLOOKUP(O1672,'Fee Data'!$I$6:$J$14,2,TRUE)+'Fee Data'!$J$20+'Fee Data'!$J$21)*'Assumptions'!K37</x:f>
        <x:v>820</x:v>
      </x:c>
      <x:c r="Q1672" s="27" t="n">
        <x:f>(VLOOKUP(O1672,'Fee Data'!$C$6:$G$50,4,TRUE)+O1672*VLOOKUP(O1672,'Fee Data'!$C$6:$G$50,5,TRUE)+VLOOKUP(O1672,'Fee Data'!$I$6:$J$14,2,TRUE)+'Fee Data'!$J$20+'Fee Data'!$J$21)*'Assumptions'!K37</x:f>
        <x:v>670</x:v>
      </x:c>
      <x:c r="R1672" s="27" t="n">
        <x:f>P1672*(1-'Assumptions'!$D$14)+Q1672*'Assumptions'!$D$14</x:f>
        <x:v>745</x:v>
      </x:c>
      <x:c r="S1672" s="27" t="n">
        <x:f>O1672*'Carrier Engine'!E98</x:f>
        <x:v>108.7389392555509</x:v>
      </x:c>
      <x:c r="T1672" s="28" t="n">
        <x:f>R1672+S1672</x:f>
        <x:v>853.7389392555509</x:v>
      </x:c>
      <x:c r="U1672" s="27" t="n">
        <x:f>N1672*'Fleet Engine'!M211</x:f>
        <x:v>0</x:v>
      </x:c>
      <x:c r="V1672" s="28" t="n">
        <x:f>U1672*T1672</x:f>
        <x:v>0</x:v>
      </x:c>
      <x:c r="W1672" s="28" t="n">
        <x:f>U1672*O1672</x:f>
        <x:v>0</x:v>
      </x:c>
    </x:row>
    <x:row r="1673" ht="19" customHeight="1">
      <x:c r="A1673" s="2"/>
      <x:c r="B1673" s="2"/>
      <x:c r="C1673" s="46" t="n">
        <x:v>7</x:v>
      </x:c>
      <x:c r="D1673" s="46" t="n">
        <x:v>17</x:v>
      </x:c>
      <x:c r="E1673" s="46" t="n">
        <x:v>2</x:v>
      </x:c>
      <x:c r="F1673" s="46" t="n">
        <x:v>5</x:v>
      </x:c>
      <x:c r="G1673" s="12" t="n">
        <x:v>0.2222222222222222</x:v>
      </x:c>
      <x:c r="H1673" s="12" t="n">
        <x:v>0.3333333333333333</x:v>
      </x:c>
      <x:c r="I1673" s="29" t="n">
        <x:f>'Assumptions'!$D$11+'Assumptions'!$D$12*(0.5-(G1673+H1673)/2)</x:f>
        <x:v>0.34444444444444444</x:v>
      </x:c>
      <x:c r="J1673" s="27" t="n">
        <x:f>'Assumptions'!$D$8*EXP(-'Assumptions'!$D$9*('Fleet Engine'!E211-10))*'Assumptions'!E57*'Assumptions'!K36</x:f>
        <x:v>7414.018585605744</x:v>
      </x:c>
      <x:c r="K1673" s="27" t="n">
        <x:f>'Source Data'!F222+LN('Assumptions'!D57)+LN('Assumptions'!K35)</x:f>
        <x:v>8.319557366061195</x:v>
      </x:c>
      <x:c r="L1673" s="27" t="n">
        <x:f>J1673*(1-I1673*(1-'Carrier Engine'!E98))</x:f>
        <x:v>4962.449773298778</x:v>
      </x:c>
      <x:c r="M1673" s="29" t="n">
        <x:f>NORM.S.DIST((LN(L1673)-K1673)/'Assumptions'!$D$10,TRUE)</x:f>
        <x:v>0.5481803390545841</x:v>
      </x:c>
      <x:c r="N1673" s="30" t="n">
        <x:f>MAX(0,H1673-MAX(G1673,M1673))</x:f>
        <x:v>0</x:v>
      </x:c>
      <x:c r="O1673" s="28" t="n">
        <x:f>J1673*I1673</x:f>
        <x:v>2553.7175128197564</x:v>
      </x:c>
      <x:c r="P1673" s="27" t="n">
        <x:f>(VLOOKUP(O1673,'Fee Data'!$C$6:$G$50,2,TRUE)+O1673*VLOOKUP(O1673,'Fee Data'!$C$6:$G$50,3,TRUE)+VLOOKUP(O1673,'Fee Data'!$I$6:$J$14,2,TRUE)+'Fee Data'!$J$20+'Fee Data'!$J$21)*'Assumptions'!K37</x:f>
        <x:v>820</x:v>
      </x:c>
      <x:c r="Q1673" s="27" t="n">
        <x:f>(VLOOKUP(O1673,'Fee Data'!$C$6:$G$50,4,TRUE)+O1673*VLOOKUP(O1673,'Fee Data'!$C$6:$G$50,5,TRUE)+VLOOKUP(O1673,'Fee Data'!$I$6:$J$14,2,TRUE)+'Fee Data'!$J$20+'Fee Data'!$J$21)*'Assumptions'!K37</x:f>
        <x:v>670</x:v>
      </x:c>
      <x:c r="R1673" s="27" t="n">
        <x:f>P1673*(1-'Assumptions'!$D$14)+Q1673*'Assumptions'!$D$14</x:f>
        <x:v>745</x:v>
      </x:c>
      <x:c r="S1673" s="27" t="n">
        <x:f>O1673*'Carrier Engine'!E98</x:f>
        <x:v>102.14870051279024</x:v>
      </x:c>
      <x:c r="T1673" s="28" t="n">
        <x:f>R1673+S1673</x:f>
        <x:v>847.1487005127902</x:v>
      </x:c>
      <x:c r="U1673" s="27" t="n">
        <x:f>N1673*'Fleet Engine'!M211</x:f>
        <x:v>0</x:v>
      </x:c>
      <x:c r="V1673" s="28" t="n">
        <x:f>U1673*T1673</x:f>
        <x:v>0</x:v>
      </x:c>
      <x:c r="W1673" s="28" t="n">
        <x:f>U1673*O1673</x:f>
        <x:v>0</x:v>
      </x:c>
    </x:row>
    <x:row r="1674" ht="19" customHeight="1">
      <x:c r="A1674" s="2"/>
      <x:c r="B1674" s="2"/>
      <x:c r="C1674" s="46" t="n">
        <x:v>7</x:v>
      </x:c>
      <x:c r="D1674" s="46" t="n">
        <x:v>17</x:v>
      </x:c>
      <x:c r="E1674" s="46" t="n">
        <x:v>2</x:v>
      </x:c>
      <x:c r="F1674" s="46" t="n">
        <x:v>5</x:v>
      </x:c>
      <x:c r="G1674" s="12" t="n">
        <x:v>0.3333333333333333</x:v>
      </x:c>
      <x:c r="H1674" s="12" t="n">
        <x:v>0.4444444444444444</x:v>
      </x:c>
      <x:c r="I1674" s="29" t="n">
        <x:f>'Assumptions'!$D$11+'Assumptions'!$D$12*(0.5-(G1674+H1674)/2)</x:f>
        <x:v>0.32222222222222224</x:v>
      </x:c>
      <x:c r="J1674" s="27" t="n">
        <x:f>'Assumptions'!$D$8*EXP(-'Assumptions'!$D$9*('Fleet Engine'!E211-10))*'Assumptions'!E57*'Assumptions'!K36</x:f>
        <x:v>7414.018585605744</x:v>
      </x:c>
      <x:c r="K1674" s="27" t="n">
        <x:f>'Source Data'!F222+LN('Assumptions'!D57)+LN('Assumptions'!K35)</x:f>
        <x:v>8.319557366061195</x:v>
      </x:c>
      <x:c r="L1674" s="27" t="n">
        <x:f>J1674*(1-I1674*(1-'Carrier Engine'!E98))</x:f>
        <x:v>5120.615503125034</x:v>
      </x:c>
      <x:c r="M1674" s="29" t="n">
        <x:f>NORM.S.DIST((LN(L1674)-K1674)/'Assumptions'!$D$10,TRUE)</x:f>
        <x:v>0.5560835236213721</x:v>
      </x:c>
      <x:c r="N1674" s="30" t="n">
        <x:f>MAX(0,H1674-MAX(G1674,M1674))</x:f>
        <x:v>0</x:v>
      </x:c>
      <x:c r="O1674" s="28" t="n">
        <x:f>J1674*I1674</x:f>
        <x:v>2388.9615442507397</x:v>
      </x:c>
      <x:c r="P1674" s="27" t="n">
        <x:f>(VLOOKUP(O1674,'Fee Data'!$C$6:$G$50,2,TRUE)+O1674*VLOOKUP(O1674,'Fee Data'!$C$6:$G$50,3,TRUE)+VLOOKUP(O1674,'Fee Data'!$I$6:$J$14,2,TRUE)+'Fee Data'!$J$20+'Fee Data'!$J$21)*'Assumptions'!K37</x:f>
        <x:v>745</x:v>
      </x:c>
      <x:c r="Q1674" s="27" t="n">
        <x:f>(VLOOKUP(O1674,'Fee Data'!$C$6:$G$50,4,TRUE)+O1674*VLOOKUP(O1674,'Fee Data'!$C$6:$G$50,5,TRUE)+VLOOKUP(O1674,'Fee Data'!$I$6:$J$14,2,TRUE)+'Fee Data'!$J$20+'Fee Data'!$J$21)*'Assumptions'!K37</x:f>
        <x:v>600</x:v>
      </x:c>
      <x:c r="R1674" s="27" t="n">
        <x:f>P1674*(1-'Assumptions'!$D$14)+Q1674*'Assumptions'!$D$14</x:f>
        <x:v>672.5</x:v>
      </x:c>
      <x:c r="S1674" s="27" t="n">
        <x:f>O1674*'Carrier Engine'!E98</x:f>
        <x:v>95.55846177002958</x:v>
      </x:c>
      <x:c r="T1674" s="28" t="n">
        <x:f>R1674+S1674</x:f>
        <x:v>768.0584617700296</x:v>
      </x:c>
      <x:c r="U1674" s="27" t="n">
        <x:f>N1674*'Fleet Engine'!M211</x:f>
        <x:v>0</x:v>
      </x:c>
      <x:c r="V1674" s="28" t="n">
        <x:f>U1674*T1674</x:f>
        <x:v>0</x:v>
      </x:c>
      <x:c r="W1674" s="28" t="n">
        <x:f>U1674*O1674</x:f>
        <x:v>0</x:v>
      </x:c>
    </x:row>
    <x:row r="1675" ht="19" customHeight="1">
      <x:c r="A1675" s="2"/>
      <x:c r="B1675" s="2"/>
      <x:c r="C1675" s="46" t="n">
        <x:v>7</x:v>
      </x:c>
      <x:c r="D1675" s="46" t="n">
        <x:v>17</x:v>
      </x:c>
      <x:c r="E1675" s="46" t="n">
        <x:v>2</x:v>
      </x:c>
      <x:c r="F1675" s="46" t="n">
        <x:v>5</x:v>
      </x:c>
      <x:c r="G1675" s="12" t="n">
        <x:v>0.4444444444444444</x:v>
      </x:c>
      <x:c r="H1675" s="12" t="n">
        <x:v>0.5555555555555556</x:v>
      </x:c>
      <x:c r="I1675" s="29" t="n">
        <x:f>'Assumptions'!$D$11+'Assumptions'!$D$12*(0.5-(G1675+H1675)/2)</x:f>
        <x:v>0.3</x:v>
      </x:c>
      <x:c r="J1675" s="27" t="n">
        <x:f>'Assumptions'!$D$8*EXP(-'Assumptions'!$D$9*('Fleet Engine'!E211-10))*'Assumptions'!E57*'Assumptions'!K36</x:f>
        <x:v>7414.018585605744</x:v>
      </x:c>
      <x:c r="K1675" s="27" t="n">
        <x:f>'Source Data'!F222+LN('Assumptions'!D57)+LN('Assumptions'!K35)</x:f>
        <x:v>8.319557366061195</x:v>
      </x:c>
      <x:c r="L1675" s="27" t="n">
        <x:f>J1675*(1-I1675*(1-'Carrier Engine'!E98))</x:f>
        <x:v>5278.78123295129</x:v>
      </x:c>
      <x:c r="M1675" s="29" t="n">
        <x:f>NORM.S.DIST((LN(L1675)-K1675)/'Assumptions'!$D$10,TRUE)</x:f>
        <x:v>0.5637250623121128</x:v>
      </x:c>
      <x:c r="N1675" s="30" t="n">
        <x:f>MAX(0,H1675-MAX(G1675,M1675))</x:f>
        <x:v>0</x:v>
      </x:c>
      <x:c r="O1675" s="28" t="n">
        <x:f>J1675*I1675</x:f>
        <x:v>2224.205575681723</x:v>
      </x:c>
      <x:c r="P1675" s="27" t="n">
        <x:f>(VLOOKUP(O1675,'Fee Data'!$C$6:$G$50,2,TRUE)+O1675*VLOOKUP(O1675,'Fee Data'!$C$6:$G$50,3,TRUE)+VLOOKUP(O1675,'Fee Data'!$I$6:$J$14,2,TRUE)+'Fee Data'!$J$20+'Fee Data'!$J$21)*'Assumptions'!K37</x:f>
        <x:v>745</x:v>
      </x:c>
      <x:c r="Q1675" s="27" t="n">
        <x:f>(VLOOKUP(O1675,'Fee Data'!$C$6:$G$50,4,TRUE)+O1675*VLOOKUP(O1675,'Fee Data'!$C$6:$G$50,5,TRUE)+VLOOKUP(O1675,'Fee Data'!$I$6:$J$14,2,TRUE)+'Fee Data'!$J$20+'Fee Data'!$J$21)*'Assumptions'!K37</x:f>
        <x:v>600</x:v>
      </x:c>
      <x:c r="R1675" s="27" t="n">
        <x:f>P1675*(1-'Assumptions'!$D$14)+Q1675*'Assumptions'!$D$14</x:f>
        <x:v>672.5</x:v>
      </x:c>
      <x:c r="S1675" s="27" t="n">
        <x:f>O1675*'Carrier Engine'!E98</x:f>
        <x:v>88.9682230272689</x:v>
      </x:c>
      <x:c r="T1675" s="28" t="n">
        <x:f>R1675+S1675</x:f>
        <x:v>761.4682230272689</x:v>
      </x:c>
      <x:c r="U1675" s="27" t="n">
        <x:f>N1675*'Fleet Engine'!M211</x:f>
        <x:v>0</x:v>
      </x:c>
      <x:c r="V1675" s="28" t="n">
        <x:f>U1675*T1675</x:f>
        <x:v>0</x:v>
      </x:c>
      <x:c r="W1675" s="28" t="n">
        <x:f>U1675*O1675</x:f>
        <x:v>0</x:v>
      </x:c>
    </x:row>
    <x:row r="1676" ht="19" customHeight="1">
      <x:c r="A1676" s="2"/>
      <x:c r="B1676" s="2"/>
      <x:c r="C1676" s="46" t="n">
        <x:v>7</x:v>
      </x:c>
      <x:c r="D1676" s="46" t="n">
        <x:v>17</x:v>
      </x:c>
      <x:c r="E1676" s="46" t="n">
        <x:v>2</x:v>
      </x:c>
      <x:c r="F1676" s="46" t="n">
        <x:v>5</x:v>
      </x:c>
      <x:c r="G1676" s="12" t="n">
        <x:v>0.5555555555555556</x:v>
      </x:c>
      <x:c r="H1676" s="12" t="n">
        <x:v>0.6666666666666666</x:v>
      </x:c>
      <x:c r="I1676" s="29" t="n">
        <x:f>'Assumptions'!$D$11+'Assumptions'!$D$12*(0.5-(G1676+H1676)/2)</x:f>
        <x:v>0.27777777777777773</x:v>
      </x:c>
      <x:c r="J1676" s="27" t="n">
        <x:f>'Assumptions'!$D$8*EXP(-'Assumptions'!$D$9*('Fleet Engine'!E211-10))*'Assumptions'!E57*'Assumptions'!K36</x:f>
        <x:v>7414.018585605744</x:v>
      </x:c>
      <x:c r="K1676" s="27" t="n">
        <x:f>'Source Data'!F222+LN('Assumptions'!D57)+LN('Assumptions'!K35)</x:f>
        <x:v>8.319557366061195</x:v>
      </x:c>
      <x:c r="L1676" s="27" t="n">
        <x:f>J1676*(1-I1676*(1-'Carrier Engine'!E98))</x:f>
        <x:v>5436.946962777546</x:v>
      </x:c>
      <x:c r="M1676" s="29" t="n">
        <x:f>NORM.S.DIST((LN(L1676)-K1676)/'Assumptions'!$D$10,TRUE)</x:f>
        <x:v>0.5711183414959459</x:v>
      </x:c>
      <x:c r="N1676" s="30" t="n">
        <x:f>MAX(0,H1676-MAX(G1676,M1676))</x:f>
        <x:v>0.09554832517072076</x:v>
      </x:c>
      <x:c r="O1676" s="28" t="n">
        <x:f>J1676*I1676</x:f>
        <x:v>2059.4496071127064</x:v>
      </x:c>
      <x:c r="P1676" s="27" t="n">
        <x:f>(VLOOKUP(O1676,'Fee Data'!$C$6:$G$50,2,TRUE)+O1676*VLOOKUP(O1676,'Fee Data'!$C$6:$G$50,3,TRUE)+VLOOKUP(O1676,'Fee Data'!$I$6:$J$14,2,TRUE)+'Fee Data'!$J$20+'Fee Data'!$J$21)*'Assumptions'!K37</x:f>
        <x:v>745</x:v>
      </x:c>
      <x:c r="Q1676" s="27" t="n">
        <x:f>(VLOOKUP(O1676,'Fee Data'!$C$6:$G$50,4,TRUE)+O1676*VLOOKUP(O1676,'Fee Data'!$C$6:$G$50,5,TRUE)+VLOOKUP(O1676,'Fee Data'!$I$6:$J$14,2,TRUE)+'Fee Data'!$J$20+'Fee Data'!$J$21)*'Assumptions'!K37</x:f>
        <x:v>600</x:v>
      </x:c>
      <x:c r="R1676" s="27" t="n">
        <x:f>P1676*(1-'Assumptions'!$D$14)+Q1676*'Assumptions'!$D$14</x:f>
        <x:v>672.5</x:v>
      </x:c>
      <x:c r="S1676" s="27" t="n">
        <x:f>O1676*'Carrier Engine'!E98</x:f>
        <x:v>82.37798428450824</x:v>
      </x:c>
      <x:c r="T1676" s="28" t="n">
        <x:f>R1676+S1676</x:f>
        <x:v>754.8779842845082</x:v>
      </x:c>
      <x:c r="U1676" s="27" t="n">
        <x:f>N1676*'Fleet Engine'!M211</x:f>
        <x:v>304.83717448734467</x:v>
      </x:c>
      <x:c r="V1676" s="28" t="n">
        <x:f>U1676*T1676</x:f>
        <x:v>230114.87181199164</x:v>
      </x:c>
      <x:c r="W1676" s="28" t="n">
        <x:f>U1676*O1676</x:f>
        <x:v>627796.7992313096</x:v>
      </x:c>
    </x:row>
    <x:row r="1677" ht="19" customHeight="1">
      <x:c r="A1677" s="2"/>
      <x:c r="B1677" s="2"/>
      <x:c r="C1677" s="46" t="n">
        <x:v>7</x:v>
      </x:c>
      <x:c r="D1677" s="46" t="n">
        <x:v>17</x:v>
      </x:c>
      <x:c r="E1677" s="46" t="n">
        <x:v>2</x:v>
      </x:c>
      <x:c r="F1677" s="46" t="n">
        <x:v>5</x:v>
      </x:c>
      <x:c r="G1677" s="12" t="n">
        <x:v>0.6666666666666666</x:v>
      </x:c>
      <x:c r="H1677" s="12" t="n">
        <x:v>0.7777777777777778</x:v>
      </x:c>
      <x:c r="I1677" s="29" t="n">
        <x:f>'Assumptions'!$D$11+'Assumptions'!$D$12*(0.5-(G1677+H1677)/2)</x:f>
        <x:v>0.25555555555555554</x:v>
      </x:c>
      <x:c r="J1677" s="27" t="n">
        <x:f>'Assumptions'!$D$8*EXP(-'Assumptions'!$D$9*('Fleet Engine'!E211-10))*'Assumptions'!E57*'Assumptions'!K36</x:f>
        <x:v>7414.018585605744</x:v>
      </x:c>
      <x:c r="K1677" s="27" t="n">
        <x:f>'Source Data'!F222+LN('Assumptions'!D57)+LN('Assumptions'!K35)</x:f>
        <x:v>8.319557366061195</x:v>
      </x:c>
      <x:c r="L1677" s="27" t="n">
        <x:f>J1677*(1-I1677*(1-'Carrier Engine'!E98))</x:f>
        <x:v>5595.112692603802</x:v>
      </x:c>
      <x:c r="M1677" s="29" t="n">
        <x:f>NORM.S.DIST((LN(L1677)-K1677)/'Assumptions'!$D$10,TRUE)</x:f>
        <x:v>0.5782758099492802</x:v>
      </x:c>
      <x:c r="N1677" s="30" t="n">
        <x:f>MAX(0,H1677-MAX(G1677,M1677))</x:f>
        <x:v>0.11111111111111116</x:v>
      </x:c>
      <x:c r="O1677" s="28" t="n">
        <x:f>J1677*I1677</x:f>
        <x:v>1894.69363854369</x:v>
      </x:c>
      <x:c r="P1677" s="27" t="n">
        <x:f>(VLOOKUP(O1677,'Fee Data'!$C$6:$G$50,2,TRUE)+O1677*VLOOKUP(O1677,'Fee Data'!$C$6:$G$50,3,TRUE)+VLOOKUP(O1677,'Fee Data'!$I$6:$J$14,2,TRUE)+'Fee Data'!$J$20+'Fee Data'!$J$21)*'Assumptions'!K37</x:f>
        <x:v>705</x:v>
      </x:c>
      <x:c r="Q1677" s="27" t="n">
        <x:f>(VLOOKUP(O1677,'Fee Data'!$C$6:$G$50,4,TRUE)+O1677*VLOOKUP(O1677,'Fee Data'!$C$6:$G$50,5,TRUE)+VLOOKUP(O1677,'Fee Data'!$I$6:$J$14,2,TRUE)+'Fee Data'!$J$20+'Fee Data'!$J$21)*'Assumptions'!K37</x:f>
        <x:v>565</x:v>
      </x:c>
      <x:c r="R1677" s="27" t="n">
        <x:f>P1677*(1-'Assumptions'!$D$14)+Q1677*'Assumptions'!$D$14</x:f>
        <x:v>635</x:v>
      </x:c>
      <x:c r="S1677" s="27" t="n">
        <x:f>O1677*'Carrier Engine'!E98</x:f>
        <x:v>75.78774554174758</x:v>
      </x:c>
      <x:c r="T1677" s="28" t="n">
        <x:f>R1677+S1677</x:f>
        <x:v>710.7877455417475</x:v>
      </x:c>
      <x:c r="U1677" s="27" t="n">
        <x:f>N1677*'Fleet Engine'!M211</x:f>
        <x:v>354.48865382770407</x:v>
      </x:c>
      <x:c r="V1677" s="28" t="n">
        <x:f>U1677*T1677</x:f>
        <x:v>251966.19107432276</x:v>
      </x:c>
      <x:c r="W1677" s="28" t="n">
        <x:f>U1677*O1677</x:f>
        <x:v>671647.3973432672</x:v>
      </x:c>
    </x:row>
    <x:row r="1678" ht="19" customHeight="1">
      <x:c r="A1678" s="2"/>
      <x:c r="B1678" s="2"/>
      <x:c r="C1678" s="46" t="n">
        <x:v>7</x:v>
      </x:c>
      <x:c r="D1678" s="46" t="n">
        <x:v>17</x:v>
      </x:c>
      <x:c r="E1678" s="46" t="n">
        <x:v>2</x:v>
      </x:c>
      <x:c r="F1678" s="46" t="n">
        <x:v>5</x:v>
      </x:c>
      <x:c r="G1678" s="12" t="n">
        <x:v>0.7777777777777778</x:v>
      </x:c>
      <x:c r="H1678" s="12" t="n">
        <x:v>0.8888888888888888</x:v>
      </x:c>
      <x:c r="I1678" s="29" t="n">
        <x:f>'Assumptions'!$D$11+'Assumptions'!$D$12*(0.5-(G1678+H1678)/2)</x:f>
        <x:v>0.23333333333333334</x:v>
      </x:c>
      <x:c r="J1678" s="27" t="n">
        <x:f>'Assumptions'!$D$8*EXP(-'Assumptions'!$D$9*('Fleet Engine'!E211-10))*'Assumptions'!E57*'Assumptions'!K36</x:f>
        <x:v>7414.018585605744</x:v>
      </x:c>
      <x:c r="K1678" s="27" t="n">
        <x:f>'Source Data'!F222+LN('Assumptions'!D57)+LN('Assumptions'!K35)</x:f>
        <x:v>8.319557366061195</x:v>
      </x:c>
      <x:c r="L1678" s="27" t="n">
        <x:f>J1678*(1-I1678*(1-'Carrier Engine'!E98))</x:f>
        <x:v>5753.278422430058</x:v>
      </x:c>
      <x:c r="M1678" s="29" t="n">
        <x:f>NORM.S.DIST((LN(L1678)-K1678)/'Assumptions'!$D$10,TRUE)</x:f>
        <x:v>0.5852090621304324</x:v>
      </x:c>
      <x:c r="N1678" s="30" t="n">
        <x:f>MAX(0,H1678-MAX(G1678,M1678))</x:f>
        <x:v>0.11111111111111105</x:v>
      </x:c>
      <x:c r="O1678" s="28" t="n">
        <x:f>J1678*I1678</x:f>
        <x:v>1729.9376699746738</x:v>
      </x:c>
      <x:c r="P1678" s="27" t="n">
        <x:f>(VLOOKUP(O1678,'Fee Data'!$C$6:$G$50,2,TRUE)+O1678*VLOOKUP(O1678,'Fee Data'!$C$6:$G$50,3,TRUE)+VLOOKUP(O1678,'Fee Data'!$I$6:$J$14,2,TRUE)+'Fee Data'!$J$20+'Fee Data'!$J$21)*'Assumptions'!K37</x:f>
        <x:v>680</x:v>
      </x:c>
      <x:c r="Q1678" s="27" t="n">
        <x:f>(VLOOKUP(O1678,'Fee Data'!$C$6:$G$50,4,TRUE)+O1678*VLOOKUP(O1678,'Fee Data'!$C$6:$G$50,5,TRUE)+VLOOKUP(O1678,'Fee Data'!$I$6:$J$14,2,TRUE)+'Fee Data'!$J$20+'Fee Data'!$J$21)*'Assumptions'!K37</x:f>
        <x:v>545</x:v>
      </x:c>
      <x:c r="R1678" s="27" t="n">
        <x:f>P1678*(1-'Assumptions'!$D$14)+Q1678*'Assumptions'!$D$14</x:f>
        <x:v>612.5</x:v>
      </x:c>
      <x:c r="S1678" s="27" t="n">
        <x:f>O1678*'Carrier Engine'!E98</x:f>
        <x:v>69.19750679898694</x:v>
      </x:c>
      <x:c r="T1678" s="28" t="n">
        <x:f>R1678+S1678</x:f>
        <x:v>681.697506798987</x:v>
      </x:c>
      <x:c r="U1678" s="27" t="n">
        <x:f>N1678*'Fleet Engine'!M211</x:f>
        <x:v>354.48865382770373</x:v>
      </x:c>
      <x:c r="V1678" s="28" t="n">
        <x:f>U1678*T1678</x:f>
        <x:v>241654.0315028748</x:v>
      </x:c>
      <x:c r="W1678" s="28" t="n">
        <x:f>U1678*O1678</x:f>
        <x:v>613243.2758351566</x:v>
      </x:c>
    </x:row>
    <x:row r="1679" ht="19" customHeight="1">
      <x:c r="A1679" s="2"/>
      <x:c r="B1679" s="2"/>
      <x:c r="C1679" s="46" t="n">
        <x:v>7</x:v>
      </x:c>
      <x:c r="D1679" s="46" t="n">
        <x:v>17</x:v>
      </x:c>
      <x:c r="E1679" s="46" t="n">
        <x:v>2</x:v>
      </x:c>
      <x:c r="F1679" s="46" t="n">
        <x:v>5</x:v>
      </x:c>
      <x:c r="G1679" s="12" t="n">
        <x:v>0.8888888888888888</x:v>
      </x:c>
      <x:c r="H1679" s="12" t="n">
        <x:v>1</x:v>
      </x:c>
      <x:c r="I1679" s="29" t="n">
        <x:f>'Assumptions'!$D$11+'Assumptions'!$D$12*(0.5-(G1679+H1679)/2)</x:f>
        <x:v>0.21111111111111108</x:v>
      </x:c>
      <x:c r="J1679" s="27" t="n">
        <x:f>'Assumptions'!$D$8*EXP(-'Assumptions'!$D$9*('Fleet Engine'!E211-10))*'Assumptions'!E57*'Assumptions'!K36</x:f>
        <x:v>7414.018585605744</x:v>
      </x:c>
      <x:c r="K1679" s="27" t="n">
        <x:f>'Source Data'!F222+LN('Assumptions'!D57)+LN('Assumptions'!K35)</x:f>
        <x:v>8.319557366061195</x:v>
      </x:c>
      <x:c r="L1679" s="27" t="n">
        <x:f>J1679*(1-I1679*(1-'Carrier Engine'!E98))</x:f>
        <x:v>5911.444152256314</x:v>
      </x:c>
      <x:c r="M1679" s="29" t="n">
        <x:f>NORM.S.DIST((LN(L1679)-K1679)/'Assumptions'!$D$10,TRUE)</x:f>
        <x:v>0.591928912547617</x:v>
      </x:c>
      <x:c r="N1679" s="30" t="n">
        <x:f>MAX(0,H1679-MAX(G1679,M1679))</x:f>
        <x:v>0.11111111111111116</x:v>
      </x:c>
      <x:c r="O1679" s="28" t="n">
        <x:f>J1679*I1679</x:f>
        <x:v>1565.181701405657</x:v>
      </x:c>
      <x:c r="P1679" s="27" t="n">
        <x:f>(VLOOKUP(O1679,'Fee Data'!$C$6:$G$50,2,TRUE)+O1679*VLOOKUP(O1679,'Fee Data'!$C$6:$G$50,3,TRUE)+VLOOKUP(O1679,'Fee Data'!$I$6:$J$14,2,TRUE)+'Fee Data'!$J$20+'Fee Data'!$J$21)*'Assumptions'!K37</x:f>
        <x:v>640</x:v>
      </x:c>
      <x:c r="Q1679" s="27" t="n">
        <x:f>(VLOOKUP(O1679,'Fee Data'!$C$6:$G$50,4,TRUE)+O1679*VLOOKUP(O1679,'Fee Data'!$C$6:$G$50,5,TRUE)+VLOOKUP(O1679,'Fee Data'!$I$6:$J$14,2,TRUE)+'Fee Data'!$J$20+'Fee Data'!$J$21)*'Assumptions'!K37</x:f>
        <x:v>510</x:v>
      </x:c>
      <x:c r="R1679" s="27" t="n">
        <x:f>P1679*(1-'Assumptions'!$D$14)+Q1679*'Assumptions'!$D$14</x:f>
        <x:v>575</x:v>
      </x:c>
      <x:c r="S1679" s="27" t="n">
        <x:f>O1679*'Carrier Engine'!E98</x:f>
        <x:v>62.60726805622627</x:v>
      </x:c>
      <x:c r="T1679" s="28" t="n">
        <x:f>R1679+S1679</x:f>
        <x:v>637.6072680562263</x:v>
      </x:c>
      <x:c r="U1679" s="27" t="n">
        <x:f>N1679*'Fleet Engine'!M211</x:f>
        <x:v>354.48865382770407</x:v>
      </x:c>
      <x:c r="V1679" s="28" t="n">
        <x:f>U1679*T1679</x:f>
        <x:v>226024.54212401173</x:v>
      </x:c>
      <x:c r="W1679" s="28" t="n">
        <x:f>U1679*O1679</x:f>
        <x:v>554839.1543270468</x:v>
      </x:c>
    </x:row>
    <x:row r="1680" ht="19" customHeight="1">
      <x:c r="A1680" s="2"/>
      <x:c r="B1680" s="2"/>
      <x:c r="C1680" s="46" t="n">
        <x:v>7</x:v>
      </x:c>
      <x:c r="D1680" s="46" t="n">
        <x:v>18</x:v>
      </x:c>
      <x:c r="E1680" s="46" t="n">
        <x:v>3</x:v>
      </x:c>
      <x:c r="F1680" s="46" t="n">
        <x:v>0</x:v>
      </x:c>
      <x:c r="G1680" s="12" t="n">
        <x:v>0</x:v>
      </x:c>
      <x:c r="H1680" s="12" t="n">
        <x:v>0.1111111111111111</x:v>
      </x:c>
      <x:c r="I1680" s="29" t="n">
        <x:f>'Assumptions'!$D$11+'Assumptions'!$D$12*(0.5-(G1680+H1680)/2)</x:f>
        <x:v>0.3888888888888889</x:v>
      </x:c>
      <x:c r="J1680" s="27" t="n">
        <x:f>'Assumptions'!$D$8*EXP(-'Assumptions'!$D$9*('Fleet Engine'!E212-10))*'Assumptions'!E58*'Assumptions'!K36</x:f>
        <x:v>27182.818284590452</x:v>
      </x:c>
      <x:c r="K1680" s="27" t="n">
        <x:f>'Source Data'!F217+LN('Assumptions'!D58)+LN('Assumptions'!K35)</x:f>
        <x:v>8.005343029779286</x:v>
      </x:c>
      <x:c r="L1680" s="27" t="n">
        <x:f>J1680*(1-I1680*(1-'Carrier Engine'!E98))</x:f>
        <x:v>17034.566125010017</x:v>
      </x:c>
      <x:c r="M1680" s="29" t="n">
        <x:f>NORM.S.DIST((LN(L1680)-K1680)/'Assumptions'!$D$10,TRUE)</x:f>
        <x:v>0.8657757644693824</x:v>
      </x:c>
      <x:c r="N1680" s="30" t="n">
        <x:f>MAX(0,H1680-MAX(G1680,M1680))</x:f>
        <x:v>0</x:v>
      </x:c>
      <x:c r="O1680" s="28" t="n">
        <x:f>J1680*I1680</x:f>
        <x:v>10571.095999562955</x:v>
      </x:c>
      <x:c r="P1680" s="27" t="n">
        <x:f>(VLOOKUP(O1680,'Fee Data'!$C$6:$G$50,2,TRUE)+O1680*VLOOKUP(O1680,'Fee Data'!$C$6:$G$50,3,TRUE)+VLOOKUP(O1680,'Fee Data'!$I$6:$J$14,2,TRUE)+'Fee Data'!$J$20+'Fee Data'!$J$21)*'Assumptions'!K37</x:f>
        <x:v>1250</x:v>
      </x:c>
      <x:c r="Q1680" s="27" t="n">
        <x:f>(VLOOKUP(O1680,'Fee Data'!$C$6:$G$50,4,TRUE)+O1680*VLOOKUP(O1680,'Fee Data'!$C$6:$G$50,5,TRUE)+VLOOKUP(O1680,'Fee Data'!$I$6:$J$14,2,TRUE)+'Fee Data'!$J$20+'Fee Data'!$J$21)*'Assumptions'!K37</x:f>
        <x:v>1100</x:v>
      </x:c>
      <x:c r="R1680" s="27" t="n">
        <x:f>P1680*(1-'Assumptions'!$D$14)+Q1680*'Assumptions'!$D$14</x:f>
        <x:v>1175</x:v>
      </x:c>
      <x:c r="S1680" s="27" t="n">
        <x:f>O1680*'Carrier Engine'!E98</x:f>
        <x:v>422.84383998251815</x:v>
      </x:c>
      <x:c r="T1680" s="28" t="n">
        <x:f>R1680+S1680</x:f>
        <x:v>1597.8438399825181</x:v>
      </x:c>
      <x:c r="U1680" s="27" t="n">
        <x:f>N1680*'Fleet Engine'!M212</x:f>
        <x:v>0</x:v>
      </x:c>
      <x:c r="V1680" s="28" t="n">
        <x:f>U1680*T1680</x:f>
        <x:v>0</x:v>
      </x:c>
      <x:c r="W1680" s="28" t="n">
        <x:f>U1680*O1680</x:f>
        <x:v>0</x:v>
      </x:c>
    </x:row>
    <x:row r="1681" ht="19" customHeight="1">
      <x:c r="A1681" s="2"/>
      <x:c r="B1681" s="2"/>
      <x:c r="C1681" s="46" t="n">
        <x:v>7</x:v>
      </x:c>
      <x:c r="D1681" s="46" t="n">
        <x:v>18</x:v>
      </x:c>
      <x:c r="E1681" s="46" t="n">
        <x:v>3</x:v>
      </x:c>
      <x:c r="F1681" s="46" t="n">
        <x:v>0</x:v>
      </x:c>
      <x:c r="G1681" s="12" t="n">
        <x:v>0.1111111111111111</x:v>
      </x:c>
      <x:c r="H1681" s="12" t="n">
        <x:v>0.2222222222222222</x:v>
      </x:c>
      <x:c r="I1681" s="29" t="n">
        <x:f>'Assumptions'!$D$11+'Assumptions'!$D$12*(0.5-(G1681+H1681)/2)</x:f>
        <x:v>0.3666666666666667</x:v>
      </x:c>
      <x:c r="J1681" s="27" t="n">
        <x:f>'Assumptions'!$D$8*EXP(-'Assumptions'!$D$9*('Fleet Engine'!E212-10))*'Assumptions'!E58*'Assumptions'!K36</x:f>
        <x:v>27182.818284590452</x:v>
      </x:c>
      <x:c r="K1681" s="27" t="n">
        <x:f>'Source Data'!F217+LN('Assumptions'!D58)+LN('Assumptions'!K35)</x:f>
        <x:v>8.005343029779286</x:v>
      </x:c>
      <x:c r="L1681" s="27" t="n">
        <x:f>J1681*(1-I1681*(1-'Carrier Engine'!E98))</x:f>
        <x:v>17614.46624841461</x:v>
      </x:c>
      <x:c r="M1681" s="29" t="n">
        <x:f>NORM.S.DIST((LN(L1681)-K1681)/'Assumptions'!$D$10,TRUE)</x:f>
        <x:v>0.8703320319855985</x:v>
      </x:c>
      <x:c r="N1681" s="30" t="n">
        <x:f>MAX(0,H1681-MAX(G1681,M1681))</x:f>
        <x:v>0</x:v>
      </x:c>
      <x:c r="O1681" s="28" t="n">
        <x:f>J1681*I1681</x:f>
        <x:v>9967.0333710165</x:v>
      </x:c>
      <x:c r="P1681" s="27" t="n">
        <x:f>(VLOOKUP(O1681,'Fee Data'!$C$6:$G$50,2,TRUE)+O1681*VLOOKUP(O1681,'Fee Data'!$C$6:$G$50,3,TRUE)+VLOOKUP(O1681,'Fee Data'!$I$6:$J$14,2,TRUE)+'Fee Data'!$J$20+'Fee Data'!$J$21)*'Assumptions'!K37</x:f>
        <x:v>1195</x:v>
      </x:c>
      <x:c r="Q1681" s="27" t="n">
        <x:f>(VLOOKUP(O1681,'Fee Data'!$C$6:$G$50,4,TRUE)+O1681*VLOOKUP(O1681,'Fee Data'!$C$6:$G$50,5,TRUE)+VLOOKUP(O1681,'Fee Data'!$I$6:$J$14,2,TRUE)+'Fee Data'!$J$20+'Fee Data'!$J$21)*'Assumptions'!K37</x:f>
        <x:v>1070</x:v>
      </x:c>
      <x:c r="R1681" s="27" t="n">
        <x:f>P1681*(1-'Assumptions'!$D$14)+Q1681*'Assumptions'!$D$14</x:f>
        <x:v>1132.5</x:v>
      </x:c>
      <x:c r="S1681" s="27" t="n">
        <x:f>O1681*'Carrier Engine'!E98</x:f>
        <x:v>398.68133484065993</x:v>
      </x:c>
      <x:c r="T1681" s="28" t="n">
        <x:f>R1681+S1681</x:f>
        <x:v>1531.18133484066</x:v>
      </x:c>
      <x:c r="U1681" s="27" t="n">
        <x:f>N1681*'Fleet Engine'!M212</x:f>
        <x:v>0</x:v>
      </x:c>
      <x:c r="V1681" s="28" t="n">
        <x:f>U1681*T1681</x:f>
        <x:v>0</x:v>
      </x:c>
      <x:c r="W1681" s="28" t="n">
        <x:f>U1681*O1681</x:f>
        <x:v>0</x:v>
      </x:c>
    </x:row>
    <x:row r="1682" ht="19" customHeight="1">
      <x:c r="A1682" s="2"/>
      <x:c r="B1682" s="2"/>
      <x:c r="C1682" s="46" t="n">
        <x:v>7</x:v>
      </x:c>
      <x:c r="D1682" s="46" t="n">
        <x:v>18</x:v>
      </x:c>
      <x:c r="E1682" s="46" t="n">
        <x:v>3</x:v>
      </x:c>
      <x:c r="F1682" s="46" t="n">
        <x:v>0</x:v>
      </x:c>
      <x:c r="G1682" s="12" t="n">
        <x:v>0.2222222222222222</x:v>
      </x:c>
      <x:c r="H1682" s="12" t="n">
        <x:v>0.3333333333333333</x:v>
      </x:c>
      <x:c r="I1682" s="29" t="n">
        <x:f>'Assumptions'!$D$11+'Assumptions'!$D$12*(0.5-(G1682+H1682)/2)</x:f>
        <x:v>0.34444444444444444</x:v>
      </x:c>
      <x:c r="J1682" s="27" t="n">
        <x:f>'Assumptions'!$D$8*EXP(-'Assumptions'!$D$9*('Fleet Engine'!E212-10))*'Assumptions'!E58*'Assumptions'!K36</x:f>
        <x:v>27182.818284590452</x:v>
      </x:c>
      <x:c r="K1682" s="27" t="n">
        <x:f>'Source Data'!F217+LN('Assumptions'!D58)+LN('Assumptions'!K35)</x:f>
        <x:v>8.005343029779286</x:v>
      </x:c>
      <x:c r="L1682" s="27" t="n">
        <x:f>J1682*(1-I1682*(1-'Carrier Engine'!E98))</x:f>
        <x:v>18194.36637181921</x:v>
      </x:c>
      <x:c r="M1682" s="29" t="n">
        <x:f>NORM.S.DIST((LN(L1682)-K1682)/'Assumptions'!$D$10,TRUE)</x:f>
        <x:v>0.874637643415871</x:v>
      </x:c>
      <x:c r="N1682" s="30" t="n">
        <x:f>MAX(0,H1682-MAX(G1682,M1682))</x:f>
        <x:v>0</x:v>
      </x:c>
      <x:c r="O1682" s="28" t="n">
        <x:f>J1682*I1682</x:f>
        <x:v>9362.970742470045</x:v>
      </x:c>
      <x:c r="P1682" s="27" t="n">
        <x:f>(VLOOKUP(O1682,'Fee Data'!$C$6:$G$50,2,TRUE)+O1682*VLOOKUP(O1682,'Fee Data'!$C$6:$G$50,3,TRUE)+VLOOKUP(O1682,'Fee Data'!$I$6:$J$14,2,TRUE)+'Fee Data'!$J$20+'Fee Data'!$J$21)*'Assumptions'!K37</x:f>
        <x:v>1195</x:v>
      </x:c>
      <x:c r="Q1682" s="27" t="n">
        <x:f>(VLOOKUP(O1682,'Fee Data'!$C$6:$G$50,4,TRUE)+O1682*VLOOKUP(O1682,'Fee Data'!$C$6:$G$50,5,TRUE)+VLOOKUP(O1682,'Fee Data'!$I$6:$J$14,2,TRUE)+'Fee Data'!$J$20+'Fee Data'!$J$21)*'Assumptions'!K37</x:f>
        <x:v>1070</x:v>
      </x:c>
      <x:c r="R1682" s="27" t="n">
        <x:f>P1682*(1-'Assumptions'!$D$14)+Q1682*'Assumptions'!$D$14</x:f>
        <x:v>1132.5</x:v>
      </x:c>
      <x:c r="S1682" s="27" t="n">
        <x:f>O1682*'Carrier Engine'!E98</x:f>
        <x:v>374.5188296988017</x:v>
      </x:c>
      <x:c r="T1682" s="28" t="n">
        <x:f>R1682+S1682</x:f>
        <x:v>1507.0188296988017</x:v>
      </x:c>
      <x:c r="U1682" s="27" t="n">
        <x:f>N1682*'Fleet Engine'!M212</x:f>
        <x:v>0</x:v>
      </x:c>
      <x:c r="V1682" s="28" t="n">
        <x:f>U1682*T1682</x:f>
        <x:v>0</x:v>
      </x:c>
      <x:c r="W1682" s="28" t="n">
        <x:f>U1682*O1682</x:f>
        <x:v>0</x:v>
      </x:c>
    </x:row>
    <x:row r="1683" ht="19" customHeight="1">
      <x:c r="A1683" s="2"/>
      <x:c r="B1683" s="2"/>
      <x:c r="C1683" s="46" t="n">
        <x:v>7</x:v>
      </x:c>
      <x:c r="D1683" s="46" t="n">
        <x:v>18</x:v>
      </x:c>
      <x:c r="E1683" s="46" t="n">
        <x:v>3</x:v>
      </x:c>
      <x:c r="F1683" s="46" t="n">
        <x:v>0</x:v>
      </x:c>
      <x:c r="G1683" s="12" t="n">
        <x:v>0.3333333333333333</x:v>
      </x:c>
      <x:c r="H1683" s="12" t="n">
        <x:v>0.4444444444444444</x:v>
      </x:c>
      <x:c r="I1683" s="29" t="n">
        <x:f>'Assumptions'!$D$11+'Assumptions'!$D$12*(0.5-(G1683+H1683)/2)</x:f>
        <x:v>0.32222222222222224</x:v>
      </x:c>
      <x:c r="J1683" s="27" t="n">
        <x:f>'Assumptions'!$D$8*EXP(-'Assumptions'!$D$9*('Fleet Engine'!E212-10))*'Assumptions'!E58*'Assumptions'!K36</x:f>
        <x:v>27182.818284590452</x:v>
      </x:c>
      <x:c r="K1683" s="27" t="n">
        <x:f>'Source Data'!F217+LN('Assumptions'!D58)+LN('Assumptions'!K35)</x:f>
        <x:v>8.005343029779286</x:v>
      </x:c>
      <x:c r="L1683" s="27" t="n">
        <x:f>J1683*(1-I1683*(1-'Carrier Engine'!E98))</x:f>
        <x:v>18774.266495223805</x:v>
      </x:c>
      <x:c r="M1683" s="29" t="n">
        <x:f>NORM.S.DIST((LN(L1683)-K1683)/'Assumptions'!$D$10,TRUE)</x:f>
        <x:v>0.8787120289402852</x:v>
      </x:c>
      <x:c r="N1683" s="30" t="n">
        <x:f>MAX(0,H1683-MAX(G1683,M1683))</x:f>
        <x:v>0</x:v>
      </x:c>
      <x:c r="O1683" s="28" t="n">
        <x:f>J1683*I1683</x:f>
        <x:v>8758.908113923591</x:v>
      </x:c>
      <x:c r="P1683" s="27" t="n">
        <x:f>(VLOOKUP(O1683,'Fee Data'!$C$6:$G$50,2,TRUE)+O1683*VLOOKUP(O1683,'Fee Data'!$C$6:$G$50,3,TRUE)+VLOOKUP(O1683,'Fee Data'!$I$6:$J$14,2,TRUE)+'Fee Data'!$J$20+'Fee Data'!$J$21)*'Assumptions'!K37</x:f>
        <x:v>1195</x:v>
      </x:c>
      <x:c r="Q1683" s="27" t="n">
        <x:f>(VLOOKUP(O1683,'Fee Data'!$C$6:$G$50,4,TRUE)+O1683*VLOOKUP(O1683,'Fee Data'!$C$6:$G$50,5,TRUE)+VLOOKUP(O1683,'Fee Data'!$I$6:$J$14,2,TRUE)+'Fee Data'!$J$20+'Fee Data'!$J$21)*'Assumptions'!K37</x:f>
        <x:v>1070</x:v>
      </x:c>
      <x:c r="R1683" s="27" t="n">
        <x:f>P1683*(1-'Assumptions'!$D$14)+Q1683*'Assumptions'!$D$14</x:f>
        <x:v>1132.5</x:v>
      </x:c>
      <x:c r="S1683" s="27" t="n">
        <x:f>O1683*'Carrier Engine'!E98</x:f>
        <x:v>350.3563245569436</x:v>
      </x:c>
      <x:c r="T1683" s="28" t="n">
        <x:f>R1683+S1683</x:f>
        <x:v>1482.8563245569435</x:v>
      </x:c>
      <x:c r="U1683" s="27" t="n">
        <x:f>N1683*'Fleet Engine'!M212</x:f>
        <x:v>0</x:v>
      </x:c>
      <x:c r="V1683" s="28" t="n">
        <x:f>U1683*T1683</x:f>
        <x:v>0</x:v>
      </x:c>
      <x:c r="W1683" s="28" t="n">
        <x:f>U1683*O1683</x:f>
        <x:v>0</x:v>
      </x:c>
    </x:row>
    <x:row r="1684" ht="19" customHeight="1">
      <x:c r="A1684" s="2"/>
      <x:c r="B1684" s="2"/>
      <x:c r="C1684" s="46" t="n">
        <x:v>7</x:v>
      </x:c>
      <x:c r="D1684" s="46" t="n">
        <x:v>18</x:v>
      </x:c>
      <x:c r="E1684" s="46" t="n">
        <x:v>3</x:v>
      </x:c>
      <x:c r="F1684" s="46" t="n">
        <x:v>0</x:v>
      </x:c>
      <x:c r="G1684" s="12" t="n">
        <x:v>0.4444444444444444</x:v>
      </x:c>
      <x:c r="H1684" s="12" t="n">
        <x:v>0.5555555555555556</x:v>
      </x:c>
      <x:c r="I1684" s="29" t="n">
        <x:f>'Assumptions'!$D$11+'Assumptions'!$D$12*(0.5-(G1684+H1684)/2)</x:f>
        <x:v>0.3</x:v>
      </x:c>
      <x:c r="J1684" s="27" t="n">
        <x:f>'Assumptions'!$D$8*EXP(-'Assumptions'!$D$9*('Fleet Engine'!E212-10))*'Assumptions'!E58*'Assumptions'!K36</x:f>
        <x:v>27182.818284590452</x:v>
      </x:c>
      <x:c r="K1684" s="27" t="n">
        <x:f>'Source Data'!F217+LN('Assumptions'!D58)+LN('Assumptions'!K35)</x:f>
        <x:v>8.005343029779286</x:v>
      </x:c>
      <x:c r="L1684" s="27" t="n">
        <x:f>J1684*(1-I1684*(1-'Carrier Engine'!E98))</x:f>
        <x:v>19354.166618628402</x:v>
      </x:c>
      <x:c r="M1684" s="29" t="n">
        <x:f>NORM.S.DIST((LN(L1684)-K1684)/'Assumptions'!$D$10,TRUE)</x:f>
        <x:v>0.882572669925294</x:v>
      </x:c>
      <x:c r="N1684" s="30" t="n">
        <x:f>MAX(0,H1684-MAX(G1684,M1684))</x:f>
        <x:v>0</x:v>
      </x:c>
      <x:c r="O1684" s="28" t="n">
        <x:f>J1684*I1684</x:f>
        <x:v>8154.845485377135</x:v>
      </x:c>
      <x:c r="P1684" s="27" t="n">
        <x:f>(VLOOKUP(O1684,'Fee Data'!$C$6:$G$50,2,TRUE)+O1684*VLOOKUP(O1684,'Fee Data'!$C$6:$G$50,3,TRUE)+VLOOKUP(O1684,'Fee Data'!$I$6:$J$14,2,TRUE)+'Fee Data'!$J$20+'Fee Data'!$J$21)*'Assumptions'!K37</x:f>
        <x:v>1175</x:v>
      </x:c>
      <x:c r="Q1684" s="27" t="n">
        <x:f>(VLOOKUP(O1684,'Fee Data'!$C$6:$G$50,4,TRUE)+O1684*VLOOKUP(O1684,'Fee Data'!$C$6:$G$50,5,TRUE)+VLOOKUP(O1684,'Fee Data'!$I$6:$J$14,2,TRUE)+'Fee Data'!$J$20+'Fee Data'!$J$21)*'Assumptions'!K37</x:f>
        <x:v>1050</x:v>
      </x:c>
      <x:c r="R1684" s="27" t="n">
        <x:f>P1684*(1-'Assumptions'!$D$14)+Q1684*'Assumptions'!$D$14</x:f>
        <x:v>1112.5</x:v>
      </x:c>
      <x:c r="S1684" s="27" t="n">
        <x:f>O1684*'Carrier Engine'!E98</x:f>
        <x:v>326.1938194150854</x:v>
      </x:c>
      <x:c r="T1684" s="28" t="n">
        <x:f>R1684+S1684</x:f>
        <x:v>1438.6938194150853</x:v>
      </x:c>
      <x:c r="U1684" s="27" t="n">
        <x:f>N1684*'Fleet Engine'!M212</x:f>
        <x:v>0</x:v>
      </x:c>
      <x:c r="V1684" s="28" t="n">
        <x:f>U1684*T1684</x:f>
        <x:v>0</x:v>
      </x:c>
      <x:c r="W1684" s="28" t="n">
        <x:f>U1684*O1684</x:f>
        <x:v>0</x:v>
      </x:c>
    </x:row>
    <x:row r="1685" ht="19" customHeight="1">
      <x:c r="A1685" s="2"/>
      <x:c r="B1685" s="2"/>
      <x:c r="C1685" s="46" t="n">
        <x:v>7</x:v>
      </x:c>
      <x:c r="D1685" s="46" t="n">
        <x:v>18</x:v>
      </x:c>
      <x:c r="E1685" s="46" t="n">
        <x:v>3</x:v>
      </x:c>
      <x:c r="F1685" s="46" t="n">
        <x:v>0</x:v>
      </x:c>
      <x:c r="G1685" s="12" t="n">
        <x:v>0.5555555555555556</x:v>
      </x:c>
      <x:c r="H1685" s="12" t="n">
        <x:v>0.6666666666666666</x:v>
      </x:c>
      <x:c r="I1685" s="29" t="n">
        <x:f>'Assumptions'!$D$11+'Assumptions'!$D$12*(0.5-(G1685+H1685)/2)</x:f>
        <x:v>0.27777777777777773</x:v>
      </x:c>
      <x:c r="J1685" s="27" t="n">
        <x:f>'Assumptions'!$D$8*EXP(-'Assumptions'!$D$9*('Fleet Engine'!E212-10))*'Assumptions'!E58*'Assumptions'!K36</x:f>
        <x:v>27182.818284590452</x:v>
      </x:c>
      <x:c r="K1685" s="27" t="n">
        <x:f>'Source Data'!F217+LN('Assumptions'!D58)+LN('Assumptions'!K35)</x:f>
        <x:v>8.005343029779286</x:v>
      </x:c>
      <x:c r="L1685" s="27" t="n">
        <x:f>J1685*(1-I1685*(1-'Carrier Engine'!E98))</x:f>
        <x:v>19934.066742033</x:v>
      </x:c>
      <x:c r="M1685" s="29" t="n">
        <x:f>NORM.S.DIST((LN(L1685)-K1685)/'Assumptions'!$D$10,TRUE)</x:f>
        <x:v>0.8862353381924654</x:v>
      </x:c>
      <x:c r="N1685" s="30" t="n">
        <x:f>MAX(0,H1685-MAX(G1685,M1685))</x:f>
        <x:v>0</x:v>
      </x:c>
      <x:c r="O1685" s="28" t="n">
        <x:f>J1685*I1685</x:f>
        <x:v>7550.7828568306795</x:v>
      </x:c>
      <x:c r="P1685" s="27" t="n">
        <x:f>(VLOOKUP(O1685,'Fee Data'!$C$6:$G$50,2,TRUE)+O1685*VLOOKUP(O1685,'Fee Data'!$C$6:$G$50,3,TRUE)+VLOOKUP(O1685,'Fee Data'!$I$6:$J$14,2,TRUE)+'Fee Data'!$J$20+'Fee Data'!$J$21)*'Assumptions'!K37</x:f>
        <x:v>1135</x:v>
      </x:c>
      <x:c r="Q1685" s="27" t="n">
        <x:f>(VLOOKUP(O1685,'Fee Data'!$C$6:$G$50,4,TRUE)+O1685*VLOOKUP(O1685,'Fee Data'!$C$6:$G$50,5,TRUE)+VLOOKUP(O1685,'Fee Data'!$I$6:$J$14,2,TRUE)+'Fee Data'!$J$20+'Fee Data'!$J$21)*'Assumptions'!K37</x:f>
        <x:v>1010</x:v>
      </x:c>
      <x:c r="R1685" s="27" t="n">
        <x:f>P1685*(1-'Assumptions'!$D$14)+Q1685*'Assumptions'!$D$14</x:f>
        <x:v>1072.5</x:v>
      </x:c>
      <x:c r="S1685" s="27" t="n">
        <x:f>O1685*'Carrier Engine'!E98</x:f>
        <x:v>302.0313142732271</x:v>
      </x:c>
      <x:c r="T1685" s="28" t="n">
        <x:f>R1685+S1685</x:f>
        <x:v>1374.531314273227</x:v>
      </x:c>
      <x:c r="U1685" s="27" t="n">
        <x:f>N1685*'Fleet Engine'!M212</x:f>
        <x:v>0</x:v>
      </x:c>
      <x:c r="V1685" s="28" t="n">
        <x:f>U1685*T1685</x:f>
        <x:v>0</x:v>
      </x:c>
      <x:c r="W1685" s="28" t="n">
        <x:f>U1685*O1685</x:f>
        <x:v>0</x:v>
      </x:c>
    </x:row>
    <x:row r="1686" ht="19" customHeight="1">
      <x:c r="A1686" s="2"/>
      <x:c r="B1686" s="2"/>
      <x:c r="C1686" s="46" t="n">
        <x:v>7</x:v>
      </x:c>
      <x:c r="D1686" s="46" t="n">
        <x:v>18</x:v>
      </x:c>
      <x:c r="E1686" s="46" t="n">
        <x:v>3</x:v>
      </x:c>
      <x:c r="F1686" s="46" t="n">
        <x:v>0</x:v>
      </x:c>
      <x:c r="G1686" s="12" t="n">
        <x:v>0.6666666666666666</x:v>
      </x:c>
      <x:c r="H1686" s="12" t="n">
        <x:v>0.7777777777777778</x:v>
      </x:c>
      <x:c r="I1686" s="29" t="n">
        <x:f>'Assumptions'!$D$11+'Assumptions'!$D$12*(0.5-(G1686+H1686)/2)</x:f>
        <x:v>0.25555555555555554</x:v>
      </x:c>
      <x:c r="J1686" s="27" t="n">
        <x:f>'Assumptions'!$D$8*EXP(-'Assumptions'!$D$9*('Fleet Engine'!E212-10))*'Assumptions'!E58*'Assumptions'!K36</x:f>
        <x:v>27182.818284590452</x:v>
      </x:c>
      <x:c r="K1686" s="27" t="n">
        <x:f>'Source Data'!F217+LN('Assumptions'!D58)+LN('Assumptions'!K35)</x:f>
        <x:v>8.005343029779286</x:v>
      </x:c>
      <x:c r="L1686" s="27" t="n">
        <x:f>J1686*(1-I1686*(1-'Carrier Engine'!E98))</x:f>
        <x:v>20513.966865437596</x:v>
      </x:c>
      <x:c r="M1686" s="29" t="n">
        <x:f>NORM.S.DIST((LN(L1686)-K1686)/'Assumptions'!$D$10,TRUE)</x:f>
        <x:v>0.8897143006733278</x:v>
      </x:c>
      <x:c r="N1686" s="30" t="n">
        <x:f>MAX(0,H1686-MAX(G1686,M1686))</x:f>
        <x:v>0</x:v>
      </x:c>
      <x:c r="O1686" s="28" t="n">
        <x:f>J1686*I1686</x:f>
        <x:v>6946.720228284226</x:v>
      </x:c>
      <x:c r="P1686" s="27" t="n">
        <x:f>(VLOOKUP(O1686,'Fee Data'!$C$6:$G$50,2,TRUE)+O1686*VLOOKUP(O1686,'Fee Data'!$C$6:$G$50,3,TRUE)+VLOOKUP(O1686,'Fee Data'!$I$6:$J$14,2,TRUE)+'Fee Data'!$J$20+'Fee Data'!$J$21)*'Assumptions'!K37</x:f>
        <x:v>1080</x:v>
      </x:c>
      <x:c r="Q1686" s="27" t="n">
        <x:f>(VLOOKUP(O1686,'Fee Data'!$C$6:$G$50,4,TRUE)+O1686*VLOOKUP(O1686,'Fee Data'!$C$6:$G$50,5,TRUE)+VLOOKUP(O1686,'Fee Data'!$I$6:$J$14,2,TRUE)+'Fee Data'!$J$20+'Fee Data'!$J$21)*'Assumptions'!K37</x:f>
        <x:v>955</x:v>
      </x:c>
      <x:c r="R1686" s="27" t="n">
        <x:f>P1686*(1-'Assumptions'!$D$14)+Q1686*'Assumptions'!$D$14</x:f>
        <x:v>1017.5</x:v>
      </x:c>
      <x:c r="S1686" s="27" t="n">
        <x:f>O1686*'Carrier Engine'!E98</x:f>
        <x:v>277.868809131369</x:v>
      </x:c>
      <x:c r="T1686" s="28" t="n">
        <x:f>R1686+S1686</x:f>
        <x:v>1295.368809131369</x:v>
      </x:c>
      <x:c r="U1686" s="27" t="n">
        <x:f>N1686*'Fleet Engine'!M212</x:f>
        <x:v>0</x:v>
      </x:c>
      <x:c r="V1686" s="28" t="n">
        <x:f>U1686*T1686</x:f>
        <x:v>0</x:v>
      </x:c>
      <x:c r="W1686" s="28" t="n">
        <x:f>U1686*O1686</x:f>
        <x:v>0</x:v>
      </x:c>
    </x:row>
    <x:row r="1687" ht="19" customHeight="1">
      <x:c r="A1687" s="2"/>
      <x:c r="B1687" s="2"/>
      <x:c r="C1687" s="46" t="n">
        <x:v>7</x:v>
      </x:c>
      <x:c r="D1687" s="46" t="n">
        <x:v>18</x:v>
      </x:c>
      <x:c r="E1687" s="46" t="n">
        <x:v>3</x:v>
      </x:c>
      <x:c r="F1687" s="46" t="n">
        <x:v>0</x:v>
      </x:c>
      <x:c r="G1687" s="12" t="n">
        <x:v>0.7777777777777778</x:v>
      </x:c>
      <x:c r="H1687" s="12" t="n">
        <x:v>0.8888888888888888</x:v>
      </x:c>
      <x:c r="I1687" s="29" t="n">
        <x:f>'Assumptions'!$D$11+'Assumptions'!$D$12*(0.5-(G1687+H1687)/2)</x:f>
        <x:v>0.23333333333333334</x:v>
      </x:c>
      <x:c r="J1687" s="27" t="n">
        <x:f>'Assumptions'!$D$8*EXP(-'Assumptions'!$D$9*('Fleet Engine'!E212-10))*'Assumptions'!E58*'Assumptions'!K36</x:f>
        <x:v>27182.818284590452</x:v>
      </x:c>
      <x:c r="K1687" s="27" t="n">
        <x:f>'Source Data'!F217+LN('Assumptions'!D58)+LN('Assumptions'!K35)</x:f>
        <x:v>8.005343029779286</x:v>
      </x:c>
      <x:c r="L1687" s="27" t="n">
        <x:f>J1687*(1-I1687*(1-'Carrier Engine'!E98))</x:f>
        <x:v>21093.86698884219</x:v>
      </x:c>
      <x:c r="M1687" s="29" t="n">
        <x:f>NORM.S.DIST((LN(L1687)-K1687)/'Assumptions'!$D$10,TRUE)</x:f>
        <x:v>0.8930224951902263</x:v>
      </x:c>
      <x:c r="N1687" s="30" t="n">
        <x:f>MAX(0,H1687-MAX(G1687,M1687))</x:f>
        <x:v>0</x:v>
      </x:c>
      <x:c r="O1687" s="28" t="n">
        <x:f>J1687*I1687</x:f>
        <x:v>6342.657599737772</x:v>
      </x:c>
      <x:c r="P1687" s="27" t="n">
        <x:f>(VLOOKUP(O1687,'Fee Data'!$C$6:$G$50,2,TRUE)+O1687*VLOOKUP(O1687,'Fee Data'!$C$6:$G$50,3,TRUE)+VLOOKUP(O1687,'Fee Data'!$I$6:$J$14,2,TRUE)+'Fee Data'!$J$20+'Fee Data'!$J$21)*'Assumptions'!K37</x:f>
        <x:v>1060</x:v>
      </x:c>
      <x:c r="Q1687" s="27" t="n">
        <x:f>(VLOOKUP(O1687,'Fee Data'!$C$6:$G$50,4,TRUE)+O1687*VLOOKUP(O1687,'Fee Data'!$C$6:$G$50,5,TRUE)+VLOOKUP(O1687,'Fee Data'!$I$6:$J$14,2,TRUE)+'Fee Data'!$J$20+'Fee Data'!$J$21)*'Assumptions'!K37</x:f>
        <x:v>935</x:v>
      </x:c>
      <x:c r="R1687" s="27" t="n">
        <x:f>P1687*(1-'Assumptions'!$D$14)+Q1687*'Assumptions'!$D$14</x:f>
        <x:v>997.5</x:v>
      </x:c>
      <x:c r="S1687" s="27" t="n">
        <x:f>O1687*'Carrier Engine'!E98</x:f>
        <x:v>253.70630398951084</x:v>
      </x:c>
      <x:c r="T1687" s="28" t="n">
        <x:f>R1687+S1687</x:f>
        <x:v>1251.2063039895108</x:v>
      </x:c>
      <x:c r="U1687" s="27" t="n">
        <x:f>N1687*'Fleet Engine'!M212</x:f>
        <x:v>0</x:v>
      </x:c>
      <x:c r="V1687" s="28" t="n">
        <x:f>U1687*T1687</x:f>
        <x:v>0</x:v>
      </x:c>
      <x:c r="W1687" s="28" t="n">
        <x:f>U1687*O1687</x:f>
        <x:v>0</x:v>
      </x:c>
    </x:row>
    <x:row r="1688" ht="19" customHeight="1">
      <x:c r="A1688" s="2"/>
      <x:c r="B1688" s="2"/>
      <x:c r="C1688" s="46" t="n">
        <x:v>7</x:v>
      </x:c>
      <x:c r="D1688" s="46" t="n">
        <x:v>18</x:v>
      </x:c>
      <x:c r="E1688" s="46" t="n">
        <x:v>3</x:v>
      </x:c>
      <x:c r="F1688" s="46" t="n">
        <x:v>0</x:v>
      </x:c>
      <x:c r="G1688" s="12" t="n">
        <x:v>0.8888888888888888</x:v>
      </x:c>
      <x:c r="H1688" s="12" t="n">
        <x:v>1</x:v>
      </x:c>
      <x:c r="I1688" s="29" t="n">
        <x:f>'Assumptions'!$D$11+'Assumptions'!$D$12*(0.5-(G1688+H1688)/2)</x:f>
        <x:v>0.21111111111111108</x:v>
      </x:c>
      <x:c r="J1688" s="27" t="n">
        <x:f>'Assumptions'!$D$8*EXP(-'Assumptions'!$D$9*('Fleet Engine'!E212-10))*'Assumptions'!E58*'Assumptions'!K36</x:f>
        <x:v>27182.818284590452</x:v>
      </x:c>
      <x:c r="K1688" s="27" t="n">
        <x:f>'Source Data'!F217+LN('Assumptions'!D58)+LN('Assumptions'!K35)</x:f>
        <x:v>8.005343029779286</x:v>
      </x:c>
      <x:c r="L1688" s="27" t="n">
        <x:f>J1688*(1-I1688*(1-'Carrier Engine'!E98))</x:f>
        <x:v>21673.767112246787</x:v>
      </x:c>
      <x:c r="M1688" s="29" t="n">
        <x:f>NORM.S.DIST((LN(L1688)-K1688)/'Assumptions'!$D$10,TRUE)</x:f>
        <x:v>0.8961716820343077</x:v>
      </x:c>
      <x:c r="N1688" s="30" t="n">
        <x:f>MAX(0,H1688-MAX(G1688,M1688))</x:f>
        <x:v>0.10382831796569225</x:v>
      </x:c>
      <x:c r="O1688" s="28" t="n">
        <x:f>J1688*I1688</x:f>
        <x:v>5738.594971191317</x:v>
      </x:c>
      <x:c r="P1688" s="27" t="n">
        <x:f>(VLOOKUP(O1688,'Fee Data'!$C$6:$G$50,2,TRUE)+O1688*VLOOKUP(O1688,'Fee Data'!$C$6:$G$50,3,TRUE)+VLOOKUP(O1688,'Fee Data'!$I$6:$J$14,2,TRUE)+'Fee Data'!$J$20+'Fee Data'!$J$21)*'Assumptions'!K37</x:f>
        <x:v>1020</x:v>
      </x:c>
      <x:c r="Q1688" s="27" t="n">
        <x:f>(VLOOKUP(O1688,'Fee Data'!$C$6:$G$50,4,TRUE)+O1688*VLOOKUP(O1688,'Fee Data'!$C$6:$G$50,5,TRUE)+VLOOKUP(O1688,'Fee Data'!$I$6:$J$14,2,TRUE)+'Fee Data'!$J$20+'Fee Data'!$J$21)*'Assumptions'!K37</x:f>
        <x:v>895</x:v>
      </x:c>
      <x:c r="R1688" s="27" t="n">
        <x:f>P1688*(1-'Assumptions'!$D$14)+Q1688*'Assumptions'!$D$14</x:f>
        <x:v>957.5</x:v>
      </x:c>
      <x:c r="S1688" s="27" t="n">
        <x:f>O1688*'Carrier Engine'!E98</x:f>
        <x:v>229.54379884765265</x:v>
      </x:c>
      <x:c r="T1688" s="28" t="n">
        <x:f>R1688+S1688</x:f>
        <x:v>1187.0437988476526</x:v>
      </x:c>
      <x:c r="U1688" s="27" t="n">
        <x:f>N1688*'Fleet Engine'!M212</x:f>
        <x:v>56.53162480310182</x:v>
      </x:c>
      <x:c r="V1688" s="28" t="n">
        <x:f>U1688*T1688</x:f>
        <x:v>67105.51466130417</x:v>
      </x:c>
      <x:c r="W1688" s="28" t="n">
        <x:f>U1688*O1688</x:f>
        <x:v>324412.0978083544</x:v>
      </x:c>
    </x:row>
    <x:row r="1689" ht="19" customHeight="1">
      <x:c r="A1689" s="2"/>
      <x:c r="B1689" s="2"/>
      <x:c r="C1689" s="46" t="n">
        <x:v>7</x:v>
      </x:c>
      <x:c r="D1689" s="46" t="n">
        <x:v>19</x:v>
      </x:c>
      <x:c r="E1689" s="46" t="n">
        <x:v>3</x:v>
      </x:c>
      <x:c r="F1689" s="46" t="n">
        <x:v>1</x:v>
      </x:c>
      <x:c r="G1689" s="12" t="n">
        <x:v>0</x:v>
      </x:c>
      <x:c r="H1689" s="12" t="n">
        <x:v>0.1111111111111111</x:v>
      </x:c>
      <x:c r="I1689" s="29" t="n">
        <x:f>'Assumptions'!$D$11+'Assumptions'!$D$12*(0.5-(G1689+H1689)/2)</x:f>
        <x:v>0.3888888888888889</x:v>
      </x:c>
      <x:c r="J1689" s="27" t="n">
        <x:f>'Assumptions'!$D$8*EXP(-'Assumptions'!$D$9*('Fleet Engine'!E213-10))*'Assumptions'!E58*'Assumptions'!K36</x:f>
        <x:v>22255.409284924677</x:v>
      </x:c>
      <x:c r="K1689" s="27" t="n">
        <x:f>'Source Data'!F218+LN('Assumptions'!D58)+LN('Assumptions'!K35)</x:f>
        <x:v>7.890902228235048</x:v>
      </x:c>
      <x:c r="L1689" s="27" t="n">
        <x:f>J1689*(1-I1689*(1-'Carrier Engine'!E98))</x:f>
        <x:v>13946.723151886132</x:v>
      </x:c>
      <x:c r="M1689" s="29" t="n">
        <x:f>NORM.S.DIST((LN(L1689)-K1689)/'Assumptions'!$D$10,TRUE)</x:f>
        <x:v>0.8536354275611799</x:v>
      </x:c>
      <x:c r="N1689" s="30" t="n">
        <x:f>MAX(0,H1689-MAX(G1689,M1689))</x:f>
        <x:v>0</x:v>
      </x:c>
      <x:c r="O1689" s="28" t="n">
        <x:f>J1689*I1689</x:f>
        <x:v>8654.88138858182</x:v>
      </x:c>
      <x:c r="P1689" s="27" t="n">
        <x:f>(VLOOKUP(O1689,'Fee Data'!$C$6:$G$50,2,TRUE)+O1689*VLOOKUP(O1689,'Fee Data'!$C$6:$G$50,3,TRUE)+VLOOKUP(O1689,'Fee Data'!$I$6:$J$14,2,TRUE)+'Fee Data'!$J$20+'Fee Data'!$J$21)*'Assumptions'!K37</x:f>
        <x:v>1195</x:v>
      </x:c>
      <x:c r="Q1689" s="27" t="n">
        <x:f>(VLOOKUP(O1689,'Fee Data'!$C$6:$G$50,4,TRUE)+O1689*VLOOKUP(O1689,'Fee Data'!$C$6:$G$50,5,TRUE)+VLOOKUP(O1689,'Fee Data'!$I$6:$J$14,2,TRUE)+'Fee Data'!$J$20+'Fee Data'!$J$21)*'Assumptions'!K37</x:f>
        <x:v>1070</x:v>
      </x:c>
      <x:c r="R1689" s="27" t="n">
        <x:f>P1689*(1-'Assumptions'!$D$14)+Q1689*'Assumptions'!$D$14</x:f>
        <x:v>1132.5</x:v>
      </x:c>
      <x:c r="S1689" s="27" t="n">
        <x:f>O1689*'Carrier Engine'!E98</x:f>
        <x:v>346.19525554327276</x:v>
      </x:c>
      <x:c r="T1689" s="28" t="n">
        <x:f>R1689+S1689</x:f>
        <x:v>1478.6952555432727</x:v>
      </x:c>
      <x:c r="U1689" s="27" t="n">
        <x:f>N1689*'Fleet Engine'!M213</x:f>
        <x:v>0</x:v>
      </x:c>
      <x:c r="V1689" s="28" t="n">
        <x:f>U1689*T1689</x:f>
        <x:v>0</x:v>
      </x:c>
      <x:c r="W1689" s="28" t="n">
        <x:f>U1689*O1689</x:f>
        <x:v>0</x:v>
      </x:c>
    </x:row>
    <x:row r="1690" ht="19" customHeight="1">
      <x:c r="A1690" s="2"/>
      <x:c r="B1690" s="2"/>
      <x:c r="C1690" s="46" t="n">
        <x:v>7</x:v>
      </x:c>
      <x:c r="D1690" s="46" t="n">
        <x:v>19</x:v>
      </x:c>
      <x:c r="E1690" s="46" t="n">
        <x:v>3</x:v>
      </x:c>
      <x:c r="F1690" s="46" t="n">
        <x:v>1</x:v>
      </x:c>
      <x:c r="G1690" s="12" t="n">
        <x:v>0.1111111111111111</x:v>
      </x:c>
      <x:c r="H1690" s="12" t="n">
        <x:v>0.2222222222222222</x:v>
      </x:c>
      <x:c r="I1690" s="29" t="n">
        <x:f>'Assumptions'!$D$11+'Assumptions'!$D$12*(0.5-(G1690+H1690)/2)</x:f>
        <x:v>0.3666666666666667</x:v>
      </x:c>
      <x:c r="J1690" s="27" t="n">
        <x:f>'Assumptions'!$D$8*EXP(-'Assumptions'!$D$9*('Fleet Engine'!E213-10))*'Assumptions'!E58*'Assumptions'!K36</x:f>
        <x:v>22255.409284924677</x:v>
      </x:c>
      <x:c r="K1690" s="27" t="n">
        <x:f>'Source Data'!F218+LN('Assumptions'!D58)+LN('Assumptions'!K35)</x:f>
        <x:v>7.890902228235048</x:v>
      </x:c>
      <x:c r="L1690" s="27" t="n">
        <x:f>J1690*(1-I1690*(1-'Carrier Engine'!E98))</x:f>
        <x:v>14421.505216631189</x:v>
      </x:c>
      <x:c r="M1690" s="29" t="n">
        <x:f>NORM.S.DIST((LN(L1690)-K1690)/'Assumptions'!$D$10,TRUE)</x:f>
        <x:v>0.858470508362788</x:v>
      </x:c>
      <x:c r="N1690" s="30" t="n">
        <x:f>MAX(0,H1690-MAX(G1690,M1690))</x:f>
        <x:v>0</x:v>
      </x:c>
      <x:c r="O1690" s="28" t="n">
        <x:f>J1690*I1690</x:f>
        <x:v>8160.316737805716</x:v>
      </x:c>
      <x:c r="P1690" s="27" t="n">
        <x:f>(VLOOKUP(O1690,'Fee Data'!$C$6:$G$50,2,TRUE)+O1690*VLOOKUP(O1690,'Fee Data'!$C$6:$G$50,3,TRUE)+VLOOKUP(O1690,'Fee Data'!$I$6:$J$14,2,TRUE)+'Fee Data'!$J$20+'Fee Data'!$J$21)*'Assumptions'!K37</x:f>
        <x:v>1175</x:v>
      </x:c>
      <x:c r="Q1690" s="27" t="n">
        <x:f>(VLOOKUP(O1690,'Fee Data'!$C$6:$G$50,4,TRUE)+O1690*VLOOKUP(O1690,'Fee Data'!$C$6:$G$50,5,TRUE)+VLOOKUP(O1690,'Fee Data'!$I$6:$J$14,2,TRUE)+'Fee Data'!$J$20+'Fee Data'!$J$21)*'Assumptions'!K37</x:f>
        <x:v>1050</x:v>
      </x:c>
      <x:c r="R1690" s="27" t="n">
        <x:f>P1690*(1-'Assumptions'!$D$14)+Q1690*'Assumptions'!$D$14</x:f>
        <x:v>1112.5</x:v>
      </x:c>
      <x:c r="S1690" s="27" t="n">
        <x:f>O1690*'Carrier Engine'!E98</x:f>
        <x:v>326.4126695122286</x:v>
      </x:c>
      <x:c r="T1690" s="28" t="n">
        <x:f>R1690+S1690</x:f>
        <x:v>1438.9126695122286</x:v>
      </x:c>
      <x:c r="U1690" s="27" t="n">
        <x:f>N1690*'Fleet Engine'!M213</x:f>
        <x:v>0</x:v>
      </x:c>
      <x:c r="V1690" s="28" t="n">
        <x:f>U1690*T1690</x:f>
        <x:v>0</x:v>
      </x:c>
      <x:c r="W1690" s="28" t="n">
        <x:f>U1690*O1690</x:f>
        <x:v>0</x:v>
      </x:c>
    </x:row>
    <x:row r="1691" ht="19" customHeight="1">
      <x:c r="A1691" s="2"/>
      <x:c r="B1691" s="2"/>
      <x:c r="C1691" s="46" t="n">
        <x:v>7</x:v>
      </x:c>
      <x:c r="D1691" s="46" t="n">
        <x:v>19</x:v>
      </x:c>
      <x:c r="E1691" s="46" t="n">
        <x:v>3</x:v>
      </x:c>
      <x:c r="F1691" s="46" t="n">
        <x:v>1</x:v>
      </x:c>
      <x:c r="G1691" s="12" t="n">
        <x:v>0.2222222222222222</x:v>
      </x:c>
      <x:c r="H1691" s="12" t="n">
        <x:v>0.3333333333333333</x:v>
      </x:c>
      <x:c r="I1691" s="29" t="n">
        <x:f>'Assumptions'!$D$11+'Assumptions'!$D$12*(0.5-(G1691+H1691)/2)</x:f>
        <x:v>0.34444444444444444</x:v>
      </x:c>
      <x:c r="J1691" s="27" t="n">
        <x:f>'Assumptions'!$D$8*EXP(-'Assumptions'!$D$9*('Fleet Engine'!E213-10))*'Assumptions'!E58*'Assumptions'!K36</x:f>
        <x:v>22255.409284924677</x:v>
      </x:c>
      <x:c r="K1691" s="27" t="n">
        <x:f>'Source Data'!F218+LN('Assumptions'!D58)+LN('Assumptions'!K35)</x:f>
        <x:v>7.890902228235048</x:v>
      </x:c>
      <x:c r="L1691" s="27" t="n">
        <x:f>J1691*(1-I1691*(1-'Carrier Engine'!E98))</x:f>
        <x:v>14896.287281376251</x:v>
      </x:c>
      <x:c r="M1691" s="29" t="n">
        <x:f>NORM.S.DIST((LN(L1691)-K1691)/'Assumptions'!$D$10,TRUE)</x:f>
        <x:v>0.8630448198872039</x:v>
      </x:c>
      <x:c r="N1691" s="30" t="n">
        <x:f>MAX(0,H1691-MAX(G1691,M1691))</x:f>
        <x:v>0</x:v>
      </x:c>
      <x:c r="O1691" s="28" t="n">
        <x:f>J1691*I1691</x:f>
        <x:v>7665.752087029611</x:v>
      </x:c>
      <x:c r="P1691" s="27" t="n">
        <x:f>(VLOOKUP(O1691,'Fee Data'!$C$6:$G$50,2,TRUE)+O1691*VLOOKUP(O1691,'Fee Data'!$C$6:$G$50,3,TRUE)+VLOOKUP(O1691,'Fee Data'!$I$6:$J$14,2,TRUE)+'Fee Data'!$J$20+'Fee Data'!$J$21)*'Assumptions'!K37</x:f>
        <x:v>1135</x:v>
      </x:c>
      <x:c r="Q1691" s="27" t="n">
        <x:f>(VLOOKUP(O1691,'Fee Data'!$C$6:$G$50,4,TRUE)+O1691*VLOOKUP(O1691,'Fee Data'!$C$6:$G$50,5,TRUE)+VLOOKUP(O1691,'Fee Data'!$I$6:$J$14,2,TRUE)+'Fee Data'!$J$20+'Fee Data'!$J$21)*'Assumptions'!K37</x:f>
        <x:v>1010</x:v>
      </x:c>
      <x:c r="R1691" s="27" t="n">
        <x:f>P1691*(1-'Assumptions'!$D$14)+Q1691*'Assumptions'!$D$14</x:f>
        <x:v>1072.5</x:v>
      </x:c>
      <x:c r="S1691" s="27" t="n">
        <x:f>O1691*'Carrier Engine'!E98</x:f>
        <x:v>306.6300834811844</x:v>
      </x:c>
      <x:c r="T1691" s="28" t="n">
        <x:f>R1691+S1691</x:f>
        <x:v>1379.1300834811843</x:v>
      </x:c>
      <x:c r="U1691" s="27" t="n">
        <x:f>N1691*'Fleet Engine'!M213</x:f>
        <x:v>0</x:v>
      </x:c>
      <x:c r="V1691" s="28" t="n">
        <x:f>U1691*T1691</x:f>
        <x:v>0</x:v>
      </x:c>
      <x:c r="W1691" s="28" t="n">
        <x:f>U1691*O1691</x:f>
        <x:v>0</x:v>
      </x:c>
    </x:row>
    <x:row r="1692" ht="19" customHeight="1">
      <x:c r="A1692" s="2"/>
      <x:c r="B1692" s="2"/>
      <x:c r="C1692" s="46" t="n">
        <x:v>7</x:v>
      </x:c>
      <x:c r="D1692" s="46" t="n">
        <x:v>19</x:v>
      </x:c>
      <x:c r="E1692" s="46" t="n">
        <x:v>3</x:v>
      </x:c>
      <x:c r="F1692" s="46" t="n">
        <x:v>1</x:v>
      </x:c>
      <x:c r="G1692" s="12" t="n">
        <x:v>0.3333333333333333</x:v>
      </x:c>
      <x:c r="H1692" s="12" t="n">
        <x:v>0.4444444444444444</x:v>
      </x:c>
      <x:c r="I1692" s="29" t="n">
        <x:f>'Assumptions'!$D$11+'Assumptions'!$D$12*(0.5-(G1692+H1692)/2)</x:f>
        <x:v>0.32222222222222224</x:v>
      </x:c>
      <x:c r="J1692" s="27" t="n">
        <x:f>'Assumptions'!$D$8*EXP(-'Assumptions'!$D$9*('Fleet Engine'!E213-10))*'Assumptions'!E58*'Assumptions'!K36</x:f>
        <x:v>22255.409284924677</x:v>
      </x:c>
      <x:c r="K1692" s="27" t="n">
        <x:f>'Source Data'!F218+LN('Assumptions'!D58)+LN('Assumptions'!K35)</x:f>
        <x:v>7.890902228235048</x:v>
      </x:c>
      <x:c r="L1692" s="27" t="n">
        <x:f>J1692*(1-I1692*(1-'Carrier Engine'!E98))</x:f>
        <x:v>15371.06934612131</x:v>
      </x:c>
      <x:c r="M1692" s="29" t="n">
        <x:f>NORM.S.DIST((LN(L1692)-K1692)/'Assumptions'!$D$10,TRUE)</x:f>
        <x:v>0.8673782677431042</x:v>
      </x:c>
      <x:c r="N1692" s="30" t="n">
        <x:f>MAX(0,H1692-MAX(G1692,M1692))</x:f>
        <x:v>0</x:v>
      </x:c>
      <x:c r="O1692" s="28" t="n">
        <x:f>J1692*I1692</x:f>
        <x:v>7171.187436253507</x:v>
      </x:c>
      <x:c r="P1692" s="27" t="n">
        <x:f>(VLOOKUP(O1692,'Fee Data'!$C$6:$G$50,2,TRUE)+O1692*VLOOKUP(O1692,'Fee Data'!$C$6:$G$50,3,TRUE)+VLOOKUP(O1692,'Fee Data'!$I$6:$J$14,2,TRUE)+'Fee Data'!$J$20+'Fee Data'!$J$21)*'Assumptions'!K37</x:f>
        <x:v>1115</x:v>
      </x:c>
      <x:c r="Q1692" s="27" t="n">
        <x:f>(VLOOKUP(O1692,'Fee Data'!$C$6:$G$50,4,TRUE)+O1692*VLOOKUP(O1692,'Fee Data'!$C$6:$G$50,5,TRUE)+VLOOKUP(O1692,'Fee Data'!$I$6:$J$14,2,TRUE)+'Fee Data'!$J$20+'Fee Data'!$J$21)*'Assumptions'!K37</x:f>
        <x:v>990</x:v>
      </x:c>
      <x:c r="R1692" s="27" t="n">
        <x:f>P1692*(1-'Assumptions'!$D$14)+Q1692*'Assumptions'!$D$14</x:f>
        <x:v>1052.5</x:v>
      </x:c>
      <x:c r="S1692" s="27" t="n">
        <x:f>O1692*'Carrier Engine'!E98</x:f>
        <x:v>286.8474974501402</x:v>
      </x:c>
      <x:c r="T1692" s="28" t="n">
        <x:f>R1692+S1692</x:f>
        <x:v>1339.3474974501403</x:v>
      </x:c>
      <x:c r="U1692" s="27" t="n">
        <x:f>N1692*'Fleet Engine'!M213</x:f>
        <x:v>0</x:v>
      </x:c>
      <x:c r="V1692" s="28" t="n">
        <x:f>U1692*T1692</x:f>
        <x:v>0</x:v>
      </x:c>
      <x:c r="W1692" s="28" t="n">
        <x:f>U1692*O1692</x:f>
        <x:v>0</x:v>
      </x:c>
    </x:row>
    <x:row r="1693" ht="19" customHeight="1">
      <x:c r="A1693" s="2"/>
      <x:c r="B1693" s="2"/>
      <x:c r="C1693" s="46" t="n">
        <x:v>7</x:v>
      </x:c>
      <x:c r="D1693" s="46" t="n">
        <x:v>19</x:v>
      </x:c>
      <x:c r="E1693" s="46" t="n">
        <x:v>3</x:v>
      </x:c>
      <x:c r="F1693" s="46" t="n">
        <x:v>1</x:v>
      </x:c>
      <x:c r="G1693" s="12" t="n">
        <x:v>0.4444444444444444</x:v>
      </x:c>
      <x:c r="H1693" s="12" t="n">
        <x:v>0.5555555555555556</x:v>
      </x:c>
      <x:c r="I1693" s="29" t="n">
        <x:f>'Assumptions'!$D$11+'Assumptions'!$D$12*(0.5-(G1693+H1693)/2)</x:f>
        <x:v>0.3</x:v>
      </x:c>
      <x:c r="J1693" s="27" t="n">
        <x:f>'Assumptions'!$D$8*EXP(-'Assumptions'!$D$9*('Fleet Engine'!E213-10))*'Assumptions'!E58*'Assumptions'!K36</x:f>
        <x:v>22255.409284924677</x:v>
      </x:c>
      <x:c r="K1693" s="27" t="n">
        <x:f>'Source Data'!F218+LN('Assumptions'!D58)+LN('Assumptions'!K35)</x:f>
        <x:v>7.890902228235048</x:v>
      </x:c>
      <x:c r="L1693" s="27" t="n">
        <x:f>J1693*(1-I1693*(1-'Carrier Engine'!E98))</x:f>
        <x:v>15845.85141086637</x:v>
      </x:c>
      <x:c r="M1693" s="29" t="n">
        <x:f>NORM.S.DIST((LN(L1693)-K1693)/'Assumptions'!$D$10,TRUE)</x:f>
        <x:v>0.8714887858690716</x:v>
      </x:c>
      <x:c r="N1693" s="30" t="n">
        <x:f>MAX(0,H1693-MAX(G1693,M1693))</x:f>
        <x:v>0</x:v>
      </x:c>
      <x:c r="O1693" s="28" t="n">
        <x:f>J1693*I1693</x:f>
        <x:v>6676.622785477403</x:v>
      </x:c>
      <x:c r="P1693" s="27" t="n">
        <x:f>(VLOOKUP(O1693,'Fee Data'!$C$6:$G$50,2,TRUE)+O1693*VLOOKUP(O1693,'Fee Data'!$C$6:$G$50,3,TRUE)+VLOOKUP(O1693,'Fee Data'!$I$6:$J$14,2,TRUE)+'Fee Data'!$J$20+'Fee Data'!$J$21)*'Assumptions'!K37</x:f>
        <x:v>1080</x:v>
      </x:c>
      <x:c r="Q1693" s="27" t="n">
        <x:f>(VLOOKUP(O1693,'Fee Data'!$C$6:$G$50,4,TRUE)+O1693*VLOOKUP(O1693,'Fee Data'!$C$6:$G$50,5,TRUE)+VLOOKUP(O1693,'Fee Data'!$I$6:$J$14,2,TRUE)+'Fee Data'!$J$20+'Fee Data'!$J$21)*'Assumptions'!K37</x:f>
        <x:v>955</x:v>
      </x:c>
      <x:c r="R1693" s="27" t="n">
        <x:f>P1693*(1-'Assumptions'!$D$14)+Q1693*'Assumptions'!$D$14</x:f>
        <x:v>1017.5</x:v>
      </x:c>
      <x:c r="S1693" s="27" t="n">
        <x:f>O1693*'Carrier Engine'!E98</x:f>
        <x:v>267.0649114190961</x:v>
      </x:c>
      <x:c r="T1693" s="28" t="n">
        <x:f>R1693+S1693</x:f>
        <x:v>1284.564911419096</x:v>
      </x:c>
      <x:c r="U1693" s="27" t="n">
        <x:f>N1693*'Fleet Engine'!M213</x:f>
        <x:v>0</x:v>
      </x:c>
      <x:c r="V1693" s="28" t="n">
        <x:f>U1693*T1693</x:f>
        <x:v>0</x:v>
      </x:c>
      <x:c r="W1693" s="28" t="n">
        <x:f>U1693*O1693</x:f>
        <x:v>0</x:v>
      </x:c>
    </x:row>
    <x:row r="1694" ht="19" customHeight="1">
      <x:c r="A1694" s="2"/>
      <x:c r="B1694" s="2"/>
      <x:c r="C1694" s="46" t="n">
        <x:v>7</x:v>
      </x:c>
      <x:c r="D1694" s="46" t="n">
        <x:v>19</x:v>
      </x:c>
      <x:c r="E1694" s="46" t="n">
        <x:v>3</x:v>
      </x:c>
      <x:c r="F1694" s="46" t="n">
        <x:v>1</x:v>
      </x:c>
      <x:c r="G1694" s="12" t="n">
        <x:v>0.5555555555555556</x:v>
      </x:c>
      <x:c r="H1694" s="12" t="n">
        <x:v>0.6666666666666666</x:v>
      </x:c>
      <x:c r="I1694" s="29" t="n">
        <x:f>'Assumptions'!$D$11+'Assumptions'!$D$12*(0.5-(G1694+H1694)/2)</x:f>
        <x:v>0.27777777777777773</x:v>
      </x:c>
      <x:c r="J1694" s="27" t="n">
        <x:f>'Assumptions'!$D$8*EXP(-'Assumptions'!$D$9*('Fleet Engine'!E213-10))*'Assumptions'!E58*'Assumptions'!K36</x:f>
        <x:v>22255.409284924677</x:v>
      </x:c>
      <x:c r="K1694" s="27" t="n">
        <x:f>'Source Data'!F218+LN('Assumptions'!D58)+LN('Assumptions'!K35)</x:f>
        <x:v>7.890902228235048</x:v>
      </x:c>
      <x:c r="L1694" s="27" t="n">
        <x:f>J1694*(1-I1694*(1-'Carrier Engine'!E98))</x:f>
        <x:v>16320.633475611432</x:v>
      </x:c>
      <x:c r="M1694" s="29" t="n">
        <x:f>NORM.S.DIST((LN(L1694)-K1694)/'Assumptions'!$D$10,TRUE)</x:f>
        <x:v>0.875392576065582</x:v>
      </x:c>
      <x:c r="N1694" s="30" t="n">
        <x:f>MAX(0,H1694-MAX(G1694,M1694))</x:f>
        <x:v>0</x:v>
      </x:c>
      <x:c r="O1694" s="28" t="n">
        <x:f>J1694*I1694</x:f>
        <x:v>6182.0581347012985</x:v>
      </x:c>
      <x:c r="P1694" s="27" t="n">
        <x:f>(VLOOKUP(O1694,'Fee Data'!$C$6:$G$50,2,TRUE)+O1694*VLOOKUP(O1694,'Fee Data'!$C$6:$G$50,3,TRUE)+VLOOKUP(O1694,'Fee Data'!$I$6:$J$14,2,TRUE)+'Fee Data'!$J$20+'Fee Data'!$J$21)*'Assumptions'!K37</x:f>
        <x:v>1060</x:v>
      </x:c>
      <x:c r="Q1694" s="27" t="n">
        <x:f>(VLOOKUP(O1694,'Fee Data'!$C$6:$G$50,4,TRUE)+O1694*VLOOKUP(O1694,'Fee Data'!$C$6:$G$50,5,TRUE)+VLOOKUP(O1694,'Fee Data'!$I$6:$J$14,2,TRUE)+'Fee Data'!$J$20+'Fee Data'!$J$21)*'Assumptions'!K37</x:f>
        <x:v>935</x:v>
      </x:c>
      <x:c r="R1694" s="27" t="n">
        <x:f>P1694*(1-'Assumptions'!$D$14)+Q1694*'Assumptions'!$D$14</x:f>
        <x:v>997.5</x:v>
      </x:c>
      <x:c r="S1694" s="27" t="n">
        <x:f>O1694*'Carrier Engine'!E98</x:f>
        <x:v>247.2823253880519</x:v>
      </x:c>
      <x:c r="T1694" s="28" t="n">
        <x:f>R1694+S1694</x:f>
        <x:v>1244.782325388052</x:v>
      </x:c>
      <x:c r="U1694" s="27" t="n">
        <x:f>N1694*'Fleet Engine'!M213</x:f>
        <x:v>0</x:v>
      </x:c>
      <x:c r="V1694" s="28" t="n">
        <x:f>U1694*T1694</x:f>
        <x:v>0</x:v>
      </x:c>
      <x:c r="W1694" s="28" t="n">
        <x:f>U1694*O1694</x:f>
        <x:v>0</x:v>
      </x:c>
    </x:row>
    <x:row r="1695" ht="19" customHeight="1">
      <x:c r="A1695" s="2"/>
      <x:c r="B1695" s="2"/>
      <x:c r="C1695" s="46" t="n">
        <x:v>7</x:v>
      </x:c>
      <x:c r="D1695" s="46" t="n">
        <x:v>19</x:v>
      </x:c>
      <x:c r="E1695" s="46" t="n">
        <x:v>3</x:v>
      </x:c>
      <x:c r="F1695" s="46" t="n">
        <x:v>1</x:v>
      </x:c>
      <x:c r="G1695" s="12" t="n">
        <x:v>0.6666666666666666</x:v>
      </x:c>
      <x:c r="H1695" s="12" t="n">
        <x:v>0.7777777777777778</x:v>
      </x:c>
      <x:c r="I1695" s="29" t="n">
        <x:f>'Assumptions'!$D$11+'Assumptions'!$D$12*(0.5-(G1695+H1695)/2)</x:f>
        <x:v>0.25555555555555554</x:v>
      </x:c>
      <x:c r="J1695" s="27" t="n">
        <x:f>'Assumptions'!$D$8*EXP(-'Assumptions'!$D$9*('Fleet Engine'!E213-10))*'Assumptions'!E58*'Assumptions'!K36</x:f>
        <x:v>22255.409284924677</x:v>
      </x:c>
      <x:c r="K1695" s="27" t="n">
        <x:f>'Source Data'!F218+LN('Assumptions'!D58)+LN('Assumptions'!K35)</x:f>
        <x:v>7.890902228235048</x:v>
      </x:c>
      <x:c r="L1695" s="27" t="n">
        <x:f>J1695*(1-I1695*(1-'Carrier Engine'!E98))</x:f>
        <x:v>16795.41554035649</x:v>
      </x:c>
      <x:c r="M1695" s="29" t="n">
        <x:f>NORM.S.DIST((LN(L1695)-K1695)/'Assumptions'!$D$10,TRUE)</x:f>
        <x:v>0.879104313191051</x:v>
      </x:c>
      <x:c r="N1695" s="30" t="n">
        <x:f>MAX(0,H1695-MAX(G1695,M1695))</x:f>
        <x:v>0</x:v>
      </x:c>
      <x:c r="O1695" s="28" t="n">
        <x:f>J1695*I1695</x:f>
        <x:v>5687.493483925195</x:v>
      </x:c>
      <x:c r="P1695" s="27" t="n">
        <x:f>(VLOOKUP(O1695,'Fee Data'!$C$6:$G$50,2,TRUE)+O1695*VLOOKUP(O1695,'Fee Data'!$C$6:$G$50,3,TRUE)+VLOOKUP(O1695,'Fee Data'!$I$6:$J$14,2,TRUE)+'Fee Data'!$J$20+'Fee Data'!$J$21)*'Assumptions'!K37</x:f>
        <x:v>1020</x:v>
      </x:c>
      <x:c r="Q1695" s="27" t="n">
        <x:f>(VLOOKUP(O1695,'Fee Data'!$C$6:$G$50,4,TRUE)+O1695*VLOOKUP(O1695,'Fee Data'!$C$6:$G$50,5,TRUE)+VLOOKUP(O1695,'Fee Data'!$I$6:$J$14,2,TRUE)+'Fee Data'!$J$20+'Fee Data'!$J$21)*'Assumptions'!K37</x:f>
        <x:v>895</x:v>
      </x:c>
      <x:c r="R1695" s="27" t="n">
        <x:f>P1695*(1-'Assumptions'!$D$14)+Q1695*'Assumptions'!$D$14</x:f>
        <x:v>957.5</x:v>
      </x:c>
      <x:c r="S1695" s="27" t="n">
        <x:f>O1695*'Carrier Engine'!E98</x:f>
        <x:v>227.49973935700774</x:v>
      </x:c>
      <x:c r="T1695" s="28" t="n">
        <x:f>R1695+S1695</x:f>
        <x:v>1184.9997393570077</x:v>
      </x:c>
      <x:c r="U1695" s="27" t="n">
        <x:f>N1695*'Fleet Engine'!M213</x:f>
        <x:v>0</x:v>
      </x:c>
      <x:c r="V1695" s="28" t="n">
        <x:f>U1695*T1695</x:f>
        <x:v>0</x:v>
      </x:c>
      <x:c r="W1695" s="28" t="n">
        <x:f>U1695*O1695</x:f>
        <x:v>0</x:v>
      </x:c>
    </x:row>
    <x:row r="1696" ht="19" customHeight="1">
      <x:c r="A1696" s="2"/>
      <x:c r="B1696" s="2"/>
      <x:c r="C1696" s="46" t="n">
        <x:v>7</x:v>
      </x:c>
      <x:c r="D1696" s="46" t="n">
        <x:v>19</x:v>
      </x:c>
      <x:c r="E1696" s="46" t="n">
        <x:v>3</x:v>
      </x:c>
      <x:c r="F1696" s="46" t="n">
        <x:v>1</x:v>
      </x:c>
      <x:c r="G1696" s="12" t="n">
        <x:v>0.7777777777777778</x:v>
      </x:c>
      <x:c r="H1696" s="12" t="n">
        <x:v>0.8888888888888888</x:v>
      </x:c>
      <x:c r="I1696" s="29" t="n">
        <x:f>'Assumptions'!$D$11+'Assumptions'!$D$12*(0.5-(G1696+H1696)/2)</x:f>
        <x:v>0.23333333333333334</x:v>
      </x:c>
      <x:c r="J1696" s="27" t="n">
        <x:f>'Assumptions'!$D$8*EXP(-'Assumptions'!$D$9*('Fleet Engine'!E213-10))*'Assumptions'!E58*'Assumptions'!K36</x:f>
        <x:v>22255.409284924677</x:v>
      </x:c>
      <x:c r="K1696" s="27" t="n">
        <x:f>'Source Data'!F218+LN('Assumptions'!D58)+LN('Assumptions'!K35)</x:f>
        <x:v>7.890902228235048</x:v>
      </x:c>
      <x:c r="L1696" s="27" t="n">
        <x:f>J1696*(1-I1696*(1-'Carrier Engine'!E98))</x:f>
        <x:v>17270.19760510155</x:v>
      </x:c>
      <x:c r="M1696" s="29" t="n">
        <x:f>NORM.S.DIST((LN(L1696)-K1696)/'Assumptions'!$D$10,TRUE)</x:f>
        <x:v>0.8826373216697017</x:v>
      </x:c>
      <x:c r="N1696" s="30" t="n">
        <x:f>MAX(0,H1696-MAX(G1696,M1696))</x:f>
        <x:v>0.006251567219187182</x:v>
      </x:c>
      <x:c r="O1696" s="28" t="n">
        <x:f>J1696*I1696</x:f>
        <x:v>5192.928833149092</x:v>
      </x:c>
      <x:c r="P1696" s="27" t="n">
        <x:f>(VLOOKUP(O1696,'Fee Data'!$C$6:$G$50,2,TRUE)+O1696*VLOOKUP(O1696,'Fee Data'!$C$6:$G$50,3,TRUE)+VLOOKUP(O1696,'Fee Data'!$I$6:$J$14,2,TRUE)+'Fee Data'!$J$20+'Fee Data'!$J$21)*'Assumptions'!K37</x:f>
        <x:v>995</x:v>
      </x:c>
      <x:c r="Q1696" s="27" t="n">
        <x:f>(VLOOKUP(O1696,'Fee Data'!$C$6:$G$50,4,TRUE)+O1696*VLOOKUP(O1696,'Fee Data'!$C$6:$G$50,5,TRUE)+VLOOKUP(O1696,'Fee Data'!$I$6:$J$14,2,TRUE)+'Fee Data'!$J$20+'Fee Data'!$J$21)*'Assumptions'!K37</x:f>
        <x:v>870</x:v>
      </x:c>
      <x:c r="R1696" s="27" t="n">
        <x:f>P1696*(1-'Assumptions'!$D$14)+Q1696*'Assumptions'!$D$14</x:f>
        <x:v>932.5</x:v>
      </x:c>
      <x:c r="S1696" s="27" t="n">
        <x:f>O1696*'Carrier Engine'!E98</x:f>
        <x:v>207.71715332596364</x:v>
      </x:c>
      <x:c r="T1696" s="28" t="n">
        <x:f>R1696+S1696</x:f>
        <x:v>1140.2171533259636</x:v>
      </x:c>
      <x:c r="U1696" s="27" t="n">
        <x:f>N1696*'Fleet Engine'!M213</x:f>
        <x:v>19.46065554388378</x:v>
      </x:c>
      <x:c r="V1696" s="28" t="n">
        <x:f>U1696*T1696</x:f>
        <x:v>22189.3732661043</x:v>
      </x:c>
      <x:c r="W1696" s="28" t="n">
        <x:f>U1696*O1696</x:f>
        <x:v>101057.7992858168</x:v>
      </x:c>
    </x:row>
    <x:row r="1697" ht="19" customHeight="1">
      <x:c r="A1697" s="2"/>
      <x:c r="B1697" s="2"/>
      <x:c r="C1697" s="46" t="n">
        <x:v>7</x:v>
      </x:c>
      <x:c r="D1697" s="46" t="n">
        <x:v>19</x:v>
      </x:c>
      <x:c r="E1697" s="46" t="n">
        <x:v>3</x:v>
      </x:c>
      <x:c r="F1697" s="46" t="n">
        <x:v>1</x:v>
      </x:c>
      <x:c r="G1697" s="12" t="n">
        <x:v>0.8888888888888888</x:v>
      </x:c>
      <x:c r="H1697" s="12" t="n">
        <x:v>1</x:v>
      </x:c>
      <x:c r="I1697" s="29" t="n">
        <x:f>'Assumptions'!$D$11+'Assumptions'!$D$12*(0.5-(G1697+H1697)/2)</x:f>
        <x:v>0.21111111111111108</x:v>
      </x:c>
      <x:c r="J1697" s="27" t="n">
        <x:f>'Assumptions'!$D$8*EXP(-'Assumptions'!$D$9*('Fleet Engine'!E213-10))*'Assumptions'!E58*'Assumptions'!K36</x:f>
        <x:v>22255.409284924677</x:v>
      </x:c>
      <x:c r="K1697" s="27" t="n">
        <x:f>'Source Data'!F218+LN('Assumptions'!D58)+LN('Assumptions'!K35)</x:f>
        <x:v>7.890902228235048</x:v>
      </x:c>
      <x:c r="L1697" s="27" t="n">
        <x:f>J1697*(1-I1697*(1-'Carrier Engine'!E98))</x:f>
        <x:v>17744.97966984661</x:v>
      </x:c>
      <x:c r="M1697" s="29" t="n">
        <x:f>NORM.S.DIST((LN(L1697)-K1697)/'Assumptions'!$D$10,TRUE)</x:f>
        <x:v>0.8860037279150648</x:v>
      </x:c>
      <x:c r="N1697" s="30" t="n">
        <x:f>MAX(0,H1697-MAX(G1697,M1697))</x:f>
        <x:v>0.11111111111111116</x:v>
      </x:c>
      <x:c r="O1697" s="28" t="n">
        <x:f>J1697*I1697</x:f>
        <x:v>4698.364182372987</x:v>
      </x:c>
      <x:c r="P1697" s="27" t="n">
        <x:f>(VLOOKUP(O1697,'Fee Data'!$C$6:$G$50,2,TRUE)+O1697*VLOOKUP(O1697,'Fee Data'!$C$6:$G$50,3,TRUE)+VLOOKUP(O1697,'Fee Data'!$I$6:$J$14,2,TRUE)+'Fee Data'!$J$20+'Fee Data'!$J$21)*'Assumptions'!K37</x:f>
        <x:v>970</x:v>
      </x:c>
      <x:c r="Q1697" s="27" t="n">
        <x:f>(VLOOKUP(O1697,'Fee Data'!$C$6:$G$50,4,TRUE)+O1697*VLOOKUP(O1697,'Fee Data'!$C$6:$G$50,5,TRUE)+VLOOKUP(O1697,'Fee Data'!$I$6:$J$14,2,TRUE)+'Fee Data'!$J$20+'Fee Data'!$J$21)*'Assumptions'!K37</x:f>
        <x:v>845</x:v>
      </x:c>
      <x:c r="R1697" s="27" t="n">
        <x:f>P1697*(1-'Assumptions'!$D$14)+Q1697*'Assumptions'!$D$14</x:f>
        <x:v>907.5</x:v>
      </x:c>
      <x:c r="S1697" s="27" t="n">
        <x:f>O1697*'Carrier Engine'!E98</x:f>
        <x:v>187.93456729491945</x:v>
      </x:c>
      <x:c r="T1697" s="28" t="n">
        <x:f>R1697+S1697</x:f>
        <x:v>1095.4345672949194</x:v>
      </x:c>
      <x:c r="U1697" s="27" t="n">
        <x:f>N1697*'Fleet Engine'!M213</x:f>
        <x:v>345.8804783854936</x:v>
      </x:c>
      <x:c r="V1697" s="28" t="n">
        <x:f>U1697*T1697</x:f>
        <x:v>378889.43217597285</x:v>
      </x:c>
      <x:c r="W1697" s="28" t="n">
        <x:f>U1697*O1697</x:f>
        <x:v>1625072.4510284371</x:v>
      </x:c>
    </x:row>
    <x:row r="1698" ht="19" customHeight="1">
      <x:c r="A1698" s="2"/>
      <x:c r="B1698" s="2"/>
      <x:c r="C1698" s="46" t="n">
        <x:v>7</x:v>
      </x:c>
      <x:c r="D1698" s="46" t="n">
        <x:v>20</x:v>
      </x:c>
      <x:c r="E1698" s="46" t="n">
        <x:v>3</x:v>
      </x:c>
      <x:c r="F1698" s="46" t="n">
        <x:v>2</x:v>
      </x:c>
      <x:c r="G1698" s="12" t="n">
        <x:v>0</x:v>
      </x:c>
      <x:c r="H1698" s="12" t="n">
        <x:v>0.1111111111111111</x:v>
      </x:c>
      <x:c r="I1698" s="29" t="n">
        <x:f>'Assumptions'!$D$11+'Assumptions'!$D$12*(0.5-(G1698+H1698)/2)</x:f>
        <x:v>0.3888888888888889</x:v>
      </x:c>
      <x:c r="J1698" s="27" t="n">
        <x:f>'Assumptions'!$D$8*EXP(-'Assumptions'!$D$9*('Fleet Engine'!E214-10))*'Assumptions'!E58*'Assumptions'!K36</x:f>
        <x:v>16487.212707001283</x:v>
      </x:c>
      <x:c r="K1698" s="27" t="n">
        <x:f>'Source Data'!F219+LN('Assumptions'!D58)+LN('Assumptions'!K35)</x:f>
        <x:v>7.936584069520856</x:v>
      </x:c>
      <x:c r="L1698" s="27" t="n">
        <x:f>J1698*(1-I1698*(1-'Carrier Engine'!E98))</x:f>
        <x:v>10331.986629720805</x:v>
      </x:c>
      <x:c r="M1698" s="29" t="n">
        <x:f>NORM.S.DIST((LN(L1698)-K1698)/'Assumptions'!$D$10,TRUE)</x:f>
        <x:v>0.7972963261215247</x:v>
      </x:c>
      <x:c r="N1698" s="30" t="n">
        <x:f>MAX(0,H1698-MAX(G1698,M1698))</x:f>
        <x:v>0</x:v>
      </x:c>
      <x:c r="O1698" s="28" t="n">
        <x:f>J1698*I1698</x:f>
        <x:v>6411.693830500499</x:v>
      </x:c>
      <x:c r="P1698" s="27" t="n">
        <x:f>(VLOOKUP(O1698,'Fee Data'!$C$6:$G$50,2,TRUE)+O1698*VLOOKUP(O1698,'Fee Data'!$C$6:$G$50,3,TRUE)+VLOOKUP(O1698,'Fee Data'!$I$6:$J$14,2,TRUE)+'Fee Data'!$J$20+'Fee Data'!$J$21)*'Assumptions'!K37</x:f>
        <x:v>1060</x:v>
      </x:c>
      <x:c r="Q1698" s="27" t="n">
        <x:f>(VLOOKUP(O1698,'Fee Data'!$C$6:$G$50,4,TRUE)+O1698*VLOOKUP(O1698,'Fee Data'!$C$6:$G$50,5,TRUE)+VLOOKUP(O1698,'Fee Data'!$I$6:$J$14,2,TRUE)+'Fee Data'!$J$20+'Fee Data'!$J$21)*'Assumptions'!K37</x:f>
        <x:v>935</x:v>
      </x:c>
      <x:c r="R1698" s="27" t="n">
        <x:f>P1698*(1-'Assumptions'!$D$14)+Q1698*'Assumptions'!$D$14</x:f>
        <x:v>997.5</x:v>
      </x:c>
      <x:c r="S1698" s="27" t="n">
        <x:f>O1698*'Carrier Engine'!E98</x:f>
        <x:v>256.4677532200199</x:v>
      </x:c>
      <x:c r="T1698" s="28" t="n">
        <x:f>R1698+S1698</x:f>
        <x:v>1253.9677532200199</x:v>
      </x:c>
      <x:c r="U1698" s="27" t="n">
        <x:f>N1698*'Fleet Engine'!M214</x:f>
        <x:v>0</x:v>
      </x:c>
      <x:c r="V1698" s="28" t="n">
        <x:f>U1698*T1698</x:f>
        <x:v>0</x:v>
      </x:c>
      <x:c r="W1698" s="28" t="n">
        <x:f>U1698*O1698</x:f>
        <x:v>0</x:v>
      </x:c>
    </x:row>
    <x:row r="1699" ht="19" customHeight="1">
      <x:c r="A1699" s="2"/>
      <x:c r="B1699" s="2"/>
      <x:c r="C1699" s="46" t="n">
        <x:v>7</x:v>
      </x:c>
      <x:c r="D1699" s="46" t="n">
        <x:v>20</x:v>
      </x:c>
      <x:c r="E1699" s="46" t="n">
        <x:v>3</x:v>
      </x:c>
      <x:c r="F1699" s="46" t="n">
        <x:v>2</x:v>
      </x:c>
      <x:c r="G1699" s="12" t="n">
        <x:v>0.1111111111111111</x:v>
      </x:c>
      <x:c r="H1699" s="12" t="n">
        <x:v>0.2222222222222222</x:v>
      </x:c>
      <x:c r="I1699" s="29" t="n">
        <x:f>'Assumptions'!$D$11+'Assumptions'!$D$12*(0.5-(G1699+H1699)/2)</x:f>
        <x:v>0.3666666666666667</x:v>
      </x:c>
      <x:c r="J1699" s="27" t="n">
        <x:f>'Assumptions'!$D$8*EXP(-'Assumptions'!$D$9*('Fleet Engine'!E214-10))*'Assumptions'!E58*'Assumptions'!K36</x:f>
        <x:v>16487.212707001283</x:v>
      </x:c>
      <x:c r="K1699" s="27" t="n">
        <x:f>'Source Data'!F219+LN('Assumptions'!D58)+LN('Assumptions'!K35)</x:f>
        <x:v>7.936584069520856</x:v>
      </x:c>
      <x:c r="L1699" s="27" t="n">
        <x:f>J1699*(1-I1699*(1-'Carrier Engine'!E98))</x:f>
        <x:v>10683.71383413683</x:v>
      </x:c>
      <x:c r="M1699" s="29" t="n">
        <x:f>NORM.S.DIST((LN(L1699)-K1699)/'Assumptions'!$D$10,TRUE)</x:f>
        <x:v>0.8032596960589325</x:v>
      </x:c>
      <x:c r="N1699" s="30" t="n">
        <x:f>MAX(0,H1699-MAX(G1699,M1699))</x:f>
        <x:v>0</x:v>
      </x:c>
      <x:c r="O1699" s="28" t="n">
        <x:f>J1699*I1699</x:f>
        <x:v>6045.311325900471</x:v>
      </x:c>
      <x:c r="P1699" s="27" t="n">
        <x:f>(VLOOKUP(O1699,'Fee Data'!$C$6:$G$50,2,TRUE)+O1699*VLOOKUP(O1699,'Fee Data'!$C$6:$G$50,3,TRUE)+VLOOKUP(O1699,'Fee Data'!$I$6:$J$14,2,TRUE)+'Fee Data'!$J$20+'Fee Data'!$J$21)*'Assumptions'!K37</x:f>
        <x:v>1060</x:v>
      </x:c>
      <x:c r="Q1699" s="27" t="n">
        <x:f>(VLOOKUP(O1699,'Fee Data'!$C$6:$G$50,4,TRUE)+O1699*VLOOKUP(O1699,'Fee Data'!$C$6:$G$50,5,TRUE)+VLOOKUP(O1699,'Fee Data'!$I$6:$J$14,2,TRUE)+'Fee Data'!$J$20+'Fee Data'!$J$21)*'Assumptions'!K37</x:f>
        <x:v>935</x:v>
      </x:c>
      <x:c r="R1699" s="27" t="n">
        <x:f>P1699*(1-'Assumptions'!$D$14)+Q1699*'Assumptions'!$D$14</x:f>
        <x:v>997.5</x:v>
      </x:c>
      <x:c r="S1699" s="27" t="n">
        <x:f>O1699*'Carrier Engine'!E98</x:f>
        <x:v>241.8124530360188</x:v>
      </x:c>
      <x:c r="T1699" s="28" t="n">
        <x:f>R1699+S1699</x:f>
        <x:v>1239.3124530360187</x:v>
      </x:c>
      <x:c r="U1699" s="27" t="n">
        <x:f>N1699*'Fleet Engine'!M214</x:f>
        <x:v>0</x:v>
      </x:c>
      <x:c r="V1699" s="28" t="n">
        <x:f>U1699*T1699</x:f>
        <x:v>0</x:v>
      </x:c>
      <x:c r="W1699" s="28" t="n">
        <x:f>U1699*O1699</x:f>
        <x:v>0</x:v>
      </x:c>
    </x:row>
    <x:row r="1700" ht="19" customHeight="1">
      <x:c r="A1700" s="2"/>
      <x:c r="B1700" s="2"/>
      <x:c r="C1700" s="46" t="n">
        <x:v>7</x:v>
      </x:c>
      <x:c r="D1700" s="46" t="n">
        <x:v>20</x:v>
      </x:c>
      <x:c r="E1700" s="46" t="n">
        <x:v>3</x:v>
      </x:c>
      <x:c r="F1700" s="46" t="n">
        <x:v>2</x:v>
      </x:c>
      <x:c r="G1700" s="12" t="n">
        <x:v>0.2222222222222222</x:v>
      </x:c>
      <x:c r="H1700" s="12" t="n">
        <x:v>0.3333333333333333</x:v>
      </x:c>
      <x:c r="I1700" s="29" t="n">
        <x:f>'Assumptions'!$D$11+'Assumptions'!$D$12*(0.5-(G1700+H1700)/2)</x:f>
        <x:v>0.34444444444444444</x:v>
      </x:c>
      <x:c r="J1700" s="27" t="n">
        <x:f>'Assumptions'!$D$8*EXP(-'Assumptions'!$D$9*('Fleet Engine'!E214-10))*'Assumptions'!E58*'Assumptions'!K36</x:f>
        <x:v>16487.212707001283</x:v>
      </x:c>
      <x:c r="K1700" s="27" t="n">
        <x:f>'Source Data'!F219+LN('Assumptions'!D58)+LN('Assumptions'!K35)</x:f>
        <x:v>7.936584069520856</x:v>
      </x:c>
      <x:c r="L1700" s="27" t="n">
        <x:f>J1700*(1-I1700*(1-'Carrier Engine'!E98))</x:f>
        <x:v>11035.441038552859</x:v>
      </x:c>
      <x:c r="M1700" s="29" t="n">
        <x:f>NORM.S.DIST((LN(L1700)-K1700)/'Assumptions'!$D$10,TRUE)</x:f>
        <x:v>0.8089275577472801</x:v>
      </x:c>
      <x:c r="N1700" s="30" t="n">
        <x:f>MAX(0,H1700-MAX(G1700,M1700))</x:f>
        <x:v>0</x:v>
      </x:c>
      <x:c r="O1700" s="28" t="n">
        <x:f>J1700*I1700</x:f>
        <x:v>5678.928821300442</x:v>
      </x:c>
      <x:c r="P1700" s="27" t="n">
        <x:f>(VLOOKUP(O1700,'Fee Data'!$C$6:$G$50,2,TRUE)+O1700*VLOOKUP(O1700,'Fee Data'!$C$6:$G$50,3,TRUE)+VLOOKUP(O1700,'Fee Data'!$I$6:$J$14,2,TRUE)+'Fee Data'!$J$20+'Fee Data'!$J$21)*'Assumptions'!K37</x:f>
        <x:v>1020</x:v>
      </x:c>
      <x:c r="Q1700" s="27" t="n">
        <x:f>(VLOOKUP(O1700,'Fee Data'!$C$6:$G$50,4,TRUE)+O1700*VLOOKUP(O1700,'Fee Data'!$C$6:$G$50,5,TRUE)+VLOOKUP(O1700,'Fee Data'!$I$6:$J$14,2,TRUE)+'Fee Data'!$J$20+'Fee Data'!$J$21)*'Assumptions'!K37</x:f>
        <x:v>895</x:v>
      </x:c>
      <x:c r="R1700" s="27" t="n">
        <x:f>P1700*(1-'Assumptions'!$D$14)+Q1700*'Assumptions'!$D$14</x:f>
        <x:v>957.5</x:v>
      </x:c>
      <x:c r="S1700" s="27" t="n">
        <x:f>O1700*'Carrier Engine'!E98</x:f>
        <x:v>227.15715285201765</x:v>
      </x:c>
      <x:c r="T1700" s="28" t="n">
        <x:f>R1700+S1700</x:f>
        <x:v>1184.6571528520176</x:v>
      </x:c>
      <x:c r="U1700" s="27" t="n">
        <x:f>N1700*'Fleet Engine'!M214</x:f>
        <x:v>0</x:v>
      </x:c>
      <x:c r="V1700" s="28" t="n">
        <x:f>U1700*T1700</x:f>
        <x:v>0</x:v>
      </x:c>
      <x:c r="W1700" s="28" t="n">
        <x:f>U1700*O1700</x:f>
        <x:v>0</x:v>
      </x:c>
    </x:row>
    <x:row r="1701" ht="19" customHeight="1">
      <x:c r="A1701" s="2"/>
      <x:c r="B1701" s="2"/>
      <x:c r="C1701" s="46" t="n">
        <x:v>7</x:v>
      </x:c>
      <x:c r="D1701" s="46" t="n">
        <x:v>20</x:v>
      </x:c>
      <x:c r="E1701" s="46" t="n">
        <x:v>3</x:v>
      </x:c>
      <x:c r="F1701" s="46" t="n">
        <x:v>2</x:v>
      </x:c>
      <x:c r="G1701" s="12" t="n">
        <x:v>0.3333333333333333</x:v>
      </x:c>
      <x:c r="H1701" s="12" t="n">
        <x:v>0.4444444444444444</x:v>
      </x:c>
      <x:c r="I1701" s="29" t="n">
        <x:f>'Assumptions'!$D$11+'Assumptions'!$D$12*(0.5-(G1701+H1701)/2)</x:f>
        <x:v>0.32222222222222224</x:v>
      </x:c>
      <x:c r="J1701" s="27" t="n">
        <x:f>'Assumptions'!$D$8*EXP(-'Assumptions'!$D$9*('Fleet Engine'!E214-10))*'Assumptions'!E58*'Assumptions'!K36</x:f>
        <x:v>16487.212707001283</x:v>
      </x:c>
      <x:c r="K1701" s="27" t="n">
        <x:f>'Source Data'!F219+LN('Assumptions'!D58)+LN('Assumptions'!K35)</x:f>
        <x:v>7.936584069520856</x:v>
      </x:c>
      <x:c r="L1701" s="27" t="n">
        <x:f>J1701*(1-I1701*(1-'Carrier Engine'!E98))</x:f>
        <x:v>11387.168242968886</x:v>
      </x:c>
      <x:c r="M1701" s="29" t="n">
        <x:f>NORM.S.DIST((LN(L1701)-K1701)/'Assumptions'!$D$10,TRUE)</x:f>
        <x:v>0.8143210319055623</x:v>
      </x:c>
      <x:c r="N1701" s="30" t="n">
        <x:f>MAX(0,H1701-MAX(G1701,M1701))</x:f>
        <x:v>0</x:v>
      </x:c>
      <x:c r="O1701" s="28" t="n">
        <x:f>J1701*I1701</x:f>
        <x:v>5312.546316700414</x:v>
      </x:c>
      <x:c r="P1701" s="27" t="n">
        <x:f>(VLOOKUP(O1701,'Fee Data'!$C$6:$G$50,2,TRUE)+O1701*VLOOKUP(O1701,'Fee Data'!$C$6:$G$50,3,TRUE)+VLOOKUP(O1701,'Fee Data'!$I$6:$J$14,2,TRUE)+'Fee Data'!$J$20+'Fee Data'!$J$21)*'Assumptions'!K37</x:f>
        <x:v>995</x:v>
      </x:c>
      <x:c r="Q1701" s="27" t="n">
        <x:f>(VLOOKUP(O1701,'Fee Data'!$C$6:$G$50,4,TRUE)+O1701*VLOOKUP(O1701,'Fee Data'!$C$6:$G$50,5,TRUE)+VLOOKUP(O1701,'Fee Data'!$I$6:$J$14,2,TRUE)+'Fee Data'!$J$20+'Fee Data'!$J$21)*'Assumptions'!K37</x:f>
        <x:v>870</x:v>
      </x:c>
      <x:c r="R1701" s="27" t="n">
        <x:f>P1701*(1-'Assumptions'!$D$14)+Q1701*'Assumptions'!$D$14</x:f>
        <x:v>932.5</x:v>
      </x:c>
      <x:c r="S1701" s="27" t="n">
        <x:f>O1701*'Carrier Engine'!E98</x:f>
        <x:v>212.5018526680165</x:v>
      </x:c>
      <x:c r="T1701" s="28" t="n">
        <x:f>R1701+S1701</x:f>
        <x:v>1145.0018526680165</x:v>
      </x:c>
      <x:c r="U1701" s="27" t="n">
        <x:f>N1701*'Fleet Engine'!M214</x:f>
        <x:v>0</x:v>
      </x:c>
      <x:c r="V1701" s="28" t="n">
        <x:f>U1701*T1701</x:f>
        <x:v>0</x:v>
      </x:c>
      <x:c r="W1701" s="28" t="n">
        <x:f>U1701*O1701</x:f>
        <x:v>0</x:v>
      </x:c>
    </x:row>
    <x:row r="1702" ht="19" customHeight="1">
      <x:c r="A1702" s="2"/>
      <x:c r="B1702" s="2"/>
      <x:c r="C1702" s="46" t="n">
        <x:v>7</x:v>
      </x:c>
      <x:c r="D1702" s="46" t="n">
        <x:v>20</x:v>
      </x:c>
      <x:c r="E1702" s="46" t="n">
        <x:v>3</x:v>
      </x:c>
      <x:c r="F1702" s="46" t="n">
        <x:v>2</x:v>
      </x:c>
      <x:c r="G1702" s="12" t="n">
        <x:v>0.4444444444444444</x:v>
      </x:c>
      <x:c r="H1702" s="12" t="n">
        <x:v>0.5555555555555556</x:v>
      </x:c>
      <x:c r="I1702" s="29" t="n">
        <x:f>'Assumptions'!$D$11+'Assumptions'!$D$12*(0.5-(G1702+H1702)/2)</x:f>
        <x:v>0.3</x:v>
      </x:c>
      <x:c r="J1702" s="27" t="n">
        <x:f>'Assumptions'!$D$8*EXP(-'Assumptions'!$D$9*('Fleet Engine'!E214-10))*'Assumptions'!E58*'Assumptions'!K36</x:f>
        <x:v>16487.212707001283</x:v>
      </x:c>
      <x:c r="K1702" s="27" t="n">
        <x:f>'Source Data'!F219+LN('Assumptions'!D58)+LN('Assumptions'!K35)</x:f>
        <x:v>7.936584069520856</x:v>
      </x:c>
      <x:c r="L1702" s="27" t="n">
        <x:f>J1702*(1-I1702*(1-'Carrier Engine'!E98))</x:f>
        <x:v>11738.895447384913</x:v>
      </x:c>
      <x:c r="M1702" s="29" t="n">
        <x:f>NORM.S.DIST((LN(L1702)-K1702)/'Assumptions'!$D$10,TRUE)</x:f>
        <x:v>0.8194592567333258</x:v>
      </x:c>
      <x:c r="N1702" s="30" t="n">
        <x:f>MAX(0,H1702-MAX(G1702,M1702))</x:f>
        <x:v>0</x:v>
      </x:c>
      <x:c r="O1702" s="28" t="n">
        <x:f>J1702*I1702</x:f>
        <x:v>4946.163812100384</x:v>
      </x:c>
      <x:c r="P1702" s="27" t="n">
        <x:f>(VLOOKUP(O1702,'Fee Data'!$C$6:$G$50,2,TRUE)+O1702*VLOOKUP(O1702,'Fee Data'!$C$6:$G$50,3,TRUE)+VLOOKUP(O1702,'Fee Data'!$I$6:$J$14,2,TRUE)+'Fee Data'!$J$20+'Fee Data'!$J$21)*'Assumptions'!K37</x:f>
        <x:v>970</x:v>
      </x:c>
      <x:c r="Q1702" s="27" t="n">
        <x:f>(VLOOKUP(O1702,'Fee Data'!$C$6:$G$50,4,TRUE)+O1702*VLOOKUP(O1702,'Fee Data'!$C$6:$G$50,5,TRUE)+VLOOKUP(O1702,'Fee Data'!$I$6:$J$14,2,TRUE)+'Fee Data'!$J$20+'Fee Data'!$J$21)*'Assumptions'!K37</x:f>
        <x:v>845</x:v>
      </x:c>
      <x:c r="R1702" s="27" t="n">
        <x:f>P1702*(1-'Assumptions'!$D$14)+Q1702*'Assumptions'!$D$14</x:f>
        <x:v>907.5</x:v>
      </x:c>
      <x:c r="S1702" s="27" t="n">
        <x:f>O1702*'Carrier Engine'!E98</x:f>
        <x:v>197.84655248401535</x:v>
      </x:c>
      <x:c r="T1702" s="28" t="n">
        <x:f>R1702+S1702</x:f>
        <x:v>1105.3465524840153</x:v>
      </x:c>
      <x:c r="U1702" s="27" t="n">
        <x:f>N1702*'Fleet Engine'!M214</x:f>
        <x:v>0</x:v>
      </x:c>
      <x:c r="V1702" s="28" t="n">
        <x:f>U1702*T1702</x:f>
        <x:v>0</x:v>
      </x:c>
      <x:c r="W1702" s="28" t="n">
        <x:f>U1702*O1702</x:f>
        <x:v>0</x:v>
      </x:c>
    </x:row>
    <x:row r="1703" ht="19" customHeight="1">
      <x:c r="A1703" s="2"/>
      <x:c r="B1703" s="2"/>
      <x:c r="C1703" s="46" t="n">
        <x:v>7</x:v>
      </x:c>
      <x:c r="D1703" s="46" t="n">
        <x:v>20</x:v>
      </x:c>
      <x:c r="E1703" s="46" t="n">
        <x:v>3</x:v>
      </x:c>
      <x:c r="F1703" s="46" t="n">
        <x:v>2</x:v>
      </x:c>
      <x:c r="G1703" s="12" t="n">
        <x:v>0.5555555555555556</x:v>
      </x:c>
      <x:c r="H1703" s="12" t="n">
        <x:v>0.6666666666666666</x:v>
      </x:c>
      <x:c r="I1703" s="29" t="n">
        <x:f>'Assumptions'!$D$11+'Assumptions'!$D$12*(0.5-(G1703+H1703)/2)</x:f>
        <x:v>0.27777777777777773</x:v>
      </x:c>
      <x:c r="J1703" s="27" t="n">
        <x:f>'Assumptions'!$D$8*EXP(-'Assumptions'!$D$9*('Fleet Engine'!E214-10))*'Assumptions'!E58*'Assumptions'!K36</x:f>
        <x:v>16487.212707001283</x:v>
      </x:c>
      <x:c r="K1703" s="27" t="n">
        <x:f>'Source Data'!F219+LN('Assumptions'!D58)+LN('Assumptions'!K35)</x:f>
        <x:v>7.936584069520856</x:v>
      </x:c>
      <x:c r="L1703" s="27" t="n">
        <x:f>J1703*(1-I1703*(1-'Carrier Engine'!E98))</x:f>
        <x:v>12090.622651800943</x:v>
      </x:c>
      <x:c r="M1703" s="29" t="n">
        <x:f>NORM.S.DIST((LN(L1703)-K1703)/'Assumptions'!$D$10,TRUE)</x:f>
        <x:v>0.824359618018476</x:v>
      </x:c>
      <x:c r="N1703" s="30" t="n">
        <x:f>MAX(0,H1703-MAX(G1703,M1703))</x:f>
        <x:v>0</x:v>
      </x:c>
      <x:c r="O1703" s="28" t="n">
        <x:f>J1703*I1703</x:f>
        <x:v>4579.781307500356</x:v>
      </x:c>
      <x:c r="P1703" s="27" t="n">
        <x:f>(VLOOKUP(O1703,'Fee Data'!$C$6:$G$50,2,TRUE)+O1703*VLOOKUP(O1703,'Fee Data'!$C$6:$G$50,3,TRUE)+VLOOKUP(O1703,'Fee Data'!$I$6:$J$14,2,TRUE)+'Fee Data'!$J$20+'Fee Data'!$J$21)*'Assumptions'!K37</x:f>
        <x:v>970</x:v>
      </x:c>
      <x:c r="Q1703" s="27" t="n">
        <x:f>(VLOOKUP(O1703,'Fee Data'!$C$6:$G$50,4,TRUE)+O1703*VLOOKUP(O1703,'Fee Data'!$C$6:$G$50,5,TRUE)+VLOOKUP(O1703,'Fee Data'!$I$6:$J$14,2,TRUE)+'Fee Data'!$J$20+'Fee Data'!$J$21)*'Assumptions'!K37</x:f>
        <x:v>845</x:v>
      </x:c>
      <x:c r="R1703" s="27" t="n">
        <x:f>P1703*(1-'Assumptions'!$D$14)+Q1703*'Assumptions'!$D$14</x:f>
        <x:v>907.5</x:v>
      </x:c>
      <x:c r="S1703" s="27" t="n">
        <x:f>O1703*'Carrier Engine'!E98</x:f>
        <x:v>183.1912523000142</x:v>
      </x:c>
      <x:c r="T1703" s="28" t="n">
        <x:f>R1703+S1703</x:f>
        <x:v>1090.6912523000142</x:v>
      </x:c>
      <x:c r="U1703" s="27" t="n">
        <x:f>N1703*'Fleet Engine'!M214</x:f>
        <x:v>0</x:v>
      </x:c>
      <x:c r="V1703" s="28" t="n">
        <x:f>U1703*T1703</x:f>
        <x:v>0</x:v>
      </x:c>
      <x:c r="W1703" s="28" t="n">
        <x:f>U1703*O1703</x:f>
        <x:v>0</x:v>
      </x:c>
    </x:row>
    <x:row r="1704" ht="19" customHeight="1">
      <x:c r="A1704" s="2"/>
      <x:c r="B1704" s="2"/>
      <x:c r="C1704" s="46" t="n">
        <x:v>7</x:v>
      </x:c>
      <x:c r="D1704" s="46" t="n">
        <x:v>20</x:v>
      </x:c>
      <x:c r="E1704" s="46" t="n">
        <x:v>3</x:v>
      </x:c>
      <x:c r="F1704" s="46" t="n">
        <x:v>2</x:v>
      </x:c>
      <x:c r="G1704" s="12" t="n">
        <x:v>0.6666666666666666</x:v>
      </x:c>
      <x:c r="H1704" s="12" t="n">
        <x:v>0.7777777777777778</x:v>
      </x:c>
      <x:c r="I1704" s="29" t="n">
        <x:f>'Assumptions'!$D$11+'Assumptions'!$D$12*(0.5-(G1704+H1704)/2)</x:f>
        <x:v>0.25555555555555554</x:v>
      </x:c>
      <x:c r="J1704" s="27" t="n">
        <x:f>'Assumptions'!$D$8*EXP(-'Assumptions'!$D$9*('Fleet Engine'!E214-10))*'Assumptions'!E58*'Assumptions'!K36</x:f>
        <x:v>16487.212707001283</x:v>
      </x:c>
      <x:c r="K1704" s="27" t="n">
        <x:f>'Source Data'!F219+LN('Assumptions'!D58)+LN('Assumptions'!K35)</x:f>
        <x:v>7.936584069520856</x:v>
      </x:c>
      <x:c r="L1704" s="27" t="n">
        <x:f>J1704*(1-I1704*(1-'Carrier Engine'!E98))</x:f>
        <x:v>12442.34985621697</x:v>
      </x:c>
      <x:c r="M1704" s="29" t="n">
        <x:f>NORM.S.DIST((LN(L1704)-K1704)/'Assumptions'!$D$10,TRUE)</x:f>
        <x:v>0.8290379475487466</x:v>
      </x:c>
      <x:c r="N1704" s="30" t="n">
        <x:f>MAX(0,H1704-MAX(G1704,M1704))</x:f>
        <x:v>0</x:v>
      </x:c>
      <x:c r="O1704" s="28" t="n">
        <x:f>J1704*I1704</x:f>
        <x:v>4213.398802900328</x:v>
      </x:c>
      <x:c r="P1704" s="27" t="n">
        <x:f>(VLOOKUP(O1704,'Fee Data'!$C$6:$G$50,2,TRUE)+O1704*VLOOKUP(O1704,'Fee Data'!$C$6:$G$50,3,TRUE)+VLOOKUP(O1704,'Fee Data'!$I$6:$J$14,2,TRUE)+'Fee Data'!$J$20+'Fee Data'!$J$21)*'Assumptions'!K37</x:f>
        <x:v>945</x:v>
      </x:c>
      <x:c r="Q1704" s="27" t="n">
        <x:f>(VLOOKUP(O1704,'Fee Data'!$C$6:$G$50,4,TRUE)+O1704*VLOOKUP(O1704,'Fee Data'!$C$6:$G$50,5,TRUE)+VLOOKUP(O1704,'Fee Data'!$I$6:$J$14,2,TRUE)+'Fee Data'!$J$20+'Fee Data'!$J$21)*'Assumptions'!K37</x:f>
        <x:v>820</x:v>
      </x:c>
      <x:c r="R1704" s="27" t="n">
        <x:f>P1704*(1-'Assumptions'!$D$14)+Q1704*'Assumptions'!$D$14</x:f>
        <x:v>882.5</x:v>
      </x:c>
      <x:c r="S1704" s="27" t="n">
        <x:f>O1704*'Carrier Engine'!E98</x:f>
        <x:v>168.53595211601308</x:v>
      </x:c>
      <x:c r="T1704" s="28" t="n">
        <x:f>R1704+S1704</x:f>
        <x:v>1051.035952116013</x:v>
      </x:c>
      <x:c r="U1704" s="27" t="n">
        <x:f>N1704*'Fleet Engine'!M214</x:f>
        <x:v>0</x:v>
      </x:c>
      <x:c r="V1704" s="28" t="n">
        <x:f>U1704*T1704</x:f>
        <x:v>0</x:v>
      </x:c>
      <x:c r="W1704" s="28" t="n">
        <x:f>U1704*O1704</x:f>
        <x:v>0</x:v>
      </x:c>
    </x:row>
    <x:row r="1705" ht="19" customHeight="1">
      <x:c r="A1705" s="2"/>
      <x:c r="B1705" s="2"/>
      <x:c r="C1705" s="46" t="n">
        <x:v>7</x:v>
      </x:c>
      <x:c r="D1705" s="46" t="n">
        <x:v>20</x:v>
      </x:c>
      <x:c r="E1705" s="46" t="n">
        <x:v>3</x:v>
      </x:c>
      <x:c r="F1705" s="46" t="n">
        <x:v>2</x:v>
      </x:c>
      <x:c r="G1705" s="12" t="n">
        <x:v>0.7777777777777778</x:v>
      </x:c>
      <x:c r="H1705" s="12" t="n">
        <x:v>0.8888888888888888</x:v>
      </x:c>
      <x:c r="I1705" s="29" t="n">
        <x:f>'Assumptions'!$D$11+'Assumptions'!$D$12*(0.5-(G1705+H1705)/2)</x:f>
        <x:v>0.23333333333333334</x:v>
      </x:c>
      <x:c r="J1705" s="27" t="n">
        <x:f>'Assumptions'!$D$8*EXP(-'Assumptions'!$D$9*('Fleet Engine'!E214-10))*'Assumptions'!E58*'Assumptions'!K36</x:f>
        <x:v>16487.212707001283</x:v>
      </x:c>
      <x:c r="K1705" s="27" t="n">
        <x:f>'Source Data'!F219+LN('Assumptions'!D58)+LN('Assumptions'!K35)</x:f>
        <x:v>7.936584069520856</x:v>
      </x:c>
      <x:c r="L1705" s="27" t="n">
        <x:f>J1705*(1-I1705*(1-'Carrier Engine'!E98))</x:f>
        <x:v>12794.077060632995</x:v>
      </x:c>
      <x:c r="M1705" s="29" t="n">
        <x:f>NORM.S.DIST((LN(L1705)-K1705)/'Assumptions'!$D$10,TRUE)</x:f>
        <x:v>0.8335086948581082</x:v>
      </x:c>
      <x:c r="N1705" s="30" t="n">
        <x:f>MAX(0,H1705-MAX(G1705,M1705))</x:f>
        <x:v>0.05538019403078065</x:v>
      </x:c>
      <x:c r="O1705" s="28" t="n">
        <x:f>J1705*I1705</x:f>
        <x:v>3847.0162983002992</x:v>
      </x:c>
      <x:c r="P1705" s="27" t="n">
        <x:f>(VLOOKUP(O1705,'Fee Data'!$C$6:$G$50,2,TRUE)+O1705*VLOOKUP(O1705,'Fee Data'!$C$6:$G$50,3,TRUE)+VLOOKUP(O1705,'Fee Data'!$I$6:$J$14,2,TRUE)+'Fee Data'!$J$20+'Fee Data'!$J$21)*'Assumptions'!K37</x:f>
        <x:v>915</x:v>
      </x:c>
      <x:c r="Q1705" s="27" t="n">
        <x:f>(VLOOKUP(O1705,'Fee Data'!$C$6:$G$50,4,TRUE)+O1705*VLOOKUP(O1705,'Fee Data'!$C$6:$G$50,5,TRUE)+VLOOKUP(O1705,'Fee Data'!$I$6:$J$14,2,TRUE)+'Fee Data'!$J$20+'Fee Data'!$J$21)*'Assumptions'!K37</x:f>
        <x:v>765</x:v>
      </x:c>
      <x:c r="R1705" s="27" t="n">
        <x:f>P1705*(1-'Assumptions'!$D$14)+Q1705*'Assumptions'!$D$14</x:f>
        <x:v>840</x:v>
      </x:c>
      <x:c r="S1705" s="27" t="n">
        <x:f>O1705*'Carrier Engine'!E98</x:f>
        <x:v>153.88065193201194</x:v>
      </x:c>
      <x:c r="T1705" s="28" t="n">
        <x:f>R1705+S1705</x:f>
        <x:v>993.8806519320119</x:v>
      </x:c>
      <x:c r="U1705" s="27" t="n">
        <x:f>N1705*'Fleet Engine'!M214</x:f>
        <x:v>144.46552796378663</x:v>
      </x:c>
      <x:c r="V1705" s="28" t="n">
        <x:f>U1705*T1705</x:f>
        <x:v>143581.49311435054</x:v>
      </x:c>
      <x:c r="W1705" s="28" t="n">
        <x:f>U1705*O1705</x:f>
        <x:v>555761.2406192448</x:v>
      </x:c>
    </x:row>
    <x:row r="1706" ht="19" customHeight="1">
      <x:c r="A1706" s="2"/>
      <x:c r="B1706" s="2"/>
      <x:c r="C1706" s="46" t="n">
        <x:v>7</x:v>
      </x:c>
      <x:c r="D1706" s="46" t="n">
        <x:v>20</x:v>
      </x:c>
      <x:c r="E1706" s="46" t="n">
        <x:v>3</x:v>
      </x:c>
      <x:c r="F1706" s="46" t="n">
        <x:v>2</x:v>
      </x:c>
      <x:c r="G1706" s="12" t="n">
        <x:v>0.8888888888888888</x:v>
      </x:c>
      <x:c r="H1706" s="12" t="n">
        <x:v>1</x:v>
      </x:c>
      <x:c r="I1706" s="29" t="n">
        <x:f>'Assumptions'!$D$11+'Assumptions'!$D$12*(0.5-(G1706+H1706)/2)</x:f>
        <x:v>0.21111111111111108</x:v>
      </x:c>
      <x:c r="J1706" s="27" t="n">
        <x:f>'Assumptions'!$D$8*EXP(-'Assumptions'!$D$9*('Fleet Engine'!E214-10))*'Assumptions'!E58*'Assumptions'!K36</x:f>
        <x:v>16487.212707001283</x:v>
      </x:c>
      <x:c r="K1706" s="27" t="n">
        <x:f>'Source Data'!F219+LN('Assumptions'!D58)+LN('Assumptions'!K35)</x:f>
        <x:v>7.936584069520856</x:v>
      </x:c>
      <x:c r="L1706" s="27" t="n">
        <x:f>J1706*(1-I1706*(1-'Carrier Engine'!E98))</x:f>
        <x:v>13145.804265049022</x:v>
      </x:c>
      <x:c r="M1706" s="29" t="n">
        <x:f>NORM.S.DIST((LN(L1706)-K1706)/'Assumptions'!$D$10,TRUE)</x:f>
        <x:v>0.8377850764390044</x:v>
      </x:c>
      <x:c r="N1706" s="30" t="n">
        <x:f>MAX(0,H1706-MAX(G1706,M1706))</x:f>
        <x:v>0.11111111111111116</x:v>
      </x:c>
      <x:c r="O1706" s="28" t="n">
        <x:f>J1706*I1706</x:f>
        <x:v>3480.6337937002704</x:v>
      </x:c>
      <x:c r="P1706" s="27" t="n">
        <x:f>(VLOOKUP(O1706,'Fee Data'!$C$6:$G$50,2,TRUE)+O1706*VLOOKUP(O1706,'Fee Data'!$C$6:$G$50,3,TRUE)+VLOOKUP(O1706,'Fee Data'!$I$6:$J$14,2,TRUE)+'Fee Data'!$J$20+'Fee Data'!$J$21)*'Assumptions'!K37</x:f>
        <x:v>865</x:v>
      </x:c>
      <x:c r="Q1706" s="27" t="n">
        <x:f>(VLOOKUP(O1706,'Fee Data'!$C$6:$G$50,4,TRUE)+O1706*VLOOKUP(O1706,'Fee Data'!$C$6:$G$50,5,TRUE)+VLOOKUP(O1706,'Fee Data'!$I$6:$J$14,2,TRUE)+'Fee Data'!$J$20+'Fee Data'!$J$21)*'Assumptions'!K37</x:f>
        <x:v>715</x:v>
      </x:c>
      <x:c r="R1706" s="27" t="n">
        <x:f>P1706*(1-'Assumptions'!$D$14)+Q1706*'Assumptions'!$D$14</x:f>
        <x:v>790</x:v>
      </x:c>
      <x:c r="S1706" s="27" t="n">
        <x:f>O1706*'Carrier Engine'!E98</x:f>
        <x:v>139.2253517480108</x:v>
      </x:c>
      <x:c r="T1706" s="28" t="n">
        <x:f>R1706+S1706</x:f>
        <x:v>929.2253517480108</x:v>
      </x:c>
      <x:c r="U1706" s="27" t="n">
        <x:f>N1706*'Fleet Engine'!M214</x:f>
        <x:v>289.84595684854384</x:v>
      </x:c>
      <x:c r="V1706" s="28" t="n">
        <x:f>U1706*T1706</x:f>
        <x:v>269332.2112053269</x:v>
      </x:c>
      <x:c r="W1706" s="28" t="n">
        <x:f>U1706*O1706</x:f>
        <x:v>1008847.632374432</x:v>
      </x:c>
    </x:row>
    <x:row r="1707" ht="19" customHeight="1">
      <x:c r="A1707" s="2"/>
      <x:c r="B1707" s="2"/>
      <x:c r="C1707" s="46" t="n">
        <x:v>7</x:v>
      </x:c>
      <x:c r="D1707" s="46" t="n">
        <x:v>21</x:v>
      </x:c>
      <x:c r="E1707" s="46" t="n">
        <x:v>3</x:v>
      </x:c>
      <x:c r="F1707" s="46" t="n">
        <x:v>3</x:v>
      </x:c>
      <x:c r="G1707" s="12" t="n">
        <x:v>0</x:v>
      </x:c>
      <x:c r="H1707" s="12" t="n">
        <x:v>0.1111111111111111</x:v>
      </x:c>
      <x:c r="I1707" s="29" t="n">
        <x:f>'Assumptions'!$D$11+'Assumptions'!$D$12*(0.5-(G1707+H1707)/2)</x:f>
        <x:v>0.3888888888888889</x:v>
      </x:c>
      <x:c r="J1707" s="27" t="n">
        <x:f>'Assumptions'!$D$8*EXP(-'Assumptions'!$D$9*('Fleet Engine'!E215-10))*'Assumptions'!E58*'Assumptions'!K36</x:f>
        <x:v>12214.027581601698</x:v>
      </x:c>
      <x:c r="K1707" s="27" t="n">
        <x:f>'Source Data'!F220+LN('Assumptions'!D58)+LN('Assumptions'!K35)</x:f>
        <x:v>8.04371664078851</x:v>
      </x:c>
      <x:c r="L1707" s="27" t="n">
        <x:f>J1707*(1-I1707*(1-'Carrier Engine'!E98))</x:f>
        <x:v>7654.123951137065</x:v>
      </x:c>
      <x:c r="M1707" s="29" t="n">
        <x:f>NORM.S.DIST((LN(L1707)-K1707)/'Assumptions'!$D$10,TRUE)</x:f>
        <x:v>0.7165817467781002</x:v>
      </x:c>
      <x:c r="N1707" s="30" t="n">
        <x:f>MAX(0,H1707-MAX(G1707,M1707))</x:f>
        <x:v>0</x:v>
      </x:c>
      <x:c r="O1707" s="28" t="n">
        <x:f>J1707*I1707</x:f>
        <x:v>4749.899615067327</x:v>
      </x:c>
      <x:c r="P1707" s="27" t="n">
        <x:f>(VLOOKUP(O1707,'Fee Data'!$C$6:$G$50,2,TRUE)+O1707*VLOOKUP(O1707,'Fee Data'!$C$6:$G$50,3,TRUE)+VLOOKUP(O1707,'Fee Data'!$I$6:$J$14,2,TRUE)+'Fee Data'!$J$20+'Fee Data'!$J$21)*'Assumptions'!K37</x:f>
        <x:v>970</x:v>
      </x:c>
      <x:c r="Q1707" s="27" t="n">
        <x:f>(VLOOKUP(O1707,'Fee Data'!$C$6:$G$50,4,TRUE)+O1707*VLOOKUP(O1707,'Fee Data'!$C$6:$G$50,5,TRUE)+VLOOKUP(O1707,'Fee Data'!$I$6:$J$14,2,TRUE)+'Fee Data'!$J$20+'Fee Data'!$J$21)*'Assumptions'!K37</x:f>
        <x:v>845</x:v>
      </x:c>
      <x:c r="R1707" s="27" t="n">
        <x:f>P1707*(1-'Assumptions'!$D$14)+Q1707*'Assumptions'!$D$14</x:f>
        <x:v>907.5</x:v>
      </x:c>
      <x:c r="S1707" s="27" t="n">
        <x:f>O1707*'Carrier Engine'!E98</x:f>
        <x:v>189.99598460269306</x:v>
      </x:c>
      <x:c r="T1707" s="28" t="n">
        <x:f>R1707+S1707</x:f>
        <x:v>1097.4959846026932</x:v>
      </x:c>
      <x:c r="U1707" s="27" t="n">
        <x:f>N1707*'Fleet Engine'!M215</x:f>
        <x:v>0</x:v>
      </x:c>
      <x:c r="V1707" s="28" t="n">
        <x:f>U1707*T1707</x:f>
        <x:v>0</x:v>
      </x:c>
      <x:c r="W1707" s="28" t="n">
        <x:f>U1707*O1707</x:f>
        <x:v>0</x:v>
      </x:c>
    </x:row>
    <x:row r="1708" ht="19" customHeight="1">
      <x:c r="A1708" s="2"/>
      <x:c r="B1708" s="2"/>
      <x:c r="C1708" s="46" t="n">
        <x:v>7</x:v>
      </x:c>
      <x:c r="D1708" s="46" t="n">
        <x:v>21</x:v>
      </x:c>
      <x:c r="E1708" s="46" t="n">
        <x:v>3</x:v>
      </x:c>
      <x:c r="F1708" s="46" t="n">
        <x:v>3</x:v>
      </x:c>
      <x:c r="G1708" s="12" t="n">
        <x:v>0.1111111111111111</x:v>
      </x:c>
      <x:c r="H1708" s="12" t="n">
        <x:v>0.2222222222222222</x:v>
      </x:c>
      <x:c r="I1708" s="29" t="n">
        <x:f>'Assumptions'!$D$11+'Assumptions'!$D$12*(0.5-(G1708+H1708)/2)</x:f>
        <x:v>0.3666666666666667</x:v>
      </x:c>
      <x:c r="J1708" s="27" t="n">
        <x:f>'Assumptions'!$D$8*EXP(-'Assumptions'!$D$9*('Fleet Engine'!E215-10))*'Assumptions'!E58*'Assumptions'!K36</x:f>
        <x:v>12214.027581601698</x:v>
      </x:c>
      <x:c r="K1708" s="27" t="n">
        <x:f>'Source Data'!F220+LN('Assumptions'!D58)+LN('Assumptions'!K35)</x:f>
        <x:v>8.04371664078851</x:v>
      </x:c>
      <x:c r="L1708" s="27" t="n">
        <x:f>J1708*(1-I1708*(1-'Carrier Engine'!E98))</x:f>
        <x:v>7914.6898728779</x:v>
      </x:c>
      <x:c r="M1708" s="29" t="n">
        <x:f>NORM.S.DIST((LN(L1708)-K1708)/'Assumptions'!$D$10,TRUE)</x:f>
        <x:v>0.7237560438609862</x:v>
      </x:c>
      <x:c r="N1708" s="30" t="n">
        <x:f>MAX(0,H1708-MAX(G1708,M1708))</x:f>
        <x:v>0</x:v>
      </x:c>
      <x:c r="O1708" s="28" t="n">
        <x:f>J1708*I1708</x:f>
        <x:v>4478.476779920623</x:v>
      </x:c>
      <x:c r="P1708" s="27" t="n">
        <x:f>(VLOOKUP(O1708,'Fee Data'!$C$6:$G$50,2,TRUE)+O1708*VLOOKUP(O1708,'Fee Data'!$C$6:$G$50,3,TRUE)+VLOOKUP(O1708,'Fee Data'!$I$6:$J$14,2,TRUE)+'Fee Data'!$J$20+'Fee Data'!$J$21)*'Assumptions'!K37</x:f>
        <x:v>945</x:v>
      </x:c>
      <x:c r="Q1708" s="27" t="n">
        <x:f>(VLOOKUP(O1708,'Fee Data'!$C$6:$G$50,4,TRUE)+O1708*VLOOKUP(O1708,'Fee Data'!$C$6:$G$50,5,TRUE)+VLOOKUP(O1708,'Fee Data'!$I$6:$J$14,2,TRUE)+'Fee Data'!$J$20+'Fee Data'!$J$21)*'Assumptions'!K37</x:f>
        <x:v>820</x:v>
      </x:c>
      <x:c r="R1708" s="27" t="n">
        <x:f>P1708*(1-'Assumptions'!$D$14)+Q1708*'Assumptions'!$D$14</x:f>
        <x:v>882.5</x:v>
      </x:c>
      <x:c r="S1708" s="27" t="n">
        <x:f>O1708*'Carrier Engine'!E98</x:f>
        <x:v>179.1390711968249</x:v>
      </x:c>
      <x:c r="T1708" s="28" t="n">
        <x:f>R1708+S1708</x:f>
        <x:v>1061.639071196825</x:v>
      </x:c>
      <x:c r="U1708" s="27" t="n">
        <x:f>N1708*'Fleet Engine'!M215</x:f>
        <x:v>0</x:v>
      </x:c>
      <x:c r="V1708" s="28" t="n">
        <x:f>U1708*T1708</x:f>
        <x:v>0</x:v>
      </x:c>
      <x:c r="W1708" s="28" t="n">
        <x:f>U1708*O1708</x:f>
        <x:v>0</x:v>
      </x:c>
    </x:row>
    <x:row r="1709" ht="19" customHeight="1">
      <x:c r="A1709" s="2"/>
      <x:c r="B1709" s="2"/>
      <x:c r="C1709" s="46" t="n">
        <x:v>7</x:v>
      </x:c>
      <x:c r="D1709" s="46" t="n">
        <x:v>21</x:v>
      </x:c>
      <x:c r="E1709" s="46" t="n">
        <x:v>3</x:v>
      </x:c>
      <x:c r="F1709" s="46" t="n">
        <x:v>3</x:v>
      </x:c>
      <x:c r="G1709" s="12" t="n">
        <x:v>0.2222222222222222</x:v>
      </x:c>
      <x:c r="H1709" s="12" t="n">
        <x:v>0.3333333333333333</x:v>
      </x:c>
      <x:c r="I1709" s="29" t="n">
        <x:f>'Assumptions'!$D$11+'Assumptions'!$D$12*(0.5-(G1709+H1709)/2)</x:f>
        <x:v>0.34444444444444444</x:v>
      </x:c>
      <x:c r="J1709" s="27" t="n">
        <x:f>'Assumptions'!$D$8*EXP(-'Assumptions'!$D$9*('Fleet Engine'!E215-10))*'Assumptions'!E58*'Assumptions'!K36</x:f>
        <x:v>12214.027581601698</x:v>
      </x:c>
      <x:c r="K1709" s="27" t="n">
        <x:f>'Source Data'!F220+LN('Assumptions'!D58)+LN('Assumptions'!K35)</x:f>
        <x:v>8.04371664078851</x:v>
      </x:c>
      <x:c r="L1709" s="27" t="n">
        <x:f>J1709*(1-I1709*(1-'Carrier Engine'!E98))</x:f>
        <x:v>8175.255794618737</x:v>
      </x:c>
      <x:c r="M1709" s="29" t="n">
        <x:f>NORM.S.DIST((LN(L1709)-K1709)/'Assumptions'!$D$10,TRUE)</x:f>
        <x:v>0.730612011881529</x:v>
      </x:c>
      <x:c r="N1709" s="30" t="n">
        <x:f>MAX(0,H1709-MAX(G1709,M1709))</x:f>
        <x:v>0</x:v>
      </x:c>
      <x:c r="O1709" s="28" t="n">
        <x:f>J1709*I1709</x:f>
        <x:v>4207.053944773918</x:v>
      </x:c>
      <x:c r="P1709" s="27" t="n">
        <x:f>(VLOOKUP(O1709,'Fee Data'!$C$6:$G$50,2,TRUE)+O1709*VLOOKUP(O1709,'Fee Data'!$C$6:$G$50,3,TRUE)+VLOOKUP(O1709,'Fee Data'!$I$6:$J$14,2,TRUE)+'Fee Data'!$J$20+'Fee Data'!$J$21)*'Assumptions'!K37</x:f>
        <x:v>945</x:v>
      </x:c>
      <x:c r="Q1709" s="27" t="n">
        <x:f>(VLOOKUP(O1709,'Fee Data'!$C$6:$G$50,4,TRUE)+O1709*VLOOKUP(O1709,'Fee Data'!$C$6:$G$50,5,TRUE)+VLOOKUP(O1709,'Fee Data'!$I$6:$J$14,2,TRUE)+'Fee Data'!$J$20+'Fee Data'!$J$21)*'Assumptions'!K37</x:f>
        <x:v>820</x:v>
      </x:c>
      <x:c r="R1709" s="27" t="n">
        <x:f>P1709*(1-'Assumptions'!$D$14)+Q1709*'Assumptions'!$D$14</x:f>
        <x:v>882.5</x:v>
      </x:c>
      <x:c r="S1709" s="27" t="n">
        <x:f>O1709*'Carrier Engine'!E98</x:f>
        <x:v>168.28215779095672</x:v>
      </x:c>
      <x:c r="T1709" s="28" t="n">
        <x:f>R1709+S1709</x:f>
        <x:v>1050.7821577909567</x:v>
      </x:c>
      <x:c r="U1709" s="27" t="n">
        <x:f>N1709*'Fleet Engine'!M215</x:f>
        <x:v>0</x:v>
      </x:c>
      <x:c r="V1709" s="28" t="n">
        <x:f>U1709*T1709</x:f>
        <x:v>0</x:v>
      </x:c>
      <x:c r="W1709" s="28" t="n">
        <x:f>U1709*O1709</x:f>
        <x:v>0</x:v>
      </x:c>
    </x:row>
    <x:row r="1710" ht="19" customHeight="1">
      <x:c r="A1710" s="2"/>
      <x:c r="B1710" s="2"/>
      <x:c r="C1710" s="46" t="n">
        <x:v>7</x:v>
      </x:c>
      <x:c r="D1710" s="46" t="n">
        <x:v>21</x:v>
      </x:c>
      <x:c r="E1710" s="46" t="n">
        <x:v>3</x:v>
      </x:c>
      <x:c r="F1710" s="46" t="n">
        <x:v>3</x:v>
      </x:c>
      <x:c r="G1710" s="12" t="n">
        <x:v>0.3333333333333333</x:v>
      </x:c>
      <x:c r="H1710" s="12" t="n">
        <x:v>0.4444444444444444</x:v>
      </x:c>
      <x:c r="I1710" s="29" t="n">
        <x:f>'Assumptions'!$D$11+'Assumptions'!$D$12*(0.5-(G1710+H1710)/2)</x:f>
        <x:v>0.32222222222222224</x:v>
      </x:c>
      <x:c r="J1710" s="27" t="n">
        <x:f>'Assumptions'!$D$8*EXP(-'Assumptions'!$D$9*('Fleet Engine'!E215-10))*'Assumptions'!E58*'Assumptions'!K36</x:f>
        <x:v>12214.027581601698</x:v>
      </x:c>
      <x:c r="K1710" s="27" t="n">
        <x:f>'Source Data'!F220+LN('Assumptions'!D58)+LN('Assumptions'!K35)</x:f>
        <x:v>8.04371664078851</x:v>
      </x:c>
      <x:c r="L1710" s="27" t="n">
        <x:f>J1710*(1-I1710*(1-'Carrier Engine'!E98))</x:f>
        <x:v>8435.821716359573</x:v>
      </x:c>
      <x:c r="M1710" s="29" t="n">
        <x:f>NORM.S.DIST((LN(L1710)-K1710)/'Assumptions'!$D$10,TRUE)</x:f>
        <x:v>0.737170515190244</x:v>
      </x:c>
      <x:c r="N1710" s="30" t="n">
        <x:f>MAX(0,H1710-MAX(G1710,M1710))</x:f>
        <x:v>0</x:v>
      </x:c>
      <x:c r="O1710" s="28" t="n">
        <x:f>J1710*I1710</x:f>
        <x:v>3935.6311096272143</x:v>
      </x:c>
      <x:c r="P1710" s="27" t="n">
        <x:f>(VLOOKUP(O1710,'Fee Data'!$C$6:$G$50,2,TRUE)+O1710*VLOOKUP(O1710,'Fee Data'!$C$6:$G$50,3,TRUE)+VLOOKUP(O1710,'Fee Data'!$I$6:$J$14,2,TRUE)+'Fee Data'!$J$20+'Fee Data'!$J$21)*'Assumptions'!K37</x:f>
        <x:v>915</x:v>
      </x:c>
      <x:c r="Q1710" s="27" t="n">
        <x:f>(VLOOKUP(O1710,'Fee Data'!$C$6:$G$50,4,TRUE)+O1710*VLOOKUP(O1710,'Fee Data'!$C$6:$G$50,5,TRUE)+VLOOKUP(O1710,'Fee Data'!$I$6:$J$14,2,TRUE)+'Fee Data'!$J$20+'Fee Data'!$J$21)*'Assumptions'!K37</x:f>
        <x:v>765</x:v>
      </x:c>
      <x:c r="R1710" s="27" t="n">
        <x:f>P1710*(1-'Assumptions'!$D$14)+Q1710*'Assumptions'!$D$14</x:f>
        <x:v>840</x:v>
      </x:c>
      <x:c r="S1710" s="27" t="n">
        <x:f>O1710*'Carrier Engine'!E98</x:f>
        <x:v>157.42524438508855</x:v>
      </x:c>
      <x:c r="T1710" s="28" t="n">
        <x:f>R1710+S1710</x:f>
        <x:v>997.4252443850885</x:v>
      </x:c>
      <x:c r="U1710" s="27" t="n">
        <x:f>N1710*'Fleet Engine'!M215</x:f>
        <x:v>0</x:v>
      </x:c>
      <x:c r="V1710" s="28" t="n">
        <x:f>U1710*T1710</x:f>
        <x:v>0</x:v>
      </x:c>
      <x:c r="W1710" s="28" t="n">
        <x:f>U1710*O1710</x:f>
        <x:v>0</x:v>
      </x:c>
    </x:row>
    <x:row r="1711" ht="19" customHeight="1">
      <x:c r="A1711" s="2"/>
      <x:c r="B1711" s="2"/>
      <x:c r="C1711" s="46" t="n">
        <x:v>7</x:v>
      </x:c>
      <x:c r="D1711" s="46" t="n">
        <x:v>21</x:v>
      </x:c>
      <x:c r="E1711" s="46" t="n">
        <x:v>3</x:v>
      </x:c>
      <x:c r="F1711" s="46" t="n">
        <x:v>3</x:v>
      </x:c>
      <x:c r="G1711" s="12" t="n">
        <x:v>0.4444444444444444</x:v>
      </x:c>
      <x:c r="H1711" s="12" t="n">
        <x:v>0.5555555555555556</x:v>
      </x:c>
      <x:c r="I1711" s="29" t="n">
        <x:f>'Assumptions'!$D$11+'Assumptions'!$D$12*(0.5-(G1711+H1711)/2)</x:f>
        <x:v>0.3</x:v>
      </x:c>
      <x:c r="J1711" s="27" t="n">
        <x:f>'Assumptions'!$D$8*EXP(-'Assumptions'!$D$9*('Fleet Engine'!E215-10))*'Assumptions'!E58*'Assumptions'!K36</x:f>
        <x:v>12214.027581601698</x:v>
      </x:c>
      <x:c r="K1711" s="27" t="n">
        <x:f>'Source Data'!F220+LN('Assumptions'!D58)+LN('Assumptions'!K35)</x:f>
        <x:v>8.04371664078851</x:v>
      </x:c>
      <x:c r="L1711" s="27" t="n">
        <x:f>J1711*(1-I1711*(1-'Carrier Engine'!E98))</x:f>
        <x:v>8696.387638100408</x:v>
      </x:c>
      <x:c r="M1711" s="29" t="n">
        <x:f>NORM.S.DIST((LN(L1711)-K1711)/'Assumptions'!$D$10,TRUE)</x:f>
        <x:v>0.7434505950635955</x:v>
      </x:c>
      <x:c r="N1711" s="30" t="n">
        <x:f>MAX(0,H1711-MAX(G1711,M1711))</x:f>
        <x:v>0</x:v>
      </x:c>
      <x:c r="O1711" s="28" t="n">
        <x:f>J1711*I1711</x:f>
        <x:v>3664.2082744805093</x:v>
      </x:c>
      <x:c r="P1711" s="27" t="n">
        <x:f>(VLOOKUP(O1711,'Fee Data'!$C$6:$G$50,2,TRUE)+O1711*VLOOKUP(O1711,'Fee Data'!$C$6:$G$50,3,TRUE)+VLOOKUP(O1711,'Fee Data'!$I$6:$J$14,2,TRUE)+'Fee Data'!$J$20+'Fee Data'!$J$21)*'Assumptions'!K37</x:f>
        <x:v>915</x:v>
      </x:c>
      <x:c r="Q1711" s="27" t="n">
        <x:f>(VLOOKUP(O1711,'Fee Data'!$C$6:$G$50,4,TRUE)+O1711*VLOOKUP(O1711,'Fee Data'!$C$6:$G$50,5,TRUE)+VLOOKUP(O1711,'Fee Data'!$I$6:$J$14,2,TRUE)+'Fee Data'!$J$20+'Fee Data'!$J$21)*'Assumptions'!K37</x:f>
        <x:v>765</x:v>
      </x:c>
      <x:c r="R1711" s="27" t="n">
        <x:f>P1711*(1-'Assumptions'!$D$14)+Q1711*'Assumptions'!$D$14</x:f>
        <x:v>840</x:v>
      </x:c>
      <x:c r="S1711" s="27" t="n">
        <x:f>O1711*'Carrier Engine'!E98</x:f>
        <x:v>146.56833097922035</x:v>
      </x:c>
      <x:c r="T1711" s="28" t="n">
        <x:f>R1711+S1711</x:f>
        <x:v>986.5683309792204</x:v>
      </x:c>
      <x:c r="U1711" s="27" t="n">
        <x:f>N1711*'Fleet Engine'!M215</x:f>
        <x:v>0</x:v>
      </x:c>
      <x:c r="V1711" s="28" t="n">
        <x:f>U1711*T1711</x:f>
        <x:v>0</x:v>
      </x:c>
      <x:c r="W1711" s="28" t="n">
        <x:f>U1711*O1711</x:f>
        <x:v>0</x:v>
      </x:c>
    </x:row>
    <x:row r="1712" ht="19" customHeight="1">
      <x:c r="A1712" s="2"/>
      <x:c r="B1712" s="2"/>
      <x:c r="C1712" s="46" t="n">
        <x:v>7</x:v>
      </x:c>
      <x:c r="D1712" s="46" t="n">
        <x:v>21</x:v>
      </x:c>
      <x:c r="E1712" s="46" t="n">
        <x:v>3</x:v>
      </x:c>
      <x:c r="F1712" s="46" t="n">
        <x:v>3</x:v>
      </x:c>
      <x:c r="G1712" s="12" t="n">
        <x:v>0.5555555555555556</x:v>
      </x:c>
      <x:c r="H1712" s="12" t="n">
        <x:v>0.6666666666666666</x:v>
      </x:c>
      <x:c r="I1712" s="29" t="n">
        <x:f>'Assumptions'!$D$11+'Assumptions'!$D$12*(0.5-(G1712+H1712)/2)</x:f>
        <x:v>0.27777777777777773</x:v>
      </x:c>
      <x:c r="J1712" s="27" t="n">
        <x:f>'Assumptions'!$D$8*EXP(-'Assumptions'!$D$9*('Fleet Engine'!E215-10))*'Assumptions'!E58*'Assumptions'!K36</x:f>
        <x:v>12214.027581601698</x:v>
      </x:c>
      <x:c r="K1712" s="27" t="n">
        <x:f>'Source Data'!F220+LN('Assumptions'!D58)+LN('Assumptions'!K35)</x:f>
        <x:v>8.04371664078851</x:v>
      </x:c>
      <x:c r="L1712" s="27" t="n">
        <x:f>J1712*(1-I1712*(1-'Carrier Engine'!E98))</x:f>
        <x:v>8956.953559841246</x:v>
      </x:c>
      <x:c r="M1712" s="29" t="n">
        <x:f>NORM.S.DIST((LN(L1712)-K1712)/'Assumptions'!$D$10,TRUE)</x:f>
        <x:v>0.7494696686328344</x:v>
      </x:c>
      <x:c r="N1712" s="30" t="n">
        <x:f>MAX(0,H1712-MAX(G1712,M1712))</x:f>
        <x:v>0</x:v>
      </x:c>
      <x:c r="O1712" s="28" t="n">
        <x:f>J1712*I1712</x:f>
        <x:v>3392.785439333805</x:v>
      </x:c>
      <x:c r="P1712" s="27" t="n">
        <x:f>(VLOOKUP(O1712,'Fee Data'!$C$6:$G$50,2,TRUE)+O1712*VLOOKUP(O1712,'Fee Data'!$C$6:$G$50,3,TRUE)+VLOOKUP(O1712,'Fee Data'!$I$6:$J$14,2,TRUE)+'Fee Data'!$J$20+'Fee Data'!$J$21)*'Assumptions'!K37</x:f>
        <x:v>865</x:v>
      </x:c>
      <x:c r="Q1712" s="27" t="n">
        <x:f>(VLOOKUP(O1712,'Fee Data'!$C$6:$G$50,4,TRUE)+O1712*VLOOKUP(O1712,'Fee Data'!$C$6:$G$50,5,TRUE)+VLOOKUP(O1712,'Fee Data'!$I$6:$J$14,2,TRUE)+'Fee Data'!$J$20+'Fee Data'!$J$21)*'Assumptions'!K37</x:f>
        <x:v>715</x:v>
      </x:c>
      <x:c r="R1712" s="27" t="n">
        <x:f>P1712*(1-'Assumptions'!$D$14)+Q1712*'Assumptions'!$D$14</x:f>
        <x:v>790</x:v>
      </x:c>
      <x:c r="S1712" s="27" t="n">
        <x:f>O1712*'Carrier Engine'!E98</x:f>
        <x:v>135.71141757335218</x:v>
      </x:c>
      <x:c r="T1712" s="28" t="n">
        <x:f>R1712+S1712</x:f>
        <x:v>925.7114175733522</x:v>
      </x:c>
      <x:c r="U1712" s="27" t="n">
        <x:f>N1712*'Fleet Engine'!M215</x:f>
        <x:v>0</x:v>
      </x:c>
      <x:c r="V1712" s="28" t="n">
        <x:f>U1712*T1712</x:f>
        <x:v>0</x:v>
      </x:c>
      <x:c r="W1712" s="28" t="n">
        <x:f>U1712*O1712</x:f>
        <x:v>0</x:v>
      </x:c>
    </x:row>
    <x:row r="1713" ht="19" customHeight="1">
      <x:c r="A1713" s="2"/>
      <x:c r="B1713" s="2"/>
      <x:c r="C1713" s="46" t="n">
        <x:v>7</x:v>
      </x:c>
      <x:c r="D1713" s="46" t="n">
        <x:v>21</x:v>
      </x:c>
      <x:c r="E1713" s="46" t="n">
        <x:v>3</x:v>
      </x:c>
      <x:c r="F1713" s="46" t="n">
        <x:v>3</x:v>
      </x:c>
      <x:c r="G1713" s="12" t="n">
        <x:v>0.6666666666666666</x:v>
      </x:c>
      <x:c r="H1713" s="12" t="n">
        <x:v>0.7777777777777778</x:v>
      </x:c>
      <x:c r="I1713" s="29" t="n">
        <x:f>'Assumptions'!$D$11+'Assumptions'!$D$12*(0.5-(G1713+H1713)/2)</x:f>
        <x:v>0.25555555555555554</x:v>
      </x:c>
      <x:c r="J1713" s="27" t="n">
        <x:f>'Assumptions'!$D$8*EXP(-'Assumptions'!$D$9*('Fleet Engine'!E215-10))*'Assumptions'!E58*'Assumptions'!K36</x:f>
        <x:v>12214.027581601698</x:v>
      </x:c>
      <x:c r="K1713" s="27" t="n">
        <x:f>'Source Data'!F220+LN('Assumptions'!D58)+LN('Assumptions'!K35)</x:f>
        <x:v>8.04371664078851</x:v>
      </x:c>
      <x:c r="L1713" s="27" t="n">
        <x:f>J1713*(1-I1713*(1-'Carrier Engine'!E98))</x:f>
        <x:v>9217.519481582081</x:v>
      </x:c>
      <x:c r="M1713" s="29" t="n">
        <x:f>NORM.S.DIST((LN(L1713)-K1713)/'Assumptions'!$D$10,TRUE)</x:f>
        <x:v>0.755243701876744</x:v>
      </x:c>
      <x:c r="N1713" s="30" t="n">
        <x:f>MAX(0,H1713-MAX(G1713,M1713))</x:f>
        <x:v>0.022534075901033845</x:v>
      </x:c>
      <x:c r="O1713" s="28" t="n">
        <x:f>J1713*I1713</x:f>
        <x:v>3121.3626041871003</x:v>
      </x:c>
      <x:c r="P1713" s="27" t="n">
        <x:f>(VLOOKUP(O1713,'Fee Data'!$C$6:$G$50,2,TRUE)+O1713*VLOOKUP(O1713,'Fee Data'!$C$6:$G$50,3,TRUE)+VLOOKUP(O1713,'Fee Data'!$I$6:$J$14,2,TRUE)+'Fee Data'!$J$20+'Fee Data'!$J$21)*'Assumptions'!K37</x:f>
        <x:v>865</x:v>
      </x:c>
      <x:c r="Q1713" s="27" t="n">
        <x:f>(VLOOKUP(O1713,'Fee Data'!$C$6:$G$50,4,TRUE)+O1713*VLOOKUP(O1713,'Fee Data'!$C$6:$G$50,5,TRUE)+VLOOKUP(O1713,'Fee Data'!$I$6:$J$14,2,TRUE)+'Fee Data'!$J$20+'Fee Data'!$J$21)*'Assumptions'!K37</x:f>
        <x:v>715</x:v>
      </x:c>
      <x:c r="R1713" s="27" t="n">
        <x:f>P1713*(1-'Assumptions'!$D$14)+Q1713*'Assumptions'!$D$14</x:f>
        <x:v>790</x:v>
      </x:c>
      <x:c r="S1713" s="27" t="n">
        <x:f>O1713*'Carrier Engine'!E98</x:f>
        <x:v>124.854504167484</x:v>
      </x:c>
      <x:c r="T1713" s="28" t="n">
        <x:f>R1713+S1713</x:f>
        <x:v>914.854504167484</x:v>
      </x:c>
      <x:c r="U1713" s="27" t="n">
        <x:f>N1713*'Fleet Engine'!M215</x:f>
        <x:v>47.473075227407314</x:v>
      </x:c>
      <x:c r="V1713" s="28" t="n">
        <x:f>U1713*T1713</x:f>
        <x:v>43430.95669847539</x:v>
      </x:c>
      <x:c r="W1713" s="28" t="n">
        <x:f>U1713*O1713</x:f>
        <x:v>148180.68172059022</x:v>
      </x:c>
    </x:row>
    <x:row r="1714" ht="19" customHeight="1">
      <x:c r="A1714" s="2"/>
      <x:c r="B1714" s="2"/>
      <x:c r="C1714" s="46" t="n">
        <x:v>7</x:v>
      </x:c>
      <x:c r="D1714" s="46" t="n">
        <x:v>21</x:v>
      </x:c>
      <x:c r="E1714" s="46" t="n">
        <x:v>3</x:v>
      </x:c>
      <x:c r="F1714" s="46" t="n">
        <x:v>3</x:v>
      </x:c>
      <x:c r="G1714" s="12" t="n">
        <x:v>0.7777777777777778</x:v>
      </x:c>
      <x:c r="H1714" s="12" t="n">
        <x:v>0.8888888888888888</x:v>
      </x:c>
      <x:c r="I1714" s="29" t="n">
        <x:f>'Assumptions'!$D$11+'Assumptions'!$D$12*(0.5-(G1714+H1714)/2)</x:f>
        <x:v>0.23333333333333334</x:v>
      </x:c>
      <x:c r="J1714" s="27" t="n">
        <x:f>'Assumptions'!$D$8*EXP(-'Assumptions'!$D$9*('Fleet Engine'!E215-10))*'Assumptions'!E58*'Assumptions'!K36</x:f>
        <x:v>12214.027581601698</x:v>
      </x:c>
      <x:c r="K1714" s="27" t="n">
        <x:f>'Source Data'!F220+LN('Assumptions'!D58)+LN('Assumptions'!K35)</x:f>
        <x:v>8.04371664078851</x:v>
      </x:c>
      <x:c r="L1714" s="27" t="n">
        <x:f>J1714*(1-I1714*(1-'Carrier Engine'!E98))</x:f>
        <x:v>9478.085403322919</x:v>
      </x:c>
      <x:c r="M1714" s="29" t="n">
        <x:f>NORM.S.DIST((LN(L1714)-K1714)/'Assumptions'!$D$10,TRUE)</x:f>
        <x:v>0.7607873605938249</x:v>
      </x:c>
      <x:c r="N1714" s="30" t="n">
        <x:f>MAX(0,H1714-MAX(G1714,M1714))</x:f>
        <x:v>0.11111111111111105</x:v>
      </x:c>
      <x:c r="O1714" s="28" t="n">
        <x:f>J1714*I1714</x:f>
        <x:v>2849.939769040396</x:v>
      </x:c>
      <x:c r="P1714" s="27" t="n">
        <x:f>(VLOOKUP(O1714,'Fee Data'!$C$6:$G$50,2,TRUE)+O1714*VLOOKUP(O1714,'Fee Data'!$C$6:$G$50,3,TRUE)+VLOOKUP(O1714,'Fee Data'!$I$6:$J$14,2,TRUE)+'Fee Data'!$J$20+'Fee Data'!$J$21)*'Assumptions'!K37</x:f>
        <x:v>820</x:v>
      </x:c>
      <x:c r="Q1714" s="27" t="n">
        <x:f>(VLOOKUP(O1714,'Fee Data'!$C$6:$G$50,4,TRUE)+O1714*VLOOKUP(O1714,'Fee Data'!$C$6:$G$50,5,TRUE)+VLOOKUP(O1714,'Fee Data'!$I$6:$J$14,2,TRUE)+'Fee Data'!$J$20+'Fee Data'!$J$21)*'Assumptions'!K37</x:f>
        <x:v>670</x:v>
      </x:c>
      <x:c r="R1714" s="27" t="n">
        <x:f>P1714*(1-'Assumptions'!$D$14)+Q1714*'Assumptions'!$D$14</x:f>
        <x:v>745</x:v>
      </x:c>
      <x:c r="S1714" s="27" t="n">
        <x:f>O1714*'Carrier Engine'!E98</x:f>
        <x:v>113.99759076161583</x:v>
      </x:c>
      <x:c r="T1714" s="28" t="n">
        <x:f>R1714+S1714</x:f>
        <x:v>858.9975907616158</x:v>
      </x:c>
      <x:c r="U1714" s="27" t="n">
        <x:f>N1714*'Fleet Engine'!M215</x:f>
        <x:v>234.0804282165653</x:v>
      </x:c>
      <x:c r="V1714" s="28" t="n">
        <x:f>U1714*T1714</x:f>
        <x:v>201074.52388247696</x:v>
      </x:c>
      <x:c r="W1714" s="28" t="n">
        <x:f>U1714*O1714</x:f>
        <x:v>667115.1215283952</x:v>
      </x:c>
    </x:row>
    <x:row r="1715" ht="19" customHeight="1">
      <x:c r="A1715" s="2"/>
      <x:c r="B1715" s="2"/>
      <x:c r="C1715" s="46" t="n">
        <x:v>7</x:v>
      </x:c>
      <x:c r="D1715" s="46" t="n">
        <x:v>21</x:v>
      </x:c>
      <x:c r="E1715" s="46" t="n">
        <x:v>3</x:v>
      </x:c>
      <x:c r="F1715" s="46" t="n">
        <x:v>3</x:v>
      </x:c>
      <x:c r="G1715" s="12" t="n">
        <x:v>0.8888888888888888</x:v>
      </x:c>
      <x:c r="H1715" s="12" t="n">
        <x:v>1</x:v>
      </x:c>
      <x:c r="I1715" s="29" t="n">
        <x:f>'Assumptions'!$D$11+'Assumptions'!$D$12*(0.5-(G1715+H1715)/2)</x:f>
        <x:v>0.21111111111111108</x:v>
      </x:c>
      <x:c r="J1715" s="27" t="n">
        <x:f>'Assumptions'!$D$8*EXP(-'Assumptions'!$D$9*('Fleet Engine'!E215-10))*'Assumptions'!E58*'Assumptions'!K36</x:f>
        <x:v>12214.027581601698</x:v>
      </x:c>
      <x:c r="K1715" s="27" t="n">
        <x:f>'Source Data'!F220+LN('Assumptions'!D58)+LN('Assumptions'!K35)</x:f>
        <x:v>8.04371664078851</x:v>
      </x:c>
      <x:c r="L1715" s="27" t="n">
        <x:f>J1715*(1-I1715*(1-'Carrier Engine'!E98))</x:f>
        <x:v>9738.651325063754</x:v>
      </x:c>
      <x:c r="M1715" s="29" t="n">
        <x:f>NORM.S.DIST((LN(L1715)-K1715)/'Assumptions'!$D$10,TRUE)</x:f>
        <x:v>0.7661141426007128</x:v>
      </x:c>
      <x:c r="N1715" s="30" t="n">
        <x:f>MAX(0,H1715-MAX(G1715,M1715))</x:f>
        <x:v>0.11111111111111116</x:v>
      </x:c>
      <x:c r="O1715" s="28" t="n">
        <x:f>J1715*I1715</x:f>
        <x:v>2578.5169338936917</x:v>
      </x:c>
      <x:c r="P1715" s="27" t="n">
        <x:f>(VLOOKUP(O1715,'Fee Data'!$C$6:$G$50,2,TRUE)+O1715*VLOOKUP(O1715,'Fee Data'!$C$6:$G$50,3,TRUE)+VLOOKUP(O1715,'Fee Data'!$I$6:$J$14,2,TRUE)+'Fee Data'!$J$20+'Fee Data'!$J$21)*'Assumptions'!K37</x:f>
        <x:v>820</x:v>
      </x:c>
      <x:c r="Q1715" s="27" t="n">
        <x:f>(VLOOKUP(O1715,'Fee Data'!$C$6:$G$50,4,TRUE)+O1715*VLOOKUP(O1715,'Fee Data'!$C$6:$G$50,5,TRUE)+VLOOKUP(O1715,'Fee Data'!$I$6:$J$14,2,TRUE)+'Fee Data'!$J$20+'Fee Data'!$J$21)*'Assumptions'!K37</x:f>
        <x:v>670</x:v>
      </x:c>
      <x:c r="R1715" s="27" t="n">
        <x:f>P1715*(1-'Assumptions'!$D$14)+Q1715*'Assumptions'!$D$14</x:f>
        <x:v>745</x:v>
      </x:c>
      <x:c r="S1715" s="27" t="n">
        <x:f>O1715*'Carrier Engine'!E98</x:f>
        <x:v>103.14067735574766</x:v>
      </x:c>
      <x:c r="T1715" s="28" t="n">
        <x:f>R1715+S1715</x:f>
        <x:v>848.1406773557477</x:v>
      </x:c>
      <x:c r="U1715" s="27" t="n">
        <x:f>N1715*'Fleet Engine'!M215</x:f>
        <x:v>234.08042821656556</x:v>
      </x:c>
      <x:c r="V1715" s="28" t="n">
        <x:f>U1715*T1715</x:f>
        <x:v>198533.1329433214</x:v>
      </x:c>
      <x:c r="W1715" s="28" t="n">
        <x:f>U1715*O1715</x:f>
        <x:v>603580.3480495011</x:v>
      </x:c>
    </x:row>
    <x:row r="1716" ht="19" customHeight="1">
      <x:c r="A1716" s="2"/>
      <x:c r="B1716" s="2"/>
      <x:c r="C1716" s="46" t="n">
        <x:v>7</x:v>
      </x:c>
      <x:c r="D1716" s="46" t="n">
        <x:v>22</x:v>
      </x:c>
      <x:c r="E1716" s="46" t="n">
        <x:v>3</x:v>
      </x:c>
      <x:c r="F1716" s="46" t="n">
        <x:v>4</x:v>
      </x:c>
      <x:c r="G1716" s="12" t="n">
        <x:v>0</x:v>
      </x:c>
      <x:c r="H1716" s="12" t="n">
        <x:v>0.1111111111111111</x:v>
      </x:c>
      <x:c r="I1716" s="29" t="n">
        <x:f>'Assumptions'!$D$11+'Assumptions'!$D$12*(0.5-(G1716+H1716)/2)</x:f>
        <x:v>0.3888888888888889</x:v>
      </x:c>
      <x:c r="J1716" s="27" t="n">
        <x:f>'Assumptions'!$D$8*EXP(-'Assumptions'!$D$9*('Fleet Engine'!E216-10))*'Assumptions'!E58*'Assumptions'!K36</x:f>
        <x:v>9048.374180359595</x:v>
      </x:c>
      <x:c r="K1716" s="27" t="n">
        <x:f>'Source Data'!F221+LN('Assumptions'!D58)+LN('Assumptions'!K35)</x:f>
        <x:v>8.129564769703762</x:v>
      </x:c>
      <x:c r="L1716" s="27" t="n">
        <x:f>J1716*(1-I1716*(1-'Carrier Engine'!E98))</x:f>
        <x:v>5670.3144863586795</x:v>
      </x:c>
      <x:c r="M1716" s="29" t="n">
        <x:f>NORM.S.DIST((LN(L1716)-K1716)/'Assumptions'!$D$10,TRUE)</x:f>
        <x:v>0.6281606975277834</x:v>
      </x:c>
      <x:c r="N1716" s="30" t="n">
        <x:f>MAX(0,H1716-MAX(G1716,M1716))</x:f>
        <x:v>0</x:v>
      </x:c>
      <x:c r="O1716" s="28" t="n">
        <x:f>J1716*I1716</x:f>
        <x:v>3518.8121812509535</x:v>
      </x:c>
      <x:c r="P1716" s="27" t="n">
        <x:f>(VLOOKUP(O1716,'Fee Data'!$C$6:$G$50,2,TRUE)+O1716*VLOOKUP(O1716,'Fee Data'!$C$6:$G$50,3,TRUE)+VLOOKUP(O1716,'Fee Data'!$I$6:$J$14,2,TRUE)+'Fee Data'!$J$20+'Fee Data'!$J$21)*'Assumptions'!K37</x:f>
        <x:v>915</x:v>
      </x:c>
      <x:c r="Q1716" s="27" t="n">
        <x:f>(VLOOKUP(O1716,'Fee Data'!$C$6:$G$50,4,TRUE)+O1716*VLOOKUP(O1716,'Fee Data'!$C$6:$G$50,5,TRUE)+VLOOKUP(O1716,'Fee Data'!$I$6:$J$14,2,TRUE)+'Fee Data'!$J$20+'Fee Data'!$J$21)*'Assumptions'!K37</x:f>
        <x:v>765</x:v>
      </x:c>
      <x:c r="R1716" s="27" t="n">
        <x:f>P1716*(1-'Assumptions'!$D$14)+Q1716*'Assumptions'!$D$14</x:f>
        <x:v>840</x:v>
      </x:c>
      <x:c r="S1716" s="27" t="n">
        <x:f>O1716*'Carrier Engine'!E98</x:f>
        <x:v>140.75248725003812</x:v>
      </x:c>
      <x:c r="T1716" s="28" t="n">
        <x:f>R1716+S1716</x:f>
        <x:v>980.7524872500381</x:v>
      </x:c>
      <x:c r="U1716" s="27" t="n">
        <x:f>N1716*'Fleet Engine'!M216</x:f>
        <x:v>0</x:v>
      </x:c>
      <x:c r="V1716" s="28" t="n">
        <x:f>U1716*T1716</x:f>
        <x:v>0</x:v>
      </x:c>
      <x:c r="W1716" s="28" t="n">
        <x:f>U1716*O1716</x:f>
        <x:v>0</x:v>
      </x:c>
    </x:row>
    <x:row r="1717" ht="19" customHeight="1">
      <x:c r="A1717" s="2"/>
      <x:c r="B1717" s="2"/>
      <x:c r="C1717" s="46" t="n">
        <x:v>7</x:v>
      </x:c>
      <x:c r="D1717" s="46" t="n">
        <x:v>22</x:v>
      </x:c>
      <x:c r="E1717" s="46" t="n">
        <x:v>3</x:v>
      </x:c>
      <x:c r="F1717" s="46" t="n">
        <x:v>4</x:v>
      </x:c>
      <x:c r="G1717" s="12" t="n">
        <x:v>0.1111111111111111</x:v>
      </x:c>
      <x:c r="H1717" s="12" t="n">
        <x:v>0.2222222222222222</x:v>
      </x:c>
      <x:c r="I1717" s="29" t="n">
        <x:f>'Assumptions'!$D$11+'Assumptions'!$D$12*(0.5-(G1717+H1717)/2)</x:f>
        <x:v>0.3666666666666667</x:v>
      </x:c>
      <x:c r="J1717" s="27" t="n">
        <x:f>'Assumptions'!$D$8*EXP(-'Assumptions'!$D$9*('Fleet Engine'!E216-10))*'Assumptions'!E58*'Assumptions'!K36</x:f>
        <x:v>9048.374180359595</x:v>
      </x:c>
      <x:c r="K1717" s="27" t="n">
        <x:f>'Source Data'!F221+LN('Assumptions'!D58)+LN('Assumptions'!K35)</x:f>
        <x:v>8.129564769703762</x:v>
      </x:c>
      <x:c r="L1717" s="27" t="n">
        <x:f>J1717*(1-I1717*(1-'Carrier Engine'!E98))</x:f>
        <x:v>5863.346468873016</x:v>
      </x:c>
      <x:c r="M1717" s="29" t="n">
        <x:f>NORM.S.DIST((LN(L1717)-K1717)/'Assumptions'!$D$10,TRUE)</x:f>
        <x:v>0.6361945348683504</x:v>
      </x:c>
      <x:c r="N1717" s="30" t="n">
        <x:f>MAX(0,H1717-MAX(G1717,M1717))</x:f>
        <x:v>0</x:v>
      </x:c>
      <x:c r="O1717" s="28" t="n">
        <x:f>J1717*I1717</x:f>
        <x:v>3317.737199465185</x:v>
      </x:c>
      <x:c r="P1717" s="27" t="n">
        <x:f>(VLOOKUP(O1717,'Fee Data'!$C$6:$G$50,2,TRUE)+O1717*VLOOKUP(O1717,'Fee Data'!$C$6:$G$50,3,TRUE)+VLOOKUP(O1717,'Fee Data'!$I$6:$J$14,2,TRUE)+'Fee Data'!$J$20+'Fee Data'!$J$21)*'Assumptions'!K37</x:f>
        <x:v>865</x:v>
      </x:c>
      <x:c r="Q1717" s="27" t="n">
        <x:f>(VLOOKUP(O1717,'Fee Data'!$C$6:$G$50,4,TRUE)+O1717*VLOOKUP(O1717,'Fee Data'!$C$6:$G$50,5,TRUE)+VLOOKUP(O1717,'Fee Data'!$I$6:$J$14,2,TRUE)+'Fee Data'!$J$20+'Fee Data'!$J$21)*'Assumptions'!K37</x:f>
        <x:v>715</x:v>
      </x:c>
      <x:c r="R1717" s="27" t="n">
        <x:f>P1717*(1-'Assumptions'!$D$14)+Q1717*'Assumptions'!$D$14</x:f>
        <x:v>790</x:v>
      </x:c>
      <x:c r="S1717" s="27" t="n">
        <x:f>O1717*'Carrier Engine'!E98</x:f>
        <x:v>132.70948797860737</x:v>
      </x:c>
      <x:c r="T1717" s="28" t="n">
        <x:f>R1717+S1717</x:f>
        <x:v>922.7094879786074</x:v>
      </x:c>
      <x:c r="U1717" s="27" t="n">
        <x:f>N1717*'Fleet Engine'!M216</x:f>
        <x:v>0</x:v>
      </x:c>
      <x:c r="V1717" s="28" t="n">
        <x:f>U1717*T1717</x:f>
        <x:v>0</x:v>
      </x:c>
      <x:c r="W1717" s="28" t="n">
        <x:f>U1717*O1717</x:f>
        <x:v>0</x:v>
      </x:c>
    </x:row>
    <x:row r="1718" ht="19" customHeight="1">
      <x:c r="A1718" s="2"/>
      <x:c r="B1718" s="2"/>
      <x:c r="C1718" s="46" t="n">
        <x:v>7</x:v>
      </x:c>
      <x:c r="D1718" s="46" t="n">
        <x:v>22</x:v>
      </x:c>
      <x:c r="E1718" s="46" t="n">
        <x:v>3</x:v>
      </x:c>
      <x:c r="F1718" s="46" t="n">
        <x:v>4</x:v>
      </x:c>
      <x:c r="G1718" s="12" t="n">
        <x:v>0.2222222222222222</x:v>
      </x:c>
      <x:c r="H1718" s="12" t="n">
        <x:v>0.3333333333333333</x:v>
      </x:c>
      <x:c r="I1718" s="29" t="n">
        <x:f>'Assumptions'!$D$11+'Assumptions'!$D$12*(0.5-(G1718+H1718)/2)</x:f>
        <x:v>0.34444444444444444</x:v>
      </x:c>
      <x:c r="J1718" s="27" t="n">
        <x:f>'Assumptions'!$D$8*EXP(-'Assumptions'!$D$9*('Fleet Engine'!E216-10))*'Assumptions'!E58*'Assumptions'!K36</x:f>
        <x:v>9048.374180359595</x:v>
      </x:c>
      <x:c r="K1718" s="27" t="n">
        <x:f>'Source Data'!F221+LN('Assumptions'!D58)+LN('Assumptions'!K35)</x:f>
        <x:v>8.129564769703762</x:v>
      </x:c>
      <x:c r="L1718" s="27" t="n">
        <x:f>J1718*(1-I1718*(1-'Carrier Engine'!E98))</x:f>
        <x:v>6056.378451387355</x:v>
      </x:c>
      <x:c r="M1718" s="29" t="n">
        <x:f>NORM.S.DIST((LN(L1718)-K1718)/'Assumptions'!$D$10,TRUE)</x:f>
        <x:v>0.6439115766417938</x:v>
      </x:c>
      <x:c r="N1718" s="30" t="n">
        <x:f>MAX(0,H1718-MAX(G1718,M1718))</x:f>
        <x:v>0</x:v>
      </x:c>
      <x:c r="O1718" s="28" t="n">
        <x:f>J1718*I1718</x:f>
        <x:v>3116.662217679416</x:v>
      </x:c>
      <x:c r="P1718" s="27" t="n">
        <x:f>(VLOOKUP(O1718,'Fee Data'!$C$6:$G$50,2,TRUE)+O1718*VLOOKUP(O1718,'Fee Data'!$C$6:$G$50,3,TRUE)+VLOOKUP(O1718,'Fee Data'!$I$6:$J$14,2,TRUE)+'Fee Data'!$J$20+'Fee Data'!$J$21)*'Assumptions'!K37</x:f>
        <x:v>865</x:v>
      </x:c>
      <x:c r="Q1718" s="27" t="n">
        <x:f>(VLOOKUP(O1718,'Fee Data'!$C$6:$G$50,4,TRUE)+O1718*VLOOKUP(O1718,'Fee Data'!$C$6:$G$50,5,TRUE)+VLOOKUP(O1718,'Fee Data'!$I$6:$J$14,2,TRUE)+'Fee Data'!$J$20+'Fee Data'!$J$21)*'Assumptions'!K37</x:f>
        <x:v>715</x:v>
      </x:c>
      <x:c r="R1718" s="27" t="n">
        <x:f>P1718*(1-'Assumptions'!$D$14)+Q1718*'Assumptions'!$D$14</x:f>
        <x:v>790</x:v>
      </x:c>
      <x:c r="S1718" s="27" t="n">
        <x:f>O1718*'Carrier Engine'!E98</x:f>
        <x:v>124.66648870717661</x:v>
      </x:c>
      <x:c r="T1718" s="28" t="n">
        <x:f>R1718+S1718</x:f>
        <x:v>914.6664887071767</x:v>
      </x:c>
      <x:c r="U1718" s="27" t="n">
        <x:f>N1718*'Fleet Engine'!M216</x:f>
        <x:v>0</x:v>
      </x:c>
      <x:c r="V1718" s="28" t="n">
        <x:f>U1718*T1718</x:f>
        <x:v>0</x:v>
      </x:c>
      <x:c r="W1718" s="28" t="n">
        <x:f>U1718*O1718</x:f>
        <x:v>0</x:v>
      </x:c>
    </x:row>
    <x:row r="1719" ht="19" customHeight="1">
      <x:c r="A1719" s="2"/>
      <x:c r="B1719" s="2"/>
      <x:c r="C1719" s="46" t="n">
        <x:v>7</x:v>
      </x:c>
      <x:c r="D1719" s="46" t="n">
        <x:v>22</x:v>
      </x:c>
      <x:c r="E1719" s="46" t="n">
        <x:v>3</x:v>
      </x:c>
      <x:c r="F1719" s="46" t="n">
        <x:v>4</x:v>
      </x:c>
      <x:c r="G1719" s="12" t="n">
        <x:v>0.3333333333333333</x:v>
      </x:c>
      <x:c r="H1719" s="12" t="n">
        <x:v>0.4444444444444444</x:v>
      </x:c>
      <x:c r="I1719" s="29" t="n">
        <x:f>'Assumptions'!$D$11+'Assumptions'!$D$12*(0.5-(G1719+H1719)/2)</x:f>
        <x:v>0.32222222222222224</x:v>
      </x:c>
      <x:c r="J1719" s="27" t="n">
        <x:f>'Assumptions'!$D$8*EXP(-'Assumptions'!$D$9*('Fleet Engine'!E216-10))*'Assumptions'!E58*'Assumptions'!K36</x:f>
        <x:v>9048.374180359595</x:v>
      </x:c>
      <x:c r="K1719" s="27" t="n">
        <x:f>'Source Data'!F221+LN('Assumptions'!D58)+LN('Assumptions'!K35)</x:f>
        <x:v>8.129564769703762</x:v>
      </x:c>
      <x:c r="L1719" s="27" t="n">
        <x:f>J1719*(1-I1719*(1-'Carrier Engine'!E98))</x:f>
        <x:v>6249.410433901693</x:v>
      </x:c>
      <x:c r="M1719" s="29" t="n">
        <x:f>NORM.S.DIST((LN(L1719)-K1719)/'Assumptions'!$D$10,TRUE)</x:f>
        <x:v>0.651330720808863</x:v>
      </x:c>
      <x:c r="N1719" s="30" t="n">
        <x:f>MAX(0,H1719-MAX(G1719,M1719))</x:f>
        <x:v>0</x:v>
      </x:c>
      <x:c r="O1719" s="28" t="n">
        <x:f>J1719*I1719</x:f>
        <x:v>2915.5872358936476</x:v>
      </x:c>
      <x:c r="P1719" s="27" t="n">
        <x:f>(VLOOKUP(O1719,'Fee Data'!$C$6:$G$50,2,TRUE)+O1719*VLOOKUP(O1719,'Fee Data'!$C$6:$G$50,3,TRUE)+VLOOKUP(O1719,'Fee Data'!$I$6:$J$14,2,TRUE)+'Fee Data'!$J$20+'Fee Data'!$J$21)*'Assumptions'!K37</x:f>
        <x:v>820</x:v>
      </x:c>
      <x:c r="Q1719" s="27" t="n">
        <x:f>(VLOOKUP(O1719,'Fee Data'!$C$6:$G$50,4,TRUE)+O1719*VLOOKUP(O1719,'Fee Data'!$C$6:$G$50,5,TRUE)+VLOOKUP(O1719,'Fee Data'!$I$6:$J$14,2,TRUE)+'Fee Data'!$J$20+'Fee Data'!$J$21)*'Assumptions'!K37</x:f>
        <x:v>670</x:v>
      </x:c>
      <x:c r="R1719" s="27" t="n">
        <x:f>P1719*(1-'Assumptions'!$D$14)+Q1719*'Assumptions'!$D$14</x:f>
        <x:v>745</x:v>
      </x:c>
      <x:c r="S1719" s="27" t="n">
        <x:f>O1719*'Carrier Engine'!E98</x:f>
        <x:v>116.62348943574588</x:v>
      </x:c>
      <x:c r="T1719" s="28" t="n">
        <x:f>R1719+S1719</x:f>
        <x:v>861.6234894357459</x:v>
      </x:c>
      <x:c r="U1719" s="27" t="n">
        <x:f>N1719*'Fleet Engine'!M216</x:f>
        <x:v>0</x:v>
      </x:c>
      <x:c r="V1719" s="28" t="n">
        <x:f>U1719*T1719</x:f>
        <x:v>0</x:v>
      </x:c>
      <x:c r="W1719" s="28" t="n">
        <x:f>U1719*O1719</x:f>
        <x:v>0</x:v>
      </x:c>
    </x:row>
    <x:row r="1720" ht="19" customHeight="1">
      <x:c r="A1720" s="2"/>
      <x:c r="B1720" s="2"/>
      <x:c r="C1720" s="46" t="n">
        <x:v>7</x:v>
      </x:c>
      <x:c r="D1720" s="46" t="n">
        <x:v>22</x:v>
      </x:c>
      <x:c r="E1720" s="46" t="n">
        <x:v>3</x:v>
      </x:c>
      <x:c r="F1720" s="46" t="n">
        <x:v>4</x:v>
      </x:c>
      <x:c r="G1720" s="12" t="n">
        <x:v>0.4444444444444444</x:v>
      </x:c>
      <x:c r="H1720" s="12" t="n">
        <x:v>0.5555555555555556</x:v>
      </x:c>
      <x:c r="I1720" s="29" t="n">
        <x:f>'Assumptions'!$D$11+'Assumptions'!$D$12*(0.5-(G1720+H1720)/2)</x:f>
        <x:v>0.3</x:v>
      </x:c>
      <x:c r="J1720" s="27" t="n">
        <x:f>'Assumptions'!$D$8*EXP(-'Assumptions'!$D$9*('Fleet Engine'!E216-10))*'Assumptions'!E58*'Assumptions'!K36</x:f>
        <x:v>9048.374180359595</x:v>
      </x:c>
      <x:c r="K1720" s="27" t="n">
        <x:f>'Source Data'!F221+LN('Assumptions'!D58)+LN('Assumptions'!K35)</x:f>
        <x:v>8.129564769703762</x:v>
      </x:c>
      <x:c r="L1720" s="27" t="n">
        <x:f>J1720*(1-I1720*(1-'Carrier Engine'!E98))</x:f>
        <x:v>6442.442416416031</x:v>
      </x:c>
      <x:c r="M1720" s="29" t="n">
        <x:f>NORM.S.DIST((LN(L1720)-K1720)/'Assumptions'!$D$10,TRUE)</x:f>
        <x:v>0.6584693407393539</x:v>
      </x:c>
      <x:c r="N1720" s="30" t="n">
        <x:f>MAX(0,H1720-MAX(G1720,M1720))</x:f>
        <x:v>0</x:v>
      </x:c>
      <x:c r="O1720" s="28" t="n">
        <x:f>J1720*I1720</x:f>
        <x:v>2714.5122541078786</x:v>
      </x:c>
      <x:c r="P1720" s="27" t="n">
        <x:f>(VLOOKUP(O1720,'Fee Data'!$C$6:$G$50,2,TRUE)+O1720*VLOOKUP(O1720,'Fee Data'!$C$6:$G$50,3,TRUE)+VLOOKUP(O1720,'Fee Data'!$I$6:$J$14,2,TRUE)+'Fee Data'!$J$20+'Fee Data'!$J$21)*'Assumptions'!K37</x:f>
        <x:v>820</x:v>
      </x:c>
      <x:c r="Q1720" s="27" t="n">
        <x:f>(VLOOKUP(O1720,'Fee Data'!$C$6:$G$50,4,TRUE)+O1720*VLOOKUP(O1720,'Fee Data'!$C$6:$G$50,5,TRUE)+VLOOKUP(O1720,'Fee Data'!$I$6:$J$14,2,TRUE)+'Fee Data'!$J$20+'Fee Data'!$J$21)*'Assumptions'!K37</x:f>
        <x:v>670</x:v>
      </x:c>
      <x:c r="R1720" s="27" t="n">
        <x:f>P1720*(1-'Assumptions'!$D$14)+Q1720*'Assumptions'!$D$14</x:f>
        <x:v>745</x:v>
      </x:c>
      <x:c r="S1720" s="27" t="n">
        <x:f>O1720*'Carrier Engine'!E98</x:f>
        <x:v>108.58049016431512</x:v>
      </x:c>
      <x:c r="T1720" s="28" t="n">
        <x:f>R1720+S1720</x:f>
        <x:v>853.5804901643152</x:v>
      </x:c>
      <x:c r="U1720" s="27" t="n">
        <x:f>N1720*'Fleet Engine'!M216</x:f>
        <x:v>0</x:v>
      </x:c>
      <x:c r="V1720" s="28" t="n">
        <x:f>U1720*T1720</x:f>
        <x:v>0</x:v>
      </x:c>
      <x:c r="W1720" s="28" t="n">
        <x:f>U1720*O1720</x:f>
        <x:v>0</x:v>
      </x:c>
    </x:row>
    <x:row r="1721" ht="19" customHeight="1">
      <x:c r="A1721" s="2"/>
      <x:c r="B1721" s="2"/>
      <x:c r="C1721" s="46" t="n">
        <x:v>7</x:v>
      </x:c>
      <x:c r="D1721" s="46" t="n">
        <x:v>22</x:v>
      </x:c>
      <x:c r="E1721" s="46" t="n">
        <x:v>3</x:v>
      </x:c>
      <x:c r="F1721" s="46" t="n">
        <x:v>4</x:v>
      </x:c>
      <x:c r="G1721" s="12" t="n">
        <x:v>0.5555555555555556</x:v>
      </x:c>
      <x:c r="H1721" s="12" t="n">
        <x:v>0.6666666666666666</x:v>
      </x:c>
      <x:c r="I1721" s="29" t="n">
        <x:f>'Assumptions'!$D$11+'Assumptions'!$D$12*(0.5-(G1721+H1721)/2)</x:f>
        <x:v>0.27777777777777773</x:v>
      </x:c>
      <x:c r="J1721" s="27" t="n">
        <x:f>'Assumptions'!$D$8*EXP(-'Assumptions'!$D$9*('Fleet Engine'!E216-10))*'Assumptions'!E58*'Assumptions'!K36</x:f>
        <x:v>9048.374180359595</x:v>
      </x:c>
      <x:c r="K1721" s="27" t="n">
        <x:f>'Source Data'!F221+LN('Assumptions'!D58)+LN('Assumptions'!K35)</x:f>
        <x:v>8.129564769703762</x:v>
      </x:c>
      <x:c r="L1721" s="27" t="n">
        <x:f>J1721*(1-I1721*(1-'Carrier Engine'!E98))</x:f>
        <x:v>6635.47439893037</x:v>
      </x:c>
      <x:c r="M1721" s="29" t="n">
        <x:f>NORM.S.DIST((LN(L1721)-K1721)/'Assumptions'!$D$10,TRUE)</x:f>
        <x:v>0.6653434401742447</x:v>
      </x:c>
      <x:c r="N1721" s="30" t="n">
        <x:f>MAX(0,H1721-MAX(G1721,M1721))</x:f>
        <x:v>0.0013232264924218917</x:v>
      </x:c>
      <x:c r="O1721" s="28" t="n">
        <x:f>J1721*I1721</x:f>
        <x:v>2513.4372723221095</x:v>
      </x:c>
      <x:c r="P1721" s="27" t="n">
        <x:f>(VLOOKUP(O1721,'Fee Data'!$C$6:$G$50,2,TRUE)+O1721*VLOOKUP(O1721,'Fee Data'!$C$6:$G$50,3,TRUE)+VLOOKUP(O1721,'Fee Data'!$I$6:$J$14,2,TRUE)+'Fee Data'!$J$20+'Fee Data'!$J$21)*'Assumptions'!K37</x:f>
        <x:v>820</x:v>
      </x:c>
      <x:c r="Q1721" s="27" t="n">
        <x:f>(VLOOKUP(O1721,'Fee Data'!$C$6:$G$50,4,TRUE)+O1721*VLOOKUP(O1721,'Fee Data'!$C$6:$G$50,5,TRUE)+VLOOKUP(O1721,'Fee Data'!$I$6:$J$14,2,TRUE)+'Fee Data'!$J$20+'Fee Data'!$J$21)*'Assumptions'!K37</x:f>
        <x:v>670</x:v>
      </x:c>
      <x:c r="R1721" s="27" t="n">
        <x:f>P1721*(1-'Assumptions'!$D$14)+Q1721*'Assumptions'!$D$14</x:f>
        <x:v>745</x:v>
      </x:c>
      <x:c r="S1721" s="27" t="n">
        <x:f>O1721*'Carrier Engine'!E98</x:f>
        <x:v>100.53749089288436</x:v>
      </x:c>
      <x:c r="T1721" s="28" t="n">
        <x:f>R1721+S1721</x:f>
        <x:v>845.5374908928843</x:v>
      </x:c>
      <x:c r="U1721" s="27" t="n">
        <x:f>N1721*'Fleet Engine'!M216</x:f>
        <x:v>1.6322686251569507</x:v>
      </x:c>
      <x:c r="V1721" s="28" t="n">
        <x:f>U1721*T1721</x:f>
        <x:v>1380.144317778386</x:v>
      </x:c>
      <x:c r="W1721" s="28" t="n">
        <x:f>U1721*O1721</x:f>
        <x:v>4102.604800911446</x:v>
      </x:c>
    </x:row>
    <x:row r="1722" ht="19" customHeight="1">
      <x:c r="A1722" s="2"/>
      <x:c r="B1722" s="2"/>
      <x:c r="C1722" s="46" t="n">
        <x:v>7</x:v>
      </x:c>
      <x:c r="D1722" s="46" t="n">
        <x:v>22</x:v>
      </x:c>
      <x:c r="E1722" s="46" t="n">
        <x:v>3</x:v>
      </x:c>
      <x:c r="F1722" s="46" t="n">
        <x:v>4</x:v>
      </x:c>
      <x:c r="G1722" s="12" t="n">
        <x:v>0.6666666666666666</x:v>
      </x:c>
      <x:c r="H1722" s="12" t="n">
        <x:v>0.7777777777777778</x:v>
      </x:c>
      <x:c r="I1722" s="29" t="n">
        <x:f>'Assumptions'!$D$11+'Assumptions'!$D$12*(0.5-(G1722+H1722)/2)</x:f>
        <x:v>0.25555555555555554</x:v>
      </x:c>
      <x:c r="J1722" s="27" t="n">
        <x:f>'Assumptions'!$D$8*EXP(-'Assumptions'!$D$9*('Fleet Engine'!E216-10))*'Assumptions'!E58*'Assumptions'!K36</x:f>
        <x:v>9048.374180359595</x:v>
      </x:c>
      <x:c r="K1722" s="27" t="n">
        <x:f>'Source Data'!F221+LN('Assumptions'!D58)+LN('Assumptions'!K35)</x:f>
        <x:v>8.129564769703762</x:v>
      </x:c>
      <x:c r="L1722" s="27" t="n">
        <x:f>J1722*(1-I1722*(1-'Carrier Engine'!E98))</x:f>
        <x:v>6828.506381444708</x:v>
      </x:c>
      <x:c r="M1722" s="29" t="n">
        <x:f>NORM.S.DIST((LN(L1722)-K1722)/'Assumptions'!$D$10,TRUE)</x:f>
        <x:v>0.6719677892659592</x:v>
      </x:c>
      <x:c r="N1722" s="30" t="n">
        <x:f>MAX(0,H1722-MAX(G1722,M1722))</x:f>
        <x:v>0.10580998851181855</x:v>
      </x:c>
      <x:c r="O1722" s="28" t="n">
        <x:f>J1722*I1722</x:f>
        <x:v>2312.362290536341</x:v>
      </x:c>
      <x:c r="P1722" s="27" t="n">
        <x:f>(VLOOKUP(O1722,'Fee Data'!$C$6:$G$50,2,TRUE)+O1722*VLOOKUP(O1722,'Fee Data'!$C$6:$G$50,3,TRUE)+VLOOKUP(O1722,'Fee Data'!$I$6:$J$14,2,TRUE)+'Fee Data'!$J$20+'Fee Data'!$J$21)*'Assumptions'!K37</x:f>
        <x:v>745</x:v>
      </x:c>
      <x:c r="Q1722" s="27" t="n">
        <x:f>(VLOOKUP(O1722,'Fee Data'!$C$6:$G$50,4,TRUE)+O1722*VLOOKUP(O1722,'Fee Data'!$C$6:$G$50,5,TRUE)+VLOOKUP(O1722,'Fee Data'!$I$6:$J$14,2,TRUE)+'Fee Data'!$J$20+'Fee Data'!$J$21)*'Assumptions'!K37</x:f>
        <x:v>600</x:v>
      </x:c>
      <x:c r="R1722" s="27" t="n">
        <x:f>P1722*(1-'Assumptions'!$D$14)+Q1722*'Assumptions'!$D$14</x:f>
        <x:v>672.5</x:v>
      </x:c>
      <x:c r="S1722" s="27" t="n">
        <x:f>O1722*'Carrier Engine'!E98</x:f>
        <x:v>92.49449162145362</x:v>
      </x:c>
      <x:c r="T1722" s="28" t="n">
        <x:f>R1722+S1722</x:f>
        <x:v>764.9944916214536</x:v>
      </x:c>
      <x:c r="U1722" s="27" t="n">
        <x:f>N1722*'Fleet Engine'!M216</x:f>
        <x:v>130.52211806910574</x:v>
      </x:c>
      <x:c r="V1722" s="28" t="n">
        <x:f>U1722*T1722</x:f>
        <x:v>99848.70135763088</x:v>
      </x:c>
      <x:c r="W1722" s="28" t="n">
        <x:f>U1722*O1722</x:f>
        <x:v>301814.4239039321</x:v>
      </x:c>
    </x:row>
    <x:row r="1723" ht="19" customHeight="1">
      <x:c r="A1723" s="2"/>
      <x:c r="B1723" s="2"/>
      <x:c r="C1723" s="46" t="n">
        <x:v>7</x:v>
      </x:c>
      <x:c r="D1723" s="46" t="n">
        <x:v>22</x:v>
      </x:c>
      <x:c r="E1723" s="46" t="n">
        <x:v>3</x:v>
      </x:c>
      <x:c r="F1723" s="46" t="n">
        <x:v>4</x:v>
      </x:c>
      <x:c r="G1723" s="12" t="n">
        <x:v>0.7777777777777778</x:v>
      </x:c>
      <x:c r="H1723" s="12" t="n">
        <x:v>0.8888888888888888</x:v>
      </x:c>
      <x:c r="I1723" s="29" t="n">
        <x:f>'Assumptions'!$D$11+'Assumptions'!$D$12*(0.5-(G1723+H1723)/2)</x:f>
        <x:v>0.23333333333333334</x:v>
      </x:c>
      <x:c r="J1723" s="27" t="n">
        <x:f>'Assumptions'!$D$8*EXP(-'Assumptions'!$D$9*('Fleet Engine'!E216-10))*'Assumptions'!E58*'Assumptions'!K36</x:f>
        <x:v>9048.374180359595</x:v>
      </x:c>
      <x:c r="K1723" s="27" t="n">
        <x:f>'Source Data'!F221+LN('Assumptions'!D58)+LN('Assumptions'!K35)</x:f>
        <x:v>8.129564769703762</x:v>
      </x:c>
      <x:c r="L1723" s="27" t="n">
        <x:f>J1723*(1-I1723*(1-'Carrier Engine'!E98))</x:f>
        <x:v>7021.5383639590455</x:v>
      </x:c>
      <x:c r="M1723" s="29" t="n">
        <x:f>NORM.S.DIST((LN(L1723)-K1723)/'Assumptions'!$D$10,TRUE)</x:f>
        <x:v>0.6783560443804386</x:v>
      </x:c>
      <x:c r="N1723" s="30" t="n">
        <x:f>MAX(0,H1723-MAX(G1723,M1723))</x:f>
        <x:v>0.11111111111111105</x:v>
      </x:c>
      <x:c r="O1723" s="28" t="n">
        <x:f>J1723*I1723</x:f>
        <x:v>2111.2873087505723</x:v>
      </x:c>
      <x:c r="P1723" s="27" t="n">
        <x:f>(VLOOKUP(O1723,'Fee Data'!$C$6:$G$50,2,TRUE)+O1723*VLOOKUP(O1723,'Fee Data'!$C$6:$G$50,3,TRUE)+VLOOKUP(O1723,'Fee Data'!$I$6:$J$14,2,TRUE)+'Fee Data'!$J$20+'Fee Data'!$J$21)*'Assumptions'!K37</x:f>
        <x:v>745</x:v>
      </x:c>
      <x:c r="Q1723" s="27" t="n">
        <x:f>(VLOOKUP(O1723,'Fee Data'!$C$6:$G$50,4,TRUE)+O1723*VLOOKUP(O1723,'Fee Data'!$C$6:$G$50,5,TRUE)+VLOOKUP(O1723,'Fee Data'!$I$6:$J$14,2,TRUE)+'Fee Data'!$J$20+'Fee Data'!$J$21)*'Assumptions'!K37</x:f>
        <x:v>600</x:v>
      </x:c>
      <x:c r="R1723" s="27" t="n">
        <x:f>P1723*(1-'Assumptions'!$D$14)+Q1723*'Assumptions'!$D$14</x:f>
        <x:v>672.5</x:v>
      </x:c>
      <x:c r="S1723" s="27" t="n">
        <x:f>O1723*'Carrier Engine'!E98</x:f>
        <x:v>84.45149235002287</x:v>
      </x:c>
      <x:c r="T1723" s="28" t="n">
        <x:f>R1723+S1723</x:f>
        <x:v>756.9514923500228</x:v>
      </x:c>
      <x:c r="U1723" s="27" t="n">
        <x:f>N1723*'Fleet Engine'!M216</x:f>
        <x:v>137.06132820923705</x:v>
      </x:c>
      <x:c r="V1723" s="28" t="n">
        <x:f>U1723*T1723</x:f>
        <x:v>103748.77693145827</x:v>
      </x:c>
      <x:c r="W1723" s="28" t="n">
        <x:f>U1723*O1723</x:f>
        <x:v>289375.842768659</x:v>
      </x:c>
    </x:row>
    <x:row r="1724" ht="19" customHeight="1">
      <x:c r="A1724" s="2"/>
      <x:c r="B1724" s="2"/>
      <x:c r="C1724" s="46" t="n">
        <x:v>7</x:v>
      </x:c>
      <x:c r="D1724" s="46" t="n">
        <x:v>22</x:v>
      </x:c>
      <x:c r="E1724" s="46" t="n">
        <x:v>3</x:v>
      </x:c>
      <x:c r="F1724" s="46" t="n">
        <x:v>4</x:v>
      </x:c>
      <x:c r="G1724" s="12" t="n">
        <x:v>0.8888888888888888</x:v>
      </x:c>
      <x:c r="H1724" s="12" t="n">
        <x:v>1</x:v>
      </x:c>
      <x:c r="I1724" s="29" t="n">
        <x:f>'Assumptions'!$D$11+'Assumptions'!$D$12*(0.5-(G1724+H1724)/2)</x:f>
        <x:v>0.21111111111111108</x:v>
      </x:c>
      <x:c r="J1724" s="27" t="n">
        <x:f>'Assumptions'!$D$8*EXP(-'Assumptions'!$D$9*('Fleet Engine'!E216-10))*'Assumptions'!E58*'Assumptions'!K36</x:f>
        <x:v>9048.374180359595</x:v>
      </x:c>
      <x:c r="K1724" s="27" t="n">
        <x:f>'Source Data'!F221+LN('Assumptions'!D58)+LN('Assumptions'!K35)</x:f>
        <x:v>8.129564769703762</x:v>
      </x:c>
      <x:c r="L1724" s="27" t="n">
        <x:f>J1724*(1-I1724*(1-'Carrier Engine'!E98))</x:f>
        <x:v>7214.570346473383</x:v>
      </x:c>
      <x:c r="M1724" s="29" t="n">
        <x:f>NORM.S.DIST((LN(L1724)-K1724)/'Assumptions'!$D$10,TRUE)</x:f>
        <x:v>0.6845208539134946</x:v>
      </x:c>
      <x:c r="N1724" s="30" t="n">
        <x:f>MAX(0,H1724-MAX(G1724,M1724))</x:f>
        <x:v>0.11111111111111116</x:v>
      </x:c>
      <x:c r="O1724" s="28" t="n">
        <x:f>J1724*I1724</x:f>
        <x:v>1910.2123269648032</x:v>
      </x:c>
      <x:c r="P1724" s="27" t="n">
        <x:f>(VLOOKUP(O1724,'Fee Data'!$C$6:$G$50,2,TRUE)+O1724*VLOOKUP(O1724,'Fee Data'!$C$6:$G$50,3,TRUE)+VLOOKUP(O1724,'Fee Data'!$I$6:$J$14,2,TRUE)+'Fee Data'!$J$20+'Fee Data'!$J$21)*'Assumptions'!K37</x:f>
        <x:v>705</x:v>
      </x:c>
      <x:c r="Q1724" s="27" t="n">
        <x:f>(VLOOKUP(O1724,'Fee Data'!$C$6:$G$50,4,TRUE)+O1724*VLOOKUP(O1724,'Fee Data'!$C$6:$G$50,5,TRUE)+VLOOKUP(O1724,'Fee Data'!$I$6:$J$14,2,TRUE)+'Fee Data'!$J$20+'Fee Data'!$J$21)*'Assumptions'!K37</x:f>
        <x:v>565</x:v>
      </x:c>
      <x:c r="R1724" s="27" t="n">
        <x:f>P1724*(1-'Assumptions'!$D$14)+Q1724*'Assumptions'!$D$14</x:f>
        <x:v>635</x:v>
      </x:c>
      <x:c r="S1724" s="27" t="n">
        <x:f>O1724*'Carrier Engine'!E98</x:f>
        <x:v>76.40849307859212</x:v>
      </x:c>
      <x:c r="T1724" s="28" t="n">
        <x:f>R1724+S1724</x:f>
        <x:v>711.4084930785921</x:v>
      </x:c>
      <x:c r="U1724" s="27" t="n">
        <x:f>N1724*'Fleet Engine'!M216</x:f>
        <x:v>137.0613282092372</x:v>
      </x:c>
      <x:c r="V1724" s="28" t="n">
        <x:f>U1724*T1724</x:f>
        <x:v>97506.59296068375</x:v>
      </x:c>
      <x:c r="W1724" s="28" t="n">
        <x:f>U1724*O1724</x:f>
        <x:v>261816.2386954536</x:v>
      </x:c>
    </x:row>
    <x:row r="1725" ht="19" customHeight="1">
      <x:c r="A1725" s="2"/>
      <x:c r="B1725" s="2"/>
      <x:c r="C1725" s="46" t="n">
        <x:v>7</x:v>
      </x:c>
      <x:c r="D1725" s="46" t="n">
        <x:v>23</x:v>
      </x:c>
      <x:c r="E1725" s="46" t="n">
        <x:v>3</x:v>
      </x:c>
      <x:c r="F1725" s="46" t="n">
        <x:v>5</x:v>
      </x:c>
      <x:c r="G1725" s="12" t="n">
        <x:v>0</x:v>
      </x:c>
      <x:c r="H1725" s="12" t="n">
        <x:v>0.1111111111111111</x:v>
      </x:c>
      <x:c r="I1725" s="29" t="n">
        <x:f>'Assumptions'!$D$11+'Assumptions'!$D$12*(0.5-(G1725+H1725)/2)</x:f>
        <x:v>0.3888888888888889</x:v>
      </x:c>
      <x:c r="J1725" s="27" t="n">
        <x:f>'Assumptions'!$D$8*EXP(-'Assumptions'!$D$9*('Fleet Engine'!E217-10))*'Assumptions'!E58*'Assumptions'!K36</x:f>
        <x:v>4965.853037914095</x:v>
      </x:c>
      <x:c r="K1725" s="27" t="n">
        <x:f>'Source Data'!F222+LN('Assumptions'!D58)+LN('Assumptions'!K35)</x:f>
        <x:v>8.030635919980082</x:v>
      </x:c>
      <x:c r="L1725" s="27" t="n">
        <x:f>J1725*(1-I1725*(1-'Carrier Engine'!E98))</x:f>
        <x:v>3111.9345704261664</x:v>
      </x:c>
      <x:c r="M1725" s="29" t="n">
        <x:f>NORM.S.DIST((LN(L1725)-K1725)/'Assumptions'!$D$10,TRUE)</x:f>
        <x:v>0.5031412742530323</x:v>
      </x:c>
      <x:c r="N1725" s="30" t="n">
        <x:f>MAX(0,H1725-MAX(G1725,M1725))</x:f>
        <x:v>0</x:v>
      </x:c>
      <x:c r="O1725" s="28" t="n">
        <x:f>J1725*I1725</x:f>
        <x:v>1931.1650702999257</x:v>
      </x:c>
      <x:c r="P1725" s="27" t="n">
        <x:f>(VLOOKUP(O1725,'Fee Data'!$C$6:$G$50,2,TRUE)+O1725*VLOOKUP(O1725,'Fee Data'!$C$6:$G$50,3,TRUE)+VLOOKUP(O1725,'Fee Data'!$I$6:$J$14,2,TRUE)+'Fee Data'!$J$20+'Fee Data'!$J$21)*'Assumptions'!K37</x:f>
        <x:v>705</x:v>
      </x:c>
      <x:c r="Q1725" s="27" t="n">
        <x:f>(VLOOKUP(O1725,'Fee Data'!$C$6:$G$50,4,TRUE)+O1725*VLOOKUP(O1725,'Fee Data'!$C$6:$G$50,5,TRUE)+VLOOKUP(O1725,'Fee Data'!$I$6:$J$14,2,TRUE)+'Fee Data'!$J$20+'Fee Data'!$J$21)*'Assumptions'!K37</x:f>
        <x:v>565</x:v>
      </x:c>
      <x:c r="R1725" s="27" t="n">
        <x:f>P1725*(1-'Assumptions'!$D$14)+Q1725*'Assumptions'!$D$14</x:f>
        <x:v>635</x:v>
      </x:c>
      <x:c r="S1725" s="27" t="n">
        <x:f>O1725*'Carrier Engine'!E98</x:f>
        <x:v>77.24660281199702</x:v>
      </x:c>
      <x:c r="T1725" s="28" t="n">
        <x:f>R1725+S1725</x:f>
        <x:v>712.246602811997</x:v>
      </x:c>
      <x:c r="U1725" s="27" t="n">
        <x:f>N1725*'Fleet Engine'!M217</x:f>
        <x:v>0</x:v>
      </x:c>
      <x:c r="V1725" s="28" t="n">
        <x:f>U1725*T1725</x:f>
        <x:v>0</x:v>
      </x:c>
      <x:c r="W1725" s="28" t="n">
        <x:f>U1725*O1725</x:f>
        <x:v>0</x:v>
      </x:c>
    </x:row>
    <x:row r="1726" ht="19" customHeight="1">
      <x:c r="A1726" s="2"/>
      <x:c r="B1726" s="2"/>
      <x:c r="C1726" s="46" t="n">
        <x:v>7</x:v>
      </x:c>
      <x:c r="D1726" s="46" t="n">
        <x:v>23</x:v>
      </x:c>
      <x:c r="E1726" s="46" t="n">
        <x:v>3</x:v>
      </x:c>
      <x:c r="F1726" s="46" t="n">
        <x:v>5</x:v>
      </x:c>
      <x:c r="G1726" s="12" t="n">
        <x:v>0.1111111111111111</x:v>
      </x:c>
      <x:c r="H1726" s="12" t="n">
        <x:v>0.2222222222222222</x:v>
      </x:c>
      <x:c r="I1726" s="29" t="n">
        <x:f>'Assumptions'!$D$11+'Assumptions'!$D$12*(0.5-(G1726+H1726)/2)</x:f>
        <x:v>0.3666666666666667</x:v>
      </x:c>
      <x:c r="J1726" s="27" t="n">
        <x:f>'Assumptions'!$D$8*EXP(-'Assumptions'!$D$9*('Fleet Engine'!E217-10))*'Assumptions'!E58*'Assumptions'!K36</x:f>
        <x:v>4965.853037914095</x:v>
      </x:c>
      <x:c r="K1726" s="27" t="n">
        <x:f>'Source Data'!F222+LN('Assumptions'!D58)+LN('Assumptions'!K35)</x:f>
        <x:v>8.030635919980082</x:v>
      </x:c>
      <x:c r="L1726" s="27" t="n">
        <x:f>J1726*(1-I1726*(1-'Carrier Engine'!E98))</x:f>
        <x:v>3217.872768568333</x:v>
      </x:c>
      <x:c r="M1726" s="29" t="n">
        <x:f>NORM.S.DIST((LN(L1726)-K1726)/'Assumptions'!$D$10,TRUE)</x:f>
        <x:v>0.511644883114373</x:v>
      </x:c>
      <x:c r="N1726" s="30" t="n">
        <x:f>MAX(0,H1726-MAX(G1726,M1726))</x:f>
        <x:v>0</x:v>
      </x:c>
      <x:c r="O1726" s="28" t="n">
        <x:f>J1726*I1726</x:f>
        <x:v>1820.8127805685015</x:v>
      </x:c>
      <x:c r="P1726" s="27" t="n">
        <x:f>(VLOOKUP(O1726,'Fee Data'!$C$6:$G$50,2,TRUE)+O1726*VLOOKUP(O1726,'Fee Data'!$C$6:$G$50,3,TRUE)+VLOOKUP(O1726,'Fee Data'!$I$6:$J$14,2,TRUE)+'Fee Data'!$J$20+'Fee Data'!$J$21)*'Assumptions'!K37</x:f>
        <x:v>705</x:v>
      </x:c>
      <x:c r="Q1726" s="27" t="n">
        <x:f>(VLOOKUP(O1726,'Fee Data'!$C$6:$G$50,4,TRUE)+O1726*VLOOKUP(O1726,'Fee Data'!$C$6:$G$50,5,TRUE)+VLOOKUP(O1726,'Fee Data'!$I$6:$J$14,2,TRUE)+'Fee Data'!$J$20+'Fee Data'!$J$21)*'Assumptions'!K37</x:f>
        <x:v>565</x:v>
      </x:c>
      <x:c r="R1726" s="27" t="n">
        <x:f>P1726*(1-'Assumptions'!$D$14)+Q1726*'Assumptions'!$D$14</x:f>
        <x:v>635</x:v>
      </x:c>
      <x:c r="S1726" s="27" t="n">
        <x:f>O1726*'Carrier Engine'!E98</x:f>
        <x:v>72.83251122274005</x:v>
      </x:c>
      <x:c r="T1726" s="28" t="n">
        <x:f>R1726+S1726</x:f>
        <x:v>707.8325112227401</x:v>
      </x:c>
      <x:c r="U1726" s="27" t="n">
        <x:f>N1726*'Fleet Engine'!M217</x:f>
        <x:v>0</x:v>
      </x:c>
      <x:c r="V1726" s="28" t="n">
        <x:f>U1726*T1726</x:f>
        <x:v>0</x:v>
      </x:c>
      <x:c r="W1726" s="28" t="n">
        <x:f>U1726*O1726</x:f>
        <x:v>0</x:v>
      </x:c>
    </x:row>
    <x:row r="1727" ht="19" customHeight="1">
      <x:c r="A1727" s="2"/>
      <x:c r="B1727" s="2"/>
      <x:c r="C1727" s="46" t="n">
        <x:v>7</x:v>
      </x:c>
      <x:c r="D1727" s="46" t="n">
        <x:v>23</x:v>
      </x:c>
      <x:c r="E1727" s="46" t="n">
        <x:v>3</x:v>
      </x:c>
      <x:c r="F1727" s="46" t="n">
        <x:v>5</x:v>
      </x:c>
      <x:c r="G1727" s="12" t="n">
        <x:v>0.2222222222222222</x:v>
      </x:c>
      <x:c r="H1727" s="12" t="n">
        <x:v>0.3333333333333333</x:v>
      </x:c>
      <x:c r="I1727" s="29" t="n">
        <x:f>'Assumptions'!$D$11+'Assumptions'!$D$12*(0.5-(G1727+H1727)/2)</x:f>
        <x:v>0.34444444444444444</x:v>
      </x:c>
      <x:c r="J1727" s="27" t="n">
        <x:f>'Assumptions'!$D$8*EXP(-'Assumptions'!$D$9*('Fleet Engine'!E217-10))*'Assumptions'!E58*'Assumptions'!K36</x:f>
        <x:v>4965.853037914095</x:v>
      </x:c>
      <x:c r="K1727" s="27" t="n">
        <x:f>'Source Data'!F222+LN('Assumptions'!D58)+LN('Assumptions'!K35)</x:f>
        <x:v>8.030635919980082</x:v>
      </x:c>
      <x:c r="L1727" s="27" t="n">
        <x:f>J1727*(1-I1727*(1-'Carrier Engine'!E98))</x:f>
        <x:v>3323.810966710501</x:v>
      </x:c>
      <x:c r="M1727" s="29" t="n">
        <x:f>NORM.S.DIST((LN(L1727)-K1727)/'Assumptions'!$D$10,TRUE)</x:f>
        <x:v>0.5198680257298949</x:v>
      </x:c>
      <x:c r="N1727" s="30" t="n">
        <x:f>MAX(0,H1727-MAX(G1727,M1727))</x:f>
        <x:v>0</x:v>
      </x:c>
      <x:c r="O1727" s="28" t="n">
        <x:f>J1727*I1727</x:f>
        <x:v>1710.460490837077</x:v>
      </x:c>
      <x:c r="P1727" s="27" t="n">
        <x:f>(VLOOKUP(O1727,'Fee Data'!$C$6:$G$50,2,TRUE)+O1727*VLOOKUP(O1727,'Fee Data'!$C$6:$G$50,3,TRUE)+VLOOKUP(O1727,'Fee Data'!$I$6:$J$14,2,TRUE)+'Fee Data'!$J$20+'Fee Data'!$J$21)*'Assumptions'!K37</x:f>
        <x:v>680</x:v>
      </x:c>
      <x:c r="Q1727" s="27" t="n">
        <x:f>(VLOOKUP(O1727,'Fee Data'!$C$6:$G$50,4,TRUE)+O1727*VLOOKUP(O1727,'Fee Data'!$C$6:$G$50,5,TRUE)+VLOOKUP(O1727,'Fee Data'!$I$6:$J$14,2,TRUE)+'Fee Data'!$J$20+'Fee Data'!$J$21)*'Assumptions'!K37</x:f>
        <x:v>545</x:v>
      </x:c>
      <x:c r="R1727" s="27" t="n">
        <x:f>P1727*(1-'Assumptions'!$D$14)+Q1727*'Assumptions'!$D$14</x:f>
        <x:v>612.5</x:v>
      </x:c>
      <x:c r="S1727" s="27" t="n">
        <x:f>O1727*'Carrier Engine'!E98</x:f>
        <x:v>68.41841963348307</x:v>
      </x:c>
      <x:c r="T1727" s="28" t="n">
        <x:f>R1727+S1727</x:f>
        <x:v>680.918419633483</x:v>
      </x:c>
      <x:c r="U1727" s="27" t="n">
        <x:f>N1727*'Fleet Engine'!M217</x:f>
        <x:v>0</x:v>
      </x:c>
      <x:c r="V1727" s="28" t="n">
        <x:f>U1727*T1727</x:f>
        <x:v>0</x:v>
      </x:c>
      <x:c r="W1727" s="28" t="n">
        <x:f>U1727*O1727</x:f>
        <x:v>0</x:v>
      </x:c>
    </x:row>
    <x:row r="1728" ht="19" customHeight="1">
      <x:c r="A1728" s="2"/>
      <x:c r="B1728" s="2"/>
      <x:c r="C1728" s="46" t="n">
        <x:v>7</x:v>
      </x:c>
      <x:c r="D1728" s="46" t="n">
        <x:v>23</x:v>
      </x:c>
      <x:c r="E1728" s="46" t="n">
        <x:v>3</x:v>
      </x:c>
      <x:c r="F1728" s="46" t="n">
        <x:v>5</x:v>
      </x:c>
      <x:c r="G1728" s="12" t="n">
        <x:v>0.3333333333333333</x:v>
      </x:c>
      <x:c r="H1728" s="12" t="n">
        <x:v>0.4444444444444444</x:v>
      </x:c>
      <x:c r="I1728" s="29" t="n">
        <x:f>'Assumptions'!$D$11+'Assumptions'!$D$12*(0.5-(G1728+H1728)/2)</x:f>
        <x:v>0.32222222222222224</x:v>
      </x:c>
      <x:c r="J1728" s="27" t="n">
        <x:f>'Assumptions'!$D$8*EXP(-'Assumptions'!$D$9*('Fleet Engine'!E217-10))*'Assumptions'!E58*'Assumptions'!K36</x:f>
        <x:v>4965.853037914095</x:v>
      </x:c>
      <x:c r="K1728" s="27" t="n">
        <x:f>'Source Data'!F222+LN('Assumptions'!D58)+LN('Assumptions'!K35)</x:f>
        <x:v>8.030635919980082</x:v>
      </x:c>
      <x:c r="L1728" s="27" t="n">
        <x:f>J1728*(1-I1728*(1-'Carrier Engine'!E98))</x:f>
        <x:v>3429.749164852668</x:v>
      </x:c>
      <x:c r="M1728" s="29" t="n">
        <x:f>NORM.S.DIST((LN(L1728)-K1728)/'Assumptions'!$D$10,TRUE)</x:f>
        <x:v>0.5278251256486162</x:v>
      </x:c>
      <x:c r="N1728" s="30" t="n">
        <x:f>MAX(0,H1728-MAX(G1728,M1728))</x:f>
        <x:v>0</x:v>
      </x:c>
      <x:c r="O1728" s="28" t="n">
        <x:f>J1728*I1728</x:f>
        <x:v>1600.1082011056528</x:v>
      </x:c>
      <x:c r="P1728" s="27" t="n">
        <x:f>(VLOOKUP(O1728,'Fee Data'!$C$6:$G$50,2,TRUE)+O1728*VLOOKUP(O1728,'Fee Data'!$C$6:$G$50,3,TRUE)+VLOOKUP(O1728,'Fee Data'!$I$6:$J$14,2,TRUE)+'Fee Data'!$J$20+'Fee Data'!$J$21)*'Assumptions'!K37</x:f>
        <x:v>660</x:v>
      </x:c>
      <x:c r="Q1728" s="27" t="n">
        <x:f>(VLOOKUP(O1728,'Fee Data'!$C$6:$G$50,4,TRUE)+O1728*VLOOKUP(O1728,'Fee Data'!$C$6:$G$50,5,TRUE)+VLOOKUP(O1728,'Fee Data'!$I$6:$J$14,2,TRUE)+'Fee Data'!$J$20+'Fee Data'!$J$21)*'Assumptions'!K37</x:f>
        <x:v>525</x:v>
      </x:c>
      <x:c r="R1728" s="27" t="n">
        <x:f>P1728*(1-'Assumptions'!$D$14)+Q1728*'Assumptions'!$D$14</x:f>
        <x:v>592.5</x:v>
      </x:c>
      <x:c r="S1728" s="27" t="n">
        <x:f>O1728*'Carrier Engine'!E98</x:f>
        <x:v>64.0043280442261</x:v>
      </x:c>
      <x:c r="T1728" s="28" t="n">
        <x:f>R1728+S1728</x:f>
        <x:v>656.5043280442261</x:v>
      </x:c>
      <x:c r="U1728" s="27" t="n">
        <x:f>N1728*'Fleet Engine'!M217</x:f>
        <x:v>0</x:v>
      </x:c>
      <x:c r="V1728" s="28" t="n">
        <x:f>U1728*T1728</x:f>
        <x:v>0</x:v>
      </x:c>
      <x:c r="W1728" s="28" t="n">
        <x:f>U1728*O1728</x:f>
        <x:v>0</x:v>
      </x:c>
    </x:row>
    <x:row r="1729" ht="19" customHeight="1">
      <x:c r="A1729" s="2"/>
      <x:c r="B1729" s="2"/>
      <x:c r="C1729" s="46" t="n">
        <x:v>7</x:v>
      </x:c>
      <x:c r="D1729" s="46" t="n">
        <x:v>23</x:v>
      </x:c>
      <x:c r="E1729" s="46" t="n">
        <x:v>3</x:v>
      </x:c>
      <x:c r="F1729" s="46" t="n">
        <x:v>5</x:v>
      </x:c>
      <x:c r="G1729" s="12" t="n">
        <x:v>0.4444444444444444</x:v>
      </x:c>
      <x:c r="H1729" s="12" t="n">
        <x:v>0.5555555555555556</x:v>
      </x:c>
      <x:c r="I1729" s="29" t="n">
        <x:f>'Assumptions'!$D$11+'Assumptions'!$D$12*(0.5-(G1729+H1729)/2)</x:f>
        <x:v>0.3</x:v>
      </x:c>
      <x:c r="J1729" s="27" t="n">
        <x:f>'Assumptions'!$D$8*EXP(-'Assumptions'!$D$9*('Fleet Engine'!E217-10))*'Assumptions'!E58*'Assumptions'!K36</x:f>
        <x:v>4965.853037914095</x:v>
      </x:c>
      <x:c r="K1729" s="27" t="n">
        <x:f>'Source Data'!F222+LN('Assumptions'!D58)+LN('Assumptions'!K35)</x:f>
        <x:v>8.030635919980082</x:v>
      </x:c>
      <x:c r="L1729" s="27" t="n">
        <x:f>J1729*(1-I1729*(1-'Carrier Engine'!E98))</x:f>
        <x:v>3535.6873629948354</x:v>
      </x:c>
      <x:c r="M1729" s="29" t="n">
        <x:f>NORM.S.DIST((LN(L1729)-K1729)/'Assumptions'!$D$10,TRUE)</x:f>
        <x:v>0.5355295877473003</x:v>
      </x:c>
      <x:c r="N1729" s="30" t="n">
        <x:f>MAX(0,H1729-MAX(G1729,M1729))</x:f>
        <x:v>0.020025967808255274</x:v>
      </x:c>
      <x:c r="O1729" s="28" t="n">
        <x:f>J1729*I1729</x:f>
        <x:v>1489.7559113742284</x:v>
      </x:c>
      <x:c r="P1729" s="27" t="n">
        <x:f>(VLOOKUP(O1729,'Fee Data'!$C$6:$G$50,2,TRUE)+O1729*VLOOKUP(O1729,'Fee Data'!$C$6:$G$50,3,TRUE)+VLOOKUP(O1729,'Fee Data'!$I$6:$J$14,2,TRUE)+'Fee Data'!$J$20+'Fee Data'!$J$21)*'Assumptions'!K37</x:f>
        <x:v>615</x:v>
      </x:c>
      <x:c r="Q1729" s="27" t="n">
        <x:f>(VLOOKUP(O1729,'Fee Data'!$C$6:$G$50,4,TRUE)+O1729*VLOOKUP(O1729,'Fee Data'!$C$6:$G$50,5,TRUE)+VLOOKUP(O1729,'Fee Data'!$I$6:$J$14,2,TRUE)+'Fee Data'!$J$20+'Fee Data'!$J$21)*'Assumptions'!K37</x:f>
        <x:v>485</x:v>
      </x:c>
      <x:c r="R1729" s="27" t="n">
        <x:f>P1729*(1-'Assumptions'!$D$14)+Q1729*'Assumptions'!$D$14</x:f>
        <x:v>550</x:v>
      </x:c>
      <x:c r="S1729" s="27" t="n">
        <x:f>O1729*'Carrier Engine'!E98</x:f>
        <x:v>59.59023645496913</x:v>
      </x:c>
      <x:c r="T1729" s="28" t="n">
        <x:f>R1729+S1729</x:f>
        <x:v>609.5902364549692</x:v>
      </x:c>
      <x:c r="U1729" s="27" t="n">
        <x:f>N1729*'Fleet Engine'!M217</x:f>
        <x:v>27.54924633474203</x:v>
      </x:c>
      <x:c r="V1729" s="28" t="n">
        <x:f>U1729*T1729</x:f>
        <x:v>16793.751587351588</x:v>
      </x:c>
      <x:c r="W1729" s="28" t="n">
        <x:f>U1729*O1729</x:f>
        <x:v>41041.65258108673</x:v>
      </x:c>
    </x:row>
    <x:row r="1730" ht="19" customHeight="1">
      <x:c r="A1730" s="2"/>
      <x:c r="B1730" s="2"/>
      <x:c r="C1730" s="46" t="n">
        <x:v>7</x:v>
      </x:c>
      <x:c r="D1730" s="46" t="n">
        <x:v>23</x:v>
      </x:c>
      <x:c r="E1730" s="46" t="n">
        <x:v>3</x:v>
      </x:c>
      <x:c r="F1730" s="46" t="n">
        <x:v>5</x:v>
      </x:c>
      <x:c r="G1730" s="12" t="n">
        <x:v>0.5555555555555556</x:v>
      </x:c>
      <x:c r="H1730" s="12" t="n">
        <x:v>0.6666666666666666</x:v>
      </x:c>
      <x:c r="I1730" s="29" t="n">
        <x:f>'Assumptions'!$D$11+'Assumptions'!$D$12*(0.5-(G1730+H1730)/2)</x:f>
        <x:v>0.27777777777777773</x:v>
      </x:c>
      <x:c r="J1730" s="27" t="n">
        <x:f>'Assumptions'!$D$8*EXP(-'Assumptions'!$D$9*('Fleet Engine'!E217-10))*'Assumptions'!E58*'Assumptions'!K36</x:f>
        <x:v>4965.853037914095</x:v>
      </x:c>
      <x:c r="K1730" s="27" t="n">
        <x:f>'Source Data'!F222+LN('Assumptions'!D58)+LN('Assumptions'!K35)</x:f>
        <x:v>8.030635919980082</x:v>
      </x:c>
      <x:c r="L1730" s="27" t="n">
        <x:f>J1730*(1-I1730*(1-'Carrier Engine'!E98))</x:f>
        <x:v>3641.625561137003</x:v>
      </x:c>
      <x:c r="M1730" s="29" t="n">
        <x:f>NORM.S.DIST((LN(L1730)-K1730)/'Assumptions'!$D$10,TRUE)</x:f>
        <x:v>0.5429938893858242</x:v>
      </x:c>
      <x:c r="N1730" s="30" t="n">
        <x:f>MAX(0,H1730-MAX(G1730,M1730))</x:f>
        <x:v>0.11111111111111105</x:v>
      </x:c>
      <x:c r="O1730" s="28" t="n">
        <x:f>J1730*I1730</x:f>
        <x:v>1379.403621642804</x:v>
      </x:c>
      <x:c r="P1730" s="27" t="n">
        <x:f>(VLOOKUP(O1730,'Fee Data'!$C$6:$G$50,2,TRUE)+O1730*VLOOKUP(O1730,'Fee Data'!$C$6:$G$50,3,TRUE)+VLOOKUP(O1730,'Fee Data'!$I$6:$J$14,2,TRUE)+'Fee Data'!$J$20+'Fee Data'!$J$21)*'Assumptions'!K37</x:f>
        <x:v>595</x:v>
      </x:c>
      <x:c r="Q1730" s="27" t="n">
        <x:f>(VLOOKUP(O1730,'Fee Data'!$C$6:$G$50,4,TRUE)+O1730*VLOOKUP(O1730,'Fee Data'!$C$6:$G$50,5,TRUE)+VLOOKUP(O1730,'Fee Data'!$I$6:$J$14,2,TRUE)+'Fee Data'!$J$20+'Fee Data'!$J$21)*'Assumptions'!K37</x:f>
        <x:v>470</x:v>
      </x:c>
      <x:c r="R1730" s="27" t="n">
        <x:f>P1730*(1-'Assumptions'!$D$14)+Q1730*'Assumptions'!$D$14</x:f>
        <x:v>532.5</x:v>
      </x:c>
      <x:c r="S1730" s="27" t="n">
        <x:f>O1730*'Carrier Engine'!E98</x:f>
        <x:v>55.176144865712146</x:v>
      </x:c>
      <x:c r="T1730" s="28" t="n">
        <x:f>R1730+S1730</x:f>
        <x:v>587.6761448657121</x:v>
      </x:c>
      <x:c r="U1730" s="27" t="n">
        <x:f>N1730*'Fleet Engine'!M217</x:f>
        <x:v>152.85290577891809</x:v>
      </x:c>
      <x:c r="V1730" s="28" t="n">
        <x:f>U1730*T1730</x:f>
        <x:v>89828.00639967651</x:v>
      </x:c>
      <x:c r="W1730" s="28" t="n">
        <x:f>U1730*O1730</x:f>
        <x:v>210845.85181006588</x:v>
      </x:c>
    </x:row>
    <x:row r="1731" ht="19" customHeight="1">
      <x:c r="A1731" s="2"/>
      <x:c r="B1731" s="2"/>
      <x:c r="C1731" s="46" t="n">
        <x:v>7</x:v>
      </x:c>
      <x:c r="D1731" s="46" t="n">
        <x:v>23</x:v>
      </x:c>
      <x:c r="E1731" s="46" t="n">
        <x:v>3</x:v>
      </x:c>
      <x:c r="F1731" s="46" t="n">
        <x:v>5</x:v>
      </x:c>
      <x:c r="G1731" s="12" t="n">
        <x:v>0.6666666666666666</x:v>
      </x:c>
      <x:c r="H1731" s="12" t="n">
        <x:v>0.7777777777777778</x:v>
      </x:c>
      <x:c r="I1731" s="29" t="n">
        <x:f>'Assumptions'!$D$11+'Assumptions'!$D$12*(0.5-(G1731+H1731)/2)</x:f>
        <x:v>0.25555555555555554</x:v>
      </x:c>
      <x:c r="J1731" s="27" t="n">
        <x:f>'Assumptions'!$D$8*EXP(-'Assumptions'!$D$9*('Fleet Engine'!E217-10))*'Assumptions'!E58*'Assumptions'!K36</x:f>
        <x:v>4965.853037914095</x:v>
      </x:c>
      <x:c r="K1731" s="27" t="n">
        <x:f>'Source Data'!F222+LN('Assumptions'!D58)+LN('Assumptions'!K35)</x:f>
        <x:v>8.030635919980082</x:v>
      </x:c>
      <x:c r="L1731" s="27" t="n">
        <x:f>J1731*(1-I1731*(1-'Carrier Engine'!E98))</x:f>
        <x:v>3747.5637592791704</x:v>
      </x:c>
      <x:c r="M1731" s="29" t="n">
        <x:f>NORM.S.DIST((LN(L1731)-K1731)/'Assumptions'!$D$10,TRUE)</x:f>
        <x:v>0.5502296617814866</x:v>
      </x:c>
      <x:c r="N1731" s="30" t="n">
        <x:f>MAX(0,H1731-MAX(G1731,M1731))</x:f>
        <x:v>0.11111111111111116</x:v>
      </x:c>
      <x:c r="O1731" s="28" t="n">
        <x:f>J1731*I1731</x:f>
        <x:v>1269.0513319113797</x:v>
      </x:c>
      <x:c r="P1731" s="27" t="n">
        <x:f>(VLOOKUP(O1731,'Fee Data'!$C$6:$G$50,2,TRUE)+O1731*VLOOKUP(O1731,'Fee Data'!$C$6:$G$50,3,TRUE)+VLOOKUP(O1731,'Fee Data'!$I$6:$J$14,2,TRUE)+'Fee Data'!$J$20+'Fee Data'!$J$21)*'Assumptions'!K37</x:f>
        <x:v>580</x:v>
      </x:c>
      <x:c r="Q1731" s="27" t="n">
        <x:f>(VLOOKUP(O1731,'Fee Data'!$C$6:$G$50,4,TRUE)+O1731*VLOOKUP(O1731,'Fee Data'!$C$6:$G$50,5,TRUE)+VLOOKUP(O1731,'Fee Data'!$I$6:$J$14,2,TRUE)+'Fee Data'!$J$20+'Fee Data'!$J$21)*'Assumptions'!K37</x:f>
        <x:v>455</x:v>
      </x:c>
      <x:c r="R1731" s="27" t="n">
        <x:f>P1731*(1-'Assumptions'!$D$14)+Q1731*'Assumptions'!$D$14</x:f>
        <x:v>517.5</x:v>
      </x:c>
      <x:c r="S1731" s="27" t="n">
        <x:f>O1731*'Carrier Engine'!E98</x:f>
        <x:v>50.762053276455184</x:v>
      </x:c>
      <x:c r="T1731" s="28" t="n">
        <x:f>R1731+S1731</x:f>
        <x:v>568.2620532764552</x:v>
      </x:c>
      <x:c r="U1731" s="27" t="n">
        <x:f>N1731*'Fleet Engine'!M217</x:f>
        <x:v>152.85290577891826</x:v>
      </x:c>
      <x:c r="V1731" s="28" t="n">
        <x:f>U1731*T1731</x:f>
        <x:v>86860.50608720063</x:v>
      </x:c>
      <x:c r="W1731" s="28" t="n">
        <x:f>U1731*O1731</x:f>
        <x:v>193978.18366526085</x:v>
      </x:c>
    </x:row>
    <x:row r="1732" ht="19" customHeight="1">
      <x:c r="A1732" s="2"/>
      <x:c r="B1732" s="2"/>
      <x:c r="C1732" s="46" t="n">
        <x:v>7</x:v>
      </x:c>
      <x:c r="D1732" s="46" t="n">
        <x:v>23</x:v>
      </x:c>
      <x:c r="E1732" s="46" t="n">
        <x:v>3</x:v>
      </x:c>
      <x:c r="F1732" s="46" t="n">
        <x:v>5</x:v>
      </x:c>
      <x:c r="G1732" s="12" t="n">
        <x:v>0.7777777777777778</x:v>
      </x:c>
      <x:c r="H1732" s="12" t="n">
        <x:v>0.8888888888888888</x:v>
      </x:c>
      <x:c r="I1732" s="29" t="n">
        <x:f>'Assumptions'!$D$11+'Assumptions'!$D$12*(0.5-(G1732+H1732)/2)</x:f>
        <x:v>0.23333333333333334</x:v>
      </x:c>
      <x:c r="J1732" s="27" t="n">
        <x:f>'Assumptions'!$D$8*EXP(-'Assumptions'!$D$9*('Fleet Engine'!E217-10))*'Assumptions'!E58*'Assumptions'!K36</x:f>
        <x:v>4965.853037914095</x:v>
      </x:c>
      <x:c r="K1732" s="27" t="n">
        <x:f>'Source Data'!F222+LN('Assumptions'!D58)+LN('Assumptions'!K35)</x:f>
        <x:v>8.030635919980082</x:v>
      </x:c>
      <x:c r="L1732" s="27" t="n">
        <x:f>J1732*(1-I1732*(1-'Carrier Engine'!E98))</x:f>
        <x:v>3853.5019574213375</x:v>
      </x:c>
      <x:c r="M1732" s="29" t="n">
        <x:f>NORM.S.DIST((LN(L1732)-K1732)/'Assumptions'!$D$10,TRUE)</x:f>
        <x:v>0.557247762810186</x:v>
      </x:c>
      <x:c r="N1732" s="30" t="n">
        <x:f>MAX(0,H1732-MAX(G1732,M1732))</x:f>
        <x:v>0.11111111111111105</x:v>
      </x:c>
      <x:c r="O1732" s="28" t="n">
        <x:f>J1732*I1732</x:f>
        <x:v>1158.6990421799555</x:v>
      </x:c>
      <x:c r="P1732" s="27" t="n">
        <x:f>(VLOOKUP(O1732,'Fee Data'!$C$6:$G$50,2,TRUE)+O1732*VLOOKUP(O1732,'Fee Data'!$C$6:$G$50,3,TRUE)+VLOOKUP(O1732,'Fee Data'!$I$6:$J$14,2,TRUE)+'Fee Data'!$J$20+'Fee Data'!$J$21)*'Assumptions'!K37</x:f>
        <x:v>560</x:v>
      </x:c>
      <x:c r="Q1732" s="27" t="n">
        <x:f>(VLOOKUP(O1732,'Fee Data'!$C$6:$G$50,4,TRUE)+O1732*VLOOKUP(O1732,'Fee Data'!$C$6:$G$50,5,TRUE)+VLOOKUP(O1732,'Fee Data'!$I$6:$J$14,2,TRUE)+'Fee Data'!$J$20+'Fee Data'!$J$21)*'Assumptions'!K37</x:f>
        <x:v>435</x:v>
      </x:c>
      <x:c r="R1732" s="27" t="n">
        <x:f>P1732*(1-'Assumptions'!$D$14)+Q1732*'Assumptions'!$D$14</x:f>
        <x:v>497.5</x:v>
      </x:c>
      <x:c r="S1732" s="27" t="n">
        <x:f>O1732*'Carrier Engine'!E98</x:f>
        <x:v>46.347961687198215</x:v>
      </x:c>
      <x:c r="T1732" s="28" t="n">
        <x:f>R1732+S1732</x:f>
        <x:v>543.8479616871982</x:v>
      </x:c>
      <x:c r="U1732" s="27" t="n">
        <x:f>N1732*'Fleet Engine'!M217</x:f>
        <x:v>152.85290577891809</x:v>
      </x:c>
      <x:c r="V1732" s="28" t="n">
        <x:f>U1732*T1732</x:f>
        <x:v>83128.74124582997</x:v>
      </x:c>
      <x:c r="W1732" s="28" t="n">
        <x:f>U1732*O1732</x:f>
        <x:v>177110.51552045537</x:v>
      </x:c>
    </x:row>
    <x:row r="1733" ht="19" customHeight="1">
      <x:c r="A1733" s="2"/>
      <x:c r="B1733" s="2"/>
      <x:c r="C1733" s="46" t="n">
        <x:v>7</x:v>
      </x:c>
      <x:c r="D1733" s="46" t="n">
        <x:v>23</x:v>
      </x:c>
      <x:c r="E1733" s="46" t="n">
        <x:v>3</x:v>
      </x:c>
      <x:c r="F1733" s="46" t="n">
        <x:v>5</x:v>
      </x:c>
      <x:c r="G1733" s="12" t="n">
        <x:v>0.8888888888888888</x:v>
      </x:c>
      <x:c r="H1733" s="12" t="n">
        <x:v>1</x:v>
      </x:c>
      <x:c r="I1733" s="29" t="n">
        <x:f>'Assumptions'!$D$11+'Assumptions'!$D$12*(0.5-(G1733+H1733)/2)</x:f>
        <x:v>0.21111111111111108</x:v>
      </x:c>
      <x:c r="J1733" s="27" t="n">
        <x:f>'Assumptions'!$D$8*EXP(-'Assumptions'!$D$9*('Fleet Engine'!E217-10))*'Assumptions'!E58*'Assumptions'!K36</x:f>
        <x:v>4965.853037914095</x:v>
      </x:c>
      <x:c r="K1733" s="27" t="n">
        <x:f>'Source Data'!F222+LN('Assumptions'!D58)+LN('Assumptions'!K35)</x:f>
        <x:v>8.030635919980082</x:v>
      </x:c>
      <x:c r="L1733" s="27" t="n">
        <x:f>J1733*(1-I1733*(1-'Carrier Engine'!E98))</x:f>
        <x:v>3959.440155563505</x:v>
      </x:c>
      <x:c r="M1733" s="29" t="n">
        <x:f>NORM.S.DIST((LN(L1733)-K1733)/'Assumptions'!$D$10,TRUE)</x:f>
        <x:v>0.5640583422764271</x:v>
      </x:c>
      <x:c r="N1733" s="30" t="n">
        <x:f>MAX(0,H1733-MAX(G1733,M1733))</x:f>
        <x:v>0.11111111111111116</x:v>
      </x:c>
      <x:c r="O1733" s="28" t="n">
        <x:f>J1733*I1733</x:f>
        <x:v>1048.3467524485309</x:v>
      </x:c>
      <x:c r="P1733" s="27" t="n">
        <x:f>(VLOOKUP(O1733,'Fee Data'!$C$6:$G$50,2,TRUE)+O1733*VLOOKUP(O1733,'Fee Data'!$C$6:$G$50,3,TRUE)+VLOOKUP(O1733,'Fee Data'!$I$6:$J$14,2,TRUE)+'Fee Data'!$J$20+'Fee Data'!$J$21)*'Assumptions'!K37</x:f>
        <x:v>560</x:v>
      </x:c>
      <x:c r="Q1733" s="27" t="n">
        <x:f>(VLOOKUP(O1733,'Fee Data'!$C$6:$G$50,4,TRUE)+O1733*VLOOKUP(O1733,'Fee Data'!$C$6:$G$50,5,TRUE)+VLOOKUP(O1733,'Fee Data'!$I$6:$J$14,2,TRUE)+'Fee Data'!$J$20+'Fee Data'!$J$21)*'Assumptions'!K37</x:f>
        <x:v>435</x:v>
      </x:c>
      <x:c r="R1733" s="27" t="n">
        <x:f>P1733*(1-'Assumptions'!$D$14)+Q1733*'Assumptions'!$D$14</x:f>
        <x:v>497.5</x:v>
      </x:c>
      <x:c r="S1733" s="27" t="n">
        <x:f>O1733*'Carrier Engine'!E98</x:f>
        <x:v>41.93387009794123</x:v>
      </x:c>
      <x:c r="T1733" s="28" t="n">
        <x:f>R1733+S1733</x:f>
        <x:v>539.4338700979413</x:v>
      </x:c>
      <x:c r="U1733" s="27" t="n">
        <x:f>N1733*'Fleet Engine'!M217</x:f>
        <x:v>152.85290577891826</x:v>
      </x:c>
      <x:c r="V1733" s="28" t="n">
        <x:f>U1733*T1733</x:f>
        <x:v>82454.03452003785</x:v>
      </x:c>
      <x:c r="W1733" s="28" t="n">
        <x:f>U1733*O1733</x:f>
        <x:v>160242.84737565022</x:v>
      </x:c>
    </x:row>
    <x:row r="1734" ht="19" customHeight="1">
      <x:c r="A1734" s="2"/>
      <x:c r="B1734" s="2"/>
      <x:c r="C1734" s="2"/>
      <x:c r="D1734" s="3"/>
      <x:c r="E1734" s="3"/>
      <x:c r="F1734" s="3"/>
      <x:c r="G1734" s="3"/>
      <x:c r="H1734" s="3"/>
      <x:c r="I1734" s="3"/>
      <x:c r="J1734" s="3"/>
      <x:c r="K1734" s="3"/>
      <x:c r="L1734" s="3"/>
      <x:c r="M1734" s="3"/>
      <x:c r="N1734" s="3"/>
      <x:c r="O1734" s="3"/>
      <x:c r="P1734" s="3"/>
      <x:c r="Q1734" s="3"/>
      <x:c r="R1734" s="3"/>
      <x:c r="S1734" s="3"/>
      <x:c r="T1734" s="3"/>
      <x:c r="U1734" s="3"/>
      <x:c r="V1734" s="3"/>
      <x:c r="W1734" s="3"/>
    </x:row>
    <x:row r="1735" ht="19" customHeight="1">
      <x:c r="A1735" s="2"/>
      <x:c r="B1735" s="2"/>
      <x:c r="C1735" s="2"/>
      <x:c r="D1735" s="3"/>
      <x:c r="E1735" s="3"/>
      <x:c r="F1735" s="3"/>
      <x:c r="G1735" s="3"/>
      <x:c r="H1735" s="3"/>
      <x:c r="I1735" s="3"/>
      <x:c r="J1735" s="3"/>
      <x:c r="K1735" s="3"/>
      <x:c r="L1735" s="3"/>
      <x:c r="M1735" s="3"/>
      <x:c r="N1735" s="3"/>
      <x:c r="O1735" s="3"/>
      <x:c r="P1735" s="3"/>
      <x:c r="Q1735" s="3"/>
      <x:c r="R1735" s="3"/>
      <x:c r="S1735" s="3"/>
      <x:c r="T1735" s="3"/>
      <x:c r="U1735" s="3"/>
      <x:c r="V1735" s="3"/>
      <x:c r="W1735" s="3"/>
    </x:row>
    <x:row r="1736" ht="19" customHeight="1">
      <x:c r="A1736" s="2"/>
      <x:c r="B1736" s="2"/>
      <x:c r="C1736" s="2"/>
      <x:c r="D1736" s="3"/>
      <x:c r="E1736" s="3"/>
      <x:c r="F1736" s="3"/>
      <x:c r="G1736" s="3"/>
      <x:c r="H1736" s="3"/>
      <x:c r="I1736" s="3"/>
      <x:c r="J1736" s="3"/>
      <x:c r="K1736" s="3"/>
      <x:c r="L1736" s="3"/>
      <x:c r="M1736" s="3"/>
      <x:c r="N1736" s="3"/>
      <x:c r="O1736" s="3"/>
      <x:c r="P1736" s="3"/>
      <x:c r="Q1736" s="3"/>
      <x:c r="R1736" s="3"/>
      <x:c r="S1736" s="3"/>
      <x:c r="T1736" s="3"/>
      <x:c r="U1736" s="3"/>
      <x:c r="V1736" s="3"/>
      <x:c r="W1736" s="3"/>
    </x:row>
    <x:row r="1737" ht="19" customHeight="1">
      <x:c r="A1737" s="2"/>
      <x:c r="B1737" s="2"/>
      <x:c r="C1737" s="2"/>
      <x:c r="D1737" s="3"/>
      <x:c r="E1737" s="3"/>
      <x:c r="F1737" s="3"/>
      <x:c r="G1737" s="3"/>
      <x:c r="H1737" s="3"/>
      <x:c r="I1737" s="3"/>
      <x:c r="J1737" s="3"/>
      <x:c r="K1737" s="3"/>
      <x:c r="L1737" s="3"/>
      <x:c r="M1737" s="3"/>
      <x:c r="N1737" s="3"/>
      <x:c r="O1737" s="3"/>
      <x:c r="P1737" s="3"/>
      <x:c r="Q1737" s="3"/>
      <x:c r="R1737" s="3"/>
      <x:c r="S1737" s="3"/>
      <x:c r="T1737" s="3"/>
      <x:c r="U1737" s="3"/>
      <x:c r="V1737" s="3"/>
      <x:c r="W1737" s="3"/>
    </x:row>
    <x:row r="1738" ht="19" customHeight="1">
      <x:c r="A1738" s="2"/>
      <x:c r="B1738" s="2"/>
      <x:c r="C1738" s="2"/>
      <x:c r="D1738" s="3"/>
      <x:c r="E1738" s="3"/>
      <x:c r="F1738" s="3"/>
      <x:c r="G1738" s="3"/>
      <x:c r="H1738" s="3"/>
      <x:c r="I1738" s="3"/>
      <x:c r="J1738" s="3"/>
      <x:c r="K1738" s="3"/>
      <x:c r="L1738" s="3"/>
      <x:c r="M1738" s="3"/>
      <x:c r="N1738" s="3"/>
      <x:c r="O1738" s="3"/>
      <x:c r="P1738" s="3"/>
      <x:c r="Q1738" s="3"/>
      <x:c r="R1738" s="3"/>
      <x:c r="S1738" s="3"/>
      <x:c r="T1738" s="3"/>
      <x:c r="U1738" s="3"/>
      <x:c r="V1738" s="3"/>
      <x:c r="W1738" s="3"/>
    </x:row>
    <x:row r="1739" ht="19" customHeight="1">
      <x:c r="A1739" s="2"/>
      <x:c r="B1739" s="2"/>
      <x:c r="C1739" s="2"/>
      <x:c r="D1739" s="3"/>
      <x:c r="E1739" s="3"/>
      <x:c r="F1739" s="3"/>
      <x:c r="G1739" s="3"/>
      <x:c r="H1739" s="3"/>
      <x:c r="I1739" s="3"/>
      <x:c r="J1739" s="3"/>
      <x:c r="K1739" s="3"/>
      <x:c r="L1739" s="3"/>
      <x:c r="M1739" s="3"/>
      <x:c r="N1739" s="3"/>
      <x:c r="O1739" s="3"/>
      <x:c r="P1739" s="3"/>
      <x:c r="Q1739" s="3"/>
      <x:c r="R1739" s="3"/>
      <x:c r="S1739" s="3"/>
      <x:c r="T1739" s="3"/>
      <x:c r="U1739" s="3"/>
      <x:c r="V1739" s="3"/>
      <x:c r="W1739" s="3"/>
    </x:row>
    <x:row r="1740" ht="19" customHeight="1">
      <x:c r="A1740" s="2"/>
      <x:c r="B1740" s="2"/>
      <x:c r="C1740" s="2"/>
      <x:c r="D1740" s="3"/>
      <x:c r="E1740" s="3"/>
      <x:c r="F1740" s="3"/>
      <x:c r="G1740" s="3"/>
      <x:c r="H1740" s="3"/>
      <x:c r="I1740" s="3"/>
      <x:c r="J1740" s="3"/>
      <x:c r="K1740" s="3"/>
      <x:c r="L1740" s="3"/>
      <x:c r="M1740" s="3"/>
      <x:c r="N1740" s="3"/>
      <x:c r="O1740" s="3"/>
      <x:c r="P1740" s="3"/>
      <x:c r="Q1740" s="3"/>
      <x:c r="R1740" s="3"/>
      <x:c r="S1740" s="3"/>
      <x:c r="T1740" s="3"/>
      <x:c r="U1740" s="3"/>
      <x:c r="V1740" s="3"/>
      <x:c r="W1740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17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/>
      <x:c r="B2" s="2"/>
      <x:c r="C2" s="5" t="str">
        <x:v>Carrier weights and Copart allocation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"/>
      <x:c r="C5" s="8" t="str">
        <x:v>Period ID</x:v>
      </x:c>
      <x:c r="D5" s="8" t="str">
        <x:v>Carrier</x:v>
      </x:c>
      <x:c r="E5" s="8" t="str">
        <x:v>Auto share</x:v>
      </x:c>
      <x:c r="F5" s="8" t="str">
        <x:v>Claim factor</x:v>
      </x:c>
      <x:c r="G5" s="8" t="str">
        <x:v>Raw weight</x:v>
      </x:c>
      <x:c r="H5" s="8" t="str">
        <x:v>Claim share</x:v>
      </x:c>
      <x:c r="I5" s="8" t="str">
        <x:v>Copart alloc</x:v>
      </x:c>
      <x:c r="J5" s="8" t="str">
        <x:v>Assigned share</x:v>
      </x:c>
      <x:c r="K5" s="8" t="str">
        <x:v>Seller rate</x:v>
      </x:c>
      <x:c r="L5" s="8" t="str">
        <x:v>Title-use factor</x:v>
      </x:c>
      <x:c r="M5" s="2"/>
      <x:c r="N5" s="2"/>
    </x:row>
    <x:row r="6" ht="19" customHeight="1">
      <x:c r="A6" s="2"/>
      <x:c r="B6" s="2"/>
      <x:c r="C6" s="26" t="n">
        <x:f>'Source Data'!C250</x:f>
        <x:v>0</x:v>
      </x:c>
      <x:c r="D6" s="27" t="str">
        <x:f>'Source Data'!D250</x:f>
        <x:v>State Farm</x:v>
      </x:c>
      <x:c r="E6" s="29" t="n">
        <x:f>'Source Data'!E250</x:f>
        <x:v>0.18706824324324323</x:v>
      </x:c>
      <x:c r="F6" s="29" t="n">
        <x:f>'Assumptions'!F65</x:f>
        <x:v>1</x:v>
      </x:c>
      <x:c r="G6" s="30" t="n">
        <x:f>E6*F6</x:f>
        <x:v>0.18706824324324323</x:v>
      </x:c>
      <x:c r="H6" s="30" t="n">
        <x:f>G6/SUM(G6:G15)</x:f>
        <x:v>0.18706824324324325</x:v>
      </x:c>
      <x:c r="I6" s="29" t="n">
        <x:f>'Source Data'!F250</x:f>
        <x:v>0.5</x:v>
      </x:c>
      <x:c r="J6" s="30" t="n">
        <x:f>H6*I6</x:f>
        <x:v>0.09353412162162163</x:v>
      </x:c>
      <x:c r="K6" s="29" t="n">
        <x:f>'Assumptions'!D65</x:f>
        <x:v>0.04</x:v>
      </x:c>
      <x:c r="L6" s="29" t="n">
        <x:f>MIN(1,'Assumptions'!D33*'Assumptions'!E65)</x:f>
        <x:v>0.5</x:v>
      </x:c>
      <x:c r="M6" s="3"/>
      <x:c r="N6" s="3"/>
    </x:row>
    <x:row r="7" ht="19" customHeight="1">
      <x:c r="A7" s="2"/>
      <x:c r="B7" s="2"/>
      <x:c r="C7" s="26" t="n">
        <x:f>'Source Data'!C251</x:f>
        <x:v>0</x:v>
      </x:c>
      <x:c r="D7" s="27" t="str">
        <x:f>'Source Data'!D251</x:f>
        <x:v>Progressive</x:v>
      </x:c>
      <x:c r="E7" s="29" t="n">
        <x:f>'Source Data'!E251</x:f>
        <x:v>0.181325</x:v>
      </x:c>
      <x:c r="F7" s="29" t="n">
        <x:f>'Assumptions'!F66</x:f>
        <x:v>1</x:v>
      </x:c>
      <x:c r="G7" s="30" t="n">
        <x:f>E7*F7</x:f>
        <x:v>0.181325</x:v>
      </x:c>
      <x:c r="H7" s="30" t="n">
        <x:f>G7/SUM(G6:G15)</x:f>
        <x:v>0.18132500000000001</x:v>
      </x:c>
      <x:c r="I7" s="29" t="n">
        <x:f>'Source Data'!F251</x:f>
        <x:v>0.25</x:v>
      </x:c>
      <x:c r="J7" s="30" t="n">
        <x:f>H7*I7</x:f>
        <x:v>0.045331250000000003</x:v>
      </x:c>
      <x:c r="K7" s="29" t="n">
        <x:f>'Assumptions'!D66</x:f>
        <x:v>0.04</x:v>
      </x:c>
      <x:c r="L7" s="29" t="n">
        <x:f>MIN(1,'Assumptions'!D33*'Assumptions'!E66)</x:f>
        <x:v>0.5</x:v>
      </x:c>
      <x:c r="M7" s="3"/>
      <x:c r="N7" s="3"/>
    </x:row>
    <x:row r="8" ht="19" customHeight="1">
      <x:c r="A8" s="2"/>
      <x:c r="B8" s="2"/>
      <x:c r="C8" s="26" t="n">
        <x:f>'Source Data'!C252</x:f>
        <x:v>0</x:v>
      </x:c>
      <x:c r="D8" s="27" t="str">
        <x:f>'Source Data'!D252</x:f>
        <x:v>GEICO</x:v>
      </x:c>
      <x:c r="E8" s="29" t="n">
        <x:f>'Source Data'!E252</x:f>
        <x:v>0.11666621621621621</x:v>
      </x:c>
      <x:c r="F8" s="29" t="n">
        <x:f>'Assumptions'!F67</x:f>
        <x:v>1</x:v>
      </x:c>
      <x:c r="G8" s="30" t="n">
        <x:f>E8*F8</x:f>
        <x:v>0.11666621621621621</x:v>
      </x:c>
      <x:c r="H8" s="30" t="n">
        <x:f>G8/SUM(G6:G15)</x:f>
        <x:v>0.11666621621621624</x:v>
      </x:c>
      <x:c r="I8" s="29" t="n">
        <x:f>'Source Data'!F252</x:f>
        <x:v>0.83</x:v>
      </x:c>
      <x:c r="J8" s="30" t="n">
        <x:f>H8*I8</x:f>
        <x:v>0.09683295945945948</x:v>
      </x:c>
      <x:c r="K8" s="29" t="n">
        <x:f>'Assumptions'!D67</x:f>
        <x:v>0.04</x:v>
      </x:c>
      <x:c r="L8" s="29" t="n">
        <x:f>MIN(1,'Assumptions'!D33*'Assumptions'!E67)</x:f>
        <x:v>0.5</x:v>
      </x:c>
      <x:c r="M8" s="3"/>
      <x:c r="N8" s="3"/>
    </x:row>
    <x:row r="9" ht="19" customHeight="1">
      <x:c r="A9" s="2"/>
      <x:c r="B9" s="2"/>
      <x:c r="C9" s="26" t="n">
        <x:f>'Source Data'!C253</x:f>
        <x:v>0</x:v>
      </x:c>
      <x:c r="D9" s="27" t="str">
        <x:f>'Source Data'!D253</x:f>
        <x:v>Allstate</x:v>
      </x:c>
      <x:c r="E9" s="29" t="n">
        <x:f>'Source Data'!E253</x:f>
        <x:v>0.1025858108108108</x:v>
      </x:c>
      <x:c r="F9" s="29" t="n">
        <x:f>'Assumptions'!F68</x:f>
        <x:v>1</x:v>
      </x:c>
      <x:c r="G9" s="30" t="n">
        <x:f>E9*F9</x:f>
        <x:v>0.1025858108108108</x:v>
      </x:c>
      <x:c r="H9" s="30" t="n">
        <x:f>G9/SUM(G6:G15)</x:f>
        <x:v>0.10258581081081083</x:v>
      </x:c>
      <x:c r="I9" s="29" t="n">
        <x:f>'Source Data'!F253</x:f>
        <x:v>0.95</x:v>
      </x:c>
      <x:c r="J9" s="30" t="n">
        <x:f>H9*I9</x:f>
        <x:v>0.09745652027027028</x:v>
      </x:c>
      <x:c r="K9" s="29" t="n">
        <x:f>'Assumptions'!D68</x:f>
        <x:v>0.04</x:v>
      </x:c>
      <x:c r="L9" s="29" t="n">
        <x:f>MIN(1,'Assumptions'!D33*'Assumptions'!E68)</x:f>
        <x:v>0.5</x:v>
      </x:c>
      <x:c r="M9" s="3"/>
      <x:c r="N9" s="3"/>
    </x:row>
    <x:row r="10" ht="19" customHeight="1">
      <x:c r="A10" s="2"/>
      <x:c r="B10" s="2"/>
      <x:c r="C10" s="26" t="n">
        <x:f>'Source Data'!C254</x:f>
        <x:v>0</x:v>
      </x:c>
      <x:c r="D10" s="27" t="str">
        <x:f>'Source Data'!D254</x:f>
        <x:v>USAA</x:v>
      </x:c>
      <x:c r="E10" s="29" t="n">
        <x:f>'Source Data'!E254</x:f>
        <x:v>0.06235608108108108</x:v>
      </x:c>
      <x:c r="F10" s="29" t="n">
        <x:f>'Assumptions'!F69</x:f>
        <x:v>1</x:v>
      </x:c>
      <x:c r="G10" s="30" t="n">
        <x:f>E10*F10</x:f>
        <x:v>0.06235608108108108</x:v>
      </x:c>
      <x:c r="H10" s="30" t="n">
        <x:f>G10/SUM(G6:G15)</x:f>
        <x:v>0.062356081081081094</x:v>
      </x:c>
      <x:c r="I10" s="29" t="n">
        <x:f>'Source Data'!F254</x:f>
        <x:v>0.95</x:v>
      </x:c>
      <x:c r="J10" s="30" t="n">
        <x:f>H10*I10</x:f>
        <x:v>0.05923827702702704</x:v>
      </x:c>
      <x:c r="K10" s="29" t="n">
        <x:f>'Assumptions'!D69</x:f>
        <x:v>0.04</x:v>
      </x:c>
      <x:c r="L10" s="29" t="n">
        <x:f>MIN(1,'Assumptions'!D33*'Assumptions'!E69)</x:f>
        <x:v>0.5</x:v>
      </x:c>
      <x:c r="M10" s="3"/>
      <x:c r="N10" s="3"/>
    </x:row>
    <x:row r="11" ht="19" customHeight="1">
      <x:c r="A11" s="2"/>
      <x:c r="B11" s="2"/>
      <x:c r="C11" s="26" t="n">
        <x:f>'Source Data'!C255</x:f>
        <x:v>0</x:v>
      </x:c>
      <x:c r="D11" s="27" t="str">
        <x:f>'Source Data'!D255</x:f>
        <x:v>Farmers</x:v>
      </x:c>
      <x:c r="E11" s="29" t="n">
        <x:f>'Source Data'!E255</x:f>
        <x:v>0.03821824324324324</x:v>
      </x:c>
      <x:c r="F11" s="29" t="n">
        <x:f>'Assumptions'!F70</x:f>
        <x:v>1</x:v>
      </x:c>
      <x:c r="G11" s="30" t="n">
        <x:f>E11*F11</x:f>
        <x:v>0.03821824324324324</x:v>
      </x:c>
      <x:c r="H11" s="30" t="n">
        <x:f>G11/SUM(G6:G15)</x:f>
        <x:v>0.038218243243243244</x:v>
      </x:c>
      <x:c r="I11" s="29" t="n">
        <x:f>'Source Data'!F255</x:f>
        <x:v>0.9</x:v>
      </x:c>
      <x:c r="J11" s="30" t="n">
        <x:f>H11*I11</x:f>
        <x:v>0.03439641891891892</x:v>
      </x:c>
      <x:c r="K11" s="29" t="n">
        <x:f>'Assumptions'!D70</x:f>
        <x:v>0.04</x:v>
      </x:c>
      <x:c r="L11" s="29" t="n">
        <x:f>MIN(1,'Assumptions'!D33*'Assumptions'!E70)</x:f>
        <x:v>0.5</x:v>
      </x:c>
      <x:c r="M11" s="3"/>
      <x:c r="N11" s="3"/>
    </x:row>
    <x:row r="12" ht="19" customHeight="1">
      <x:c r="A12" s="2"/>
      <x:c r="B12" s="2"/>
      <x:c r="C12" s="26" t="n">
        <x:f>'Source Data'!C256</x:f>
        <x:v>0</x:v>
      </x:c>
      <x:c r="D12" s="27" t="str">
        <x:f>'Source Data'!D256</x:f>
        <x:v>Liberty Mutual</x:v>
      </x:c>
      <x:c r="E12" s="29" t="n">
        <x:f>'Source Data'!E256</x:f>
        <x:v>0.03318952702702703</x:v>
      </x:c>
      <x:c r="F12" s="29" t="n">
        <x:f>'Assumptions'!F71</x:f>
        <x:v>1</x:v>
      </x:c>
      <x:c r="G12" s="30" t="n">
        <x:f>E12*F12</x:f>
        <x:v>0.03318952702702703</x:v>
      </x:c>
      <x:c r="H12" s="30" t="n">
        <x:f>G12/SUM(G6:G15)</x:f>
        <x:v>0.03318952702702704</x:v>
      </x:c>
      <x:c r="I12" s="29" t="n">
        <x:f>'Source Data'!F256</x:f>
        <x:v>0.7</x:v>
      </x:c>
      <x:c r="J12" s="30" t="n">
        <x:f>H12*I12</x:f>
        <x:v>0.023232668918918925</x:v>
      </x:c>
      <x:c r="K12" s="29" t="n">
        <x:f>'Assumptions'!D71</x:f>
        <x:v>0.04</x:v>
      </x:c>
      <x:c r="L12" s="29" t="n">
        <x:f>MIN(1,'Assumptions'!D33*'Assumptions'!E71)</x:f>
        <x:v>0.5</x:v>
      </x:c>
      <x:c r="M12" s="3"/>
      <x:c r="N12" s="3"/>
    </x:row>
    <x:row r="13" ht="19" customHeight="1">
      <x:c r="A13" s="2"/>
      <x:c r="B13" s="2"/>
      <x:c r="C13" s="26" t="n">
        <x:f>'Source Data'!C257</x:f>
        <x:v>0</x:v>
      </x:c>
      <x:c r="D13" s="27" t="str">
        <x:f>'Source Data'!D257</x:f>
        <x:v>Travelers</x:v>
      </x:c>
      <x:c r="E13" s="29" t="n">
        <x:f>'Source Data'!E257</x:f>
        <x:v>0.020114864864864867</x:v>
      </x:c>
      <x:c r="F13" s="29" t="n">
        <x:f>'Assumptions'!F72</x:f>
        <x:v>1</x:v>
      </x:c>
      <x:c r="G13" s="30" t="n">
        <x:f>E13*F13</x:f>
        <x:v>0.020114864864864867</x:v>
      </x:c>
      <x:c r="H13" s="30" t="n">
        <x:f>G13/SUM(G6:G15)</x:f>
        <x:v>0.02011486486486487</x:v>
      </x:c>
      <x:c r="I13" s="29" t="n">
        <x:f>'Source Data'!F257</x:f>
        <x:v>0.85</x:v>
      </x:c>
      <x:c r="J13" s="30" t="n">
        <x:f>H13*I13</x:f>
        <x:v>0.01709763513513514</x:v>
      </x:c>
      <x:c r="K13" s="29" t="n">
        <x:f>'Assumptions'!D72</x:f>
        <x:v>0.04</x:v>
      </x:c>
      <x:c r="L13" s="29" t="n">
        <x:f>MIN(1,'Assumptions'!D33*'Assumptions'!E72)</x:f>
        <x:v>0.5</x:v>
      </x:c>
      <x:c r="M13" s="3"/>
      <x:c r="N13" s="3"/>
    </x:row>
    <x:row r="14" ht="19" customHeight="1">
      <x:c r="A14" s="2"/>
      <x:c r="B14" s="2"/>
      <x:c r="C14" s="26" t="n">
        <x:f>'Source Data'!C258</x:f>
        <x:v>0</x:v>
      </x:c>
      <x:c r="D14" s="27" t="str">
        <x:f>'Source Data'!D258</x:f>
        <x:v>Nationwide</x:v>
      </x:c>
      <x:c r="E14" s="29" t="n">
        <x:f>'Source Data'!E258</x:f>
        <x:v>0.015086148648648648</x:v>
      </x:c>
      <x:c r="F14" s="29" t="n">
        <x:f>'Assumptions'!F73</x:f>
        <x:v>1</x:v>
      </x:c>
      <x:c r="G14" s="30" t="n">
        <x:f>E14*F14</x:f>
        <x:v>0.015086148648648648</x:v>
      </x:c>
      <x:c r="H14" s="30" t="n">
        <x:f>G14/SUM(G6:G15)</x:f>
        <x:v>0.015086148648648651</x:v>
      </x:c>
      <x:c r="I14" s="29" t="n">
        <x:f>'Source Data'!F258</x:f>
        <x:v>0.95</x:v>
      </x:c>
      <x:c r="J14" s="30" t="n">
        <x:f>H14*I14</x:f>
        <x:v>0.014331841216216218</x:v>
      </x:c>
      <x:c r="K14" s="29" t="n">
        <x:f>'Assumptions'!D73</x:f>
        <x:v>0.04</x:v>
      </x:c>
      <x:c r="L14" s="29" t="n">
        <x:f>MIN(1,'Assumptions'!D33*'Assumptions'!E73)</x:f>
        <x:v>0.5</x:v>
      </x:c>
      <x:c r="M14" s="3"/>
      <x:c r="N14" s="3"/>
    </x:row>
    <x:row r="15" ht="19" customHeight="1">
      <x:c r="A15" s="2"/>
      <x:c r="B15" s="2"/>
      <x:c r="C15" s="26" t="n">
        <x:f>'Source Data'!C259</x:f>
        <x:v>0</x:v>
      </x:c>
      <x:c r="D15" s="27" t="str">
        <x:f>'Source Data'!D259</x:f>
        <x:v>Other (Erie, AAA, AmFam, regionals)</x:v>
      </x:c>
      <x:c r="E15" s="29" t="n">
        <x:f>'Source Data'!E259</x:f>
        <x:v>0.24338986486486486</x:v>
      </x:c>
      <x:c r="F15" s="29" t="n">
        <x:f>'Assumptions'!F74</x:f>
        <x:v>1</x:v>
      </x:c>
      <x:c r="G15" s="30" t="n">
        <x:f>E15*F15</x:f>
        <x:v>0.24338986486486486</x:v>
      </x:c>
      <x:c r="H15" s="30" t="n">
        <x:f>G15/SUM(G6:G15)</x:f>
        <x:v>0.2433898648648649</x:v>
      </x:c>
      <x:c r="I15" s="29" t="n">
        <x:f>'Source Data'!F259</x:f>
        <x:v>0.5</x:v>
      </x:c>
      <x:c r="J15" s="30" t="n">
        <x:f>H15*I15</x:f>
        <x:v>0.12169493243243246</x:v>
      </x:c>
      <x:c r="K15" s="29" t="n">
        <x:f>'Assumptions'!D74</x:f>
        <x:v>0.04</x:v>
      </x:c>
      <x:c r="L15" s="29" t="n">
        <x:f>MIN(1,'Assumptions'!D33*'Assumptions'!E74)</x:f>
        <x:v>0.5</x:v>
      </x:c>
      <x:c r="M15" s="3"/>
      <x:c r="N15" s="3"/>
    </x:row>
    <x:row r="16" ht="19" customHeight="1">
      <x:c r="A16" s="2"/>
      <x:c r="B16" s="2"/>
      <x:c r="C16" s="26" t="n">
        <x:f>'Source Data'!C260</x:f>
        <x:v>1</x:v>
      </x:c>
      <x:c r="D16" s="27" t="str">
        <x:f>'Source Data'!D260</x:f>
        <x:v>State Farm</x:v>
      </x:c>
      <x:c r="E16" s="29" t="n">
        <x:f>'Source Data'!E260</x:f>
        <x:v>0.186</x:v>
      </x:c>
      <x:c r="F16" s="29" t="n">
        <x:f>'Assumptions'!F65</x:f>
        <x:v>1</x:v>
      </x:c>
      <x:c r="G16" s="30" t="n">
        <x:f>E16*F16</x:f>
        <x:v>0.186</x:v>
      </x:c>
      <x:c r="H16" s="30" t="n">
        <x:f>G16/SUM(G16:G25)</x:f>
        <x:v>0.186</x:v>
      </x:c>
      <x:c r="I16" s="29" t="n">
        <x:f>'Source Data'!F260</x:f>
        <x:v>0.5</x:v>
      </x:c>
      <x:c r="J16" s="30" t="n">
        <x:f>H16*I16</x:f>
        <x:v>0.093</x:v>
      </x:c>
      <x:c r="K16" s="29" t="n">
        <x:f>'Assumptions'!D65</x:f>
        <x:v>0.04</x:v>
      </x:c>
      <x:c r="L16" s="29" t="n">
        <x:f>MIN(1,'Assumptions'!E33*'Assumptions'!E65)</x:f>
        <x:v>0.5</x:v>
      </x:c>
      <x:c r="M16" s="3"/>
      <x:c r="N16" s="3"/>
    </x:row>
    <x:row r="17" ht="19" customHeight="1">
      <x:c r="A17" s="2"/>
      <x:c r="B17" s="2"/>
      <x:c r="C17" s="26" t="n">
        <x:f>'Source Data'!C261</x:f>
        <x:v>1</x:v>
      </x:c>
      <x:c r="D17" s="27" t="str">
        <x:f>'Source Data'!D261</x:f>
        <x:v>Progressive</x:v>
      </x:c>
      <x:c r="E17" s="29" t="n">
        <x:f>'Source Data'!E261</x:f>
        <x:v>0.186</x:v>
      </x:c>
      <x:c r="F17" s="29" t="n">
        <x:f>'Assumptions'!F66</x:f>
        <x:v>1</x:v>
      </x:c>
      <x:c r="G17" s="30" t="n">
        <x:f>E17*F17</x:f>
        <x:v>0.186</x:v>
      </x:c>
      <x:c r="H17" s="30" t="n">
        <x:f>G17/SUM(G16:G25)</x:f>
        <x:v>0.186</x:v>
      </x:c>
      <x:c r="I17" s="29" t="n">
        <x:f>'Source Data'!F261</x:f>
        <x:v>0.25</x:v>
      </x:c>
      <x:c r="J17" s="30" t="n">
        <x:f>H17*I17</x:f>
        <x:v>0.0465</x:v>
      </x:c>
      <x:c r="K17" s="29" t="n">
        <x:f>'Assumptions'!D66</x:f>
        <x:v>0.04</x:v>
      </x:c>
      <x:c r="L17" s="29" t="n">
        <x:f>MIN(1,'Assumptions'!E33*'Assumptions'!E66)</x:f>
        <x:v>0.5</x:v>
      </x:c>
      <x:c r="M17" s="3"/>
      <x:c r="N17" s="3"/>
    </x:row>
    <x:row r="18" ht="19" customHeight="1">
      <x:c r="A18" s="2"/>
      <x:c r="B18" s="2"/>
      <x:c r="C18" s="26" t="n">
        <x:f>'Source Data'!C262</x:f>
        <x:v>1</x:v>
      </x:c>
      <x:c r="D18" s="27" t="str">
        <x:f>'Source Data'!D262</x:f>
        <x:v>GEICO</x:v>
      </x:c>
      <x:c r="E18" s="29" t="n">
        <x:f>'Source Data'!E262</x:f>
        <x:v>0.116</x:v>
      </x:c>
      <x:c r="F18" s="29" t="n">
        <x:f>'Assumptions'!F67</x:f>
        <x:v>1</x:v>
      </x:c>
      <x:c r="G18" s="30" t="n">
        <x:f>E18*F18</x:f>
        <x:v>0.116</x:v>
      </x:c>
      <x:c r="H18" s="30" t="n">
        <x:f>G18/SUM(G16:G25)</x:f>
        <x:v>0.116</x:v>
      </x:c>
      <x:c r="I18" s="29" t="n">
        <x:f>'Source Data'!F262</x:f>
        <x:v>0.83</x:v>
      </x:c>
      <x:c r="J18" s="30" t="n">
        <x:f>H18*I18</x:f>
        <x:v>0.09628</x:v>
      </x:c>
      <x:c r="K18" s="29" t="n">
        <x:f>'Assumptions'!D67</x:f>
        <x:v>0.04</x:v>
      </x:c>
      <x:c r="L18" s="29" t="n">
        <x:f>MIN(1,'Assumptions'!E33*'Assumptions'!E67)</x:f>
        <x:v>0.5</x:v>
      </x:c>
      <x:c r="M18" s="3"/>
      <x:c r="N18" s="3"/>
    </x:row>
    <x:row r="19" ht="19" customHeight="1">
      <x:c r="A19" s="2"/>
      <x:c r="B19" s="2"/>
      <x:c r="C19" s="26" t="n">
        <x:f>'Source Data'!C263</x:f>
        <x:v>1</x:v>
      </x:c>
      <x:c r="D19" s="27" t="str">
        <x:f>'Source Data'!D263</x:f>
        <x:v>Allstate</x:v>
      </x:c>
      <x:c r="E19" s="29" t="n">
        <x:f>'Source Data'!E263</x:f>
        <x:v>0.102</x:v>
      </x:c>
      <x:c r="F19" s="29" t="n">
        <x:f>'Assumptions'!F68</x:f>
        <x:v>1</x:v>
      </x:c>
      <x:c r="G19" s="30" t="n">
        <x:f>E19*F19</x:f>
        <x:v>0.102</x:v>
      </x:c>
      <x:c r="H19" s="30" t="n">
        <x:f>G19/SUM(G16:G25)</x:f>
        <x:v>0.102</x:v>
      </x:c>
      <x:c r="I19" s="29" t="n">
        <x:f>'Source Data'!F263</x:f>
        <x:v>0.95</x:v>
      </x:c>
      <x:c r="J19" s="30" t="n">
        <x:f>H19*I19</x:f>
        <x:v>0.09689999999999999</x:v>
      </x:c>
      <x:c r="K19" s="29" t="n">
        <x:f>'Assumptions'!D68</x:f>
        <x:v>0.04</x:v>
      </x:c>
      <x:c r="L19" s="29" t="n">
        <x:f>MIN(1,'Assumptions'!E33*'Assumptions'!E68)</x:f>
        <x:v>0.5</x:v>
      </x:c>
      <x:c r="M19" s="3"/>
      <x:c r="N19" s="3"/>
    </x:row>
    <x:row r="20" ht="19" customHeight="1">
      <x:c r="A20" s="2"/>
      <x:c r="B20" s="2"/>
      <x:c r="C20" s="26" t="n">
        <x:f>'Source Data'!C264</x:f>
        <x:v>1</x:v>
      </x:c>
      <x:c r="D20" s="27" t="str">
        <x:f>'Source Data'!D264</x:f>
        <x:v>USAA</x:v>
      </x:c>
      <x:c r="E20" s="29" t="n">
        <x:f>'Source Data'!E264</x:f>
        <x:v>0.062</x:v>
      </x:c>
      <x:c r="F20" s="29" t="n">
        <x:f>'Assumptions'!F69</x:f>
        <x:v>1</x:v>
      </x:c>
      <x:c r="G20" s="30" t="n">
        <x:f>E20*F20</x:f>
        <x:v>0.062</x:v>
      </x:c>
      <x:c r="H20" s="30" t="n">
        <x:f>G20/SUM(G16:G25)</x:f>
        <x:v>0.062</x:v>
      </x:c>
      <x:c r="I20" s="29" t="n">
        <x:f>'Source Data'!F264</x:f>
        <x:v>0.95</x:v>
      </x:c>
      <x:c r="J20" s="30" t="n">
        <x:f>H20*I20</x:f>
        <x:v>0.058899999999999994</x:v>
      </x:c>
      <x:c r="K20" s="29" t="n">
        <x:f>'Assumptions'!D69</x:f>
        <x:v>0.04</x:v>
      </x:c>
      <x:c r="L20" s="29" t="n">
        <x:f>MIN(1,'Assumptions'!E33*'Assumptions'!E69)</x:f>
        <x:v>0.5</x:v>
      </x:c>
      <x:c r="M20" s="3"/>
      <x:c r="N20" s="3"/>
    </x:row>
    <x:row r="21" ht="19" customHeight="1">
      <x:c r="A21" s="2"/>
      <x:c r="B21" s="2"/>
      <x:c r="C21" s="26" t="n">
        <x:f>'Source Data'!C265</x:f>
        <x:v>1</x:v>
      </x:c>
      <x:c r="D21" s="27" t="str">
        <x:f>'Source Data'!D265</x:f>
        <x:v>Farmers</x:v>
      </x:c>
      <x:c r="E21" s="29" t="n">
        <x:f>'Source Data'!E265</x:f>
        <x:v>0.038</x:v>
      </x:c>
      <x:c r="F21" s="29" t="n">
        <x:f>'Assumptions'!F70</x:f>
        <x:v>1</x:v>
      </x:c>
      <x:c r="G21" s="30" t="n">
        <x:f>E21*F21</x:f>
        <x:v>0.038</x:v>
      </x:c>
      <x:c r="H21" s="30" t="n">
        <x:f>G21/SUM(G16:G25)</x:f>
        <x:v>0.038</x:v>
      </x:c>
      <x:c r="I21" s="29" t="n">
        <x:f>'Source Data'!F265</x:f>
        <x:v>0.9</x:v>
      </x:c>
      <x:c r="J21" s="30" t="n">
        <x:f>H21*I21</x:f>
        <x:v>0.0342</x:v>
      </x:c>
      <x:c r="K21" s="29" t="n">
        <x:f>'Assumptions'!D70</x:f>
        <x:v>0.04</x:v>
      </x:c>
      <x:c r="L21" s="29" t="n">
        <x:f>MIN(1,'Assumptions'!E33*'Assumptions'!E70)</x:f>
        <x:v>0.5</x:v>
      </x:c>
      <x:c r="M21" s="3"/>
      <x:c r="N21" s="3"/>
    </x:row>
    <x:row r="22" ht="19" customHeight="1">
      <x:c r="A22" s="2"/>
      <x:c r="B22" s="2"/>
      <x:c r="C22" s="26" t="n">
        <x:f>'Source Data'!C266</x:f>
        <x:v>1</x:v>
      </x:c>
      <x:c r="D22" s="27" t="str">
        <x:f>'Source Data'!D266</x:f>
        <x:v>Liberty Mutual</x:v>
      </x:c>
      <x:c r="E22" s="29" t="n">
        <x:f>'Source Data'!E266</x:f>
        <x:v>0.033</x:v>
      </x:c>
      <x:c r="F22" s="29" t="n">
        <x:f>'Assumptions'!F71</x:f>
        <x:v>1</x:v>
      </x:c>
      <x:c r="G22" s="30" t="n">
        <x:f>E22*F22</x:f>
        <x:v>0.033</x:v>
      </x:c>
      <x:c r="H22" s="30" t="n">
        <x:f>G22/SUM(G16:G25)</x:f>
        <x:v>0.033</x:v>
      </x:c>
      <x:c r="I22" s="29" t="n">
        <x:f>'Source Data'!F266</x:f>
        <x:v>0.7</x:v>
      </x:c>
      <x:c r="J22" s="30" t="n">
        <x:f>H22*I22</x:f>
        <x:v>0.0231</x:v>
      </x:c>
      <x:c r="K22" s="29" t="n">
        <x:f>'Assumptions'!D71</x:f>
        <x:v>0.04</x:v>
      </x:c>
      <x:c r="L22" s="29" t="n">
        <x:f>MIN(1,'Assumptions'!E33*'Assumptions'!E71)</x:f>
        <x:v>0.5</x:v>
      </x:c>
      <x:c r="M22" s="3"/>
      <x:c r="N22" s="3"/>
    </x:row>
    <x:row r="23" ht="19" customHeight="1">
      <x:c r="A23" s="2"/>
      <x:c r="B23" s="2"/>
      <x:c r="C23" s="26" t="n">
        <x:f>'Source Data'!C267</x:f>
        <x:v>1</x:v>
      </x:c>
      <x:c r="D23" s="27" t="str">
        <x:f>'Source Data'!D267</x:f>
        <x:v>Travelers</x:v>
      </x:c>
      <x:c r="E23" s="29" t="n">
        <x:f>'Source Data'!E267</x:f>
        <x:v>0.02</x:v>
      </x:c>
      <x:c r="F23" s="29" t="n">
        <x:f>'Assumptions'!F72</x:f>
        <x:v>1</x:v>
      </x:c>
      <x:c r="G23" s="30" t="n">
        <x:f>E23*F23</x:f>
        <x:v>0.02</x:v>
      </x:c>
      <x:c r="H23" s="30" t="n">
        <x:f>G23/SUM(G16:G25)</x:f>
        <x:v>0.02</x:v>
      </x:c>
      <x:c r="I23" s="29" t="n">
        <x:f>'Source Data'!F267</x:f>
        <x:v>0.85</x:v>
      </x:c>
      <x:c r="J23" s="30" t="n">
        <x:f>H23*I23</x:f>
        <x:v>0.017</x:v>
      </x:c>
      <x:c r="K23" s="29" t="n">
        <x:f>'Assumptions'!D72</x:f>
        <x:v>0.04</x:v>
      </x:c>
      <x:c r="L23" s="29" t="n">
        <x:f>MIN(1,'Assumptions'!E33*'Assumptions'!E72)</x:f>
        <x:v>0.5</x:v>
      </x:c>
      <x:c r="M23" s="3"/>
      <x:c r="N23" s="3"/>
    </x:row>
    <x:row r="24" ht="19" customHeight="1">
      <x:c r="A24" s="2"/>
      <x:c r="B24" s="2"/>
      <x:c r="C24" s="26" t="n">
        <x:f>'Source Data'!C268</x:f>
        <x:v>1</x:v>
      </x:c>
      <x:c r="D24" s="27" t="str">
        <x:f>'Source Data'!D268</x:f>
        <x:v>Nationwide</x:v>
      </x:c>
      <x:c r="E24" s="29" t="n">
        <x:f>'Source Data'!E268</x:f>
        <x:v>0.015</x:v>
      </x:c>
      <x:c r="F24" s="29" t="n">
        <x:f>'Assumptions'!F73</x:f>
        <x:v>1</x:v>
      </x:c>
      <x:c r="G24" s="30" t="n">
        <x:f>E24*F24</x:f>
        <x:v>0.015</x:v>
      </x:c>
      <x:c r="H24" s="30" t="n">
        <x:f>G24/SUM(G16:G25)</x:f>
        <x:v>0.015</x:v>
      </x:c>
      <x:c r="I24" s="29" t="n">
        <x:f>'Source Data'!F268</x:f>
        <x:v>0.95</x:v>
      </x:c>
      <x:c r="J24" s="30" t="n">
        <x:f>H24*I24</x:f>
        <x:v>0.014249999999999999</x:v>
      </x:c>
      <x:c r="K24" s="29" t="n">
        <x:f>'Assumptions'!D73</x:f>
        <x:v>0.04</x:v>
      </x:c>
      <x:c r="L24" s="29" t="n">
        <x:f>MIN(1,'Assumptions'!E33*'Assumptions'!E73)</x:f>
        <x:v>0.5</x:v>
      </x:c>
      <x:c r="M24" s="3"/>
      <x:c r="N24" s="3"/>
    </x:row>
    <x:row r="25" ht="19" customHeight="1">
      <x:c r="A25" s="2"/>
      <x:c r="B25" s="2"/>
      <x:c r="C25" s="26" t="n">
        <x:f>'Source Data'!C269</x:f>
        <x:v>1</x:v>
      </x:c>
      <x:c r="D25" s="27" t="str">
        <x:f>'Source Data'!D269</x:f>
        <x:v>Other (Erie, AAA, AmFam, regionals)</x:v>
      </x:c>
      <x:c r="E25" s="29" t="n">
        <x:f>'Source Data'!E269</x:f>
        <x:v>0.24199999999999997</x:v>
      </x:c>
      <x:c r="F25" s="29" t="n">
        <x:f>'Assumptions'!F74</x:f>
        <x:v>1</x:v>
      </x:c>
      <x:c r="G25" s="30" t="n">
        <x:f>E25*F25</x:f>
        <x:v>0.24199999999999997</x:v>
      </x:c>
      <x:c r="H25" s="30" t="n">
        <x:f>G25/SUM(G16:G25)</x:f>
        <x:v>0.24199999999999997</x:v>
      </x:c>
      <x:c r="I25" s="29" t="n">
        <x:f>'Source Data'!F269</x:f>
        <x:v>0.5</x:v>
      </x:c>
      <x:c r="J25" s="30" t="n">
        <x:f>H25*I25</x:f>
        <x:v>0.12099999999999998</x:v>
      </x:c>
      <x:c r="K25" s="29" t="n">
        <x:f>'Assumptions'!D74</x:f>
        <x:v>0.04</x:v>
      </x:c>
      <x:c r="L25" s="29" t="n">
        <x:f>MIN(1,'Assumptions'!E33*'Assumptions'!E74)</x:f>
        <x:v>0.5</x:v>
      </x:c>
      <x:c r="M25" s="3"/>
      <x:c r="N25" s="3"/>
    </x:row>
    <x:row r="26" ht="19" customHeight="1">
      <x:c r="A26" s="2"/>
      <x:c r="B26" s="2"/>
      <x:c r="C26" s="26" t="n">
        <x:f>'Source Data'!C270</x:f>
        <x:v>2</x:v>
      </x:c>
      <x:c r="D26" s="27" t="str">
        <x:f>'Source Data'!D270</x:f>
        <x:v>State Farm</x:v>
      </x:c>
      <x:c r="E26" s="29" t="n">
        <x:f>'Source Data'!E270</x:f>
        <x:v>0.18520024570024568</x:v>
      </x:c>
      <x:c r="F26" s="29" t="n">
        <x:f>'Assumptions'!F65</x:f>
        <x:v>1</x:v>
      </x:c>
      <x:c r="G26" s="30" t="n">
        <x:f>E26*F26</x:f>
        <x:v>0.18520024570024568</x:v>
      </x:c>
      <x:c r="H26" s="30" t="n">
        <x:f>G26/SUM(G26:G35)</x:f>
        <x:v>0.1852002457002457</x:v>
      </x:c>
      <x:c r="I26" s="29" t="n">
        <x:f>'Source Data'!F270</x:f>
        <x:v>0.5</x:v>
      </x:c>
      <x:c r="J26" s="30" t="n">
        <x:f>H26*I26</x:f>
        <x:v>0.09260012285012285</x:v>
      </x:c>
      <x:c r="K26" s="29" t="n">
        <x:f>'Assumptions'!D65</x:f>
        <x:v>0.04</x:v>
      </x:c>
      <x:c r="L26" s="29" t="n">
        <x:f>MIN(1,'Assumptions'!F33*'Assumptions'!E65)</x:f>
        <x:v>0.5</x:v>
      </x:c>
      <x:c r="M26" s="3"/>
      <x:c r="N26" s="3"/>
    </x:row>
    <x:row r="27" ht="19" customHeight="1">
      <x:c r="A27" s="2"/>
      <x:c r="B27" s="2"/>
      <x:c r="C27" s="26" t="n">
        <x:f>'Source Data'!C271</x:f>
        <x:v>2</x:v>
      </x:c>
      <x:c r="D27" s="27" t="str">
        <x:f>'Source Data'!D271</x:f>
        <x:v>Progressive</x:v>
      </x:c>
      <x:c r="E27" s="29" t="n">
        <x:f>'Source Data'!E271</x:f>
        <x:v>0.1895</x:v>
      </x:c>
      <x:c r="F27" s="29" t="n">
        <x:f>'Assumptions'!F66</x:f>
        <x:v>1</x:v>
      </x:c>
      <x:c r="G27" s="30" t="n">
        <x:f>E27*F27</x:f>
        <x:v>0.1895</x:v>
      </x:c>
      <x:c r="H27" s="30" t="n">
        <x:f>G27/SUM(G26:G35)</x:f>
        <x:v>0.18950000000000003</x:v>
      </x:c>
      <x:c r="I27" s="29" t="n">
        <x:f>'Source Data'!F271</x:f>
        <x:v>0.1590909090909091</x:v>
      </x:c>
      <x:c r="J27" s="30" t="n">
        <x:f>H27*I27</x:f>
        <x:v>0.030147727272727277</x:v>
      </x:c>
      <x:c r="K27" s="29" t="n">
        <x:f>'Assumptions'!D66</x:f>
        <x:v>0.04</x:v>
      </x:c>
      <x:c r="L27" s="29" t="n">
        <x:f>MIN(1,'Assumptions'!F33*'Assumptions'!E66)</x:f>
        <x:v>0.5</x:v>
      </x:c>
      <x:c r="M27" s="3"/>
      <x:c r="N27" s="3"/>
    </x:row>
    <x:row r="28" ht="19" customHeight="1">
      <x:c r="A28" s="2"/>
      <x:c r="B28" s="2"/>
      <x:c r="C28" s="26" t="n">
        <x:f>'Source Data'!C272</x:f>
        <x:v>2</x:v>
      </x:c>
      <x:c r="D28" s="27" t="str">
        <x:f>'Source Data'!D272</x:f>
        <x:v>GEICO</x:v>
      </x:c>
      <x:c r="E28" s="29" t="n">
        <x:f>'Source Data'!E272</x:f>
        <x:v>0.1155012285012285</x:v>
      </x:c>
      <x:c r="F28" s="29" t="n">
        <x:f>'Assumptions'!F67</x:f>
        <x:v>1</x:v>
      </x:c>
      <x:c r="G28" s="30" t="n">
        <x:f>E28*F28</x:f>
        <x:v>0.1155012285012285</x:v>
      </x:c>
      <x:c r="H28" s="30" t="n">
        <x:f>G28/SUM(G26:G35)</x:f>
        <x:v>0.11550122850122851</x:v>
      </x:c>
      <x:c r="I28" s="29" t="n">
        <x:f>'Source Data'!F272</x:f>
        <x:v>0.83</x:v>
      </x:c>
      <x:c r="J28" s="30" t="n">
        <x:f>H28*I28</x:f>
        <x:v>0.09586601965601967</x:v>
      </x:c>
      <x:c r="K28" s="29" t="n">
        <x:f>'Assumptions'!D67</x:f>
        <x:v>0.04</x:v>
      </x:c>
      <x:c r="L28" s="29" t="n">
        <x:f>MIN(1,'Assumptions'!F33*'Assumptions'!E67)</x:f>
        <x:v>0.5</x:v>
      </x:c>
      <x:c r="M28" s="3"/>
      <x:c r="N28" s="3"/>
    </x:row>
    <x:row r="29" ht="19" customHeight="1">
      <x:c r="A29" s="2"/>
      <x:c r="B29" s="2"/>
      <x:c r="C29" s="26" t="n">
        <x:f>'Source Data'!C273</x:f>
        <x:v>2</x:v>
      </x:c>
      <x:c r="D29" s="27" t="str">
        <x:f>'Source Data'!D273</x:f>
        <x:v>Allstate</x:v>
      </x:c>
      <x:c r="E29" s="29" t="n">
        <x:f>'Source Data'!E273</x:f>
        <x:v>0.10156142506142504</x:v>
      </x:c>
      <x:c r="F29" s="29" t="n">
        <x:f>'Assumptions'!F68</x:f>
        <x:v>1</x:v>
      </x:c>
      <x:c r="G29" s="30" t="n">
        <x:f>E29*F29</x:f>
        <x:v>0.10156142506142504</x:v>
      </x:c>
      <x:c r="H29" s="30" t="n">
        <x:f>G29/SUM(G26:G35)</x:f>
        <x:v>0.10156142506142506</x:v>
      </x:c>
      <x:c r="I29" s="29" t="n">
        <x:f>'Source Data'!F273</x:f>
        <x:v>0.95</x:v>
      </x:c>
      <x:c r="J29" s="30" t="n">
        <x:f>H29*I29</x:f>
        <x:v>0.0964833538083538</x:v>
      </x:c>
      <x:c r="K29" s="29" t="n">
        <x:f>'Assumptions'!D68</x:f>
        <x:v>0.04</x:v>
      </x:c>
      <x:c r="L29" s="29" t="n">
        <x:f>MIN(1,'Assumptions'!F33*'Assumptions'!E68)</x:f>
        <x:v>0.5</x:v>
      </x:c>
      <x:c r="M29" s="3"/>
      <x:c r="N29" s="3"/>
    </x:row>
    <x:row r="30" ht="19" customHeight="1">
      <x:c r="A30" s="2"/>
      <x:c r="B30" s="2"/>
      <x:c r="C30" s="26" t="n">
        <x:f>'Source Data'!C274</x:f>
        <x:v>2</x:v>
      </x:c>
      <x:c r="D30" s="27" t="str">
        <x:f>'Source Data'!D274</x:f>
        <x:v>USAA</x:v>
      </x:c>
      <x:c r="E30" s="29" t="n">
        <x:f>'Source Data'!E274</x:f>
        <x:v>0.061733415233415224</x:v>
      </x:c>
      <x:c r="F30" s="29" t="n">
        <x:f>'Assumptions'!F69</x:f>
        <x:v>1</x:v>
      </x:c>
      <x:c r="G30" s="30" t="n">
        <x:f>E30*F30</x:f>
        <x:v>0.061733415233415224</x:v>
      </x:c>
      <x:c r="H30" s="30" t="n">
        <x:f>G30/SUM(G26:G35)</x:f>
        <x:v>0.06173341523341523</x:v>
      </x:c>
      <x:c r="I30" s="29" t="n">
        <x:f>'Source Data'!F274</x:f>
        <x:v>0.95</x:v>
      </x:c>
      <x:c r="J30" s="30" t="n">
        <x:f>H30*I30</x:f>
        <x:v>0.05864674447174447</x:v>
      </x:c>
      <x:c r="K30" s="29" t="n">
        <x:f>'Assumptions'!D69</x:f>
        <x:v>0.04</x:v>
      </x:c>
      <x:c r="L30" s="29" t="n">
        <x:f>MIN(1,'Assumptions'!F33*'Assumptions'!E69)</x:f>
        <x:v>0.5</x:v>
      </x:c>
      <x:c r="M30" s="3"/>
      <x:c r="N30" s="3"/>
    </x:row>
    <x:row r="31" ht="19" customHeight="1">
      <x:c r="A31" s="2"/>
      <x:c r="B31" s="2"/>
      <x:c r="C31" s="26" t="n">
        <x:f>'Source Data'!C275</x:f>
        <x:v>2</x:v>
      </x:c>
      <x:c r="D31" s="27" t="str">
        <x:f>'Source Data'!D275</x:f>
        <x:v>Farmers</x:v>
      </x:c>
      <x:c r="E31" s="29" t="n">
        <x:f>'Source Data'!E275</x:f>
        <x:v>0.03783660933660933</x:v>
      </x:c>
      <x:c r="F31" s="29" t="n">
        <x:f>'Assumptions'!F70</x:f>
        <x:v>1</x:v>
      </x:c>
      <x:c r="G31" s="30" t="n">
        <x:f>E31*F31</x:f>
        <x:v>0.03783660933660933</x:v>
      </x:c>
      <x:c r="H31" s="30" t="n">
        <x:f>G31/SUM(G26:G35)</x:f>
        <x:v>0.03783660933660934</x:v>
      </x:c>
      <x:c r="I31" s="29" t="n">
        <x:f>'Source Data'!F275</x:f>
        <x:v>0.9</x:v>
      </x:c>
      <x:c r="J31" s="30" t="n">
        <x:f>H31*I31</x:f>
        <x:v>0.0340529484029484</x:v>
      </x:c>
      <x:c r="K31" s="29" t="n">
        <x:f>'Assumptions'!D70</x:f>
        <x:v>0.04</x:v>
      </x:c>
      <x:c r="L31" s="29" t="n">
        <x:f>MIN(1,'Assumptions'!F33*'Assumptions'!E70)</x:f>
        <x:v>0.5</x:v>
      </x:c>
      <x:c r="M31" s="3"/>
      <x:c r="N31" s="3"/>
    </x:row>
    <x:row r="32" ht="19" customHeight="1">
      <x:c r="A32" s="2"/>
      <x:c r="B32" s="2"/>
      <x:c r="C32" s="26" t="n">
        <x:f>'Source Data'!C276</x:f>
        <x:v>2</x:v>
      </x:c>
      <x:c r="D32" s="27" t="str">
        <x:f>'Source Data'!D276</x:f>
        <x:v>Liberty Mutual</x:v>
      </x:c>
      <x:c r="E32" s="29" t="n">
        <x:f>'Source Data'!E276</x:f>
        <x:v>0.03285810810810811</x:v>
      </x:c>
      <x:c r="F32" s="29" t="n">
        <x:f>'Assumptions'!F71</x:f>
        <x:v>1</x:v>
      </x:c>
      <x:c r="G32" s="30" t="n">
        <x:f>E32*F32</x:f>
        <x:v>0.03285810810810811</x:v>
      </x:c>
      <x:c r="H32" s="30" t="n">
        <x:f>G32/SUM(G26:G35)</x:f>
        <x:v>0.03285810810810812</x:v>
      </x:c>
      <x:c r="I32" s="29" t="n">
        <x:f>'Source Data'!F276</x:f>
        <x:v>0.7</x:v>
      </x:c>
      <x:c r="J32" s="30" t="n">
        <x:f>H32*I32</x:f>
        <x:v>0.02300067567567568</x:v>
      </x:c>
      <x:c r="K32" s="29" t="n">
        <x:f>'Assumptions'!D71</x:f>
        <x:v>0.04</x:v>
      </x:c>
      <x:c r="L32" s="29" t="n">
        <x:f>MIN(1,'Assumptions'!F33*'Assumptions'!E71)</x:f>
        <x:v>0.5</x:v>
      </x:c>
      <x:c r="M32" s="3"/>
      <x:c r="N32" s="3"/>
    </x:row>
    <x:row r="33" ht="19" customHeight="1">
      <x:c r="A33" s="2"/>
      <x:c r="B33" s="2"/>
      <x:c r="C33" s="26" t="n">
        <x:f>'Source Data'!C277</x:f>
        <x:v>2</x:v>
      </x:c>
      <x:c r="D33" s="27" t="str">
        <x:f>'Source Data'!D277</x:f>
        <x:v>Travelers</x:v>
      </x:c>
      <x:c r="E33" s="29" t="n">
        <x:f>'Source Data'!E277</x:f>
        <x:v>0.019914004914004912</x:v>
      </x:c>
      <x:c r="F33" s="29" t="n">
        <x:f>'Assumptions'!F72</x:f>
        <x:v>1</x:v>
      </x:c>
      <x:c r="G33" s="30" t="n">
        <x:f>E33*F33</x:f>
        <x:v>0.019914004914004912</x:v>
      </x:c>
      <x:c r="H33" s="30" t="n">
        <x:f>G33/SUM(G26:G35)</x:f>
        <x:v>0.019914004914004916</x:v>
      </x:c>
      <x:c r="I33" s="29" t="n">
        <x:f>'Source Data'!F277</x:f>
        <x:v>0.85</x:v>
      </x:c>
      <x:c r="J33" s="30" t="n">
        <x:f>H33*I33</x:f>
        <x:v>0.01692690417690418</x:v>
      </x:c>
      <x:c r="K33" s="29" t="n">
        <x:f>'Assumptions'!D72</x:f>
        <x:v>0.04</x:v>
      </x:c>
      <x:c r="L33" s="29" t="n">
        <x:f>MIN(1,'Assumptions'!F33*'Assumptions'!E72)</x:f>
        <x:v>0.5</x:v>
      </x:c>
      <x:c r="M33" s="3"/>
      <x:c r="N33" s="3"/>
    </x:row>
    <x:row r="34" ht="19" customHeight="1">
      <x:c r="A34" s="2"/>
      <x:c r="B34" s="2"/>
      <x:c r="C34" s="26" t="n">
        <x:f>'Source Data'!C278</x:f>
        <x:v>2</x:v>
      </x:c>
      <x:c r="D34" s="27" t="str">
        <x:f>'Source Data'!D278</x:f>
        <x:v>Nationwide</x:v>
      </x:c>
      <x:c r="E34" s="29" t="n">
        <x:f>'Source Data'!E278</x:f>
        <x:v>0.014935503685503684</x:v>
      </x:c>
      <x:c r="F34" s="29" t="n">
        <x:f>'Assumptions'!F73</x:f>
        <x:v>1</x:v>
      </x:c>
      <x:c r="G34" s="30" t="n">
        <x:f>E34*F34</x:f>
        <x:v>0.014935503685503684</x:v>
      </x:c>
      <x:c r="H34" s="30" t="n">
        <x:f>G34/SUM(G26:G35)</x:f>
        <x:v>0.014935503685503686</x:v>
      </x:c>
      <x:c r="I34" s="29" t="n">
        <x:f>'Source Data'!F278</x:f>
        <x:v>0.95</x:v>
      </x:c>
      <x:c r="J34" s="30" t="n">
        <x:f>H34*I34</x:f>
        <x:v>0.0141887285012285</x:v>
      </x:c>
      <x:c r="K34" s="29" t="n">
        <x:f>'Assumptions'!D73</x:f>
        <x:v>0.04</x:v>
      </x:c>
      <x:c r="L34" s="29" t="n">
        <x:f>MIN(1,'Assumptions'!F33*'Assumptions'!E73)</x:f>
        <x:v>0.5</x:v>
      </x:c>
      <x:c r="M34" s="3"/>
      <x:c r="N34" s="3"/>
    </x:row>
    <x:row r="35" ht="19" customHeight="1">
      <x:c r="A35" s="2"/>
      <x:c r="B35" s="2"/>
      <x:c r="C35" s="26" t="n">
        <x:f>'Source Data'!C279</x:f>
        <x:v>2</x:v>
      </x:c>
      <x:c r="D35" s="27" t="str">
        <x:f>'Source Data'!D279</x:f>
        <x:v>Other (Erie, AAA, AmFam, regionals)</x:v>
      </x:c>
      <x:c r="E35" s="29" t="n">
        <x:f>'Source Data'!E279</x:f>
        <x:v>0.24095945945945943</x:v>
      </x:c>
      <x:c r="F35" s="29" t="n">
        <x:f>'Assumptions'!F74</x:f>
        <x:v>1</x:v>
      </x:c>
      <x:c r="G35" s="30" t="n">
        <x:f>E35*F35</x:f>
        <x:v>0.24095945945945943</x:v>
      </x:c>
      <x:c r="H35" s="30" t="n">
        <x:f>G35/SUM(G26:G35)</x:f>
        <x:v>0.24095945945945946</x:v>
      </x:c>
      <x:c r="I35" s="29" t="n">
        <x:f>'Source Data'!F279</x:f>
        <x:v>0.5</x:v>
      </x:c>
      <x:c r="J35" s="30" t="n">
        <x:f>H35*I35</x:f>
        <x:v>0.12047972972972973</x:v>
      </x:c>
      <x:c r="K35" s="29" t="n">
        <x:f>'Assumptions'!D74</x:f>
        <x:v>0.04</x:v>
      </x:c>
      <x:c r="L35" s="29" t="n">
        <x:f>MIN(1,'Assumptions'!F33*'Assumptions'!E74)</x:f>
        <x:v>0.5</x:v>
      </x:c>
      <x:c r="M35" s="3"/>
      <x:c r="N35" s="3"/>
    </x:row>
    <x:row r="36" ht="19" customHeight="1">
      <x:c r="A36" s="2"/>
      <x:c r="B36" s="2"/>
      <x:c r="C36" s="26" t="n">
        <x:f>'Source Data'!C280</x:f>
        <x:v>3</x:v>
      </x:c>
      <x:c r="D36" s="27" t="str">
        <x:f>'Source Data'!D280</x:f>
        <x:v>State Farm</x:v>
      </x:c>
      <x:c r="E36" s="29" t="n">
        <x:f>'Source Data'!E280</x:f>
        <x:v>0.18440049140049136</x:v>
      </x:c>
      <x:c r="F36" s="29" t="n">
        <x:f>'Assumptions'!F65</x:f>
        <x:v>1</x:v>
      </x:c>
      <x:c r="G36" s="30" t="n">
        <x:f>E36*F36</x:f>
        <x:v>0.18440049140049136</x:v>
      </x:c>
      <x:c r="H36" s="30" t="n">
        <x:f>G36/SUM(G36:G45)</x:f>
        <x:v>0.1844004914004914</x:v>
      </x:c>
      <x:c r="I36" s="29" t="n">
        <x:f>'Source Data'!F280</x:f>
        <x:v>0.5</x:v>
      </x:c>
      <x:c r="J36" s="30" t="n">
        <x:f>H36*I36</x:f>
        <x:v>0.0922002457002457</x:v>
      </x:c>
      <x:c r="K36" s="29" t="n">
        <x:f>'Assumptions'!D65</x:f>
        <x:v>0.04</x:v>
      </x:c>
      <x:c r="L36" s="29" t="n">
        <x:f>MIN(1,'Assumptions'!G33*'Assumptions'!E65)</x:f>
        <x:v>0.5</x:v>
      </x:c>
      <x:c r="M36" s="3"/>
      <x:c r="N36" s="3"/>
    </x:row>
    <x:row r="37" ht="19" customHeight="1">
      <x:c r="A37" s="2"/>
      <x:c r="B37" s="2"/>
      <x:c r="C37" s="26" t="n">
        <x:f>'Source Data'!C281</x:f>
        <x:v>3</x:v>
      </x:c>
      <x:c r="D37" s="27" t="str">
        <x:f>'Source Data'!D281</x:f>
        <x:v>Progressive</x:v>
      </x:c>
      <x:c r="E37" s="29" t="n">
        <x:f>'Source Data'!E281</x:f>
        <x:v>0.193</x:v>
      </x:c>
      <x:c r="F37" s="29" t="n">
        <x:f>'Assumptions'!F66</x:f>
        <x:v>1</x:v>
      </x:c>
      <x:c r="G37" s="30" t="n">
        <x:f>E37*F37</x:f>
        <x:v>0.193</x:v>
      </x:c>
      <x:c r="H37" s="30" t="n">
        <x:f>G37/SUM(G36:G45)</x:f>
        <x:v>0.19300000000000006</x:v>
      </x:c>
      <x:c r="I37" s="29" t="n">
        <x:f>'Source Data'!F281</x:f>
        <x:v>0.06818181818181818</x:v>
      </x:c>
      <x:c r="J37" s="30" t="n">
        <x:f>H37*I37</x:f>
        <x:v>0.013159090909090912</x:v>
      </x:c>
      <x:c r="K37" s="29" t="n">
        <x:f>'Assumptions'!D66</x:f>
        <x:v>0.04</x:v>
      </x:c>
      <x:c r="L37" s="29" t="n">
        <x:f>MIN(1,'Assumptions'!G33*'Assumptions'!E66)</x:f>
        <x:v>0.5</x:v>
      </x:c>
      <x:c r="M37" s="3"/>
      <x:c r="N37" s="3"/>
    </x:row>
    <x:row r="38" ht="19" customHeight="1">
      <x:c r="A38" s="2"/>
      <x:c r="B38" s="2"/>
      <x:c r="C38" s="26" t="n">
        <x:f>'Source Data'!C282</x:f>
        <x:v>3</x:v>
      </x:c>
      <x:c r="D38" s="27" t="str">
        <x:f>'Source Data'!D282</x:f>
        <x:v>GEICO</x:v>
      </x:c>
      <x:c r="E38" s="29" t="n">
        <x:f>'Source Data'!E282</x:f>
        <x:v>0.115002457002457</x:v>
      </x:c>
      <x:c r="F38" s="29" t="n">
        <x:f>'Assumptions'!F67</x:f>
        <x:v>1</x:v>
      </x:c>
      <x:c r="G38" s="30" t="n">
        <x:f>E38*F38</x:f>
        <x:v>0.115002457002457</x:v>
      </x:c>
      <x:c r="H38" s="30" t="n">
        <x:f>G38/SUM(G36:G45)</x:f>
        <x:v>0.11500245700245702</x:v>
      </x:c>
      <x:c r="I38" s="29" t="n">
        <x:f>'Source Data'!F282</x:f>
        <x:v>0.854</x:v>
      </x:c>
      <x:c r="J38" s="30" t="n">
        <x:f>H38*I38</x:f>
        <x:v>0.09821209828009829</x:v>
      </x:c>
      <x:c r="K38" s="29" t="n">
        <x:f>'Assumptions'!D67</x:f>
        <x:v>0.04</x:v>
      </x:c>
      <x:c r="L38" s="29" t="n">
        <x:f>MIN(1,'Assumptions'!G33*'Assumptions'!E67)</x:f>
        <x:v>0.5</x:v>
      </x:c>
      <x:c r="M38" s="3"/>
      <x:c r="N38" s="3"/>
    </x:row>
    <x:row r="39" ht="19" customHeight="1">
      <x:c r="A39" s="2"/>
      <x:c r="B39" s="2"/>
      <x:c r="C39" s="26" t="n">
        <x:f>'Source Data'!C283</x:f>
        <x:v>3</x:v>
      </x:c>
      <x:c r="D39" s="27" t="str">
        <x:f>'Source Data'!D283</x:f>
        <x:v>Allstate</x:v>
      </x:c>
      <x:c r="E39" s="29" t="n">
        <x:f>'Source Data'!E283</x:f>
        <x:v>0.10112285012285009</x:v>
      </x:c>
      <x:c r="F39" s="29" t="n">
        <x:f>'Assumptions'!F68</x:f>
        <x:v>1</x:v>
      </x:c>
      <x:c r="G39" s="30" t="n">
        <x:f>E39*F39</x:f>
        <x:v>0.10112285012285009</x:v>
      </x:c>
      <x:c r="H39" s="30" t="n">
        <x:f>G39/SUM(G36:G45)</x:f>
        <x:v>0.10112285012285012</x:v>
      </x:c>
      <x:c r="I39" s="29" t="n">
        <x:f>'Source Data'!F283</x:f>
        <x:v>0.95</x:v>
      </x:c>
      <x:c r="J39" s="30" t="n">
        <x:f>H39*I39</x:f>
        <x:v>0.0960667076167076</x:v>
      </x:c>
      <x:c r="K39" s="29" t="n">
        <x:f>'Assumptions'!D68</x:f>
        <x:v>0.04</x:v>
      </x:c>
      <x:c r="L39" s="29" t="n">
        <x:f>MIN(1,'Assumptions'!G33*'Assumptions'!E68)</x:f>
        <x:v>0.5</x:v>
      </x:c>
      <x:c r="M39" s="3"/>
      <x:c r="N39" s="3"/>
    </x:row>
    <x:row r="40" ht="19" customHeight="1">
      <x:c r="A40" s="2"/>
      <x:c r="B40" s="2"/>
      <x:c r="C40" s="26" t="n">
        <x:f>'Source Data'!C284</x:f>
        <x:v>3</x:v>
      </x:c>
      <x:c r="D40" s="27" t="str">
        <x:f>'Source Data'!D284</x:f>
        <x:v>USAA</x:v>
      </x:c>
      <x:c r="E40" s="29" t="n">
        <x:f>'Source Data'!E284</x:f>
        <x:v>0.061466830466830456</x:v>
      </x:c>
      <x:c r="F40" s="29" t="n">
        <x:f>'Assumptions'!F69</x:f>
        <x:v>1</x:v>
      </x:c>
      <x:c r="G40" s="30" t="n">
        <x:f>E40*F40</x:f>
        <x:v>0.061466830466830456</x:v>
      </x:c>
      <x:c r="H40" s="30" t="n">
        <x:f>G40/SUM(G36:G45)</x:f>
        <x:v>0.06146683046683047</x:v>
      </x:c>
      <x:c r="I40" s="29" t="n">
        <x:f>'Source Data'!F284</x:f>
        <x:v>0.95</x:v>
      </x:c>
      <x:c r="J40" s="30" t="n">
        <x:f>H40*I40</x:f>
        <x:v>0.05839348894348895</x:v>
      </x:c>
      <x:c r="K40" s="29" t="n">
        <x:f>'Assumptions'!D69</x:f>
        <x:v>0.04</x:v>
      </x:c>
      <x:c r="L40" s="29" t="n">
        <x:f>MIN(1,'Assumptions'!G33*'Assumptions'!E69)</x:f>
        <x:v>0.5</x:v>
      </x:c>
      <x:c r="M40" s="3"/>
      <x:c r="N40" s="3"/>
    </x:row>
    <x:row r="41" ht="19" customHeight="1">
      <x:c r="A41" s="2"/>
      <x:c r="B41" s="2"/>
      <x:c r="C41" s="26" t="n">
        <x:f>'Source Data'!C285</x:f>
        <x:v>3</x:v>
      </x:c>
      <x:c r="D41" s="27" t="str">
        <x:f>'Source Data'!D285</x:f>
        <x:v>Farmers</x:v>
      </x:c>
      <x:c r="E41" s="29" t="n">
        <x:f>'Source Data'!E285</x:f>
        <x:v>0.03767321867321866</x:v>
      </x:c>
      <x:c r="F41" s="29" t="n">
        <x:f>'Assumptions'!F70</x:f>
        <x:v>1</x:v>
      </x:c>
      <x:c r="G41" s="30" t="n">
        <x:f>E41*F41</x:f>
        <x:v>0.03767321867321866</x:v>
      </x:c>
      <x:c r="H41" s="30" t="n">
        <x:f>G41/SUM(G36:G45)</x:f>
        <x:v>0.03767321867321867</x:v>
      </x:c>
      <x:c r="I41" s="29" t="n">
        <x:f>'Source Data'!F285</x:f>
        <x:v>0.9</x:v>
      </x:c>
      <x:c r="J41" s="30" t="n">
        <x:f>H41*I41</x:f>
        <x:v>0.033905896805896805</x:v>
      </x:c>
      <x:c r="K41" s="29" t="n">
        <x:f>'Assumptions'!D70</x:f>
        <x:v>0.04</x:v>
      </x:c>
      <x:c r="L41" s="29" t="n">
        <x:f>MIN(1,'Assumptions'!G33*'Assumptions'!E70)</x:f>
        <x:v>0.5</x:v>
      </x:c>
      <x:c r="M41" s="3"/>
      <x:c r="N41" s="3"/>
    </x:row>
    <x:row r="42" ht="19" customHeight="1">
      <x:c r="A42" s="2"/>
      <x:c r="B42" s="2"/>
      <x:c r="C42" s="26" t="n">
        <x:f>'Source Data'!C286</x:f>
        <x:v>3</x:v>
      </x:c>
      <x:c r="D42" s="27" t="str">
        <x:f>'Source Data'!D286</x:f>
        <x:v>Liberty Mutual</x:v>
      </x:c>
      <x:c r="E42" s="29" t="n">
        <x:f>'Source Data'!E286</x:f>
        <x:v>0.03271621621621621</x:v>
      </x:c>
      <x:c r="F42" s="29" t="n">
        <x:f>'Assumptions'!F71</x:f>
        <x:v>1</x:v>
      </x:c>
      <x:c r="G42" s="30" t="n">
        <x:f>E42*F42</x:f>
        <x:v>0.03271621621621621</x:v>
      </x:c>
      <x:c r="H42" s="30" t="n">
        <x:f>G42/SUM(G36:G45)</x:f>
        <x:v>0.03271621621621622</x:v>
      </x:c>
      <x:c r="I42" s="29" t="n">
        <x:f>'Source Data'!F286</x:f>
        <x:v>0.7</x:v>
      </x:c>
      <x:c r="J42" s="30" t="n">
        <x:f>H42*I42</x:f>
        <x:v>0.02290135135135135</x:v>
      </x:c>
      <x:c r="K42" s="29" t="n">
        <x:f>'Assumptions'!D71</x:f>
        <x:v>0.04</x:v>
      </x:c>
      <x:c r="L42" s="29" t="n">
        <x:f>MIN(1,'Assumptions'!G33*'Assumptions'!E71)</x:f>
        <x:v>0.5</x:v>
      </x:c>
      <x:c r="M42" s="3"/>
      <x:c r="N42" s="3"/>
    </x:row>
    <x:row r="43" ht="19" customHeight="1">
      <x:c r="A43" s="2"/>
      <x:c r="B43" s="2"/>
      <x:c r="C43" s="26" t="n">
        <x:f>'Source Data'!C287</x:f>
        <x:v>3</x:v>
      </x:c>
      <x:c r="D43" s="27" t="str">
        <x:f>'Source Data'!D287</x:f>
        <x:v>Travelers</x:v>
      </x:c>
      <x:c r="E43" s="29" t="n">
        <x:f>'Source Data'!E287</x:f>
        <x:v>0.019828009828009825</x:v>
      </x:c>
      <x:c r="F43" s="29" t="n">
        <x:f>'Assumptions'!F72</x:f>
        <x:v>1</x:v>
      </x:c>
      <x:c r="G43" s="30" t="n">
        <x:f>E43*F43</x:f>
        <x:v>0.019828009828009825</x:v>
      </x:c>
      <x:c r="H43" s="30" t="n">
        <x:f>G43/SUM(G36:G45)</x:f>
        <x:v>0.019828009828009828</x:v>
      </x:c>
      <x:c r="I43" s="29" t="n">
        <x:f>'Source Data'!F287</x:f>
        <x:v>0.85</x:v>
      </x:c>
      <x:c r="J43" s="30" t="n">
        <x:f>H43*I43</x:f>
        <x:v>0.016853808353808352</x:v>
      </x:c>
      <x:c r="K43" s="29" t="n">
        <x:f>'Assumptions'!D72</x:f>
        <x:v>0.04</x:v>
      </x:c>
      <x:c r="L43" s="29" t="n">
        <x:f>MIN(1,'Assumptions'!G33*'Assumptions'!E72)</x:f>
        <x:v>0.5</x:v>
      </x:c>
      <x:c r="M43" s="3"/>
      <x:c r="N43" s="3"/>
    </x:row>
    <x:row r="44" ht="19" customHeight="1">
      <x:c r="A44" s="2"/>
      <x:c r="B44" s="2"/>
      <x:c r="C44" s="26" t="n">
        <x:f>'Source Data'!C288</x:f>
        <x:v>3</x:v>
      </x:c>
      <x:c r="D44" s="27" t="str">
        <x:f>'Source Data'!D288</x:f>
        <x:v>Nationwide</x:v>
      </x:c>
      <x:c r="E44" s="29" t="n">
        <x:f>'Source Data'!E288</x:f>
        <x:v>0.01487100737100737</x:v>
      </x:c>
      <x:c r="F44" s="29" t="n">
        <x:f>'Assumptions'!F73</x:f>
        <x:v>1</x:v>
      </x:c>
      <x:c r="G44" s="30" t="n">
        <x:f>E44*F44</x:f>
        <x:v>0.01487100737100737</x:v>
      </x:c>
      <x:c r="H44" s="30" t="n">
        <x:f>G44/SUM(G36:G45)</x:f>
        <x:v>0.014871007371007373</x:v>
      </x:c>
      <x:c r="I44" s="29" t="n">
        <x:f>'Source Data'!F288</x:f>
        <x:v>0.95</x:v>
      </x:c>
      <x:c r="J44" s="30" t="n">
        <x:f>H44*I44</x:f>
        <x:v>0.014127457002457003</x:v>
      </x:c>
      <x:c r="K44" s="29" t="n">
        <x:f>'Assumptions'!D73</x:f>
        <x:v>0.04</x:v>
      </x:c>
      <x:c r="L44" s="29" t="n">
        <x:f>MIN(1,'Assumptions'!G33*'Assumptions'!E73)</x:f>
        <x:v>0.5</x:v>
      </x:c>
      <x:c r="M44" s="3"/>
      <x:c r="N44" s="3"/>
    </x:row>
    <x:row r="45" ht="19" customHeight="1">
      <x:c r="A45" s="2"/>
      <x:c r="B45" s="2"/>
      <x:c r="C45" s="26" t="n">
        <x:f>'Source Data'!C289</x:f>
        <x:v>3</x:v>
      </x:c>
      <x:c r="D45" s="27" t="str">
        <x:f>'Source Data'!D289</x:f>
        <x:v>Other (Erie, AAA, AmFam, regionals)</x:v>
      </x:c>
      <x:c r="E45" s="29" t="n">
        <x:f>'Source Data'!E289</x:f>
        <x:v>0.23991891891891887</x:v>
      </x:c>
      <x:c r="F45" s="29" t="n">
        <x:f>'Assumptions'!F74</x:f>
        <x:v>1</x:v>
      </x:c>
      <x:c r="G45" s="30" t="n">
        <x:f>E45*F45</x:f>
        <x:v>0.23991891891891887</x:v>
      </x:c>
      <x:c r="H45" s="30" t="n">
        <x:f>G45/SUM(G36:G45)</x:f>
        <x:v>0.23991891891891892</x:v>
      </x:c>
      <x:c r="I45" s="29" t="n">
        <x:f>'Source Data'!F289</x:f>
        <x:v>0.5</x:v>
      </x:c>
      <x:c r="J45" s="30" t="n">
        <x:f>H45*I45</x:f>
        <x:v>0.11995945945945946</x:v>
      </x:c>
      <x:c r="K45" s="29" t="n">
        <x:f>'Assumptions'!D74</x:f>
        <x:v>0.04</x:v>
      </x:c>
      <x:c r="L45" s="29" t="n">
        <x:f>MIN(1,'Assumptions'!G33*'Assumptions'!E74)</x:f>
        <x:v>0.5</x:v>
      </x:c>
      <x:c r="M45" s="3"/>
      <x:c r="N45" s="3"/>
    </x:row>
    <x:row r="46" ht="19" customHeight="1">
      <x:c r="A46" s="2"/>
      <x:c r="B46" s="2"/>
      <x:c r="C46" s="26" t="n">
        <x:f>'Source Data'!C290</x:f>
        <x:v>4</x:v>
      </x:c>
      <x:c r="D46" s="27" t="str">
        <x:f>'Source Data'!D290</x:f>
        <x:v>State Farm</x:v>
      </x:c>
      <x:c r="E46" s="29" t="n">
        <x:f>'Source Data'!E290</x:f>
        <x:v>0.18354361179361178</x:v>
      </x:c>
      <x:c r="F46" s="29" t="n">
        <x:f>'Assumptions'!F65</x:f>
        <x:v>1</x:v>
      </x:c>
      <x:c r="G46" s="30" t="n">
        <x:f>E46*F46</x:f>
        <x:v>0.18354361179361178</x:v>
      </x:c>
      <x:c r="H46" s="30" t="n">
        <x:f>G46/SUM(G46:G55)</x:f>
        <x:v>0.18354361179361178</x:v>
      </x:c>
      <x:c r="I46" s="29" t="n">
        <x:f>'Source Data'!F290</x:f>
        <x:v>0.5</x:v>
      </x:c>
      <x:c r="J46" s="30" t="n">
        <x:f>H46*I46</x:f>
        <x:v>0.09177180589680589</x:v>
      </x:c>
      <x:c r="K46" s="29" t="n">
        <x:f>'Assumptions'!D65</x:f>
        <x:v>0.04</x:v>
      </x:c>
      <x:c r="L46" s="29" t="n">
        <x:f>MIN(1,'Assumptions'!H33*'Assumptions'!E65)</x:f>
        <x:v>0.5</x:v>
      </x:c>
      <x:c r="M46" s="3"/>
      <x:c r="N46" s="3"/>
    </x:row>
    <x:row r="47" ht="19" customHeight="1">
      <x:c r="A47" s="2"/>
      <x:c r="B47" s="2"/>
      <x:c r="C47" s="26" t="n">
        <x:f>'Source Data'!C291</x:f>
        <x:v>4</x:v>
      </x:c>
      <x:c r="D47" s="27" t="str">
        <x:f>'Source Data'!D291</x:f>
        <x:v>Progressive</x:v>
      </x:c>
      <x:c r="E47" s="29" t="n">
        <x:f>'Source Data'!E291</x:f>
        <x:v>0.19675</x:v>
      </x:c>
      <x:c r="F47" s="29" t="n">
        <x:f>'Assumptions'!F66</x:f>
        <x:v>1</x:v>
      </x:c>
      <x:c r="G47" s="30" t="n">
        <x:f>E47*F47</x:f>
        <x:v>0.19675</x:v>
      </x:c>
      <x:c r="H47" s="30" t="n">
        <x:f>G47/SUM(G46:G55)</x:f>
        <x:v>0.19675</x:v>
      </x:c>
      <x:c r="I47" s="29" t="n">
        <x:f>'Source Data'!F291</x:f>
        <x:v>0.04999999999999999</x:v>
      </x:c>
      <x:c r="J47" s="30" t="n">
        <x:f>H47*I47</x:f>
        <x:v>0.009837499999999999</x:v>
      </x:c>
      <x:c r="K47" s="29" t="n">
        <x:f>'Assumptions'!D66</x:f>
        <x:v>0.04</x:v>
      </x:c>
      <x:c r="L47" s="29" t="n">
        <x:f>MIN(1,'Assumptions'!H33*'Assumptions'!E66)</x:f>
        <x:v>0.5</x:v>
      </x:c>
      <x:c r="M47" s="3"/>
      <x:c r="N47" s="3"/>
    </x:row>
    <x:row r="48" ht="19" customHeight="1">
      <x:c r="A48" s="2"/>
      <x:c r="B48" s="2"/>
      <x:c r="C48" s="26" t="n">
        <x:f>'Source Data'!C292</x:f>
        <x:v>4</x:v>
      </x:c>
      <x:c r="D48" s="27" t="str">
        <x:f>'Source Data'!D292</x:f>
        <x:v>GEICO</x:v>
      </x:c>
      <x:c r="E48" s="29" t="n">
        <x:f>'Source Data'!E292</x:f>
        <x:v>0.11446805896805898</x:v>
      </x:c>
      <x:c r="F48" s="29" t="n">
        <x:f>'Assumptions'!F67</x:f>
        <x:v>1</x:v>
      </x:c>
      <x:c r="G48" s="30" t="n">
        <x:f>E48*F48</x:f>
        <x:v>0.11446805896805898</x:v>
      </x:c>
      <x:c r="H48" s="30" t="n">
        <x:f>G48/SUM(G46:G55)</x:f>
        <x:v>0.11446805896805898</x:v>
      </x:c>
      <x:c r="I48" s="29" t="n">
        <x:f>'Source Data'!F292</x:f>
        <x:v>0.878</x:v>
      </x:c>
      <x:c r="J48" s="30" t="n">
        <x:f>H48*I48</x:f>
        <x:v>0.10050295577395578</x:v>
      </x:c>
      <x:c r="K48" s="29" t="n">
        <x:f>'Assumptions'!D67</x:f>
        <x:v>0.04</x:v>
      </x:c>
      <x:c r="L48" s="29" t="n">
        <x:f>MIN(1,'Assumptions'!H33*'Assumptions'!E67)</x:f>
        <x:v>0.5</x:v>
      </x:c>
      <x:c r="M48" s="3"/>
      <x:c r="N48" s="3"/>
    </x:row>
    <x:row r="49" ht="19" customHeight="1">
      <x:c r="A49" s="2"/>
      <x:c r="B49" s="2"/>
      <x:c r="C49" s="26" t="n">
        <x:f>'Source Data'!C293</x:f>
        <x:v>4</x:v>
      </x:c>
      <x:c r="D49" s="27" t="str">
        <x:f>'Source Data'!D293</x:f>
        <x:v>Allstate</x:v>
      </x:c>
      <x:c r="E49" s="29" t="n">
        <x:f>'Source Data'!E293</x:f>
        <x:v>0.10065294840294839</x:v>
      </x:c>
      <x:c r="F49" s="29" t="n">
        <x:f>'Assumptions'!F68</x:f>
        <x:v>1</x:v>
      </x:c>
      <x:c r="G49" s="30" t="n">
        <x:f>E49*F49</x:f>
        <x:v>0.10065294840294839</x:v>
      </x:c>
      <x:c r="H49" s="30" t="n">
        <x:f>G49/SUM(G46:G55)</x:f>
        <x:v>0.10065294840294839</x:v>
      </x:c>
      <x:c r="I49" s="29" t="n">
        <x:f>'Source Data'!F293</x:f>
        <x:v>0.95</x:v>
      </x:c>
      <x:c r="J49" s="30" t="n">
        <x:f>H49*I49</x:f>
        <x:v>0.09562030098280097</x:v>
      </x:c>
      <x:c r="K49" s="29" t="n">
        <x:f>'Assumptions'!D68</x:f>
        <x:v>0.04</x:v>
      </x:c>
      <x:c r="L49" s="29" t="n">
        <x:f>MIN(1,'Assumptions'!H33*'Assumptions'!E68)</x:f>
        <x:v>0.5</x:v>
      </x:c>
      <x:c r="M49" s="3"/>
      <x:c r="N49" s="3"/>
    </x:row>
    <x:row r="50" ht="19" customHeight="1">
      <x:c r="A50" s="2"/>
      <x:c r="B50" s="2"/>
      <x:c r="C50" s="26" t="n">
        <x:f>'Source Data'!C294</x:f>
        <x:v>4</x:v>
      </x:c>
      <x:c r="D50" s="27" t="str">
        <x:f>'Source Data'!D294</x:f>
        <x:v>USAA</x:v>
      </x:c>
      <x:c r="E50" s="29" t="n">
        <x:f>'Source Data'!E294</x:f>
        <x:v>0.06118120393120392</x:v>
      </x:c>
      <x:c r="F50" s="29" t="n">
        <x:f>'Assumptions'!F69</x:f>
        <x:v>1</x:v>
      </x:c>
      <x:c r="G50" s="30" t="n">
        <x:f>E50*F50</x:f>
        <x:v>0.06118120393120392</x:v>
      </x:c>
      <x:c r="H50" s="30" t="n">
        <x:f>G50/SUM(G46:G55)</x:f>
        <x:v>0.06118120393120392</x:v>
      </x:c>
      <x:c r="I50" s="29" t="n">
        <x:f>'Source Data'!F294</x:f>
        <x:v>0.95</x:v>
      </x:c>
      <x:c r="J50" s="30" t="n">
        <x:f>H50*I50</x:f>
        <x:v>0.05812214373464372</x:v>
      </x:c>
      <x:c r="K50" s="29" t="n">
        <x:f>'Assumptions'!D69</x:f>
        <x:v>0.04</x:v>
      </x:c>
      <x:c r="L50" s="29" t="n">
        <x:f>MIN(1,'Assumptions'!H33*'Assumptions'!E69)</x:f>
        <x:v>0.5</x:v>
      </x:c>
      <x:c r="M50" s="3"/>
      <x:c r="N50" s="3"/>
    </x:row>
    <x:row r="51" ht="19" customHeight="1">
      <x:c r="A51" s="2"/>
      <x:c r="B51" s="2"/>
      <x:c r="C51" s="26" t="n">
        <x:f>'Source Data'!C295</x:f>
        <x:v>4</x:v>
      </x:c>
      <x:c r="D51" s="27" t="str">
        <x:f>'Source Data'!D295</x:f>
        <x:v>Farmers</x:v>
      </x:c>
      <x:c r="E51" s="29" t="n">
        <x:f>'Source Data'!E295</x:f>
        <x:v>0.03749815724815724</x:v>
      </x:c>
      <x:c r="F51" s="29" t="n">
        <x:f>'Assumptions'!F70</x:f>
        <x:v>1</x:v>
      </x:c>
      <x:c r="G51" s="30" t="n">
        <x:f>E51*F51</x:f>
        <x:v>0.03749815724815724</x:v>
      </x:c>
      <x:c r="H51" s="30" t="n">
        <x:f>G51/SUM(G46:G55)</x:f>
        <x:v>0.03749815724815724</x:v>
      </x:c>
      <x:c r="I51" s="29" t="n">
        <x:f>'Source Data'!F295</x:f>
        <x:v>0.9</x:v>
      </x:c>
      <x:c r="J51" s="30" t="n">
        <x:f>H51*I51</x:f>
        <x:v>0.03374834152334152</x:v>
      </x:c>
      <x:c r="K51" s="29" t="n">
        <x:f>'Assumptions'!D70</x:f>
        <x:v>0.04</x:v>
      </x:c>
      <x:c r="L51" s="29" t="n">
        <x:f>MIN(1,'Assumptions'!H33*'Assumptions'!E70)</x:f>
        <x:v>0.5</x:v>
      </x:c>
      <x:c r="M51" s="3"/>
      <x:c r="N51" s="3"/>
    </x:row>
    <x:row r="52" ht="19" customHeight="1">
      <x:c r="A52" s="2"/>
      <x:c r="B52" s="2"/>
      <x:c r="C52" s="26" t="n">
        <x:f>'Source Data'!C296</x:f>
        <x:v>4</x:v>
      </x:c>
      <x:c r="D52" s="27" t="str">
        <x:f>'Source Data'!D296</x:f>
        <x:v>Liberty Mutual</x:v>
      </x:c>
      <x:c r="E52" s="29" t="n">
        <x:f>'Source Data'!E296</x:f>
        <x:v>0.03256418918918919</x:v>
      </x:c>
      <x:c r="F52" s="29" t="n">
        <x:f>'Assumptions'!F71</x:f>
        <x:v>1</x:v>
      </x:c>
      <x:c r="G52" s="30" t="n">
        <x:f>E52*F52</x:f>
        <x:v>0.03256418918918919</x:v>
      </x:c>
      <x:c r="H52" s="30" t="n">
        <x:f>G52/SUM(G46:G55)</x:f>
        <x:v>0.03256418918918919</x:v>
      </x:c>
      <x:c r="I52" s="29" t="n">
        <x:f>'Source Data'!F296</x:f>
        <x:v>0.7</x:v>
      </x:c>
      <x:c r="J52" s="30" t="n">
        <x:f>H52*I52</x:f>
        <x:v>0.022794932432432434</x:v>
      </x:c>
      <x:c r="K52" s="29" t="n">
        <x:f>'Assumptions'!D71</x:f>
        <x:v>0.04</x:v>
      </x:c>
      <x:c r="L52" s="29" t="n">
        <x:f>MIN(1,'Assumptions'!H33*'Assumptions'!E71)</x:f>
        <x:v>0.5</x:v>
      </x:c>
      <x:c r="M52" s="3"/>
      <x:c r="N52" s="3"/>
    </x:row>
    <x:row r="53" ht="19" customHeight="1">
      <x:c r="A53" s="2"/>
      <x:c r="B53" s="2"/>
      <x:c r="C53" s="26" t="n">
        <x:f>'Source Data'!C297</x:f>
        <x:v>4</x:v>
      </x:c>
      <x:c r="D53" s="27" t="str">
        <x:f>'Source Data'!D297</x:f>
        <x:v>Travelers</x:v>
      </x:c>
      <x:c r="E53" s="29" t="n">
        <x:f>'Source Data'!E297</x:f>
        <x:v>0.019735872235872233</x:v>
      </x:c>
      <x:c r="F53" s="29" t="n">
        <x:f>'Assumptions'!F72</x:f>
        <x:v>1</x:v>
      </x:c>
      <x:c r="G53" s="30" t="n">
        <x:f>E53*F53</x:f>
        <x:v>0.019735872235872233</x:v>
      </x:c>
      <x:c r="H53" s="30" t="n">
        <x:f>G53/SUM(G46:G55)</x:f>
        <x:v>0.019735872235872233</x:v>
      </x:c>
      <x:c r="I53" s="29" t="n">
        <x:f>'Source Data'!F297</x:f>
        <x:v>0.85</x:v>
      </x:c>
      <x:c r="J53" s="30" t="n">
        <x:f>H53*I53</x:f>
        <x:v>0.016775491400491397</x:v>
      </x:c>
      <x:c r="K53" s="29" t="n">
        <x:f>'Assumptions'!D72</x:f>
        <x:v>0.04</x:v>
      </x:c>
      <x:c r="L53" s="29" t="n">
        <x:f>MIN(1,'Assumptions'!H33*'Assumptions'!E72)</x:f>
        <x:v>0.5</x:v>
      </x:c>
      <x:c r="M53" s="3"/>
      <x:c r="N53" s="3"/>
    </x:row>
    <x:row r="54" ht="19" customHeight="1">
      <x:c r="A54" s="2"/>
      <x:c r="B54" s="2"/>
      <x:c r="C54" s="26" t="n">
        <x:f>'Source Data'!C298</x:f>
        <x:v>4</x:v>
      </x:c>
      <x:c r="D54" s="27" t="str">
        <x:f>'Source Data'!D298</x:f>
        <x:v>Nationwide</x:v>
      </x:c>
      <x:c r="E54" s="29" t="n">
        <x:f>'Source Data'!E298</x:f>
        <x:v>0.014801904176904176</x:v>
      </x:c>
      <x:c r="F54" s="29" t="n">
        <x:f>'Assumptions'!F73</x:f>
        <x:v>1</x:v>
      </x:c>
      <x:c r="G54" s="30" t="n">
        <x:f>E54*F54</x:f>
        <x:v>0.014801904176904176</x:v>
      </x:c>
      <x:c r="H54" s="30" t="n">
        <x:f>G54/SUM(G46:G55)</x:f>
        <x:v>0.014801904176904176</x:v>
      </x:c>
      <x:c r="I54" s="29" t="n">
        <x:f>'Source Data'!F298</x:f>
        <x:v>0.95</x:v>
      </x:c>
      <x:c r="J54" s="30" t="n">
        <x:f>H54*I54</x:f>
        <x:v>0.014061808968058967</x:v>
      </x:c>
      <x:c r="K54" s="29" t="n">
        <x:f>'Assumptions'!D73</x:f>
        <x:v>0.04</x:v>
      </x:c>
      <x:c r="L54" s="29" t="n">
        <x:f>MIN(1,'Assumptions'!H33*'Assumptions'!E73)</x:f>
        <x:v>0.5</x:v>
      </x:c>
      <x:c r="M54" s="3"/>
      <x:c r="N54" s="3"/>
    </x:row>
    <x:row r="55" ht="19" customHeight="1">
      <x:c r="A55" s="2"/>
      <x:c r="B55" s="2"/>
      <x:c r="C55" s="26" t="n">
        <x:f>'Source Data'!C299</x:f>
        <x:v>4</x:v>
      </x:c>
      <x:c r="D55" s="27" t="str">
        <x:f>'Source Data'!D299</x:f>
        <x:v>Other (Erie, AAA, AmFam, regionals)</x:v>
      </x:c>
      <x:c r="E55" s="29" t="n">
        <x:f>'Source Data'!E299</x:f>
        <x:v>0.23880405405405403</x:v>
      </x:c>
      <x:c r="F55" s="29" t="n">
        <x:f>'Assumptions'!F74</x:f>
        <x:v>1</x:v>
      </x:c>
      <x:c r="G55" s="30" t="n">
        <x:f>E55*F55</x:f>
        <x:v>0.23880405405405403</x:v>
      </x:c>
      <x:c r="H55" s="30" t="n">
        <x:f>G55/SUM(G46:G55)</x:f>
        <x:v>0.23880405405405403</x:v>
      </x:c>
      <x:c r="I55" s="29" t="n">
        <x:f>'Source Data'!F299</x:f>
        <x:v>0.494375</x:v>
      </x:c>
      <x:c r="J55" s="30" t="n">
        <x:f>H55*I55</x:f>
        <x:v>0.11805875422297296</x:v>
      </x:c>
      <x:c r="K55" s="29" t="n">
        <x:f>'Assumptions'!D74</x:f>
        <x:v>0.04</x:v>
      </x:c>
      <x:c r="L55" s="29" t="n">
        <x:f>MIN(1,'Assumptions'!H33*'Assumptions'!E74)</x:f>
        <x:v>0.5</x:v>
      </x:c>
      <x:c r="M55" s="3"/>
      <x:c r="N55" s="3"/>
    </x:row>
    <x:row r="56" ht="19" customHeight="1">
      <x:c r="A56" s="2"/>
      <x:c r="B56" s="2"/>
      <x:c r="C56" s="26" t="n">
        <x:f>'Source Data'!C300</x:f>
        <x:v>5</x:v>
      </x:c>
      <x:c r="D56" s="27" t="str">
        <x:f>'Source Data'!D300</x:f>
        <x:v>State Farm</x:v>
      </x:c>
      <x:c r="E56" s="29" t="n">
        <x:f>'Source Data'!E300</x:f>
        <x:v>0.18268673218673218</x:v>
      </x:c>
      <x:c r="F56" s="29" t="n">
        <x:f>'Assumptions'!F65</x:f>
        <x:v>1</x:v>
      </x:c>
      <x:c r="G56" s="30" t="n">
        <x:f>E56*F56</x:f>
        <x:v>0.18268673218673218</x:v>
      </x:c>
      <x:c r="H56" s="30" t="n">
        <x:f>G56/SUM(G56:G65)</x:f>
        <x:v>0.1826867321867322</x:v>
      </x:c>
      <x:c r="I56" s="29" t="n">
        <x:f>'Source Data'!F300</x:f>
        <x:v>0.5</x:v>
      </x:c>
      <x:c r="J56" s="30" t="n">
        <x:f>H56*I56</x:f>
        <x:v>0.0913433660933661</x:v>
      </x:c>
      <x:c r="K56" s="29" t="n">
        <x:f>'Assumptions'!D65</x:f>
        <x:v>0.04</x:v>
      </x:c>
      <x:c r="L56" s="29" t="n">
        <x:f>MIN(1,'Assumptions'!I33*'Assumptions'!E65)</x:f>
        <x:v>0.5</x:v>
      </x:c>
      <x:c r="M56" s="3"/>
      <x:c r="N56" s="3"/>
    </x:row>
    <x:row r="57" ht="19" customHeight="1">
      <x:c r="A57" s="2"/>
      <x:c r="B57" s="2"/>
      <x:c r="C57" s="26" t="n">
        <x:f>'Source Data'!C301</x:f>
        <x:v>5</x:v>
      </x:c>
      <x:c r="D57" s="27" t="str">
        <x:f>'Source Data'!D301</x:f>
        <x:v>Progressive</x:v>
      </x:c>
      <x:c r="E57" s="29" t="n">
        <x:f>'Source Data'!E301</x:f>
        <x:v>0.2005</x:v>
      </x:c>
      <x:c r="F57" s="29" t="n">
        <x:f>'Assumptions'!F66</x:f>
        <x:v>1</x:v>
      </x:c>
      <x:c r="G57" s="30" t="n">
        <x:f>E57*F57</x:f>
        <x:v>0.2005</x:v>
      </x:c>
      <x:c r="H57" s="30" t="n">
        <x:f>G57/SUM(G56:G65)</x:f>
        <x:v>0.20050000000000004</x:v>
      </x:c>
      <x:c r="I57" s="29" t="n">
        <x:f>'Source Data'!F301</x:f>
        <x:v>0.04999999999999999</x:v>
      </x:c>
      <x:c r="J57" s="30" t="n">
        <x:f>H57*I57</x:f>
        <x:v>0.010025</x:v>
      </x:c>
      <x:c r="K57" s="29" t="n">
        <x:f>'Assumptions'!D66</x:f>
        <x:v>0.04</x:v>
      </x:c>
      <x:c r="L57" s="29" t="n">
        <x:f>MIN(1,'Assumptions'!I33*'Assumptions'!E66)</x:f>
        <x:v>0.5</x:v>
      </x:c>
      <x:c r="M57" s="3"/>
      <x:c r="N57" s="3"/>
    </x:row>
    <x:row r="58" ht="19" customHeight="1">
      <x:c r="A58" s="2"/>
      <x:c r="B58" s="2"/>
      <x:c r="C58" s="26" t="n">
        <x:f>'Source Data'!C302</x:f>
        <x:v>5</x:v>
      </x:c>
      <x:c r="D58" s="27" t="str">
        <x:f>'Source Data'!D302</x:f>
        <x:v>GEICO</x:v>
      </x:c>
      <x:c r="E58" s="29" t="n">
        <x:f>'Source Data'!E302</x:f>
        <x:v>0.11393366093366093</x:v>
      </x:c>
      <x:c r="F58" s="29" t="n">
        <x:f>'Assumptions'!F67</x:f>
        <x:v>1</x:v>
      </x:c>
      <x:c r="G58" s="30" t="n">
        <x:f>E58*F58</x:f>
        <x:v>0.11393366093366093</x:v>
      </x:c>
      <x:c r="H58" s="30" t="n">
        <x:f>G58/SUM(G56:G65)</x:f>
        <x:v>0.11393366093366095</x:v>
      </x:c>
      <x:c r="I58" s="29" t="n">
        <x:f>'Source Data'!F302</x:f>
        <x:v>0.9019999999999999</x:v>
      </x:c>
      <x:c r="J58" s="30" t="n">
        <x:f>H58*I58</x:f>
        <x:v>0.10276816216216217</x:v>
      </x:c>
      <x:c r="K58" s="29" t="n">
        <x:f>'Assumptions'!D67</x:f>
        <x:v>0.04</x:v>
      </x:c>
      <x:c r="L58" s="29" t="n">
        <x:f>MIN(1,'Assumptions'!I33*'Assumptions'!E67)</x:f>
        <x:v>0.5</x:v>
      </x:c>
      <x:c r="M58" s="3"/>
      <x:c r="N58" s="3"/>
    </x:row>
    <x:row r="59" ht="19" customHeight="1">
      <x:c r="A59" s="2"/>
      <x:c r="B59" s="2"/>
      <x:c r="C59" s="26" t="n">
        <x:f>'Source Data'!C303</x:f>
        <x:v>5</x:v>
      </x:c>
      <x:c r="D59" s="27" t="str">
        <x:f>'Source Data'!D303</x:f>
        <x:v>Allstate</x:v>
      </x:c>
      <x:c r="E59" s="29" t="n">
        <x:f>'Source Data'!E303</x:f>
        <x:v>0.10018304668304667</x:v>
      </x:c>
      <x:c r="F59" s="29" t="n">
        <x:f>'Assumptions'!F68</x:f>
        <x:v>1</x:v>
      </x:c>
      <x:c r="G59" s="30" t="n">
        <x:f>E59*F59</x:f>
        <x:v>0.10018304668304667</x:v>
      </x:c>
      <x:c r="H59" s="30" t="n">
        <x:f>G59/SUM(G56:G65)</x:f>
        <x:v>0.10018304668304669</x:v>
      </x:c>
      <x:c r="I59" s="29" t="n">
        <x:f>'Source Data'!F303</x:f>
        <x:v>0.95</x:v>
      </x:c>
      <x:c r="J59" s="30" t="n">
        <x:f>H59*I59</x:f>
        <x:v>0.09517389434889435</x:v>
      </x:c>
      <x:c r="K59" s="29" t="n">
        <x:f>'Assumptions'!D68</x:f>
        <x:v>0.04</x:v>
      </x:c>
      <x:c r="L59" s="29" t="n">
        <x:f>MIN(1,'Assumptions'!I33*'Assumptions'!E68)</x:f>
        <x:v>0.5</x:v>
      </x:c>
      <x:c r="M59" s="3"/>
      <x:c r="N59" s="3"/>
    </x:row>
    <x:row r="60" ht="19" customHeight="1">
      <x:c r="A60" s="2"/>
      <x:c r="B60" s="2"/>
      <x:c r="C60" s="26" t="n">
        <x:f>'Source Data'!C304</x:f>
        <x:v>5</x:v>
      </x:c>
      <x:c r="D60" s="27" t="str">
        <x:f>'Source Data'!D304</x:f>
        <x:v>USAA</x:v>
      </x:c>
      <x:c r="E60" s="29" t="n">
        <x:f>'Source Data'!E304</x:f>
        <x:v>0.0608955773955774</x:v>
      </x:c>
      <x:c r="F60" s="29" t="n">
        <x:f>'Assumptions'!F69</x:f>
        <x:v>1</x:v>
      </x:c>
      <x:c r="G60" s="30" t="n">
        <x:f>E60*F60</x:f>
        <x:v>0.0608955773955774</x:v>
      </x:c>
      <x:c r="H60" s="30" t="n">
        <x:f>G60/SUM(G56:G65)</x:f>
        <x:v>0.060895577395577404</x:v>
      </x:c>
      <x:c r="I60" s="29" t="n">
        <x:f>'Source Data'!F304</x:f>
        <x:v>0.95</x:v>
      </x:c>
      <x:c r="J60" s="30" t="n">
        <x:f>H60*I60</x:f>
        <x:v>0.05785079852579853</x:v>
      </x:c>
      <x:c r="K60" s="29" t="n">
        <x:f>'Assumptions'!D69</x:f>
        <x:v>0.04</x:v>
      </x:c>
      <x:c r="L60" s="29" t="n">
        <x:f>MIN(1,'Assumptions'!I33*'Assumptions'!E69)</x:f>
        <x:v>0.5</x:v>
      </x:c>
      <x:c r="M60" s="3"/>
      <x:c r="N60" s="3"/>
    </x:row>
    <x:row r="61" ht="19" customHeight="1">
      <x:c r="A61" s="2"/>
      <x:c r="B61" s="2"/>
      <x:c r="C61" s="26" t="n">
        <x:f>'Source Data'!C305</x:f>
        <x:v>5</x:v>
      </x:c>
      <x:c r="D61" s="27" t="str">
        <x:f>'Source Data'!D305</x:f>
        <x:v>Farmers</x:v>
      </x:c>
      <x:c r="E61" s="29" t="n">
        <x:f>'Source Data'!E305</x:f>
        <x:v>0.03732309582309582</x:v>
      </x:c>
      <x:c r="F61" s="29" t="n">
        <x:f>'Assumptions'!F70</x:f>
        <x:v>1</x:v>
      </x:c>
      <x:c r="G61" s="30" t="n">
        <x:f>E61*F61</x:f>
        <x:v>0.03732309582309582</x:v>
      </x:c>
      <x:c r="H61" s="30" t="n">
        <x:f>G61/SUM(G56:G65)</x:f>
        <x:v>0.03732309582309583</x:v>
      </x:c>
      <x:c r="I61" s="29" t="n">
        <x:f>'Source Data'!F305</x:f>
        <x:v>0.9</x:v>
      </x:c>
      <x:c r="J61" s="30" t="n">
        <x:f>H61*I61</x:f>
        <x:v>0.03359078624078625</x:v>
      </x:c>
      <x:c r="K61" s="29" t="n">
        <x:f>'Assumptions'!D70</x:f>
        <x:v>0.04</x:v>
      </x:c>
      <x:c r="L61" s="29" t="n">
        <x:f>MIN(1,'Assumptions'!I33*'Assumptions'!E70)</x:f>
        <x:v>0.5</x:v>
      </x:c>
      <x:c r="M61" s="3"/>
      <x:c r="N61" s="3"/>
    </x:row>
    <x:row r="62" ht="19" customHeight="1">
      <x:c r="A62" s="2"/>
      <x:c r="B62" s="2"/>
      <x:c r="C62" s="26" t="n">
        <x:f>'Source Data'!C306</x:f>
        <x:v>5</x:v>
      </x:c>
      <x:c r="D62" s="27" t="str">
        <x:f>'Source Data'!D306</x:f>
        <x:v>Liberty Mutual</x:v>
      </x:c>
      <x:c r="E62" s="29" t="n">
        <x:f>'Source Data'!E306</x:f>
        <x:v>0.03241216216216216</x:v>
      </x:c>
      <x:c r="F62" s="29" t="n">
        <x:f>'Assumptions'!F71</x:f>
        <x:v>1</x:v>
      </x:c>
      <x:c r="G62" s="30" t="n">
        <x:f>E62*F62</x:f>
        <x:v>0.03241216216216216</x:v>
      </x:c>
      <x:c r="H62" s="30" t="n">
        <x:f>G62/SUM(G56:G65)</x:f>
        <x:v>0.03241216216216217</x:v>
      </x:c>
      <x:c r="I62" s="29" t="n">
        <x:f>'Source Data'!F306</x:f>
        <x:v>0.7</x:v>
      </x:c>
      <x:c r="J62" s="30" t="n">
        <x:f>H62*I62</x:f>
        <x:v>0.022688513513513517</x:v>
      </x:c>
      <x:c r="K62" s="29" t="n">
        <x:f>'Assumptions'!D71</x:f>
        <x:v>0.04</x:v>
      </x:c>
      <x:c r="L62" s="29" t="n">
        <x:f>MIN(1,'Assumptions'!I33*'Assumptions'!E71)</x:f>
        <x:v>0.5</x:v>
      </x:c>
      <x:c r="M62" s="3"/>
      <x:c r="N62" s="3"/>
    </x:row>
    <x:row r="63" ht="19" customHeight="1">
      <x:c r="A63" s="2"/>
      <x:c r="B63" s="2"/>
      <x:c r="C63" s="26" t="n">
        <x:f>'Source Data'!C307</x:f>
        <x:v>5</x:v>
      </x:c>
      <x:c r="D63" s="27" t="str">
        <x:f>'Source Data'!D307</x:f>
        <x:v>Travelers</x:v>
      </x:c>
      <x:c r="E63" s="29" t="n">
        <x:f>'Source Data'!E307</x:f>
        <x:v>0.019643734643734645</x:v>
      </x:c>
      <x:c r="F63" s="29" t="n">
        <x:f>'Assumptions'!F72</x:f>
        <x:v>1</x:v>
      </x:c>
      <x:c r="G63" s="30" t="n">
        <x:f>E63*F63</x:f>
        <x:v>0.019643734643734645</x:v>
      </x:c>
      <x:c r="H63" s="30" t="n">
        <x:f>G63/SUM(G56:G65)</x:f>
        <x:v>0.01964373464373465</x:v>
      </x:c>
      <x:c r="I63" s="29" t="n">
        <x:f>'Source Data'!F307</x:f>
        <x:v>0.85</x:v>
      </x:c>
      <x:c r="J63" s="30" t="n">
        <x:f>H63*I63</x:f>
        <x:v>0.016697174447174452</x:v>
      </x:c>
      <x:c r="K63" s="29" t="n">
        <x:f>'Assumptions'!D72</x:f>
        <x:v>0.04</x:v>
      </x:c>
      <x:c r="L63" s="29" t="n">
        <x:f>MIN(1,'Assumptions'!I33*'Assumptions'!E72)</x:f>
        <x:v>0.5</x:v>
      </x:c>
      <x:c r="M63" s="3"/>
      <x:c r="N63" s="3"/>
    </x:row>
    <x:row r="64" ht="19" customHeight="1">
      <x:c r="A64" s="2"/>
      <x:c r="B64" s="2"/>
      <x:c r="C64" s="26" t="n">
        <x:f>'Source Data'!C308</x:f>
        <x:v>5</x:v>
      </x:c>
      <x:c r="D64" s="27" t="str">
        <x:f>'Source Data'!D308</x:f>
        <x:v>Nationwide</x:v>
      </x:c>
      <x:c r="E64" s="29" t="n">
        <x:f>'Source Data'!E308</x:f>
        <x:v>0.014732800982800982</x:v>
      </x:c>
      <x:c r="F64" s="29" t="n">
        <x:f>'Assumptions'!F73</x:f>
        <x:v>1</x:v>
      </x:c>
      <x:c r="G64" s="30" t="n">
        <x:f>E64*F64</x:f>
        <x:v>0.014732800982800982</x:v>
      </x:c>
      <x:c r="H64" s="30" t="n">
        <x:f>G64/SUM(G56:G65)</x:f>
        <x:v>0.014732800982800984</x:v>
      </x:c>
      <x:c r="I64" s="29" t="n">
        <x:f>'Source Data'!F308</x:f>
        <x:v>0.95</x:v>
      </x:c>
      <x:c r="J64" s="30" t="n">
        <x:f>H64*I64</x:f>
        <x:v>0.013996160933660934</x:v>
      </x:c>
      <x:c r="K64" s="29" t="n">
        <x:f>'Assumptions'!D73</x:f>
        <x:v>0.04</x:v>
      </x:c>
      <x:c r="L64" s="29" t="n">
        <x:f>MIN(1,'Assumptions'!I33*'Assumptions'!E73)</x:f>
        <x:v>0.5</x:v>
      </x:c>
      <x:c r="M64" s="3"/>
      <x:c r="N64" s="3"/>
    </x:row>
    <x:row r="65" ht="19" customHeight="1">
      <x:c r="A65" s="2"/>
      <x:c r="B65" s="2"/>
      <x:c r="C65" s="26" t="n">
        <x:f>'Source Data'!C309</x:f>
        <x:v>5</x:v>
      </x:c>
      <x:c r="D65" s="27" t="str">
        <x:f>'Source Data'!D309</x:f>
        <x:v>Other (Erie, AAA, AmFam, regionals)</x:v>
      </x:c>
      <x:c r="E65" s="29" t="n">
        <x:f>'Source Data'!E309</x:f>
        <x:v>0.23768918918918916</x:v>
      </x:c>
      <x:c r="F65" s="29" t="n">
        <x:f>'Assumptions'!F74</x:f>
        <x:v>1</x:v>
      </x:c>
      <x:c r="G65" s="30" t="n">
        <x:f>E65*F65</x:f>
        <x:v>0.23768918918918916</x:v>
      </x:c>
      <x:c r="H65" s="30" t="n">
        <x:f>G65/SUM(G56:G65)</x:f>
        <x:v>0.2376891891891892</x:v>
      </x:c>
      <x:c r="I65" s="29" t="n">
        <x:f>'Source Data'!F309</x:f>
        <x:v>0.48875</x:v>
      </x:c>
      <x:c r="J65" s="30" t="n">
        <x:f>H65*I65</x:f>
        <x:v>0.11617059121621622</x:v>
      </x:c>
      <x:c r="K65" s="29" t="n">
        <x:f>'Assumptions'!D74</x:f>
        <x:v>0.04</x:v>
      </x:c>
      <x:c r="L65" s="29" t="n">
        <x:f>MIN(1,'Assumptions'!I33*'Assumptions'!E74)</x:f>
        <x:v>0.5</x:v>
      </x:c>
      <x:c r="M65" s="3"/>
      <x:c r="N65" s="3"/>
    </x:row>
    <x:row r="66" ht="19" customHeight="1">
      <x:c r="A66" s="2"/>
      <x:c r="B66" s="2"/>
      <x:c r="C66" s="26" t="n">
        <x:f>'Source Data'!C310</x:f>
        <x:v>6</x:v>
      </x:c>
      <x:c r="D66" s="27" t="str">
        <x:f>'Source Data'!D310</x:f>
        <x:v>State Farm</x:v>
      </x:c>
      <x:c r="E66" s="29" t="n">
        <x:f>'Source Data'!E310</x:f>
        <x:v>0.18182985257985254</x:v>
      </x:c>
      <x:c r="F66" s="29" t="n">
        <x:f>'Assumptions'!F65</x:f>
        <x:v>1</x:v>
      </x:c>
      <x:c r="G66" s="30" t="n">
        <x:f>E66*F66</x:f>
        <x:v>0.18182985257985254</x:v>
      </x:c>
      <x:c r="H66" s="30" t="n">
        <x:f>G66/SUM(G66:G75)</x:f>
        <x:v>0.18182985257985254</x:v>
      </x:c>
      <x:c r="I66" s="29" t="n">
        <x:f>'Source Data'!F310</x:f>
        <x:v>0.48875</x:v>
      </x:c>
      <x:c r="J66" s="30" t="n">
        <x:f>H66*I66</x:f>
        <x:v>0.08886934044840293</x:v>
      </x:c>
      <x:c r="K66" s="29" t="n">
        <x:f>'Assumptions'!D65</x:f>
        <x:v>0.04</x:v>
      </x:c>
      <x:c r="L66" s="29" t="n">
        <x:f>MIN(1,'Assumptions'!J33*'Assumptions'!E65)</x:f>
        <x:v>0.5</x:v>
      </x:c>
      <x:c r="M66" s="3"/>
      <x:c r="N66" s="3"/>
    </x:row>
    <x:row r="67" ht="19" customHeight="1">
      <x:c r="A67" s="2"/>
      <x:c r="B67" s="2"/>
      <x:c r="C67" s="26" t="n">
        <x:f>'Source Data'!C311</x:f>
        <x:v>6</x:v>
      </x:c>
      <x:c r="D67" s="27" t="str">
        <x:f>'Source Data'!D311</x:f>
        <x:v>Progressive</x:v>
      </x:c>
      <x:c r="E67" s="29" t="n">
        <x:f>'Source Data'!E311</x:f>
        <x:v>0.20425000000000001</x:v>
      </x:c>
      <x:c r="F67" s="29" t="n">
        <x:f>'Assumptions'!F66</x:f>
        <x:v>1</x:v>
      </x:c>
      <x:c r="G67" s="30" t="n">
        <x:f>E67*F67</x:f>
        <x:v>0.20425000000000001</x:v>
      </x:c>
      <x:c r="H67" s="30" t="n">
        <x:f>G67/SUM(G66:G75)</x:f>
        <x:v>0.20425000000000001</x:v>
      </x:c>
      <x:c r="I67" s="29" t="n">
        <x:f>'Source Data'!F311</x:f>
        <x:v>0.04999999999999999</x:v>
      </x:c>
      <x:c r="J67" s="30" t="n">
        <x:f>H67*I67</x:f>
        <x:v>0.010212499999999998</x:v>
      </x:c>
      <x:c r="K67" s="29" t="n">
        <x:f>'Assumptions'!D66</x:f>
        <x:v>0.04</x:v>
      </x:c>
      <x:c r="L67" s="29" t="n">
        <x:f>MIN(1,'Assumptions'!J33*'Assumptions'!E66)</x:f>
        <x:v>0.5</x:v>
      </x:c>
      <x:c r="M67" s="3"/>
      <x:c r="N67" s="3"/>
    </x:row>
    <x:row r="68" ht="19" customHeight="1">
      <x:c r="A68" s="2"/>
      <x:c r="B68" s="2"/>
      <x:c r="C68" s="26" t="n">
        <x:f>'Source Data'!C312</x:f>
        <x:v>6</x:v>
      </x:c>
      <x:c r="D68" s="27" t="str">
        <x:f>'Source Data'!D312</x:f>
        <x:v>GEICO</x:v>
      </x:c>
      <x:c r="E68" s="29" t="n">
        <x:f>'Source Data'!E312</x:f>
        <x:v>0.11339926289926289</x:v>
      </x:c>
      <x:c r="F68" s="29" t="n">
        <x:f>'Assumptions'!F67</x:f>
        <x:v>1</x:v>
      </x:c>
      <x:c r="G68" s="30" t="n">
        <x:f>E68*F68</x:f>
        <x:v>0.11339926289926289</x:v>
      </x:c>
      <x:c r="H68" s="30" t="n">
        <x:f>G68/SUM(G66:G75)</x:f>
        <x:v>0.11339926289926289</x:v>
      </x:c>
      <x:c r="I68" s="29" t="n">
        <x:f>'Source Data'!F312</x:f>
        <x:v>0.9019999999999999</x:v>
      </x:c>
      <x:c r="J68" s="30" t="n">
        <x:f>H68*I68</x:f>
        <x:v>0.10228613513513511</x:v>
      </x:c>
      <x:c r="K68" s="29" t="n">
        <x:f>'Assumptions'!D67</x:f>
        <x:v>0.04</x:v>
      </x:c>
      <x:c r="L68" s="29" t="n">
        <x:f>MIN(1,'Assumptions'!J33*'Assumptions'!E67)</x:f>
        <x:v>0.5</x:v>
      </x:c>
      <x:c r="M68" s="3"/>
      <x:c r="N68" s="3"/>
    </x:row>
    <x:row r="69" ht="19" customHeight="1">
      <x:c r="A69" s="2"/>
      <x:c r="B69" s="2"/>
      <x:c r="C69" s="26" t="n">
        <x:f>'Source Data'!C313</x:f>
        <x:v>6</x:v>
      </x:c>
      <x:c r="D69" s="27" t="str">
        <x:f>'Source Data'!D313</x:f>
        <x:v>Allstate</x:v>
      </x:c>
      <x:c r="E69" s="29" t="n">
        <x:f>'Source Data'!E313</x:f>
        <x:v>0.09971314496314494</x:v>
      </x:c>
      <x:c r="F69" s="29" t="n">
        <x:f>'Assumptions'!F68</x:f>
        <x:v>1</x:v>
      </x:c>
      <x:c r="G69" s="30" t="n">
        <x:f>E69*F69</x:f>
        <x:v>0.09971314496314494</x:v>
      </x:c>
      <x:c r="H69" s="30" t="n">
        <x:f>G69/SUM(G66:G75)</x:f>
        <x:v>0.09971314496314494</x:v>
      </x:c>
      <x:c r="I69" s="29" t="n">
        <x:f>'Source Data'!F313</x:f>
        <x:v>0.95</x:v>
      </x:c>
      <x:c r="J69" s="30" t="n">
        <x:f>H69*I69</x:f>
        <x:v>0.0947274877149877</x:v>
      </x:c>
      <x:c r="K69" s="29" t="n">
        <x:f>'Assumptions'!D68</x:f>
        <x:v>0.04</x:v>
      </x:c>
      <x:c r="L69" s="29" t="n">
        <x:f>MIN(1,'Assumptions'!J33*'Assumptions'!E68)</x:f>
        <x:v>0.5</x:v>
      </x:c>
      <x:c r="M69" s="3"/>
      <x:c r="N69" s="3"/>
    </x:row>
    <x:row r="70" ht="19" customHeight="1">
      <x:c r="A70" s="2"/>
      <x:c r="B70" s="2"/>
      <x:c r="C70" s="26" t="n">
        <x:f>'Source Data'!C314</x:f>
        <x:v>6</x:v>
      </x:c>
      <x:c r="D70" s="27" t="str">
        <x:f>'Source Data'!D314</x:f>
        <x:v>USAA</x:v>
      </x:c>
      <x:c r="E70" s="29" t="n">
        <x:f>'Source Data'!E314</x:f>
        <x:v>0.060609950859950856</x:v>
      </x:c>
      <x:c r="F70" s="29" t="n">
        <x:f>'Assumptions'!F69</x:f>
        <x:v>1</x:v>
      </x:c>
      <x:c r="G70" s="30" t="n">
        <x:f>E70*F70</x:f>
        <x:v>0.060609950859950856</x:v>
      </x:c>
      <x:c r="H70" s="30" t="n">
        <x:f>G70/SUM(G66:G75)</x:f>
        <x:v>0.060609950859950856</x:v>
      </x:c>
      <x:c r="I70" s="29" t="n">
        <x:f>'Source Data'!F314</x:f>
        <x:v>0.95</x:v>
      </x:c>
      <x:c r="J70" s="30" t="n">
        <x:f>H70*I70</x:f>
        <x:v>0.057579453316953313</x:v>
      </x:c>
      <x:c r="K70" s="29" t="n">
        <x:f>'Assumptions'!D69</x:f>
        <x:v>0.04</x:v>
      </x:c>
      <x:c r="L70" s="29" t="n">
        <x:f>MIN(1,'Assumptions'!J33*'Assumptions'!E69)</x:f>
        <x:v>0.5</x:v>
      </x:c>
      <x:c r="M70" s="3"/>
      <x:c r="N70" s="3"/>
    </x:row>
    <x:row r="71" ht="19" customHeight="1">
      <x:c r="A71" s="2"/>
      <x:c r="B71" s="2"/>
      <x:c r="C71" s="26" t="n">
        <x:f>'Source Data'!C315</x:f>
        <x:v>6</x:v>
      </x:c>
      <x:c r="D71" s="27" t="str">
        <x:f>'Source Data'!D315</x:f>
        <x:v>Farmers</x:v>
      </x:c>
      <x:c r="E71" s="29" t="n">
        <x:f>'Source Data'!E315</x:f>
        <x:v>0.037148034398034394</x:v>
      </x:c>
      <x:c r="F71" s="29" t="n">
        <x:f>'Assumptions'!F70</x:f>
        <x:v>1</x:v>
      </x:c>
      <x:c r="G71" s="30" t="n">
        <x:f>E71*F71</x:f>
        <x:v>0.037148034398034394</x:v>
      </x:c>
      <x:c r="H71" s="30" t="n">
        <x:f>G71/SUM(G66:G75)</x:f>
        <x:v>0.037148034398034394</x:v>
      </x:c>
      <x:c r="I71" s="29" t="n">
        <x:f>'Source Data'!F315</x:f>
        <x:v>0.9</x:v>
      </x:c>
      <x:c r="J71" s="30" t="n">
        <x:f>H71*I71</x:f>
        <x:v>0.033433230958230954</x:v>
      </x:c>
      <x:c r="K71" s="29" t="n">
        <x:f>'Assumptions'!D70</x:f>
        <x:v>0.04</x:v>
      </x:c>
      <x:c r="L71" s="29" t="n">
        <x:f>MIN(1,'Assumptions'!J33*'Assumptions'!E70)</x:f>
        <x:v>0.5</x:v>
      </x:c>
      <x:c r="M71" s="3"/>
      <x:c r="N71" s="3"/>
    </x:row>
    <x:row r="72" ht="19" customHeight="1">
      <x:c r="A72" s="2"/>
      <x:c r="B72" s="2"/>
      <x:c r="C72" s="26" t="n">
        <x:f>'Source Data'!C316</x:f>
        <x:v>6</x:v>
      </x:c>
      <x:c r="D72" s="27" t="str">
        <x:f>'Source Data'!D316</x:f>
        <x:v>Liberty Mutual</x:v>
      </x:c>
      <x:c r="E72" s="29" t="n">
        <x:f>'Source Data'!E316</x:f>
        <x:v>0.03226013513513513</x:v>
      </x:c>
      <x:c r="F72" s="29" t="n">
        <x:f>'Assumptions'!F71</x:f>
        <x:v>1</x:v>
      </x:c>
      <x:c r="G72" s="30" t="n">
        <x:f>E72*F72</x:f>
        <x:v>0.03226013513513513</x:v>
      </x:c>
      <x:c r="H72" s="30" t="n">
        <x:f>G72/SUM(G66:G75)</x:f>
        <x:v>0.03226013513513513</x:v>
      </x:c>
      <x:c r="I72" s="29" t="n">
        <x:f>'Source Data'!F316</x:f>
        <x:v>0.7</x:v>
      </x:c>
      <x:c r="J72" s="30" t="n">
        <x:f>H72*I72</x:f>
        <x:v>0.02258209459459459</x:v>
      </x:c>
      <x:c r="K72" s="29" t="n">
        <x:f>'Assumptions'!D71</x:f>
        <x:v>0.04</x:v>
      </x:c>
      <x:c r="L72" s="29" t="n">
        <x:f>MIN(1,'Assumptions'!J33*'Assumptions'!E71)</x:f>
        <x:v>0.5</x:v>
      </x:c>
      <x:c r="M72" s="3"/>
      <x:c r="N72" s="3"/>
    </x:row>
    <x:row r="73" ht="19" customHeight="1">
      <x:c r="A73" s="2"/>
      <x:c r="B73" s="2"/>
      <x:c r="C73" s="26" t="n">
        <x:f>'Source Data'!C317</x:f>
        <x:v>6</x:v>
      </x:c>
      <x:c r="D73" s="27" t="str">
        <x:f>'Source Data'!D317</x:f>
        <x:v>Travelers</x:v>
      </x:c>
      <x:c r="E73" s="29" t="n">
        <x:f>'Source Data'!E317</x:f>
        <x:v>0.01955159705159705</x:v>
      </x:c>
      <x:c r="F73" s="29" t="n">
        <x:f>'Assumptions'!F72</x:f>
        <x:v>1</x:v>
      </x:c>
      <x:c r="G73" s="30" t="n">
        <x:f>E73*F73</x:f>
        <x:v>0.01955159705159705</x:v>
      </x:c>
      <x:c r="H73" s="30" t="n">
        <x:f>G73/SUM(G66:G75)</x:f>
        <x:v>0.01955159705159705</x:v>
      </x:c>
      <x:c r="I73" s="29" t="n">
        <x:f>'Source Data'!F317</x:f>
        <x:v>0.85</x:v>
      </x:c>
      <x:c r="J73" s="30" t="n">
        <x:f>H73*I73</x:f>
        <x:v>0.01661885749385749</x:v>
      </x:c>
      <x:c r="K73" s="29" t="n">
        <x:f>'Assumptions'!D72</x:f>
        <x:v>0.04</x:v>
      </x:c>
      <x:c r="L73" s="29" t="n">
        <x:f>MIN(1,'Assumptions'!J33*'Assumptions'!E72)</x:f>
        <x:v>0.5</x:v>
      </x:c>
      <x:c r="M73" s="3"/>
      <x:c r="N73" s="3"/>
    </x:row>
    <x:row r="74" ht="19" customHeight="1">
      <x:c r="A74" s="2"/>
      <x:c r="B74" s="2"/>
      <x:c r="C74" s="26" t="n">
        <x:f>'Source Data'!C318</x:f>
        <x:v>6</x:v>
      </x:c>
      <x:c r="D74" s="27" t="str">
        <x:f>'Source Data'!D318</x:f>
        <x:v>Nationwide</x:v>
      </x:c>
      <x:c r="E74" s="29" t="n">
        <x:f>'Source Data'!E318</x:f>
        <x:v>0.014663697788697786</x:v>
      </x:c>
      <x:c r="F74" s="29" t="n">
        <x:f>'Assumptions'!F73</x:f>
        <x:v>1</x:v>
      </x:c>
      <x:c r="G74" s="30" t="n">
        <x:f>E74*F74</x:f>
        <x:v>0.014663697788697786</x:v>
      </x:c>
      <x:c r="H74" s="30" t="n">
        <x:f>G74/SUM(G66:G75)</x:f>
        <x:v>0.014663697788697786</x:v>
      </x:c>
      <x:c r="I74" s="29" t="n">
        <x:f>'Source Data'!F318</x:f>
        <x:v>0.95</x:v>
      </x:c>
      <x:c r="J74" s="30" t="n">
        <x:f>H74*I74</x:f>
        <x:v>0.013930512899262896</x:v>
      </x:c>
      <x:c r="K74" s="29" t="n">
        <x:f>'Assumptions'!D73</x:f>
        <x:v>0.04</x:v>
      </x:c>
      <x:c r="L74" s="29" t="n">
        <x:f>MIN(1,'Assumptions'!J33*'Assumptions'!E73)</x:f>
        <x:v>0.5</x:v>
      </x:c>
      <x:c r="M74" s="3"/>
      <x:c r="N74" s="3"/>
    </x:row>
    <x:row r="75" ht="19" customHeight="1">
      <x:c r="A75" s="2"/>
      <x:c r="B75" s="2"/>
      <x:c r="C75" s="26" t="n">
        <x:f>'Source Data'!C319</x:f>
        <x:v>6</x:v>
      </x:c>
      <x:c r="D75" s="27" t="str">
        <x:f>'Source Data'!D319</x:f>
        <x:v>Other (Erie, AAA, AmFam, regionals)</x:v>
      </x:c>
      <x:c r="E75" s="29" t="n">
        <x:f>'Source Data'!E319</x:f>
        <x:v>0.2365743243243243</x:v>
      </x:c>
      <x:c r="F75" s="29" t="n">
        <x:f>'Assumptions'!F74</x:f>
        <x:v>1</x:v>
      </x:c>
      <x:c r="G75" s="30" t="n">
        <x:f>E75*F75</x:f>
        <x:v>0.2365743243243243</x:v>
      </x:c>
      <x:c r="H75" s="30" t="n">
        <x:f>G75/SUM(G66:G75)</x:f>
        <x:v>0.2365743243243243</x:v>
      </x:c>
      <x:c r="I75" s="29" t="n">
        <x:f>'Source Data'!F319</x:f>
        <x:v>0.483125</x:v>
      </x:c>
      <x:c r="J75" s="30" t="n">
        <x:f>H75*I75</x:f>
        <x:v>0.11429497043918918</x:v>
      </x:c>
      <x:c r="K75" s="29" t="n">
        <x:f>'Assumptions'!D74</x:f>
        <x:v>0.04</x:v>
      </x:c>
      <x:c r="L75" s="29" t="n">
        <x:f>MIN(1,'Assumptions'!J33*'Assumptions'!E74)</x:f>
        <x:v>0.5</x:v>
      </x:c>
      <x:c r="M75" s="3"/>
      <x:c r="N75" s="3"/>
    </x:row>
    <x:row r="76" ht="19" customHeight="1">
      <x:c r="A76" s="2"/>
      <x:c r="B76" s="2"/>
      <x:c r="C76" s="26" t="n">
        <x:f>'Source Data'!C320</x:f>
        <x:v>7</x:v>
      </x:c>
      <x:c r="D76" s="27" t="str">
        <x:f>'Source Data'!D320</x:f>
        <x:v>State Farm</x:v>
      </x:c>
      <x:c r="E76" s="29" t="n">
        <x:f>'Source Data'!E320</x:f>
        <x:v>0.18097297297297296</x:v>
      </x:c>
      <x:c r="F76" s="29" t="n">
        <x:f>'Assumptions'!F65</x:f>
        <x:v>1</x:v>
      </x:c>
      <x:c r="G76" s="30" t="n">
        <x:f>E76*F76</x:f>
        <x:v>0.18097297297297296</x:v>
      </x:c>
      <x:c r="H76" s="30" t="n">
        <x:f>G76/SUM(G76:G85)</x:f>
        <x:v>0.18097297297297296</x:v>
      </x:c>
      <x:c r="I76" s="29" t="n">
        <x:f>'Source Data'!F320</x:f>
        <x:v>0.4775</x:v>
      </x:c>
      <x:c r="J76" s="30" t="n">
        <x:f>H76*I76</x:f>
        <x:v>0.08641459459459458</x:v>
      </x:c>
      <x:c r="K76" s="29" t="n">
        <x:f>'Assumptions'!D65</x:f>
        <x:v>0.04</x:v>
      </x:c>
      <x:c r="L76" s="29" t="n">
        <x:f>MIN(1,'Assumptions'!K33*'Assumptions'!E65)</x:f>
        <x:v>0.5</x:v>
      </x:c>
      <x:c r="M76" s="3"/>
      <x:c r="N76" s="3"/>
    </x:row>
    <x:row r="77" ht="19" customHeight="1">
      <x:c r="A77" s="2"/>
      <x:c r="B77" s="2"/>
      <x:c r="C77" s="26" t="n">
        <x:f>'Source Data'!C321</x:f>
        <x:v>7</x:v>
      </x:c>
      <x:c r="D77" s="27" t="str">
        <x:f>'Source Data'!D321</x:f>
        <x:v>Progressive</x:v>
      </x:c>
      <x:c r="E77" s="29" t="n">
        <x:f>'Source Data'!E321</x:f>
        <x:v>0.20800000000000002</x:v>
      </x:c>
      <x:c r="F77" s="29" t="n">
        <x:f>'Assumptions'!F66</x:f>
        <x:v>1</x:v>
      </x:c>
      <x:c r="G77" s="30" t="n">
        <x:f>E77*F77</x:f>
        <x:v>0.20800000000000002</x:v>
      </x:c>
      <x:c r="H77" s="30" t="n">
        <x:f>G77/SUM(G76:G85)</x:f>
        <x:v>0.20800000000000002</x:v>
      </x:c>
      <x:c r="I77" s="29" t="n">
        <x:f>'Source Data'!F321</x:f>
        <x:v>0.04999999999999999</x:v>
      </x:c>
      <x:c r="J77" s="30" t="n">
        <x:f>H77*I77</x:f>
        <x:v>0.010399999999999998</x:v>
      </x:c>
      <x:c r="K77" s="29" t="n">
        <x:f>'Assumptions'!D66</x:f>
        <x:v>0.04</x:v>
      </x:c>
      <x:c r="L77" s="29" t="n">
        <x:f>MIN(1,'Assumptions'!K33*'Assumptions'!E66)</x:f>
        <x:v>0.5</x:v>
      </x:c>
      <x:c r="M77" s="3"/>
      <x:c r="N77" s="3"/>
    </x:row>
    <x:row r="78" ht="19" customHeight="1">
      <x:c r="A78" s="2"/>
      <x:c r="B78" s="2"/>
      <x:c r="C78" s="26" t="n">
        <x:f>'Source Data'!C322</x:f>
        <x:v>7</x:v>
      </x:c>
      <x:c r="D78" s="27" t="str">
        <x:f>'Source Data'!D322</x:f>
        <x:v>GEICO</x:v>
      </x:c>
      <x:c r="E78" s="29" t="n">
        <x:f>'Source Data'!E322</x:f>
        <x:v>0.11286486486486487</x:v>
      </x:c>
      <x:c r="F78" s="29" t="n">
        <x:f>'Assumptions'!F67</x:f>
        <x:v>1</x:v>
      </x:c>
      <x:c r="G78" s="30" t="n">
        <x:f>E78*F78</x:f>
        <x:v>0.11286486486486487</x:v>
      </x:c>
      <x:c r="H78" s="30" t="n">
        <x:f>G78/SUM(G76:G85)</x:f>
        <x:v>0.11286486486486487</x:v>
      </x:c>
      <x:c r="I78" s="29" t="n">
        <x:f>'Source Data'!F322</x:f>
        <x:v>0.9019999999999999</x:v>
      </x:c>
      <x:c r="J78" s="30" t="n">
        <x:f>H78*I78</x:f>
        <x:v>0.1018041081081081</x:v>
      </x:c>
      <x:c r="K78" s="29" t="n">
        <x:f>'Assumptions'!D67</x:f>
        <x:v>0.04</x:v>
      </x:c>
      <x:c r="L78" s="29" t="n">
        <x:f>MIN(1,'Assumptions'!K33*'Assumptions'!E67)</x:f>
        <x:v>0.5</x:v>
      </x:c>
      <x:c r="M78" s="3"/>
      <x:c r="N78" s="3"/>
    </x:row>
    <x:row r="79" ht="19" customHeight="1">
      <x:c r="A79" s="2"/>
      <x:c r="B79" s="2"/>
      <x:c r="C79" s="26" t="n">
        <x:f>'Source Data'!C323</x:f>
        <x:v>7</x:v>
      </x:c>
      <x:c r="D79" s="27" t="str">
        <x:f>'Source Data'!D323</x:f>
        <x:v>Allstate</x:v>
      </x:c>
      <x:c r="E79" s="29" t="n">
        <x:f>'Source Data'!E323</x:f>
        <x:v>0.09924324324324323</x:v>
      </x:c>
      <x:c r="F79" s="29" t="n">
        <x:f>'Assumptions'!F68</x:f>
        <x:v>1</x:v>
      </x:c>
      <x:c r="G79" s="30" t="n">
        <x:f>E79*F79</x:f>
        <x:v>0.09924324324324323</x:v>
      </x:c>
      <x:c r="H79" s="30" t="n">
        <x:f>G79/SUM(G76:G85)</x:f>
        <x:v>0.09924324324324323</x:v>
      </x:c>
      <x:c r="I79" s="29" t="n">
        <x:f>'Source Data'!F323</x:f>
        <x:v>0.95</x:v>
      </x:c>
      <x:c r="J79" s="30" t="n">
        <x:f>H79*I79</x:f>
        <x:v>0.09428108108108106</x:v>
      </x:c>
      <x:c r="K79" s="29" t="n">
        <x:f>'Assumptions'!D68</x:f>
        <x:v>0.04</x:v>
      </x:c>
      <x:c r="L79" s="29" t="n">
        <x:f>MIN(1,'Assumptions'!K33*'Assumptions'!E68)</x:f>
        <x:v>0.5</x:v>
      </x:c>
      <x:c r="M79" s="3"/>
      <x:c r="N79" s="3"/>
    </x:row>
    <x:row r="80" ht="19" customHeight="1">
      <x:c r="A80" s="2"/>
      <x:c r="B80" s="2"/>
      <x:c r="C80" s="26" t="n">
        <x:f>'Source Data'!C324</x:f>
        <x:v>7</x:v>
      </x:c>
      <x:c r="D80" s="27" t="str">
        <x:f>'Source Data'!D324</x:f>
        <x:v>USAA</x:v>
      </x:c>
      <x:c r="E80" s="29" t="n">
        <x:f>'Source Data'!E324</x:f>
        <x:v>0.06032432432432432</x:v>
      </x:c>
      <x:c r="F80" s="29" t="n">
        <x:f>'Assumptions'!F69</x:f>
        <x:v>1</x:v>
      </x:c>
      <x:c r="G80" s="30" t="n">
        <x:f>E80*F80</x:f>
        <x:v>0.06032432432432432</x:v>
      </x:c>
      <x:c r="H80" s="30" t="n">
        <x:f>G80/SUM(G76:G85)</x:f>
        <x:v>0.06032432432432432</x:v>
      </x:c>
      <x:c r="I80" s="29" t="n">
        <x:f>'Source Data'!F324</x:f>
        <x:v>0.95</x:v>
      </x:c>
      <x:c r="J80" s="30" t="n">
        <x:f>H80*I80</x:f>
        <x:v>0.0573081081081081</x:v>
      </x:c>
      <x:c r="K80" s="29" t="n">
        <x:f>'Assumptions'!D69</x:f>
        <x:v>0.04</x:v>
      </x:c>
      <x:c r="L80" s="29" t="n">
        <x:f>MIN(1,'Assumptions'!K33*'Assumptions'!E69)</x:f>
        <x:v>0.5</x:v>
      </x:c>
      <x:c r="M80" s="3"/>
      <x:c r="N80" s="3"/>
    </x:row>
    <x:row r="81" ht="19" customHeight="1">
      <x:c r="A81" s="2"/>
      <x:c r="B81" s="2"/>
      <x:c r="C81" s="26" t="n">
        <x:f>'Source Data'!C325</x:f>
        <x:v>7</x:v>
      </x:c>
      <x:c r="D81" s="27" t="str">
        <x:f>'Source Data'!D325</x:f>
        <x:v>Farmers</x:v>
      </x:c>
      <x:c r="E81" s="29" t="n">
        <x:f>'Source Data'!E325</x:f>
        <x:v>0.03697297297297297</x:v>
      </x:c>
      <x:c r="F81" s="29" t="n">
        <x:f>'Assumptions'!F70</x:f>
        <x:v>1</x:v>
      </x:c>
      <x:c r="G81" s="30" t="n">
        <x:f>E81*F81</x:f>
        <x:v>0.03697297297297297</x:v>
      </x:c>
      <x:c r="H81" s="30" t="n">
        <x:f>G81/SUM(G76:G85)</x:f>
        <x:v>0.03697297297297297</x:v>
      </x:c>
      <x:c r="I81" s="29" t="n">
        <x:f>'Source Data'!F325</x:f>
        <x:v>0.9</x:v>
      </x:c>
      <x:c r="J81" s="30" t="n">
        <x:f>H81*I81</x:f>
        <x:v>0.03327567567567568</x:v>
      </x:c>
      <x:c r="K81" s="29" t="n">
        <x:f>'Assumptions'!D70</x:f>
        <x:v>0.04</x:v>
      </x:c>
      <x:c r="L81" s="29" t="n">
        <x:f>MIN(1,'Assumptions'!K33*'Assumptions'!E70)</x:f>
        <x:v>0.5</x:v>
      </x:c>
      <x:c r="M81" s="3"/>
      <x:c r="N81" s="3"/>
    </x:row>
    <x:row r="82" ht="19" customHeight="1">
      <x:c r="A82" s="2"/>
      <x:c r="B82" s="2"/>
      <x:c r="C82" s="26" t="n">
        <x:f>'Source Data'!C326</x:f>
        <x:v>7</x:v>
      </x:c>
      <x:c r="D82" s="27" t="str">
        <x:f>'Source Data'!D326</x:f>
        <x:v>Liberty Mutual</x:v>
      </x:c>
      <x:c r="E82" s="29" t="n">
        <x:f>'Source Data'!E326</x:f>
        <x:v>0.03210810810810811</x:v>
      </x:c>
      <x:c r="F82" s="29" t="n">
        <x:f>'Assumptions'!F71</x:f>
        <x:v>1</x:v>
      </x:c>
      <x:c r="G82" s="30" t="n">
        <x:f>E82*F82</x:f>
        <x:v>0.03210810810810811</x:v>
      </x:c>
      <x:c r="H82" s="30" t="n">
        <x:f>G82/SUM(G76:G85)</x:f>
        <x:v>0.03210810810810811</x:v>
      </x:c>
      <x:c r="I82" s="29" t="n">
        <x:f>'Source Data'!F326</x:f>
        <x:v>0.7</x:v>
      </x:c>
      <x:c r="J82" s="30" t="n">
        <x:f>H82*I82</x:f>
        <x:v>0.022475675675675676</x:v>
      </x:c>
      <x:c r="K82" s="29" t="n">
        <x:f>'Assumptions'!D71</x:f>
        <x:v>0.04</x:v>
      </x:c>
      <x:c r="L82" s="29" t="n">
        <x:f>MIN(1,'Assumptions'!K33*'Assumptions'!E71)</x:f>
        <x:v>0.5</x:v>
      </x:c>
      <x:c r="M82" s="3"/>
      <x:c r="N82" s="3"/>
    </x:row>
    <x:row r="83" ht="19" customHeight="1">
      <x:c r="A83" s="2"/>
      <x:c r="B83" s="2"/>
      <x:c r="C83" s="26" t="n">
        <x:f>'Source Data'!C327</x:f>
        <x:v>7</x:v>
      </x:c>
      <x:c r="D83" s="27" t="str">
        <x:f>'Source Data'!D327</x:f>
        <x:v>Travelers</x:v>
      </x:c>
      <x:c r="E83" s="29" t="n">
        <x:f>'Source Data'!E327</x:f>
        <x:v>0.01945945945945946</x:v>
      </x:c>
      <x:c r="F83" s="29" t="n">
        <x:f>'Assumptions'!F72</x:f>
        <x:v>1</x:v>
      </x:c>
      <x:c r="G83" s="30" t="n">
        <x:f>E83*F83</x:f>
        <x:v>0.01945945945945946</x:v>
      </x:c>
      <x:c r="H83" s="30" t="n">
        <x:f>G83/SUM(G76:G85)</x:f>
        <x:v>0.01945945945945946</x:v>
      </x:c>
      <x:c r="I83" s="29" t="n">
        <x:f>'Source Data'!F327</x:f>
        <x:v>0.85</x:v>
      </x:c>
      <x:c r="J83" s="30" t="n">
        <x:f>H83*I83</x:f>
        <x:v>0.01654054054054054</x:v>
      </x:c>
      <x:c r="K83" s="29" t="n">
        <x:f>'Assumptions'!D72</x:f>
        <x:v>0.04</x:v>
      </x:c>
      <x:c r="L83" s="29" t="n">
        <x:f>MIN(1,'Assumptions'!K33*'Assumptions'!E72)</x:f>
        <x:v>0.5</x:v>
      </x:c>
      <x:c r="M83" s="3"/>
      <x:c r="N83" s="3"/>
    </x:row>
    <x:row r="84" ht="19" customHeight="1">
      <x:c r="A84" s="2"/>
      <x:c r="B84" s="2"/>
      <x:c r="C84" s="26" t="n">
        <x:f>'Source Data'!C328</x:f>
        <x:v>7</x:v>
      </x:c>
      <x:c r="D84" s="27" t="str">
        <x:f>'Source Data'!D328</x:f>
        <x:v>Nationwide</x:v>
      </x:c>
      <x:c r="E84" s="29" t="n">
        <x:f>'Source Data'!E328</x:f>
        <x:v>0.014594594594594593</x:v>
      </x:c>
      <x:c r="F84" s="29" t="n">
        <x:f>'Assumptions'!F73</x:f>
        <x:v>1</x:v>
      </x:c>
      <x:c r="G84" s="30" t="n">
        <x:f>E84*F84</x:f>
        <x:v>0.014594594594594593</x:v>
      </x:c>
      <x:c r="H84" s="30" t="n">
        <x:f>G84/SUM(G76:G85)</x:f>
        <x:v>0.014594594594594593</x:v>
      </x:c>
      <x:c r="I84" s="29" t="n">
        <x:f>'Source Data'!F328</x:f>
        <x:v>0.95</x:v>
      </x:c>
      <x:c r="J84" s="30" t="n">
        <x:f>H84*I84</x:f>
        <x:v>0.013864864864864863</x:v>
      </x:c>
      <x:c r="K84" s="29" t="n">
        <x:f>'Assumptions'!D73</x:f>
        <x:v>0.04</x:v>
      </x:c>
      <x:c r="L84" s="29" t="n">
        <x:f>MIN(1,'Assumptions'!K33*'Assumptions'!E73)</x:f>
        <x:v>0.5</x:v>
      </x:c>
      <x:c r="M84" s="3"/>
      <x:c r="N84" s="3"/>
    </x:row>
    <x:row r="85" ht="19" customHeight="1">
      <x:c r="A85" s="2"/>
      <x:c r="B85" s="2"/>
      <x:c r="C85" s="26" t="n">
        <x:f>'Source Data'!C329</x:f>
        <x:v>7</x:v>
      </x:c>
      <x:c r="D85" s="27" t="str">
        <x:f>'Source Data'!D329</x:f>
        <x:v>Other (Erie, AAA, AmFam, regionals)</x:v>
      </x:c>
      <x:c r="E85" s="29" t="n">
        <x:f>'Source Data'!E329</x:f>
        <x:v>0.23545945945945945</x:v>
      </x:c>
      <x:c r="F85" s="29" t="n">
        <x:f>'Assumptions'!F74</x:f>
        <x:v>1</x:v>
      </x:c>
      <x:c r="G85" s="30" t="n">
        <x:f>E85*F85</x:f>
        <x:v>0.23545945945945945</x:v>
      </x:c>
      <x:c r="H85" s="30" t="n">
        <x:f>G85/SUM(G76:G85)</x:f>
        <x:v>0.23545945945945945</x:v>
      </x:c>
      <x:c r="I85" s="29" t="n">
        <x:f>'Source Data'!F329</x:f>
        <x:v>0.4775</x:v>
      </x:c>
      <x:c r="J85" s="30" t="n">
        <x:f>H85*I85</x:f>
        <x:v>0.11243189189189189</x:v>
      </x:c>
      <x:c r="K85" s="29" t="n">
        <x:f>'Assumptions'!D74</x:f>
        <x:v>0.04</x:v>
      </x:c>
      <x:c r="L85" s="29" t="n">
        <x:f>MIN(1,'Assumptions'!K33*'Assumptions'!E74)</x:f>
        <x:v>0.5</x:v>
      </x:c>
      <x:c r="M85" s="3"/>
      <x:c r="N85" s="3"/>
    </x:row>
    <x:row r="86" ht="19" customHeight="1">
      <x:c r="A86" s="2"/>
      <x:c r="B86" s="2"/>
      <x:c r="C86" s="2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</x:row>
    <x:row r="87" ht="19" customHeight="1">
      <x:c r="A87" s="2"/>
      <x:c r="B87" s="2"/>
      <x:c r="C87" s="2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</x:row>
    <x:row r="88" ht="19" customHeight="1">
      <x:c r="A88" s="2"/>
      <x:c r="B88" s="2"/>
      <x:c r="C88" s="2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</x:row>
    <x:row r="89" ht="19" customHeight="1">
      <x:c r="A89" s="2"/>
      <x:c r="B89" s="2"/>
      <x:c r="C89" s="2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</x:row>
    <x:row r="90" ht="30" customHeight="1">
      <x:c r="A90" s="2"/>
      <x:c r="B90" s="2"/>
      <x:c r="C90" s="8" t="str">
        <x:v>Period</x:v>
      </x:c>
      <x:c r="D90" s="11" t="str">
        <x:v>Copart share</x:v>
      </x:c>
      <x:c r="E90" s="11" t="str">
        <x:v>Seller rate / sold</x:v>
      </x:c>
      <x:c r="F90" s="11" t="str">
        <x:v>Title use / sold</x:v>
      </x:c>
      <x:c r="G90" s="11" t="str">
        <x:v>Claim-share sum</x:v>
      </x:c>
      <x:c r="H90" s="3"/>
      <x:c r="I90" s="3"/>
      <x:c r="J90" s="3"/>
      <x:c r="K90" s="3"/>
      <x:c r="L90" s="3"/>
      <x:c r="M90" s="3"/>
      <x:c r="N90" s="3"/>
    </x:row>
    <x:row r="91" ht="19" customHeight="1">
      <x:c r="A91" s="2"/>
      <x:c r="B91" s="2"/>
      <x:c r="C91" s="2" t="str">
        <x:v>Q1 FY26A</x:v>
      </x:c>
      <x:c r="D91" s="30" t="n">
        <x:f>SUM(J6:J15)</x:f>
        <x:v>0.6031466250000002</x:v>
      </x:c>
      <x:c r="E91" s="30" t="n">
        <x:f>SUMPRODUCT(J6:J15,K6:K15)/D91</x:f>
        <x:v>0.03999999999999999</x:v>
      </x:c>
      <x:c r="F91" s="30" t="n">
        <x:f>SUMPRODUCT(J6:J15,L6:L15)/D91</x:f>
        <x:v>0.5</x:v>
      </x:c>
      <x:c r="G91" s="30" t="n">
        <x:f>SUM(H6:H15)</x:f>
        <x:v>1</x:v>
      </x:c>
      <x:c r="H91" s="3"/>
      <x:c r="I91" s="3"/>
      <x:c r="J91" s="3"/>
      <x:c r="K91" s="3"/>
      <x:c r="L91" s="3"/>
      <x:c r="M91" s="3"/>
      <x:c r="N91" s="3"/>
    </x:row>
    <x:row r="92" ht="19" customHeight="1">
      <x:c r="A92" s="2"/>
      <x:c r="B92" s="2"/>
      <x:c r="C92" s="2" t="str">
        <x:v>Q2 FY26A</x:v>
      </x:c>
      <x:c r="D92" s="30" t="n">
        <x:f>SUM(J16:J25)</x:f>
        <x:v>0.6011299999999999</x:v>
      </x:c>
      <x:c r="E92" s="30" t="n">
        <x:f>SUMPRODUCT(J16:J25,K16:K25)/D92</x:f>
        <x:v>0.04000000000000001</x:v>
      </x:c>
      <x:c r="F92" s="30" t="n">
        <x:f>SUMPRODUCT(J16:J25,L16:L25)/D92</x:f>
        <x:v>0.5</x:v>
      </x:c>
      <x:c r="G92" s="30" t="n">
        <x:f>SUM(H16:H25)</x:f>
        <x:v>1</x:v>
      </x:c>
      <x:c r="H92" s="3"/>
      <x:c r="I92" s="3"/>
      <x:c r="J92" s="3"/>
      <x:c r="K92" s="3"/>
      <x:c r="L92" s="3"/>
      <x:c r="M92" s="3"/>
      <x:c r="N92" s="3"/>
    </x:row>
    <x:row r="93" ht="19" customHeight="1">
      <x:c r="A93" s="2"/>
      <x:c r="B93" s="2"/>
      <x:c r="C93" s="2" t="str">
        <x:v>Q3 FY26A</x:v>
      </x:c>
      <x:c r="D93" s="30" t="n">
        <x:f>SUM(J26:J35)</x:f>
        <x:v>0.5823929545454546</x:v>
      </x:c>
      <x:c r="E93" s="30" t="n">
        <x:f>SUMPRODUCT(J26:J35,K26:K35)/D93</x:f>
        <x:v>0.04</x:v>
      </x:c>
      <x:c r="F93" s="30" t="n">
        <x:f>SUMPRODUCT(J26:J35,L26:L35)/D93</x:f>
        <x:v>0.5</x:v>
      </x:c>
      <x:c r="G93" s="30" t="n">
        <x:f>SUM(H26:H35)</x:f>
        <x:v>1</x:v>
      </x:c>
      <x:c r="H93" s="3"/>
      <x:c r="I93" s="3"/>
      <x:c r="J93" s="3"/>
      <x:c r="K93" s="3"/>
      <x:c r="L93" s="3"/>
      <x:c r="M93" s="3"/>
      <x:c r="N93" s="3"/>
    </x:row>
    <x:row r="94" ht="19" customHeight="1">
      <x:c r="A94" s="2"/>
      <x:c r="B94" s="2"/>
      <x:c r="C94" s="2" t="str">
        <x:v>Q4 FY26A</x:v>
      </x:c>
      <x:c r="D94" s="30" t="n">
        <x:f>SUM(J36:J45)</x:f>
        <x:v>0.5657796044226044</x:v>
      </x:c>
      <x:c r="E94" s="30" t="n">
        <x:f>SUMPRODUCT(J36:J45,K36:K45)/D94</x:f>
        <x:v>0.04</x:v>
      </x:c>
      <x:c r="F94" s="30" t="n">
        <x:f>SUMPRODUCT(J36:J45,L36:L45)/D94</x:f>
        <x:v>0.5</x:v>
      </x:c>
      <x:c r="G94" s="30" t="n">
        <x:f>SUM(H36:H45)</x:f>
        <x:v>1</x:v>
      </x:c>
      <x:c r="H94" s="3"/>
      <x:c r="I94" s="3"/>
      <x:c r="J94" s="3"/>
      <x:c r="K94" s="3"/>
      <x:c r="L94" s="3"/>
      <x:c r="M94" s="3"/>
      <x:c r="N94" s="3"/>
    </x:row>
    <x:row r="95" ht="19" customHeight="1">
      <x:c r="A95" s="2"/>
      <x:c r="B95" s="2"/>
      <x:c r="C95" s="2" t="str">
        <x:v>Q1 FY27E</x:v>
      </x:c>
      <x:c r="D95" s="30" t="n">
        <x:f>SUM(J46:J55)</x:f>
        <x:v>0.5612940349355036</x:v>
      </x:c>
      <x:c r="E95" s="30" t="n">
        <x:f>SUMPRODUCT(J46:J55,K46:K55)/D95</x:f>
        <x:v>0.04000000000000001</x:v>
      </x:c>
      <x:c r="F95" s="30" t="n">
        <x:f>SUMPRODUCT(J46:J55,L46:L55)/D95</x:f>
        <x:v>0.5</x:v>
      </x:c>
      <x:c r="G95" s="30" t="n">
        <x:f>SUM(H46:H55)</x:f>
        <x:v>1</x:v>
      </x:c>
      <x:c r="H95" s="3"/>
      <x:c r="I95" s="3"/>
      <x:c r="J95" s="3"/>
      <x:c r="K95" s="3"/>
      <x:c r="L95" s="3"/>
      <x:c r="M95" s="3"/>
      <x:c r="N95" s="3"/>
    </x:row>
    <x:row r="96" ht="19" customHeight="1">
      <x:c r="A96" s="2"/>
      <x:c r="B96" s="2"/>
      <x:c r="C96" s="2" t="str">
        <x:v>Q2 FY27E</x:v>
      </x:c>
      <x:c r="D96" s="30" t="n">
        <x:f>SUM(J56:J65)</x:f>
        <x:v>0.5603044474815726</x:v>
      </x:c>
      <x:c r="E96" s="30" t="n">
        <x:f>SUMPRODUCT(J56:J65,K56:K65)/D96</x:f>
        <x:v>0.04</x:v>
      </x:c>
      <x:c r="F96" s="30" t="n">
        <x:f>SUMPRODUCT(J56:J65,L56:L65)/D96</x:f>
        <x:v>0.5</x:v>
      </x:c>
      <x:c r="G96" s="30" t="n">
        <x:f>SUM(H56:H65)</x:f>
        <x:v>1</x:v>
      </x:c>
      <x:c r="H96" s="3"/>
      <x:c r="I96" s="3"/>
      <x:c r="J96" s="3"/>
      <x:c r="K96" s="3"/>
      <x:c r="L96" s="3"/>
      <x:c r="M96" s="3"/>
      <x:c r="N96" s="3"/>
    </x:row>
    <x:row r="97" ht="19" customHeight="1">
      <x:c r="A97" s="2"/>
      <x:c r="B97" s="2"/>
      <x:c r="C97" s="2" t="str">
        <x:v>Q3 FY27E</x:v>
      </x:c>
      <x:c r="D97" s="30" t="n">
        <x:f>SUM(J66:J75)</x:f>
        <x:v>0.5545345830006141</x:v>
      </x:c>
      <x:c r="E97" s="30" t="n">
        <x:f>SUMPRODUCT(J66:J75,K66:K75)/D97</x:f>
        <x:v>0.04000000000000001</x:v>
      </x:c>
      <x:c r="F97" s="30" t="n">
        <x:f>SUMPRODUCT(J66:J75,L66:L75)/D97</x:f>
        <x:v>0.5</x:v>
      </x:c>
      <x:c r="G97" s="30" t="n">
        <x:f>SUM(H66:H75)</x:f>
        <x:v>1</x:v>
      </x:c>
      <x:c r="H97" s="3"/>
      <x:c r="I97" s="3"/>
      <x:c r="J97" s="3"/>
      <x:c r="K97" s="3"/>
      <x:c r="L97" s="3"/>
      <x:c r="M97" s="3"/>
      <x:c r="N97" s="3"/>
    </x:row>
    <x:row r="98" ht="19" customHeight="1">
      <x:c r="A98" s="2"/>
      <x:c r="B98" s="2"/>
      <x:c r="C98" s="2" t="str">
        <x:v>Q4 FY27E</x:v>
      </x:c>
      <x:c r="D98" s="30" t="n">
        <x:f>SUM(J76:J85)</x:f>
        <x:v>0.5487965405405405</x:v>
      </x:c>
      <x:c r="E98" s="30" t="n">
        <x:f>SUMPRODUCT(J76:J85,K76:K85)/D98</x:f>
        <x:v>0.039999999999999994</x:v>
      </x:c>
      <x:c r="F98" s="30" t="n">
        <x:f>SUMPRODUCT(J76:J85,L76:L85)/D98</x:f>
        <x:v>0.5</x:v>
      </x:c>
      <x:c r="G98" s="30" t="n">
        <x:f>SUM(H76:H85)</x:f>
        <x:v>1</x:v>
      </x:c>
      <x:c r="H98" s="3"/>
      <x:c r="I98" s="3"/>
      <x:c r="J98" s="3"/>
      <x:c r="K98" s="3"/>
      <x:c r="L98" s="3"/>
      <x:c r="M98" s="3"/>
      <x:c r="N98" s="3"/>
    </x:row>
    <x:row r="99" ht="19" customHeight="1">
      <x:c r="A99" s="2"/>
      <x:c r="B99" s="2"/>
      <x:c r="C99" s="2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</x:row>
    <x:row r="100" ht="19" customHeight="1">
      <x:c r="A100" s="2"/>
      <x:c r="B100" s="2"/>
      <x:c r="C100" s="2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</x:row>
    <x:row r="101" ht="30" customHeight="1">
      <x:c r="A101" s="2"/>
      <x:c r="B101" s="2"/>
      <x:c r="C101" s="15" t="str">
        <x:v>Allocation paths imported as editable source estimates. No extra Progressive or aggregate-share adjustment is applied.</x:v>
      </x:c>
      <x:c r="D101" s="16"/>
      <x:c r="E101" s="16"/>
      <x:c r="F101" s="16"/>
      <x:c r="G101" s="16"/>
      <x:c r="H101" s="16"/>
      <x:c r="I101" s="16"/>
      <x:c r="J101" s="16"/>
      <x:c r="K101" s="16"/>
      <x:c r="L101" s="16"/>
      <x:c r="M101" s="16"/>
      <x:c r="N101" s="16"/>
    </x:row>
    <x:row r="102" ht="19" customHeight="1">
      <x:c r="A102" s="2"/>
      <x:c r="B102" s="2"/>
      <x:c r="C102" s="2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</x:row>
    <x:row r="103" ht="30" customHeight="1">
      <x:c r="A103" s="2"/>
      <x:c r="B103" s="2"/>
      <x:c r="C103" s="15" t="str">
        <x:v>Common damage/age mix across carriers is an explicit temporary assumption; claim factors adjust weights, not observed intensity.</x:v>
      </x:c>
      <x:c r="D103" s="16"/>
      <x:c r="E103" s="16"/>
      <x:c r="F103" s="16"/>
      <x:c r="G103" s="16"/>
      <x:c r="H103" s="16"/>
      <x:c r="I103" s="16"/>
      <x:c r="J103" s="16"/>
      <x:c r="K103" s="16"/>
      <x:c r="L103" s="16"/>
      <x:c r="M103" s="16"/>
      <x:c r="N103" s="16"/>
    </x:row>
    <x:row r="104" ht="19" customHeight="1">
      <x:c r="A104" s="2"/>
      <x:c r="B104" s="2"/>
      <x:c r="C104" s="2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</x:row>
    <x:row r="105" ht="19" customHeight="1">
      <x:c r="A105" s="2"/>
      <x:c r="B105" s="2"/>
      <x:c r="C105" s="2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</x:row>
    <x:row r="106" ht="19" customHeight="1">
      <x:c r="A106" s="2"/>
      <x:c r="B106" s="2"/>
      <x:c r="C106" s="2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</x:row>
    <x:row r="107" ht="19" customHeight="1">
      <x:c r="A107" s="2"/>
      <x:c r="B107" s="2"/>
      <x:c r="C107" s="2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</x:row>
    <x:row r="108" ht="19" customHeight="1">
      <x:c r="A108" s="2"/>
      <x:c r="B108" s="2"/>
      <x:c r="C108" s="2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</x:row>
    <x:row r="109" ht="19" customHeight="1">
      <x:c r="A109" s="2"/>
      <x:c r="B109" s="2"/>
      <x:c r="C109" s="2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</x:row>
    <x:row r="110" ht="19" customHeight="1">
      <x:c r="A110" s="2"/>
      <x:c r="B110" s="2"/>
      <x:c r="C110" s="2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</x:row>
    <x:row r="111" ht="19" customHeight="1">
      <x:c r="A111" s="2"/>
      <x:c r="B111" s="2"/>
      <x:c r="C111" s="2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</x:row>
    <x:row r="112" ht="19" customHeight="1">
      <x:c r="A112" s="2"/>
      <x:c r="B112" s="2"/>
      <x:c r="C112" s="2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</x:row>
    <x:row r="113" ht="19" customHeight="1">
      <x:c r="A113" s="2"/>
      <x:c r="B113" s="2"/>
      <x:c r="C113" s="2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</x:row>
    <x:row r="114" ht="19" customHeight="1">
      <x:c r="A114" s="2"/>
      <x:c r="B114" s="2"/>
      <x:c r="C114" s="2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</x:row>
    <x:row r="115" ht="19" customHeight="1">
      <x:c r="A115" s="2"/>
      <x:c r="B115" s="2"/>
      <x:c r="C115" s="2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</x:row>
  </x:sheetData>
  <x:mergeCells>
    <x:mergeCell ref="C101:N101"/>
    <x:mergeCell ref="C103:N10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CDBDA5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2"/>
      <x:c r="B2" s="2"/>
      <x:c r="C2" s="5" t="str">
        <x:v>Source records and extracted inputs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  <x:c r="L5" s="2"/>
      <x:c r="M5" s="2"/>
      <x:c r="N5" s="2"/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</x:row>
    <x:row r="8" ht="19" customHeight="1">
      <x:c r="A8" s="2"/>
      <x:c r="B8" s="2"/>
      <x:c r="C8" s="2" t="str">
        <x:v>US service revenue ($m)</x:v>
      </x:c>
      <x:c r="D8" s="3" t="n">
        <x:v>855.534</x:v>
      </x:c>
      <x:c r="E8" s="3" t="n">
        <x:v>819.467</x:v>
      </x:c>
      <x:c r="F8" s="3" t="n">
        <x:v>895.464</x:v>
      </x:c>
      <x:c r="G8" s="3" t="n">
        <x:v>817.822</x:v>
      </x:c>
      <x:c r="H8" s="3"/>
      <x:c r="I8" s="3"/>
      <x:c r="J8" s="3"/>
      <x:c r="K8" s="3"/>
      <x:c r="L8" s="3"/>
      <x:c r="M8" s="3"/>
      <x:c r="N8" s="3"/>
    </x:row>
    <x:row r="9" ht="19" customHeight="1">
      <x:c r="A9" s="2"/>
      <x:c r="B9" s="2"/>
      <x:c r="C9" s="2" t="str">
        <x:v>International services ($m)</x:v>
      </x:c>
      <x:c r="D9" s="3" t="n">
        <x:v>136.311</x:v>
      </x:c>
      <x:c r="E9" s="3" t="n">
        <x:v>132.584</x:v>
      </x:c>
      <x:c r="F9" s="3" t="n">
        <x:v>160.616</x:v>
      </x:c>
      <x:c r="G9" s="3" t="n">
        <x:v>151.722</x:v>
      </x:c>
      <x:c r="H9" s="3"/>
      <x:c r="I9" s="3"/>
      <x:c r="J9" s="3"/>
      <x:c r="K9" s="3"/>
      <x:c r="L9" s="3"/>
      <x:c r="M9" s="3"/>
      <x:c r="N9" s="3"/>
    </x:row>
    <x:row r="10" ht="19" customHeight="1">
      <x:c r="A10" s="2"/>
      <x:c r="B10" s="2"/>
      <x:c r="C10" s="2" t="str">
        <x:v>Total service revenue ($m)</x:v>
      </x:c>
      <x:c r="D10" s="3" t="n">
        <x:v>991.845</x:v>
      </x:c>
      <x:c r="E10" s="3" t="n">
        <x:v>952.0509999999999</x:v>
      </x:c>
      <x:c r="F10" s="3" t="n">
        <x:v>1056.0800000000002</x:v>
      </x:c>
      <x:c r="G10" s="3" t="n">
        <x:v>969.544</x:v>
      </x:c>
      <x:c r="H10" s="3"/>
      <x:c r="I10" s="3"/>
      <x:c r="J10" s="3"/>
      <x:c r="K10" s="3"/>
      <x:c r="L10" s="3"/>
      <x:c r="M10" s="3"/>
      <x:c r="N10" s="3"/>
    </x:row>
    <x:row r="11" ht="19" customHeight="1">
      <x:c r="A11" s="2"/>
      <x:c r="B11" s="2"/>
      <x:c r="C11" s="2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 ht="19" customHeight="1">
      <x:c r="A12" s="2"/>
      <x:c r="B12" s="2"/>
      <x:c r="C12" s="2" t="str">
        <x:v>Prior-year US services ($m)</x:v>
      </x:c>
      <x:c r="D12" s="3" t="n">
        <x:v>859.99</x:v>
      </x:c>
      <x:c r="E12" s="3" t="n">
        <x:v>868.13</x:v>
      </x:c>
      <x:c r="F12" s="3" t="n">
        <x:v>898.625</x:v>
      </x:c>
      <x:c r="G12" s="3" t="n">
        <x:v>824.813</x:v>
      </x:c>
      <x:c r="H12" s="3"/>
      <x:c r="I12" s="3"/>
      <x:c r="J12" s="3"/>
      <x:c r="K12" s="3"/>
      <x:c r="L12" s="3"/>
      <x:c r="M12" s="3"/>
      <x:c r="N12" s="3"/>
    </x:row>
    <x:row r="13" ht="19" customHeight="1">
      <x:c r="A13" s="2"/>
      <x:c r="B13" s="2"/>
      <x:c r="C13" s="2" t="str">
        <x:v>Prior-year international ($m)</x:v>
      </x:c>
      <x:c r="D13" s="3" t="n">
        <x:v>126.346</x:v>
      </x:c>
      <x:c r="E13" s="3" t="n">
        <x:v>123.151</x:v>
      </x:c>
      <x:c r="F13" s="3" t="n">
        <x:v>136.211</x:v>
      </x:c>
      <x:c r="G13" s="3" t="n">
        <x:v>131.396</x:v>
      </x:c>
      <x:c r="H13" s="3"/>
      <x:c r="I13" s="3"/>
      <x:c r="J13" s="3"/>
      <x:c r="K13" s="3"/>
      <x:c r="L13" s="3"/>
      <x:c r="M13" s="3"/>
      <x:c r="N13" s="3"/>
    </x:row>
    <x:row r="14" ht="19" customHeight="1">
      <x:c r="A14" s="2"/>
      <x:c r="B14" s="2"/>
      <x:c r="C14" s="2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</x:row>
    <x:row r="15" ht="19" customHeight="1">
      <x:c r="A15" s="2"/>
      <x:c r="B15" s="2"/>
      <x:c r="C15" s="2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</x:row>
    <x:row r="16" ht="30" customHeight="1">
      <x:c r="A16" s="2"/>
      <x:c r="B16" s="2"/>
      <x:c r="C16" s="8" t="str">
        <x:v>Period</x:v>
      </x:c>
      <x:c r="D16" s="11" t="str">
        <x:v>2023 weight</x:v>
      </x:c>
      <x:c r="E16" s="11" t="str">
        <x:v>2024 weight</x:v>
      </x:c>
      <x:c r="F16" s="11" t="str">
        <x:v>2025 weight</x:v>
      </x:c>
      <x:c r="G16" s="11" t="str">
        <x:v>2026 weight</x:v>
      </x:c>
      <x:c r="H16" s="11" t="str">
        <x:v>2027 weight</x:v>
      </x:c>
      <x:c r="I16" s="3"/>
      <x:c r="J16" s="3"/>
      <x:c r="K16" s="3"/>
      <x:c r="L16" s="3"/>
      <x:c r="M16" s="3"/>
      <x:c r="N16" s="3"/>
    </x:row>
    <x:row r="17" ht="19" customHeight="1">
      <x:c r="A17" s="2"/>
      <x:c r="B17" s="2"/>
      <x:c r="C17" s="2" t="str">
        <x:v>Q1 FY26A</x:v>
      </x:c>
      <x:c r="D17" s="12" t="n">
        <x:v>0</x:v>
      </x:c>
      <x:c r="E17" s="12" t="n">
        <x:v>0.2916666666666667</x:v>
      </x:c>
      <x:c r="F17" s="12" t="n">
        <x:v>0.7083333333333334</x:v>
      </x:c>
      <x:c r="G17" s="12" t="n">
        <x:v>0</x:v>
      </x:c>
      <x:c r="H17" s="12" t="n">
        <x:v>0</x:v>
      </x:c>
      <x:c r="I17" s="3"/>
      <x:c r="J17" s="3"/>
      <x:c r="K17" s="3"/>
      <x:c r="L17" s="3"/>
      <x:c r="M17" s="3"/>
      <x:c r="N17" s="3"/>
    </x:row>
    <x:row r="18" ht="19" customHeight="1">
      <x:c r="A18" s="2"/>
      <x:c r="B18" s="2"/>
      <x:c r="C18" s="2" t="str">
        <x:v>Q2 FY26A</x:v>
      </x:c>
      <x:c r="D18" s="12" t="n">
        <x:v>0</x:v>
      </x:c>
      <x:c r="E18" s="12" t="n">
        <x:v>0.05555555555555554</x:v>
      </x:c>
      <x:c r="F18" s="12" t="n">
        <x:v>0.9305555555555556</x:v>
      </x:c>
      <x:c r="G18" s="12" t="n">
        <x:v>0.013888888888888888</x:v>
      </x:c>
      <x:c r="H18" s="12" t="n">
        <x:v>0</x:v>
      </x:c>
      <x:c r="I18" s="3"/>
      <x:c r="J18" s="3"/>
      <x:c r="K18" s="3"/>
      <x:c r="L18" s="3"/>
      <x:c r="M18" s="3"/>
      <x:c r="N18" s="3"/>
    </x:row>
    <x:row r="19" ht="19" customHeight="1">
      <x:c r="A19" s="2"/>
      <x:c r="B19" s="2"/>
      <x:c r="C19" s="2" t="str">
        <x:v>Q3 FY26A</x:v>
      </x:c>
      <x:c r="D19" s="12" t="n">
        <x:v>0</x:v>
      </x:c>
      <x:c r="E19" s="12" t="n">
        <x:v>0</x:v>
      </x:c>
      <x:c r="F19" s="12" t="n">
        <x:v>0.7916666666666666</x:v>
      </x:c>
      <x:c r="G19" s="12" t="n">
        <x:v>0.20833333333333331</x:v>
      </x:c>
      <x:c r="H19" s="12" t="n">
        <x:v>0</x:v>
      </x:c>
      <x:c r="I19" s="3"/>
      <x:c r="J19" s="3"/>
      <x:c r="K19" s="3"/>
      <x:c r="L19" s="3"/>
      <x:c r="M19" s="3"/>
      <x:c r="N19" s="3"/>
    </x:row>
    <x:row r="20" ht="19" customHeight="1">
      <x:c r="A20" s="2"/>
      <x:c r="B20" s="2"/>
      <x:c r="C20" s="2" t="str">
        <x:v>Q4 FY26A</x:v>
      </x:c>
      <x:c r="D20" s="12" t="n">
        <x:v>0</x:v>
      </x:c>
      <x:c r="E20" s="12" t="n">
        <x:v>0</x:v>
      </x:c>
      <x:c r="F20" s="12" t="n">
        <x:v>0.5416666666666667</x:v>
      </x:c>
      <x:c r="G20" s="12" t="n">
        <x:v>0.45833333333333337</x:v>
      </x:c>
      <x:c r="H20" s="12" t="n">
        <x:v>0</x:v>
      </x:c>
      <x:c r="I20" s="3"/>
      <x:c r="J20" s="3"/>
      <x:c r="K20" s="3"/>
      <x:c r="L20" s="3"/>
      <x:c r="M20" s="3"/>
      <x:c r="N20" s="3"/>
    </x:row>
    <x:row r="21" ht="19" customHeight="1">
      <x:c r="A21" s="2"/>
      <x:c r="B21" s="2"/>
      <x:c r="C21" s="2" t="str">
        <x:v>Q1 FY27E</x:v>
      </x:c>
      <x:c r="D21" s="12" t="n">
        <x:v>0</x:v>
      </x:c>
      <x:c r="E21" s="12" t="n">
        <x:v>0</x:v>
      </x:c>
      <x:c r="F21" s="12" t="n">
        <x:v>0.2916666666666667</x:v>
      </x:c>
      <x:c r="G21" s="12" t="n">
        <x:v>0.7083333333333334</x:v>
      </x:c>
      <x:c r="H21" s="12" t="n">
        <x:v>0</x:v>
      </x:c>
      <x:c r="I21" s="3"/>
      <x:c r="J21" s="3"/>
      <x:c r="K21" s="3"/>
      <x:c r="L21" s="3"/>
      <x:c r="M21" s="3"/>
      <x:c r="N21" s="3"/>
    </x:row>
    <x:row r="22" ht="19" customHeight="1">
      <x:c r="A22" s="2"/>
      <x:c r="B22" s="2"/>
      <x:c r="C22" s="2" t="str">
        <x:v>Q2 FY27E</x:v>
      </x:c>
      <x:c r="D22" s="12" t="n">
        <x:v>0</x:v>
      </x:c>
      <x:c r="E22" s="12" t="n">
        <x:v>0</x:v>
      </x:c>
      <x:c r="F22" s="12" t="n">
        <x:v>0.05555555555555554</x:v>
      </x:c>
      <x:c r="G22" s="12" t="n">
        <x:v>0.9305555555555556</x:v>
      </x:c>
      <x:c r="H22" s="12" t="n">
        <x:v>0.013888888888888888</x:v>
      </x:c>
      <x:c r="I22" s="3"/>
      <x:c r="J22" s="3"/>
      <x:c r="K22" s="3"/>
      <x:c r="L22" s="3"/>
      <x:c r="M22" s="3"/>
      <x:c r="N22" s="3"/>
    </x:row>
    <x:row r="23" ht="19" customHeight="1">
      <x:c r="A23" s="2"/>
      <x:c r="B23" s="2"/>
      <x:c r="C23" s="2" t="str">
        <x:v>Q3 FY27E</x:v>
      </x:c>
      <x:c r="D23" s="12" t="n">
        <x:v>0</x:v>
      </x:c>
      <x:c r="E23" s="12" t="n">
        <x:v>0</x:v>
      </x:c>
      <x:c r="F23" s="12" t="n">
        <x:v>0</x:v>
      </x:c>
      <x:c r="G23" s="12" t="n">
        <x:v>0.7916666666666666</x:v>
      </x:c>
      <x:c r="H23" s="12" t="n">
        <x:v>0.20833333333333331</x:v>
      </x:c>
      <x:c r="I23" s="3"/>
      <x:c r="J23" s="3"/>
      <x:c r="K23" s="3"/>
      <x:c r="L23" s="3"/>
      <x:c r="M23" s="3"/>
      <x:c r="N23" s="3"/>
    </x:row>
    <x:row r="24" ht="19" customHeight="1">
      <x:c r="A24" s="2"/>
      <x:c r="B24" s="2"/>
      <x:c r="C24" s="2" t="str">
        <x:v>Q4 FY27E</x:v>
      </x:c>
      <x:c r="D24" s="12" t="n">
        <x:v>0</x:v>
      </x:c>
      <x:c r="E24" s="12" t="n">
        <x:v>0</x:v>
      </x:c>
      <x:c r="F24" s="12" t="n">
        <x:v>0</x:v>
      </x:c>
      <x:c r="G24" s="12" t="n">
        <x:v>0.5416666666666667</x:v>
      </x:c>
      <x:c r="H24" s="12" t="n">
        <x:v>0.45833333333333337</x:v>
      </x:c>
      <x:c r="I24" s="3"/>
      <x:c r="J24" s="3"/>
      <x:c r="K24" s="3"/>
      <x:c r="L24" s="3"/>
      <x:c r="M24" s="3"/>
      <x:c r="N24" s="3"/>
    </x:row>
    <x:row r="25" ht="19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</x:row>
    <x:row r="26" ht="19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</x:row>
    <x:row r="27" ht="19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</x:row>
    <x:row r="28" ht="30" customHeight="1">
      <x:c r="A28" s="2"/>
      <x:c r="B28" s="2"/>
      <x:c r="C28" s="8" t="str">
        <x:v>Body ID</x:v>
      </x:c>
      <x:c r="D28" s="11" t="str">
        <x:v>Age</x:v>
      </x:c>
      <x:c r="E28" s="11" t="str">
        <x:v>Age bucket</x:v>
      </x:c>
      <x:c r="F28" s="11" t="str">
        <x:v>2023 births</x:v>
      </x:c>
      <x:c r="G28" s="11" t="str">
        <x:v>2024 births</x:v>
      </x:c>
      <x:c r="H28" s="11" t="str">
        <x:v>2025 births</x:v>
      </x:c>
      <x:c r="I28" s="11" t="str">
        <x:v>2026 births</x:v>
      </x:c>
      <x:c r="J28" s="11" t="str">
        <x:v>2027 births</x:v>
      </x:c>
      <x:c r="K28" s="3"/>
      <x:c r="L28" s="11" t="str">
        <x:v>Age</x:v>
      </x:c>
      <x:c r="M28" s="11" t="str">
        <x:v>Car survival</x:v>
      </x:c>
      <x:c r="N28" s="11" t="str">
        <x:v>LT survival</x:v>
      </x:c>
    </x:row>
    <x:row r="29" ht="19" customHeight="1">
      <x:c r="A29" s="2"/>
      <x:c r="B29" s="2"/>
      <x:c r="C29" s="2" t="n">
        <x:v>0</x:v>
      </x:c>
      <x:c r="D29" s="3" t="n">
        <x:v>0</x:v>
      </x:c>
      <x:c r="E29" s="3" t="n">
        <x:v>0</x:v>
      </x:c>
      <x:c r="F29" s="3" t="n">
        <x:v>3184.6</x:v>
      </x:c>
      <x:c r="G29" s="3" t="n">
        <x:v>3040.5</x:v>
      </x:c>
      <x:c r="H29" s="3" t="n">
        <x:v>2764.4</x:v>
      </x:c>
      <x:c r="I29" s="3" t="n">
        <x:v>2764.4</x:v>
      </x:c>
      <x:c r="J29" s="3" t="n">
        <x:v>2764.4</x:v>
      </x:c>
      <x:c r="K29" s="3"/>
      <x:c r="L29" s="3" t="n">
        <x:v>0</x:v>
      </x:c>
      <x:c r="M29" s="12" t="n">
        <x:v>1</x:v>
      </x:c>
      <x:c r="N29" s="12" t="n">
        <x:v>1</x:v>
      </x:c>
    </x:row>
    <x:row r="30" ht="19" customHeight="1">
      <x:c r="A30" s="2"/>
      <x:c r="B30" s="2"/>
      <x:c r="C30" s="2" t="n">
        <x:v>0</x:v>
      </x:c>
      <x:c r="D30" s="3" t="n">
        <x:v>1</x:v>
      </x:c>
      <x:c r="E30" s="3" t="n">
        <x:v>1</x:v>
      </x:c>
      <x:c r="F30" s="3" t="n">
        <x:v>2930.7</x:v>
      </x:c>
      <x:c r="G30" s="3" t="n">
        <x:v>3184.6</x:v>
      </x:c>
      <x:c r="H30" s="3" t="n">
        <x:v>3040.5</x:v>
      </x:c>
      <x:c r="I30" s="3" t="n">
        <x:v>2764.4</x:v>
      </x:c>
      <x:c r="J30" s="3" t="n">
        <x:v>2764.4</x:v>
      </x:c>
      <x:c r="K30" s="3"/>
      <x:c r="L30" s="3" t="n">
        <x:v>1</x:v>
      </x:c>
      <x:c r="M30" s="12" t="n">
        <x:v>0.997</x:v>
      </x:c>
      <x:c r="N30" s="12" t="n">
        <x:v>0.991</x:v>
      </x:c>
    </x:row>
    <x:row r="31" ht="19" customHeight="1">
      <x:c r="A31" s="2"/>
      <x:c r="B31" s="2"/>
      <x:c r="C31" s="2" t="n">
        <x:v>0</x:v>
      </x:c>
      <x:c r="D31" s="3" t="n">
        <x:v>2</x:v>
      </x:c>
      <x:c r="E31" s="3" t="n">
        <x:v>1</x:v>
      </x:c>
      <x:c r="F31" s="3" t="n">
        <x:v>3350.1</x:v>
      </x:c>
      <x:c r="G31" s="3" t="n">
        <x:v>2930.7</x:v>
      </x:c>
      <x:c r="H31" s="3" t="n">
        <x:v>3184.6</x:v>
      </x:c>
      <x:c r="I31" s="3" t="n">
        <x:v>3040.5</x:v>
      </x:c>
      <x:c r="J31" s="3" t="n">
        <x:v>2764.4</x:v>
      </x:c>
      <x:c r="K31" s="3"/>
      <x:c r="L31" s="3" t="n">
        <x:v>2</x:v>
      </x:c>
      <x:c r="M31" s="12" t="n">
        <x:v>0.994</x:v>
      </x:c>
      <x:c r="N31" s="12" t="n">
        <x:v>0.982</x:v>
      </x:c>
    </x:row>
    <x:row r="32" ht="19" customHeight="1">
      <x:c r="A32" s="2"/>
      <x:c r="B32" s="2"/>
      <x:c r="C32" s="2" t="n">
        <x:v>0</x:v>
      </x:c>
      <x:c r="D32" s="3" t="n">
        <x:v>3</x:v>
      </x:c>
      <x:c r="E32" s="3" t="n">
        <x:v>1</x:v>
      </x:c>
      <x:c r="F32" s="3" t="n">
        <x:v>3401.8</x:v>
      </x:c>
      <x:c r="G32" s="3" t="n">
        <x:v>3350.1</x:v>
      </x:c>
      <x:c r="H32" s="3" t="n">
        <x:v>2930.7</x:v>
      </x:c>
      <x:c r="I32" s="3" t="n">
        <x:v>3184.6</x:v>
      </x:c>
      <x:c r="J32" s="3" t="n">
        <x:v>3040.5</x:v>
      </x:c>
      <x:c r="K32" s="3"/>
      <x:c r="L32" s="3" t="n">
        <x:v>3</x:v>
      </x:c>
      <x:c r="M32" s="12" t="n">
        <x:v>0.991</x:v>
      </x:c>
      <x:c r="N32" s="12" t="n">
        <x:v>0.973</x:v>
      </x:c>
    </x:row>
    <x:row r="33" ht="19" customHeight="1">
      <x:c r="A33" s="2"/>
      <x:c r="B33" s="2"/>
      <x:c r="C33" s="2" t="n">
        <x:v>0</x:v>
      </x:c>
      <x:c r="D33" s="3" t="n">
        <x:v>4</x:v>
      </x:c>
      <x:c r="E33" s="3" t="n">
        <x:v>2</x:v>
      </x:c>
      <x:c r="F33" s="3" t="n">
        <x:v>4719.7</x:v>
      </x:c>
      <x:c r="G33" s="3" t="n">
        <x:v>3401.8</x:v>
      </x:c>
      <x:c r="H33" s="3" t="n">
        <x:v>3350.1</x:v>
      </x:c>
      <x:c r="I33" s="3" t="n">
        <x:v>2930.7</x:v>
      </x:c>
      <x:c r="J33" s="3" t="n">
        <x:v>3184.6</x:v>
      </x:c>
      <x:c r="K33" s="3"/>
      <x:c r="L33" s="3" t="n">
        <x:v>4</x:v>
      </x:c>
      <x:c r="M33" s="12" t="n">
        <x:v>0.984</x:v>
      </x:c>
      <x:c r="N33" s="12" t="n">
        <x:v>0.96</x:v>
      </x:c>
    </x:row>
    <x:row r="34" ht="19" customHeight="1">
      <x:c r="A34" s="2"/>
      <x:c r="B34" s="2"/>
      <x:c r="C34" s="2" t="n">
        <x:v>0</x:v>
      </x:c>
      <x:c r="D34" s="3" t="n">
        <x:v>5</x:v>
      </x:c>
      <x:c r="E34" s="3" t="n">
        <x:v>2</x:v>
      </x:c>
      <x:c r="F34" s="3" t="n">
        <x:v>5310.3</x:v>
      </x:c>
      <x:c r="G34" s="3" t="n">
        <x:v>4719.7</x:v>
      </x:c>
      <x:c r="H34" s="3" t="n">
        <x:v>3401.8</x:v>
      </x:c>
      <x:c r="I34" s="3" t="n">
        <x:v>3350.1</x:v>
      </x:c>
      <x:c r="J34" s="3" t="n">
        <x:v>2930.7</x:v>
      </x:c>
      <x:c r="K34" s="3"/>
      <x:c r="L34" s="3" t="n">
        <x:v>5</x:v>
      </x:c>
      <x:c r="M34" s="12" t="n">
        <x:v>0.974</x:v>
      </x:c>
      <x:c r="N34" s="12" t="n">
        <x:v>0.941</x:v>
      </x:c>
    </x:row>
    <x:row r="35" ht="19" customHeight="1">
      <x:c r="A35" s="2"/>
      <x:c r="B35" s="2"/>
      <x:c r="C35" s="2" t="n">
        <x:v>0</x:v>
      </x:c>
      <x:c r="D35" s="3" t="n">
        <x:v>6</x:v>
      </x:c>
      <x:c r="E35" s="3" t="n">
        <x:v>2</x:v>
      </x:c>
      <x:c r="F35" s="3" t="n">
        <x:v>6089.2</x:v>
      </x:c>
      <x:c r="G35" s="3" t="n">
        <x:v>5310.3</x:v>
      </x:c>
      <x:c r="H35" s="3" t="n">
        <x:v>4719.7</x:v>
      </x:c>
      <x:c r="I35" s="3" t="n">
        <x:v>3401.8</x:v>
      </x:c>
      <x:c r="J35" s="3" t="n">
        <x:v>3350.1</x:v>
      </x:c>
      <x:c r="K35" s="3"/>
      <x:c r="L35" s="3" t="n">
        <x:v>6</x:v>
      </x:c>
      <x:c r="M35" s="12" t="n">
        <x:v>0.961</x:v>
      </x:c>
      <x:c r="N35" s="12" t="n">
        <x:v>0.919</x:v>
      </x:c>
    </x:row>
    <x:row r="36" ht="19" customHeight="1">
      <x:c r="A36" s="2"/>
      <x:c r="B36" s="2"/>
      <x:c r="C36" s="2" t="n">
        <x:v>0</x:v>
      </x:c>
      <x:c r="D36" s="3" t="n">
        <x:v>7</x:v>
      </x:c>
      <x:c r="E36" s="3" t="n">
        <x:v>3</x:v>
      </x:c>
      <x:c r="F36" s="3" t="n">
        <x:v>6883.3</x:v>
      </x:c>
      <x:c r="G36" s="3" t="n">
        <x:v>6089.2</x:v>
      </x:c>
      <x:c r="H36" s="3" t="n">
        <x:v>5310.3</x:v>
      </x:c>
      <x:c r="I36" s="3" t="n">
        <x:v>4719.7</x:v>
      </x:c>
      <x:c r="J36" s="3" t="n">
        <x:v>3401.8</x:v>
      </x:c>
      <x:c r="K36" s="3"/>
      <x:c r="L36" s="3" t="n">
        <x:v>7</x:v>
      </x:c>
      <x:c r="M36" s="12" t="n">
        <x:v>0.942</x:v>
      </x:c>
      <x:c r="N36" s="12" t="n">
        <x:v>0.891</x:v>
      </x:c>
    </x:row>
    <x:row r="37" ht="19" customHeight="1">
      <x:c r="A37" s="2"/>
      <x:c r="B37" s="2"/>
      <x:c r="C37" s="2" t="n">
        <x:v>0</x:v>
      </x:c>
      <x:c r="D37" s="3" t="n">
        <x:v>8</x:v>
      </x:c>
      <x:c r="E37" s="3" t="n">
        <x:v>3</x:v>
      </x:c>
      <x:c r="F37" s="3" t="n">
        <x:v>7528.5</x:v>
      </x:c>
      <x:c r="G37" s="3" t="n">
        <x:v>6883.3</x:v>
      </x:c>
      <x:c r="H37" s="3" t="n">
        <x:v>6089.2</x:v>
      </x:c>
      <x:c r="I37" s="3" t="n">
        <x:v>5310.3</x:v>
      </x:c>
      <x:c r="J37" s="3" t="n">
        <x:v>4719.7</x:v>
      </x:c>
      <x:c r="K37" s="3"/>
      <x:c r="L37" s="3" t="n">
        <x:v>8</x:v>
      </x:c>
      <x:c r="M37" s="12" t="n">
        <x:v>0.92</x:v>
      </x:c>
      <x:c r="N37" s="12" t="n">
        <x:v>0.859</x:v>
      </x:c>
    </x:row>
    <x:row r="38" ht="19" customHeight="1">
      <x:c r="A38" s="2"/>
      <x:c r="B38" s="2"/>
      <x:c r="C38" s="2" t="n">
        <x:v>0</x:v>
      </x:c>
      <x:c r="D38" s="3" t="n">
        <x:v>9</x:v>
      </x:c>
      <x:c r="E38" s="3" t="n">
        <x:v>3</x:v>
      </x:c>
      <x:c r="F38" s="3" t="n">
        <x:v>7708</x:v>
      </x:c>
      <x:c r="G38" s="3" t="n">
        <x:v>7528.5</x:v>
      </x:c>
      <x:c r="H38" s="3" t="n">
        <x:v>6883.3</x:v>
      </x:c>
      <x:c r="I38" s="3" t="n">
        <x:v>6089.2</x:v>
      </x:c>
      <x:c r="J38" s="3" t="n">
        <x:v>5310.3</x:v>
      </x:c>
      <x:c r="K38" s="3"/>
      <x:c r="L38" s="3" t="n">
        <x:v>9</x:v>
      </x:c>
      <x:c r="M38" s="12" t="n">
        <x:v>0.893</x:v>
      </x:c>
      <x:c r="N38" s="12" t="n">
        <x:v>0.823</x:v>
      </x:c>
    </x:row>
    <x:row r="39" ht="19" customHeight="1">
      <x:c r="A39" s="2"/>
      <x:c r="B39" s="2"/>
      <x:c r="C39" s="2" t="n">
        <x:v>0</x:v>
      </x:c>
      <x:c r="D39" s="3" t="n">
        <x:v>10</x:v>
      </x:c>
      <x:c r="E39" s="3" t="n">
        <x:v>4</x:v>
      </x:c>
      <x:c r="F39" s="3" t="n">
        <x:v>7586.3</x:v>
      </x:c>
      <x:c r="G39" s="3" t="n">
        <x:v>7708</x:v>
      </x:c>
      <x:c r="H39" s="3" t="n">
        <x:v>7528.5</x:v>
      </x:c>
      <x:c r="I39" s="3" t="n">
        <x:v>6883.3</x:v>
      </x:c>
      <x:c r="J39" s="3" t="n">
        <x:v>6089.2</x:v>
      </x:c>
      <x:c r="K39" s="3"/>
      <x:c r="L39" s="3" t="n">
        <x:v>10</x:v>
      </x:c>
      <x:c r="M39" s="12" t="n">
        <x:v>0.862</x:v>
      </x:c>
      <x:c r="N39" s="12" t="n">
        <x:v>0.784</x:v>
      </x:c>
    </x:row>
    <x:row r="40" ht="19" customHeight="1">
      <x:c r="A40" s="2"/>
      <x:c r="B40" s="2"/>
      <x:c r="C40" s="2" t="n">
        <x:v>0</x:v>
      </x:c>
      <x:c r="D40" s="3" t="n">
        <x:v>11</x:v>
      </x:c>
      <x:c r="E40" s="3" t="n">
        <x:v>4</x:v>
      </x:c>
      <x:c r="F40" s="3" t="n">
        <x:v>7245.2</x:v>
      </x:c>
      <x:c r="G40" s="3" t="n">
        <x:v>7586.3</x:v>
      </x:c>
      <x:c r="H40" s="3" t="n">
        <x:v>7708</x:v>
      </x:c>
      <x:c r="I40" s="3" t="n">
        <x:v>7528.5</x:v>
      </x:c>
      <x:c r="J40" s="3" t="n">
        <x:v>6883.3</x:v>
      </x:c>
      <x:c r="K40" s="3"/>
      <x:c r="L40" s="3" t="n">
        <x:v>11</x:v>
      </x:c>
      <x:c r="M40" s="12" t="n">
        <x:v>0.826</x:v>
      </x:c>
      <x:c r="N40" s="12" t="n">
        <x:v>0.741</x:v>
      </x:c>
    </x:row>
    <x:row r="41" ht="19" customHeight="1">
      <x:c r="A41" s="2"/>
      <x:c r="B41" s="2"/>
      <x:c r="C41" s="2" t="n">
        <x:v>0</x:v>
      </x:c>
      <x:c r="D41" s="3" t="n">
        <x:v>12</x:v>
      </x:c>
      <x:c r="E41" s="3" t="n">
        <x:v>4</x:v>
      </x:c>
      <x:c r="F41" s="3" t="n">
        <x:v>6092.9</x:v>
      </x:c>
      <x:c r="G41" s="3" t="n">
        <x:v>7245.2</x:v>
      </x:c>
      <x:c r="H41" s="3" t="n">
        <x:v>7586.3</x:v>
      </x:c>
      <x:c r="I41" s="3" t="n">
        <x:v>7708</x:v>
      </x:c>
      <x:c r="J41" s="3" t="n">
        <x:v>7528.5</x:v>
      </x:c>
      <x:c r="K41" s="3"/>
      <x:c r="L41" s="3" t="n">
        <x:v>12</x:v>
      </x:c>
      <x:c r="M41" s="12" t="n">
        <x:v>0.788</x:v>
      </x:c>
      <x:c r="N41" s="12" t="n">
        <x:v>0.697</x:v>
      </x:c>
    </x:row>
    <x:row r="42" ht="19" customHeight="1">
      <x:c r="A42" s="2"/>
      <x:c r="B42" s="2"/>
      <x:c r="C42" s="2" t="n">
        <x:v>0</x:v>
      </x:c>
      <x:c r="D42" s="3" t="n">
        <x:v>13</x:v>
      </x:c>
      <x:c r="E42" s="3" t="n">
        <x:v>5</x:v>
      </x:c>
      <x:c r="F42" s="3" t="n">
        <x:v>5635.7</x:v>
      </x:c>
      <x:c r="G42" s="3" t="n">
        <x:v>6092.9</x:v>
      </x:c>
      <x:c r="H42" s="3" t="n">
        <x:v>7245.2</x:v>
      </x:c>
      <x:c r="I42" s="3" t="n">
        <x:v>7586.3</x:v>
      </x:c>
      <x:c r="J42" s="3" t="n">
        <x:v>7708</x:v>
      </x:c>
      <x:c r="K42" s="3"/>
      <x:c r="L42" s="3" t="n">
        <x:v>13</x:v>
      </x:c>
      <x:c r="M42" s="12" t="n">
        <x:v>0.718</x:v>
      </x:c>
      <x:c r="N42" s="12" t="n">
        <x:v>0.651</x:v>
      </x:c>
    </x:row>
    <x:row r="43" ht="19" customHeight="1">
      <x:c r="A43" s="2"/>
      <x:c r="B43" s="2"/>
      <x:c r="C43" s="2" t="n">
        <x:v>0</x:v>
      </x:c>
      <x:c r="D43" s="3" t="n">
        <x:v>14</x:v>
      </x:c>
      <x:c r="E43" s="3" t="n">
        <x:v>5</x:v>
      </x:c>
      <x:c r="F43" s="3" t="n">
        <x:v>5401.6</x:v>
      </x:c>
      <x:c r="G43" s="3" t="n">
        <x:v>5635.7</x:v>
      </x:c>
      <x:c r="H43" s="3" t="n">
        <x:v>6092.9</x:v>
      </x:c>
      <x:c r="I43" s="3" t="n">
        <x:v>7245.2</x:v>
      </x:c>
      <x:c r="J43" s="3" t="n">
        <x:v>7586.3</x:v>
      </x:c>
      <x:c r="K43" s="3"/>
      <x:c r="L43" s="3" t="n">
        <x:v>14</x:v>
      </x:c>
      <x:c r="M43" s="12" t="n">
        <x:v>0.613</x:v>
      </x:c>
      <x:c r="N43" s="12" t="n">
        <x:v>0.605</x:v>
      </x:c>
    </x:row>
    <x:row r="44" ht="19" customHeight="1">
      <x:c r="A44" s="2"/>
      <x:c r="B44" s="2"/>
      <x:c r="C44" s="2" t="n">
        <x:v>0</x:v>
      </x:c>
      <x:c r="D44" s="3" t="n">
        <x:v>15</x:v>
      </x:c>
      <x:c r="E44" s="3" t="n">
        <x:v>5</x:v>
      </x:c>
      <x:c r="F44" s="3" t="n">
        <x:v>6769.1</x:v>
      </x:c>
      <x:c r="G44" s="3" t="n">
        <x:v>5401.6</x:v>
      </x:c>
      <x:c r="H44" s="3" t="n">
        <x:v>5635.7</x:v>
      </x:c>
      <x:c r="I44" s="3" t="n">
        <x:v>6092.9</x:v>
      </x:c>
      <x:c r="J44" s="3" t="n">
        <x:v>7245.2</x:v>
      </x:c>
      <x:c r="K44" s="3"/>
      <x:c r="L44" s="3" t="n">
        <x:v>15</x:v>
      </x:c>
      <x:c r="M44" s="12" t="n">
        <x:v>0.51</x:v>
      </x:c>
      <x:c r="N44" s="12" t="n">
        <x:v>0.553</x:v>
      </x:c>
    </x:row>
    <x:row r="45" ht="19" customHeight="1">
      <x:c r="A45" s="2"/>
      <x:c r="B45" s="2"/>
      <x:c r="C45" s="2" t="n">
        <x:v>0</x:v>
      </x:c>
      <x:c r="D45" s="3" t="n">
        <x:v>16</x:v>
      </x:c>
      <x:c r="E45" s="3" t="n">
        <x:v>5</x:v>
      </x:c>
      <x:c r="F45" s="3" t="n">
        <x:v>7562.3</x:v>
      </x:c>
      <x:c r="G45" s="3" t="n">
        <x:v>6769.1</x:v>
      </x:c>
      <x:c r="H45" s="3" t="n">
        <x:v>5401.6</x:v>
      </x:c>
      <x:c r="I45" s="3" t="n">
        <x:v>5635.7</x:v>
      </x:c>
      <x:c r="J45" s="3" t="n">
        <x:v>6092.9</x:v>
      </x:c>
      <x:c r="K45" s="3"/>
      <x:c r="L45" s="3" t="n">
        <x:v>16</x:v>
      </x:c>
      <x:c r="M45" s="12" t="n">
        <x:v>0.415</x:v>
      </x:c>
      <x:c r="N45" s="12" t="n">
        <x:v>0.502</x:v>
      </x:c>
    </x:row>
    <x:row r="46" ht="19" customHeight="1">
      <x:c r="A46" s="2"/>
      <x:c r="B46" s="2"/>
      <x:c r="C46" s="2" t="n">
        <x:v>0</x:v>
      </x:c>
      <x:c r="D46" s="3" t="n">
        <x:v>17</x:v>
      </x:c>
      <x:c r="E46" s="3" t="n">
        <x:v>5</x:v>
      </x:c>
      <x:c r="F46" s="3" t="n">
        <x:v>7761.6</x:v>
      </x:c>
      <x:c r="G46" s="3" t="n">
        <x:v>7562.3</x:v>
      </x:c>
      <x:c r="H46" s="3" t="n">
        <x:v>6769.1</x:v>
      </x:c>
      <x:c r="I46" s="3" t="n">
        <x:v>5401.6</x:v>
      </x:c>
      <x:c r="J46" s="3" t="n">
        <x:v>5635.7</x:v>
      </x:c>
      <x:c r="K46" s="3"/>
      <x:c r="L46" s="3" t="n">
        <x:v>17</x:v>
      </x:c>
      <x:c r="M46" s="12" t="n">
        <x:v>0.332</x:v>
      </x:c>
      <x:c r="N46" s="12" t="n">
        <x:v>0.453</x:v>
      </x:c>
    </x:row>
    <x:row r="47" ht="19" customHeight="1">
      <x:c r="A47" s="2"/>
      <x:c r="B47" s="2"/>
      <x:c r="C47" s="2" t="n">
        <x:v>0</x:v>
      </x:c>
      <x:c r="D47" s="3" t="n">
        <x:v>18</x:v>
      </x:c>
      <x:c r="E47" s="3" t="n">
        <x:v>5</x:v>
      </x:c>
      <x:c r="F47" s="3" t="n">
        <x:v>7660</x:v>
      </x:c>
      <x:c r="G47" s="3" t="n">
        <x:v>7761.6</x:v>
      </x:c>
      <x:c r="H47" s="3" t="n">
        <x:v>7562.3</x:v>
      </x:c>
      <x:c r="I47" s="3" t="n">
        <x:v>6769.1</x:v>
      </x:c>
      <x:c r="J47" s="3" t="n">
        <x:v>5401.6</x:v>
      </x:c>
      <x:c r="K47" s="3"/>
      <x:c r="L47" s="3" t="n">
        <x:v>18</x:v>
      </x:c>
      <x:c r="M47" s="12" t="n">
        <x:v>0.261</x:v>
      </x:c>
      <x:c r="N47" s="12" t="n">
        <x:v>0.407</x:v>
      </x:c>
    </x:row>
    <x:row r="48" ht="19" customHeight="1">
      <x:c r="A48" s="2"/>
      <x:c r="B48" s="2"/>
      <x:c r="C48" s="2" t="n">
        <x:v>0</x:v>
      </x:c>
      <x:c r="D48" s="3" t="n">
        <x:v>19</x:v>
      </x:c>
      <x:c r="E48" s="3" t="n">
        <x:v>5</x:v>
      </x:c>
      <x:c r="F48" s="3" t="n">
        <x:v>7482.6</x:v>
      </x:c>
      <x:c r="G48" s="3" t="n">
        <x:v>7660</x:v>
      </x:c>
      <x:c r="H48" s="3" t="n">
        <x:v>7761.6</x:v>
      </x:c>
      <x:c r="I48" s="3" t="n">
        <x:v>7562.3</x:v>
      </x:c>
      <x:c r="J48" s="3" t="n">
        <x:v>6769.1</x:v>
      </x:c>
      <x:c r="K48" s="3"/>
      <x:c r="L48" s="3" t="n">
        <x:v>19</x:v>
      </x:c>
      <x:c r="M48" s="12" t="n">
        <x:v>0.203</x:v>
      </x:c>
      <x:c r="N48" s="12" t="n">
        <x:v>0.364</x:v>
      </x:c>
    </x:row>
    <x:row r="49" ht="19" customHeight="1">
      <x:c r="A49" s="2"/>
      <x:c r="B49" s="2"/>
      <x:c r="C49" s="2" t="n">
        <x:v>0</x:v>
      </x:c>
      <x:c r="D49" s="3" t="n">
        <x:v>20</x:v>
      </x:c>
      <x:c r="E49" s="3" t="n">
        <x:v>5</x:v>
      </x:c>
      <x:c r="F49" s="3" t="n">
        <x:v>7555.6</x:v>
      </x:c>
      <x:c r="G49" s="3" t="n">
        <x:v>7482.6</x:v>
      </x:c>
      <x:c r="H49" s="3" t="n">
        <x:v>7660</x:v>
      </x:c>
      <x:c r="I49" s="3" t="n">
        <x:v>7761.6</x:v>
      </x:c>
      <x:c r="J49" s="3" t="n">
        <x:v>7562.3</x:v>
      </x:c>
      <x:c r="K49" s="3"/>
      <x:c r="L49" s="3" t="n">
        <x:v>20</x:v>
      </x:c>
      <x:c r="M49" s="12" t="n">
        <x:v>0.157</x:v>
      </x:c>
      <x:c r="N49" s="12" t="n">
        <x:v>0.324</x:v>
      </x:c>
    </x:row>
    <x:row r="50" ht="19" customHeight="1">
      <x:c r="A50" s="2"/>
      <x:c r="B50" s="2"/>
      <x:c r="C50" s="2" t="n">
        <x:v>0</x:v>
      </x:c>
      <x:c r="D50" s="3" t="n">
        <x:v>21</x:v>
      </x:c>
      <x:c r="E50" s="3" t="n">
        <x:v>5</x:v>
      </x:c>
      <x:c r="F50" s="3" t="n">
        <x:v>8042.3</x:v>
      </x:c>
      <x:c r="G50" s="3" t="n">
        <x:v>7555.6</x:v>
      </x:c>
      <x:c r="H50" s="3" t="n">
        <x:v>7482.6</x:v>
      </x:c>
      <x:c r="I50" s="3" t="n">
        <x:v>7660</x:v>
      </x:c>
      <x:c r="J50" s="3" t="n">
        <x:v>7761.6</x:v>
      </x:c>
      <x:c r="K50" s="3"/>
      <x:c r="L50" s="3" t="n">
        <x:v>21</x:v>
      </x:c>
      <x:c r="M50" s="12" t="n">
        <x:v>0.12</x:v>
      </x:c>
      <x:c r="N50" s="12" t="n">
        <x:v>0.288</x:v>
      </x:c>
    </x:row>
    <x:row r="51" ht="19" customHeight="1">
      <x:c r="A51" s="2"/>
      <x:c r="B51" s="2"/>
      <x:c r="C51" s="2" t="n">
        <x:v>0</x:v>
      </x:c>
      <x:c r="D51" s="3" t="n">
        <x:v>22</x:v>
      </x:c>
      <x:c r="E51" s="3" t="n">
        <x:v>5</x:v>
      </x:c>
      <x:c r="F51" s="3" t="n">
        <x:v>8352</x:v>
      </x:c>
      <x:c r="G51" s="3" t="n">
        <x:v>8042.3</x:v>
      </x:c>
      <x:c r="H51" s="3" t="n">
        <x:v>7555.6</x:v>
      </x:c>
      <x:c r="I51" s="3" t="n">
        <x:v>7482.6</x:v>
      </x:c>
      <x:c r="J51" s="3" t="n">
        <x:v>7660</x:v>
      </x:c>
      <x:c r="K51" s="3"/>
      <x:c r="L51" s="3" t="n">
        <x:v>22</x:v>
      </x:c>
      <x:c r="M51" s="12" t="n">
        <x:v>0.092</x:v>
      </x:c>
      <x:c r="N51" s="12" t="n">
        <x:v>0.255</x:v>
      </x:c>
    </x:row>
    <x:row r="52" ht="19" customHeight="1">
      <x:c r="A52" s="2"/>
      <x:c r="B52" s="2"/>
      <x:c r="C52" s="2" t="n">
        <x:v>0</x:v>
      </x:c>
      <x:c r="D52" s="3" t="n">
        <x:v>23</x:v>
      </x:c>
      <x:c r="E52" s="3" t="n">
        <x:v>5</x:v>
      </x:c>
      <x:c r="F52" s="3" t="n">
        <x:v>8777.7</x:v>
      </x:c>
      <x:c r="G52" s="3" t="n">
        <x:v>8352</x:v>
      </x:c>
      <x:c r="H52" s="3" t="n">
        <x:v>8042.3</x:v>
      </x:c>
      <x:c r="I52" s="3" t="n">
        <x:v>7555.6</x:v>
      </x:c>
      <x:c r="J52" s="3" t="n">
        <x:v>7482.6</x:v>
      </x:c>
      <x:c r="K52" s="3"/>
      <x:c r="L52" s="3" t="n">
        <x:v>23</x:v>
      </x:c>
      <x:c r="M52" s="12" t="n">
        <x:v>0.07</x:v>
      </x:c>
      <x:c r="N52" s="12" t="n">
        <x:v>0.225</x:v>
      </x:c>
    </x:row>
    <x:row r="53" ht="19" customHeight="1">
      <x:c r="A53" s="2"/>
      <x:c r="B53" s="2"/>
      <x:c r="C53" s="2" t="n">
        <x:v>0</x:v>
      </x:c>
      <x:c r="D53" s="3" t="n">
        <x:v>24</x:v>
      </x:c>
      <x:c r="E53" s="3" t="n">
        <x:v>5</x:v>
      </x:c>
      <x:c r="F53" s="3" t="n">
        <x:v>8637.7</x:v>
      </x:c>
      <x:c r="G53" s="3" t="n">
        <x:v>8777.7</x:v>
      </x:c>
      <x:c r="H53" s="3" t="n">
        <x:v>8352</x:v>
      </x:c>
      <x:c r="I53" s="3" t="n">
        <x:v>8042.3</x:v>
      </x:c>
      <x:c r="J53" s="3" t="n">
        <x:v>7555.6</x:v>
      </x:c>
      <x:c r="K53" s="3"/>
      <x:c r="L53" s="3" t="n">
        <x:v>24</x:v>
      </x:c>
      <x:c r="M53" s="12" t="n">
        <x:v>0.053</x:v>
      </x:c>
      <x:c r="N53" s="12" t="n">
        <x:v>0.198</x:v>
      </x:c>
    </x:row>
    <x:row r="54" ht="19" customHeight="1">
      <x:c r="A54" s="2"/>
      <x:c r="B54" s="2"/>
      <x:c r="C54" s="2" t="n">
        <x:v>0</x:v>
      </x:c>
      <x:c r="D54" s="3" t="n">
        <x:v>25</x:v>
      </x:c>
      <x:c r="E54" s="3" t="n">
        <x:v>5</x:v>
      </x:c>
      <x:c r="F54" s="3" t="n">
        <x:v>8085</x:v>
      </x:c>
      <x:c r="G54" s="3" t="n">
        <x:v>8637.7</x:v>
      </x:c>
      <x:c r="H54" s="3" t="n">
        <x:v>8777.7</x:v>
      </x:c>
      <x:c r="I54" s="3" t="n">
        <x:v>8352</x:v>
      </x:c>
      <x:c r="J54" s="3" t="n">
        <x:v>8042.3</x:v>
      </x:c>
      <x:c r="K54" s="3"/>
      <x:c r="L54" s="3" t="n">
        <x:v>25</x:v>
      </x:c>
      <x:c r="M54" s="12" t="n">
        <x:v>0.04</x:v>
      </x:c>
      <x:c r="N54" s="12" t="n">
        <x:v>0.174</x:v>
      </x:c>
    </x:row>
    <x:row r="55" ht="19" customHeight="1">
      <x:c r="A55" s="2"/>
      <x:c r="B55" s="2"/>
      <x:c r="C55" s="2" t="n">
        <x:v>0</x:v>
      </x:c>
      <x:c r="D55" s="3" t="n">
        <x:v>26</x:v>
      </x:c>
      <x:c r="E55" s="3" t="n">
        <x:v>5</x:v>
      </x:c>
      <x:c r="F55" s="3" t="n">
        <x:v>8217.5</x:v>
      </x:c>
      <x:c r="G55" s="3" t="n">
        <x:v>8085</x:v>
      </x:c>
      <x:c r="H55" s="3" t="n">
        <x:v>8637.7</x:v>
      </x:c>
      <x:c r="I55" s="3" t="n">
        <x:v>8777.7</x:v>
      </x:c>
      <x:c r="J55" s="3" t="n">
        <x:v>8352</x:v>
      </x:c>
      <x:c r="K55" s="3"/>
      <x:c r="L55" s="3" t="n">
        <x:v>26</x:v>
      </x:c>
      <x:c r="M55" s="12" t="n">
        <x:v>0.03</x:v>
      </x:c>
      <x:c r="N55" s="12" t="n">
        <x:v>0.153</x:v>
      </x:c>
    </x:row>
    <x:row r="56" ht="19" customHeight="1">
      <x:c r="A56" s="2"/>
      <x:c r="B56" s="2"/>
      <x:c r="C56" s="2" t="n">
        <x:v>0</x:v>
      </x:c>
      <x:c r="D56" s="3" t="n">
        <x:v>27</x:v>
      </x:c>
      <x:c r="E56" s="3" t="n">
        <x:v>5</x:v>
      </x:c>
      <x:c r="F56" s="3" t="n">
        <x:v>8478.5</x:v>
      </x:c>
      <x:c r="G56" s="3" t="n">
        <x:v>8217.5</x:v>
      </x:c>
      <x:c r="H56" s="3" t="n">
        <x:v>8085</x:v>
      </x:c>
      <x:c r="I56" s="3" t="n">
        <x:v>8637.7</x:v>
      </x:c>
      <x:c r="J56" s="3" t="n">
        <x:v>8777.7</x:v>
      </x:c>
      <x:c r="K56" s="3"/>
      <x:c r="L56" s="3" t="n">
        <x:v>27</x:v>
      </x:c>
      <x:c r="M56" s="12" t="n">
        <x:v>0.023</x:v>
      </x:c>
      <x:c r="N56" s="12" t="n">
        <x:v>0.133</x:v>
      </x:c>
    </x:row>
    <x:row r="57" ht="19" customHeight="1">
      <x:c r="A57" s="2"/>
      <x:c r="B57" s="2"/>
      <x:c r="C57" s="2" t="n">
        <x:v>0</x:v>
      </x:c>
      <x:c r="D57" s="3" t="n">
        <x:v>28</x:v>
      </x:c>
      <x:c r="E57" s="3" t="n">
        <x:v>5</x:v>
      </x:c>
      <x:c r="F57" s="3" t="n">
        <x:v>8620.2</x:v>
      </x:c>
      <x:c r="G57" s="3" t="n">
        <x:v>8478.5</x:v>
      </x:c>
      <x:c r="H57" s="3" t="n">
        <x:v>8217.5</x:v>
      </x:c>
      <x:c r="I57" s="3" t="n">
        <x:v>8085</x:v>
      </x:c>
      <x:c r="J57" s="3" t="n">
        <x:v>8637.7</x:v>
      </x:c>
      <x:c r="K57" s="3"/>
      <x:c r="L57" s="3" t="n">
        <x:v>28</x:v>
      </x:c>
      <x:c r="M57" s="12" t="n">
        <x:v>0.013</x:v>
      </x:c>
      <x:c r="N57" s="12" t="n">
        <x:v>0.117</x:v>
      </x:c>
    </x:row>
    <x:row r="58" ht="19" customHeight="1">
      <x:c r="A58" s="2"/>
      <x:c r="B58" s="2"/>
      <x:c r="C58" s="2" t="n">
        <x:v>0</x:v>
      </x:c>
      <x:c r="D58" s="3" t="n">
        <x:v>29</x:v>
      </x:c>
      <x:c r="E58" s="3" t="n">
        <x:v>5</x:v>
      </x:c>
      <x:c r="F58" s="3" t="n">
        <x:v>8990.5</x:v>
      </x:c>
      <x:c r="G58" s="3" t="n">
        <x:v>8620.2</x:v>
      </x:c>
      <x:c r="H58" s="3" t="n">
        <x:v>8478.5</x:v>
      </x:c>
      <x:c r="I58" s="3" t="n">
        <x:v>8217.5</x:v>
      </x:c>
      <x:c r="J58" s="3" t="n">
        <x:v>8085</x:v>
      </x:c>
      <x:c r="K58" s="3"/>
      <x:c r="L58" s="3" t="n">
        <x:v>29</x:v>
      </x:c>
      <x:c r="M58" s="12" t="n">
        <x:v>0.01</x:v>
      </x:c>
      <x:c r="N58" s="12" t="n">
        <x:v>0.102</x:v>
      </x:c>
    </x:row>
    <x:row r="59" ht="19" customHeight="1">
      <x:c r="A59" s="2"/>
      <x:c r="B59" s="2"/>
      <x:c r="C59" s="2" t="n">
        <x:v>0</x:v>
      </x:c>
      <x:c r="D59" s="3" t="n">
        <x:v>30</x:v>
      </x:c>
      <x:c r="E59" s="3" t="n">
        <x:v>5</x:v>
      </x:c>
      <x:c r="F59" s="3" t="n">
        <x:v>8517.9</x:v>
      </x:c>
      <x:c r="G59" s="3" t="n">
        <x:v>8990.5</x:v>
      </x:c>
      <x:c r="H59" s="3" t="n">
        <x:v>8620.2</x:v>
      </x:c>
      <x:c r="I59" s="3" t="n">
        <x:v>8478.5</x:v>
      </x:c>
      <x:c r="J59" s="3" t="n">
        <x:v>8217.5</x:v>
      </x:c>
      <x:c r="K59" s="3"/>
      <x:c r="L59" s="3" t="n">
        <x:v>30</x:v>
      </x:c>
      <x:c r="M59" s="12" t="n">
        <x:v>0.007</x:v>
      </x:c>
      <x:c r="N59" s="12" t="n">
        <x:v>0.089</x:v>
      </x:c>
    </x:row>
    <x:row r="60" ht="19" customHeight="1">
      <x:c r="A60" s="2"/>
      <x:c r="B60" s="2"/>
      <x:c r="C60" s="2" t="n">
        <x:v>0</x:v>
      </x:c>
      <x:c r="D60" s="3" t="n">
        <x:v>31</x:v>
      </x:c>
      <x:c r="E60" s="3" t="n">
        <x:v>5</x:v>
      </x:c>
      <x:c r="F60" s="3" t="n">
        <x:v>8213.1</x:v>
      </x:c>
      <x:c r="G60" s="3" t="n">
        <x:v>8517.9</x:v>
      </x:c>
      <x:c r="H60" s="3" t="n">
        <x:v>8990.5</x:v>
      </x:c>
      <x:c r="I60" s="3" t="n">
        <x:v>8620.2</x:v>
      </x:c>
      <x:c r="J60" s="3" t="n">
        <x:v>8478.5</x:v>
      </x:c>
      <x:c r="K60" s="3"/>
      <x:c r="L60" s="3" t="n">
        <x:v>31</x:v>
      </x:c>
      <x:c r="M60" s="12" t="n">
        <x:v>0.002</x:v>
      </x:c>
      <x:c r="N60" s="12" t="n">
        <x:v>0.027</x:v>
      </x:c>
    </x:row>
    <x:row r="61" ht="19" customHeight="1">
      <x:c r="A61" s="2"/>
      <x:c r="B61" s="2"/>
      <x:c r="C61" s="2" t="n">
        <x:v>0</x:v>
      </x:c>
      <x:c r="D61" s="3" t="n">
        <x:v>32</x:v>
      </x:c>
      <x:c r="E61" s="3" t="n">
        <x:v>5</x:v>
      </x:c>
      <x:c r="F61" s="3" t="n">
        <x:v>8185</x:v>
      </x:c>
      <x:c r="G61" s="3" t="n">
        <x:v>8213.1</x:v>
      </x:c>
      <x:c r="H61" s="3" t="n">
        <x:v>8517.9</x:v>
      </x:c>
      <x:c r="I61" s="3" t="n">
        <x:v>8990.5</x:v>
      </x:c>
      <x:c r="J61" s="3" t="n">
        <x:v>8620.2</x:v>
      </x:c>
      <x:c r="K61" s="3"/>
      <x:c r="L61" s="3"/>
      <x:c r="M61" s="3"/>
      <x:c r="N61" s="3"/>
    </x:row>
    <x:row r="62" ht="19" customHeight="1">
      <x:c r="A62" s="2"/>
      <x:c r="B62" s="2"/>
      <x:c r="C62" s="2" t="n">
        <x:v>0</x:v>
      </x:c>
      <x:c r="D62" s="3" t="n">
        <x:v>33</x:v>
      </x:c>
      <x:c r="E62" s="3" t="n">
        <x:v>5</x:v>
      </x:c>
      <x:c r="F62" s="3" t="n">
        <x:v>9301.2</x:v>
      </x:c>
      <x:c r="G62" s="3" t="n">
        <x:v>8185</x:v>
      </x:c>
      <x:c r="H62" s="3" t="n">
        <x:v>8213.1</x:v>
      </x:c>
      <x:c r="I62" s="3" t="n">
        <x:v>8517.9</x:v>
      </x:c>
      <x:c r="J62" s="3" t="n">
        <x:v>8990.5</x:v>
      </x:c>
      <x:c r="K62" s="3"/>
      <x:c r="L62" s="3"/>
      <x:c r="M62" s="3"/>
      <x:c r="N62" s="3"/>
    </x:row>
    <x:row r="63" ht="19" customHeight="1">
      <x:c r="A63" s="2"/>
      <x:c r="B63" s="2"/>
      <x:c r="C63" s="2" t="n">
        <x:v>0</x:v>
      </x:c>
      <x:c r="D63" s="3" t="n">
        <x:v>34</x:v>
      </x:c>
      <x:c r="E63" s="3" t="n">
        <x:v>5</x:v>
      </x:c>
      <x:c r="F63" s="3" t="n">
        <x:v>9775.9</x:v>
      </x:c>
      <x:c r="G63" s="3" t="n">
        <x:v>9301.2</x:v>
      </x:c>
      <x:c r="H63" s="3" t="n">
        <x:v>8185</x:v>
      </x:c>
      <x:c r="I63" s="3" t="n">
        <x:v>8213.1</x:v>
      </x:c>
      <x:c r="J63" s="3" t="n">
        <x:v>8517.9</x:v>
      </x:c>
      <x:c r="K63" s="3"/>
      <x:c r="L63" s="3"/>
      <x:c r="M63" s="3"/>
      <x:c r="N63" s="3"/>
    </x:row>
    <x:row r="64" ht="19" customHeight="1">
      <x:c r="A64" s="2"/>
      <x:c r="B64" s="2"/>
      <x:c r="C64" s="2" t="n">
        <x:v>0</x:v>
      </x:c>
      <x:c r="D64" s="3" t="n">
        <x:v>35</x:v>
      </x:c>
      <x:c r="E64" s="3" t="n">
        <x:v>5</x:v>
      </x:c>
      <x:c r="F64" s="3" t="n">
        <x:v>10543.6</x:v>
      </x:c>
      <x:c r="G64" s="3" t="n">
        <x:v>9775.9</x:v>
      </x:c>
      <x:c r="H64" s="3" t="n">
        <x:v>9301.2</x:v>
      </x:c>
      <x:c r="I64" s="3" t="n">
        <x:v>8185</x:v>
      </x:c>
      <x:c r="J64" s="3" t="n">
        <x:v>8213.1</x:v>
      </x:c>
      <x:c r="K64" s="3"/>
      <x:c r="L64" s="3"/>
      <x:c r="M64" s="3"/>
      <x:c r="N64" s="3"/>
    </x:row>
    <x:row r="65" ht="19" customHeight="1">
      <x:c r="A65" s="2"/>
      <x:c r="B65" s="2"/>
      <x:c r="C65" s="2" t="n">
        <x:v>0</x:v>
      </x:c>
      <x:c r="D65" s="3" t="n">
        <x:v>36</x:v>
      </x:c>
      <x:c r="E65" s="3" t="n">
        <x:v>5</x:v>
      </x:c>
      <x:c r="F65" s="3" t="n">
        <x:v>10187.5</x:v>
      </x:c>
      <x:c r="G65" s="3" t="n">
        <x:v>10543.6</x:v>
      </x:c>
      <x:c r="H65" s="3" t="n">
        <x:v>9775.9</x:v>
      </x:c>
      <x:c r="I65" s="3" t="n">
        <x:v>9301.2</x:v>
      </x:c>
      <x:c r="J65" s="3" t="n">
        <x:v>8185</x:v>
      </x:c>
      <x:c r="K65" s="3"/>
      <x:c r="L65" s="3"/>
      <x:c r="M65" s="3"/>
      <x:c r="N65" s="3"/>
    </x:row>
    <x:row r="66" ht="19" customHeight="1">
      <x:c r="A66" s="2"/>
      <x:c r="B66" s="2"/>
      <x:c r="C66" s="2" t="n">
        <x:v>0</x:v>
      </x:c>
      <x:c r="D66" s="3" t="n">
        <x:v>37</x:v>
      </x:c>
      <x:c r="E66" s="3" t="n">
        <x:v>5</x:v>
      </x:c>
      <x:c r="F66" s="3" t="n">
        <x:v>11404.1</x:v>
      </x:c>
      <x:c r="G66" s="3" t="n">
        <x:v>10187.5</x:v>
      </x:c>
      <x:c r="H66" s="3" t="n">
        <x:v>10543.6</x:v>
      </x:c>
      <x:c r="I66" s="3" t="n">
        <x:v>9775.9</x:v>
      </x:c>
      <x:c r="J66" s="3" t="n">
        <x:v>9301.2</x:v>
      </x:c>
      <x:c r="K66" s="3"/>
      <x:c r="L66" s="3"/>
      <x:c r="M66" s="3"/>
      <x:c r="N66" s="3"/>
    </x:row>
    <x:row r="67" ht="19" customHeight="1">
      <x:c r="A67" s="2"/>
      <x:c r="B67" s="2"/>
      <x:c r="C67" s="2" t="n">
        <x:v>0</x:v>
      </x:c>
      <x:c r="D67" s="3" t="n">
        <x:v>38</x:v>
      </x:c>
      <x:c r="E67" s="3" t="n">
        <x:v>5</x:v>
      </x:c>
      <x:c r="F67" s="3" t="n">
        <x:v>10979.2</x:v>
      </x:c>
      <x:c r="G67" s="3" t="n">
        <x:v>11404.1</x:v>
      </x:c>
      <x:c r="H67" s="3" t="n">
        <x:v>10187.5</x:v>
      </x:c>
      <x:c r="I67" s="3" t="n">
        <x:v>10543.6</x:v>
      </x:c>
      <x:c r="J67" s="3" t="n">
        <x:v>9775.9</x:v>
      </x:c>
      <x:c r="K67" s="3"/>
      <x:c r="L67" s="3"/>
      <x:c r="M67" s="3"/>
      <x:c r="N67" s="3"/>
    </x:row>
    <x:row r="68" ht="19" customHeight="1">
      <x:c r="A68" s="2"/>
      <x:c r="B68" s="2"/>
      <x:c r="C68" s="2" t="n">
        <x:v>0</x:v>
      </x:c>
      <x:c r="D68" s="3" t="n">
        <x:v>39</x:v>
      </x:c>
      <x:c r="E68" s="3" t="n">
        <x:v>5</x:v>
      </x:c>
      <x:c r="F68" s="3" t="n">
        <x:v>10323.7</x:v>
      </x:c>
      <x:c r="G68" s="3" t="n">
        <x:v>10979.2</x:v>
      </x:c>
      <x:c r="H68" s="3" t="n">
        <x:v>11404.1</x:v>
      </x:c>
      <x:c r="I68" s="3" t="n">
        <x:v>10187.5</x:v>
      </x:c>
      <x:c r="J68" s="3" t="n">
        <x:v>10543.6</x:v>
      </x:c>
      <x:c r="K68" s="3"/>
      <x:c r="L68" s="3"/>
      <x:c r="M68" s="3"/>
      <x:c r="N68" s="3"/>
    </x:row>
    <x:row r="69" ht="19" customHeight="1">
      <x:c r="A69" s="2"/>
      <x:c r="B69" s="2"/>
      <x:c r="C69" s="2" t="n">
        <x:v>0</x:v>
      </x:c>
      <x:c r="D69" s="3" t="n">
        <x:v>40</x:v>
      </x:c>
      <x:c r="E69" s="3" t="n">
        <x:v>5</x:v>
      </x:c>
      <x:c r="F69" s="3" t="n">
        <x:v>9148</x:v>
      </x:c>
      <x:c r="G69" s="3" t="n">
        <x:v>10323.7</x:v>
      </x:c>
      <x:c r="H69" s="3" t="n">
        <x:v>10979.2</x:v>
      </x:c>
      <x:c r="I69" s="3" t="n">
        <x:v>11404.1</x:v>
      </x:c>
      <x:c r="J69" s="3" t="n">
        <x:v>10187.5</x:v>
      </x:c>
      <x:c r="K69" s="3"/>
      <x:c r="L69" s="3"/>
      <x:c r="M69" s="3"/>
      <x:c r="N69" s="3"/>
    </x:row>
    <x:row r="70" ht="19" customHeight="1">
      <x:c r="A70" s="2"/>
      <x:c r="B70" s="2"/>
      <x:c r="C70" s="2" t="n">
        <x:v>0</x:v>
      </x:c>
      <x:c r="D70" s="3" t="n">
        <x:v>41</x:v>
      </x:c>
      <x:c r="E70" s="3" t="n">
        <x:v>5</x:v>
      </x:c>
      <x:c r="F70" s="3" t="n">
        <x:v>7956.5</x:v>
      </x:c>
      <x:c r="G70" s="3" t="n">
        <x:v>9148</x:v>
      </x:c>
      <x:c r="H70" s="3" t="n">
        <x:v>10323.7</x:v>
      </x:c>
      <x:c r="I70" s="3" t="n">
        <x:v>10979.2</x:v>
      </x:c>
      <x:c r="J70" s="3" t="n">
        <x:v>11404.1</x:v>
      </x:c>
      <x:c r="K70" s="3"/>
      <x:c r="L70" s="3"/>
      <x:c r="M70" s="3"/>
      <x:c r="N70" s="3"/>
    </x:row>
    <x:row r="71" ht="19" customHeight="1">
      <x:c r="A71" s="2"/>
      <x:c r="B71" s="2"/>
      <x:c r="C71" s="2" t="n">
        <x:v>0</x:v>
      </x:c>
      <x:c r="D71" s="3" t="n">
        <x:v>42</x:v>
      </x:c>
      <x:c r="E71" s="3" t="n">
        <x:v>5</x:v>
      </x:c>
      <x:c r="F71" s="3" t="n">
        <x:v>8488.4</x:v>
      </x:c>
      <x:c r="G71" s="3" t="n">
        <x:v>7956.5</x:v>
      </x:c>
      <x:c r="H71" s="3" t="n">
        <x:v>9148</x:v>
      </x:c>
      <x:c r="I71" s="3" t="n">
        <x:v>10323.7</x:v>
      </x:c>
      <x:c r="J71" s="3" t="n">
        <x:v>10979.2</x:v>
      </x:c>
      <x:c r="K71" s="3"/>
      <x:c r="L71" s="3"/>
      <x:c r="M71" s="3"/>
      <x:c r="N71" s="3"/>
    </x:row>
    <x:row r="72" ht="19" customHeight="1">
      <x:c r="A72" s="2"/>
      <x:c r="B72" s="2"/>
      <x:c r="C72" s="2" t="n">
        <x:v>0</x:v>
      </x:c>
      <x:c r="D72" s="3" t="n">
        <x:v>43</x:v>
      </x:c>
      <x:c r="E72" s="3" t="n">
        <x:v>5</x:v>
      </x:c>
      <x:c r="F72" s="3" t="n">
        <x:v>8948.8</x:v>
      </x:c>
      <x:c r="G72" s="3" t="n">
        <x:v>8488.4</x:v>
      </x:c>
      <x:c r="H72" s="3" t="n">
        <x:v>7956.5</x:v>
      </x:c>
      <x:c r="I72" s="3" t="n">
        <x:v>9148</x:v>
      </x:c>
      <x:c r="J72" s="3" t="n">
        <x:v>10323.7</x:v>
      </x:c>
      <x:c r="K72" s="3"/>
      <x:c r="L72" s="3"/>
      <x:c r="M72" s="3"/>
      <x:c r="N72" s="3"/>
    </x:row>
    <x:row r="73" ht="19" customHeight="1">
      <x:c r="A73" s="2"/>
      <x:c r="B73" s="2"/>
      <x:c r="C73" s="2" t="n">
        <x:v>0</x:v>
      </x:c>
      <x:c r="D73" s="3" t="n">
        <x:v>44</x:v>
      </x:c>
      <x:c r="E73" s="3" t="n">
        <x:v>5</x:v>
      </x:c>
      <x:c r="F73" s="3" t="n">
        <x:v>10512</x:v>
      </x:c>
      <x:c r="G73" s="3" t="n">
        <x:v>8948.8</x:v>
      </x:c>
      <x:c r="H73" s="3" t="n">
        <x:v>8488.4</x:v>
      </x:c>
      <x:c r="I73" s="3" t="n">
        <x:v>7956.5</x:v>
      </x:c>
      <x:c r="J73" s="3" t="n">
        <x:v>9148</x:v>
      </x:c>
      <x:c r="K73" s="3"/>
      <x:c r="L73" s="3"/>
      <x:c r="M73" s="3"/>
      <x:c r="N73" s="3"/>
    </x:row>
    <x:row r="74" ht="19" customHeight="1">
      <x:c r="A74" s="2"/>
      <x:c r="B74" s="2"/>
      <x:c r="C74" s="2" t="n">
        <x:v>0</x:v>
      </x:c>
      <x:c r="D74" s="3" t="n">
        <x:v>45</x:v>
      </x:c>
      <x:c r="E74" s="3" t="n">
        <x:v>5</x:v>
      </x:c>
      <x:c r="F74" s="3" t="n">
        <x:v>11107</x:v>
      </x:c>
      <x:c r="G74" s="3" t="n">
        <x:v>10512</x:v>
      </x:c>
      <x:c r="H74" s="3" t="n">
        <x:v>8948.8</x:v>
      </x:c>
      <x:c r="I74" s="3" t="n">
        <x:v>8488.4</x:v>
      </x:c>
      <x:c r="J74" s="3" t="n">
        <x:v>7956.5</x:v>
      </x:c>
      <x:c r="K74" s="3"/>
      <x:c r="L74" s="3"/>
      <x:c r="M74" s="3"/>
      <x:c r="N74" s="3"/>
    </x:row>
    <x:row r="75" ht="19" customHeight="1">
      <x:c r="A75" s="2"/>
      <x:c r="B75" s="2"/>
      <x:c r="C75" s="2" t="n">
        <x:v>1</x:v>
      </x:c>
      <x:c r="D75" s="3" t="n">
        <x:v>0</x:v>
      </x:c>
      <x:c r="E75" s="3" t="n">
        <x:v>0</x:v>
      </x:c>
      <x:c r="F75" s="3" t="n">
        <x:v>11983.4</x:v>
      </x:c>
      <x:c r="G75" s="3" t="n">
        <x:v>12455.7</x:v>
      </x:c>
      <x:c r="H75" s="3" t="n">
        <x:v>13090.5</x:v>
      </x:c>
      <x:c r="I75" s="3" t="n">
        <x:v>13090.5</x:v>
      </x:c>
      <x:c r="J75" s="3" t="n">
        <x:v>13090.5</x:v>
      </x:c>
      <x:c r="K75" s="3"/>
      <x:c r="L75" s="3"/>
      <x:c r="M75" s="3"/>
      <x:c r="N75" s="3"/>
    </x:row>
    <x:row r="76" ht="19" customHeight="1">
      <x:c r="A76" s="2"/>
      <x:c r="B76" s="2"/>
      <x:c r="C76" s="2" t="n">
        <x:v>1</x:v>
      </x:c>
      <x:c r="D76" s="3" t="n">
        <x:v>1</x:v>
      </x:c>
      <x:c r="E76" s="3" t="n">
        <x:v>1</x:v>
      </x:c>
      <x:c r="F76" s="3" t="n">
        <x:v>10541.7</x:v>
      </x:c>
      <x:c r="G76" s="3" t="n">
        <x:v>11983.4</x:v>
      </x:c>
      <x:c r="H76" s="3" t="n">
        <x:v>12455.7</x:v>
      </x:c>
      <x:c r="I76" s="3" t="n">
        <x:v>13090.5</x:v>
      </x:c>
      <x:c r="J76" s="3" t="n">
        <x:v>13090.5</x:v>
      </x:c>
      <x:c r="K76" s="3"/>
      <x:c r="L76" s="3"/>
      <x:c r="M76" s="3"/>
      <x:c r="N76" s="3"/>
    </x:row>
    <x:row r="77" ht="19" customHeight="1">
      <x:c r="A77" s="2"/>
      <x:c r="B77" s="2"/>
      <x:c r="C77" s="2" t="n">
        <x:v>1</x:v>
      </x:c>
      <x:c r="D77" s="3" t="n">
        <x:v>2</x:v>
      </x:c>
      <x:c r="E77" s="3" t="n">
        <x:v>1</x:v>
      </x:c>
      <x:c r="F77" s="3" t="n">
        <x:v>11220.1</x:v>
      </x:c>
      <x:c r="G77" s="3" t="n">
        <x:v>10541.7</x:v>
      </x:c>
      <x:c r="H77" s="3" t="n">
        <x:v>11983.4</x:v>
      </x:c>
      <x:c r="I77" s="3" t="n">
        <x:v>12455.7</x:v>
      </x:c>
      <x:c r="J77" s="3" t="n">
        <x:v>13090.5</x:v>
      </x:c>
      <x:c r="K77" s="3"/>
      <x:c r="L77" s="3"/>
      <x:c r="M77" s="3"/>
      <x:c r="N77" s="3"/>
    </x:row>
    <x:row r="78" ht="19" customHeight="1">
      <x:c r="A78" s="2"/>
      <x:c r="B78" s="2"/>
      <x:c r="C78" s="2" t="n">
        <x:v>1</x:v>
      </x:c>
      <x:c r="D78" s="3" t="n">
        <x:v>3</x:v>
      </x:c>
      <x:c r="E78" s="3" t="n">
        <x:v>1</x:v>
      </x:c>
      <x:c r="F78" s="3" t="n">
        <x:v>10721.2</x:v>
      </x:c>
      <x:c r="G78" s="3" t="n">
        <x:v>11220.1</x:v>
      </x:c>
      <x:c r="H78" s="3" t="n">
        <x:v>10541.7</x:v>
      </x:c>
      <x:c r="I78" s="3" t="n">
        <x:v>11983.4</x:v>
      </x:c>
      <x:c r="J78" s="3" t="n">
        <x:v>12455.7</x:v>
      </x:c>
      <x:c r="K78" s="3"/>
      <x:c r="L78" s="3"/>
      <x:c r="M78" s="3"/>
      <x:c r="N78" s="3"/>
    </x:row>
    <x:row r="79" ht="19" customHeight="1">
      <x:c r="A79" s="2"/>
      <x:c r="B79" s="2"/>
      <x:c r="C79" s="2" t="n">
        <x:v>1</x:v>
      </x:c>
      <x:c r="D79" s="3" t="n">
        <x:v>4</x:v>
      </x:c>
      <x:c r="E79" s="3" t="n">
        <x:v>2</x:v>
      </x:c>
      <x:c r="F79" s="3" t="n">
        <x:v>11910.5</x:v>
      </x:c>
      <x:c r="G79" s="3" t="n">
        <x:v>10721.2</x:v>
      </x:c>
      <x:c r="H79" s="3" t="n">
        <x:v>11220.1</x:v>
      </x:c>
      <x:c r="I79" s="3" t="n">
        <x:v>10541.7</x:v>
      </x:c>
      <x:c r="J79" s="3" t="n">
        <x:v>11983.4</x:v>
      </x:c>
      <x:c r="K79" s="3"/>
      <x:c r="L79" s="3"/>
      <x:c r="M79" s="3"/>
      <x:c r="N79" s="3"/>
    </x:row>
    <x:row r="80" ht="19" customHeight="1">
      <x:c r="A80" s="2"/>
      <x:c r="B80" s="2"/>
      <x:c r="C80" s="2" t="n">
        <x:v>1</x:v>
      </x:c>
      <x:c r="D80" s="3" t="n">
        <x:v>5</x:v>
      </x:c>
      <x:c r="E80" s="3" t="n">
        <x:v>2</x:v>
      </x:c>
      <x:c r="F80" s="3" t="n">
        <x:v>11609.2</x:v>
      </x:c>
      <x:c r="G80" s="3" t="n">
        <x:v>11910.5</x:v>
      </x:c>
      <x:c r="H80" s="3" t="n">
        <x:v>10721.2</x:v>
      </x:c>
      <x:c r="I80" s="3" t="n">
        <x:v>11220.1</x:v>
      </x:c>
      <x:c r="J80" s="3" t="n">
        <x:v>10541.7</x:v>
      </x:c>
      <x:c r="K80" s="3"/>
      <x:c r="L80" s="3"/>
      <x:c r="M80" s="3"/>
      <x:c r="N80" s="3"/>
    </x:row>
    <x:row r="81" ht="19" customHeight="1">
      <x:c r="A81" s="2"/>
      <x:c r="B81" s="2"/>
      <x:c r="C81" s="2" t="n">
        <x:v>1</x:v>
      </x:c>
      <x:c r="D81" s="3" t="n">
        <x:v>6</x:v>
      </x:c>
      <x:c r="E81" s="3" t="n">
        <x:v>2</x:v>
      </x:c>
      <x:c r="F81" s="3" t="n">
        <x:v>10738</x:v>
      </x:c>
      <x:c r="G81" s="3" t="n">
        <x:v>11609.2</x:v>
      </x:c>
      <x:c r="H81" s="3" t="n">
        <x:v>11910.5</x:v>
      </x:c>
      <x:c r="I81" s="3" t="n">
        <x:v>10721.2</x:v>
      </x:c>
      <x:c r="J81" s="3" t="n">
        <x:v>11220.1</x:v>
      </x:c>
      <x:c r="K81" s="3"/>
      <x:c r="L81" s="3"/>
      <x:c r="M81" s="3"/>
      <x:c r="N81" s="3"/>
    </x:row>
    <x:row r="82" ht="19" customHeight="1">
      <x:c r="A82" s="2"/>
      <x:c r="B82" s="2"/>
      <x:c r="C82" s="2" t="n">
        <x:v>1</x:v>
      </x:c>
      <x:c r="D82" s="3" t="n">
        <x:v>7</x:v>
      </x:c>
      <x:c r="E82" s="3" t="n">
        <x:v>3</x:v>
      </x:c>
      <x:c r="F82" s="3" t="n">
        <x:v>10296</x:v>
      </x:c>
      <x:c r="G82" s="3" t="n">
        <x:v>10738</x:v>
      </x:c>
      <x:c r="H82" s="3" t="n">
        <x:v>11609.2</x:v>
      </x:c>
      <x:c r="I82" s="3" t="n">
        <x:v>11910.5</x:v>
      </x:c>
      <x:c r="J82" s="3" t="n">
        <x:v>10721.2</x:v>
      </x:c>
      <x:c r="K82" s="3"/>
      <x:c r="L82" s="3"/>
      <x:c r="M82" s="3"/>
      <x:c r="N82" s="3"/>
    </x:row>
    <x:row r="83" ht="19" customHeight="1">
      <x:c r="A83" s="2"/>
      <x:c r="B83" s="2"/>
      <x:c r="C83" s="2" t="n">
        <x:v>1</x:v>
      </x:c>
      <x:c r="D83" s="3" t="n">
        <x:v>8</x:v>
      </x:c>
      <x:c r="E83" s="3" t="n">
        <x:v>3</x:v>
      </x:c>
      <x:c r="F83" s="3" t="n">
        <x:v>9578.4</x:v>
      </x:c>
      <x:c r="G83" s="3" t="n">
        <x:v>10296</x:v>
      </x:c>
      <x:c r="H83" s="3" t="n">
        <x:v>10738</x:v>
      </x:c>
      <x:c r="I83" s="3" t="n">
        <x:v>11609.2</x:v>
      </x:c>
      <x:c r="J83" s="3" t="n">
        <x:v>11910.5</x:v>
      </x:c>
      <x:c r="K83" s="3"/>
      <x:c r="L83" s="3"/>
      <x:c r="M83" s="3"/>
      <x:c r="N83" s="3"/>
    </x:row>
    <x:row r="84" ht="19" customHeight="1">
      <x:c r="A84" s="2"/>
      <x:c r="B84" s="2"/>
      <x:c r="C84" s="2" t="n">
        <x:v>1</x:v>
      </x:c>
      <x:c r="D84" s="3" t="n">
        <x:v>9</x:v>
      </x:c>
      <x:c r="E84" s="3" t="n">
        <x:v>3</x:v>
      </x:c>
      <x:c r="F84" s="3" t="n">
        <x:v>8483.8</x:v>
      </x:c>
      <x:c r="G84" s="3" t="n">
        <x:v>9578.4</x:v>
      </x:c>
      <x:c r="H84" s="3" t="n">
        <x:v>10296</x:v>
      </x:c>
      <x:c r="I84" s="3" t="n">
        <x:v>10738</x:v>
      </x:c>
      <x:c r="J84" s="3" t="n">
        <x:v>11609.2</x:v>
      </x:c>
      <x:c r="K84" s="3"/>
      <x:c r="L84" s="3"/>
      <x:c r="M84" s="3"/>
      <x:c r="N84" s="3"/>
    </x:row>
    <x:row r="85" ht="19" customHeight="1">
      <x:c r="A85" s="2"/>
      <x:c r="B85" s="2"/>
      <x:c r="C85" s="2" t="n">
        <x:v>1</x:v>
      </x:c>
      <x:c r="D85" s="3" t="n">
        <x:v>10</x:v>
      </x:c>
      <x:c r="E85" s="3" t="n">
        <x:v>4</x:v>
      </x:c>
      <x:c r="F85" s="3" t="n">
        <x:v>7692.6</x:v>
      </x:c>
      <x:c r="G85" s="3" t="n">
        <x:v>8483.8</x:v>
      </x:c>
      <x:c r="H85" s="3" t="n">
        <x:v>9578.4</x:v>
      </x:c>
      <x:c r="I85" s="3" t="n">
        <x:v>10296</x:v>
      </x:c>
      <x:c r="J85" s="3" t="n">
        <x:v>10738</x:v>
      </x:c>
      <x:c r="K85" s="3"/>
      <x:c r="L85" s="3"/>
      <x:c r="M85" s="3"/>
      <x:c r="N85" s="3"/>
    </x:row>
    <x:row r="86" ht="19" customHeight="1">
      <x:c r="A86" s="2"/>
      <x:c r="B86" s="2"/>
      <x:c r="C86" s="2" t="n">
        <x:v>1</x:v>
      </x:c>
      <x:c r="D86" s="3" t="n">
        <x:v>11</x:v>
      </x:c>
      <x:c r="E86" s="3" t="n">
        <x:v>4</x:v>
      </x:c>
      <x:c r="F86" s="3" t="n">
        <x:v>6974.8</x:v>
      </x:c>
      <x:c r="G86" s="3" t="n">
        <x:v>7692.6</x:v>
      </x:c>
      <x:c r="H86" s="3" t="n">
        <x:v>8483.8</x:v>
      </x:c>
      <x:c r="I86" s="3" t="n">
        <x:v>9578.4</x:v>
      </x:c>
      <x:c r="J86" s="3" t="n">
        <x:v>10296</x:v>
      </x:c>
      <x:c r="K86" s="3"/>
      <x:c r="L86" s="3"/>
      <x:c r="M86" s="3"/>
      <x:c r="N86" s="3"/>
    </x:row>
    <x:row r="87" ht="19" customHeight="1">
      <x:c r="A87" s="2"/>
      <x:c r="B87" s="2"/>
      <x:c r="C87" s="2" t="n">
        <x:v>1</x:v>
      </x:c>
      <x:c r="D87" s="3" t="n">
        <x:v>12</x:v>
      </x:c>
      <x:c r="E87" s="3" t="n">
        <x:v>4</x:v>
      </x:c>
      <x:c r="F87" s="3" t="n">
        <x:v>6449</x:v>
      </x:c>
      <x:c r="G87" s="3" t="n">
        <x:v>6974.8</x:v>
      </x:c>
      <x:c r="H87" s="3" t="n">
        <x:v>7692.6</x:v>
      </x:c>
      <x:c r="I87" s="3" t="n">
        <x:v>8483.8</x:v>
      </x:c>
      <x:c r="J87" s="3" t="n">
        <x:v>9578.4</x:v>
      </x:c>
      <x:c r="K87" s="3"/>
      <x:c r="L87" s="3"/>
      <x:c r="M87" s="3"/>
      <x:c r="N87" s="3"/>
    </x:row>
    <x:row r="88" ht="19" customHeight="1">
      <x:c r="A88" s="2"/>
      <x:c r="B88" s="2"/>
      <x:c r="C88" s="2" t="n">
        <x:v>1</x:v>
      </x:c>
      <x:c r="D88" s="3" t="n">
        <x:v>13</x:v>
      </x:c>
      <x:c r="E88" s="3" t="n">
        <x:v>5</x:v>
      </x:c>
      <x:c r="F88" s="3" t="n">
        <x:v>5758</x:v>
      </x:c>
      <x:c r="G88" s="3" t="n">
        <x:v>6449</x:v>
      </x:c>
      <x:c r="H88" s="3" t="n">
        <x:v>6974.8</x:v>
      </x:c>
      <x:c r="I88" s="3" t="n">
        <x:v>7692.6</x:v>
      </x:c>
      <x:c r="J88" s="3" t="n">
        <x:v>8483.8</x:v>
      </x:c>
      <x:c r="K88" s="3"/>
      <x:c r="L88" s="3"/>
      <x:c r="M88" s="3"/>
      <x:c r="N88" s="3"/>
    </x:row>
    <x:row r="89" ht="19" customHeight="1">
      <x:c r="A89" s="2"/>
      <x:c r="B89" s="2"/>
      <x:c r="C89" s="2" t="n">
        <x:v>1</x:v>
      </x:c>
      <x:c r="D89" s="3" t="n">
        <x:v>14</x:v>
      </x:c>
      <x:c r="E89" s="3" t="n">
        <x:v>5</x:v>
      </x:c>
      <x:c r="F89" s="3" t="n">
        <x:v>4834</x:v>
      </x:c>
      <x:c r="G89" s="3" t="n">
        <x:v>5758</x:v>
      </x:c>
      <x:c r="H89" s="3" t="n">
        <x:v>6449</x:v>
      </x:c>
      <x:c r="I89" s="3" t="n">
        <x:v>6974.8</x:v>
      </x:c>
      <x:c r="J89" s="3" t="n">
        <x:v>7692.6</x:v>
      </x:c>
      <x:c r="K89" s="3"/>
      <x:c r="L89" s="3"/>
      <x:c r="M89" s="3"/>
      <x:c r="N89" s="3"/>
    </x:row>
    <x:row r="90" ht="19" customHeight="1">
      <x:c r="A90" s="2"/>
      <x:c r="B90" s="2"/>
      <x:c r="C90" s="2" t="n">
        <x:v>1</x:v>
      </x:c>
      <x:c r="D90" s="3" t="n">
        <x:v>15</x:v>
      </x:c>
      <x:c r="E90" s="3" t="n">
        <x:v>5</x:v>
      </x:c>
      <x:c r="F90" s="3" t="n">
        <x:v>6246</x:v>
      </x:c>
      <x:c r="G90" s="3" t="n">
        <x:v>4834</x:v>
      </x:c>
      <x:c r="H90" s="3" t="n">
        <x:v>5758</x:v>
      </x:c>
      <x:c r="I90" s="3" t="n">
        <x:v>6449</x:v>
      </x:c>
      <x:c r="J90" s="3" t="n">
        <x:v>6974.8</x:v>
      </x:c>
      <x:c r="K90" s="3"/>
      <x:c r="L90" s="3"/>
      <x:c r="M90" s="3"/>
      <x:c r="N90" s="3"/>
    </x:row>
    <x:row r="91" ht="19" customHeight="1">
      <x:c r="A91" s="2"/>
      <x:c r="B91" s="2"/>
      <x:c r="C91" s="2" t="n">
        <x:v>1</x:v>
      </x:c>
      <x:c r="D91" s="3" t="n">
        <x:v>16</x:v>
      </x:c>
      <x:c r="E91" s="3" t="n">
        <x:v>5</x:v>
      </x:c>
      <x:c r="F91" s="3" t="n">
        <x:v>8305</x:v>
      </x:c>
      <x:c r="G91" s="3" t="n">
        <x:v>6246</x:v>
      </x:c>
      <x:c r="H91" s="3" t="n">
        <x:v>4834</x:v>
      </x:c>
      <x:c r="I91" s="3" t="n">
        <x:v>5758</x:v>
      </x:c>
      <x:c r="J91" s="3" t="n">
        <x:v>6449</x:v>
      </x:c>
      <x:c r="K91" s="3"/>
      <x:c r="L91" s="3"/>
      <x:c r="M91" s="3"/>
      <x:c r="N91" s="3"/>
    </x:row>
    <x:row r="92" ht="19" customHeight="1">
      <x:c r="A92" s="2"/>
      <x:c r="B92" s="2"/>
      <x:c r="C92" s="2" t="n">
        <x:v>1</x:v>
      </x:c>
      <x:c r="D92" s="3" t="n">
        <x:v>17</x:v>
      </x:c>
      <x:c r="E92" s="3" t="n">
        <x:v>5</x:v>
      </x:c>
      <x:c r="F92" s="3" t="n">
        <x:v>8574</x:v>
      </x:c>
      <x:c r="G92" s="3" t="n">
        <x:v>8305</x:v>
      </x:c>
      <x:c r="H92" s="3" t="n">
        <x:v>6246</x:v>
      </x:c>
      <x:c r="I92" s="3" t="n">
        <x:v>4834</x:v>
      </x:c>
      <x:c r="J92" s="3" t="n">
        <x:v>5758</x:v>
      </x:c>
      <x:c r="K92" s="3"/>
      <x:c r="L92" s="3"/>
      <x:c r="M92" s="3"/>
      <x:c r="N92" s="3"/>
    </x:row>
    <x:row r="93" ht="19" customHeight="1">
      <x:c r="A93" s="2"/>
      <x:c r="B93" s="2"/>
      <x:c r="C93" s="2" t="n">
        <x:v>1</x:v>
      </x:c>
      <x:c r="D93" s="3" t="n">
        <x:v>18</x:v>
      </x:c>
      <x:c r="E93" s="3" t="n">
        <x:v>5</x:v>
      </x:c>
      <x:c r="F93" s="3" t="n">
        <x:v>9114</x:v>
      </x:c>
      <x:c r="G93" s="3" t="n">
        <x:v>8574</x:v>
      </x:c>
      <x:c r="H93" s="3" t="n">
        <x:v>8305</x:v>
      </x:c>
      <x:c r="I93" s="3" t="n">
        <x:v>6246</x:v>
      </x:c>
      <x:c r="J93" s="3" t="n">
        <x:v>4834</x:v>
      </x:c>
      <x:c r="K93" s="3"/>
      <x:c r="L93" s="3"/>
      <x:c r="M93" s="3"/>
      <x:c r="N93" s="3"/>
    </x:row>
    <x:row r="94" ht="19" customHeight="1">
      <x:c r="A94" s="2"/>
      <x:c r="B94" s="2"/>
      <x:c r="C94" s="2" t="n">
        <x:v>1</x:v>
      </x:c>
      <x:c r="D94" s="3" t="n">
        <x:v>19</x:v>
      </x:c>
      <x:c r="E94" s="3" t="n">
        <x:v>5</x:v>
      </x:c>
      <x:c r="F94" s="3" t="n">
        <x:v>9254</x:v>
      </x:c>
      <x:c r="G94" s="3" t="n">
        <x:v>9114</x:v>
      </x:c>
      <x:c r="H94" s="3" t="n">
        <x:v>8574</x:v>
      </x:c>
      <x:c r="I94" s="3" t="n">
        <x:v>8305</x:v>
      </x:c>
      <x:c r="J94" s="3" t="n">
        <x:v>6246</x:v>
      </x:c>
      <x:c r="K94" s="3"/>
      <x:c r="L94" s="3"/>
      <x:c r="M94" s="3"/>
      <x:c r="N94" s="3"/>
    </x:row>
    <x:row r="95" ht="19" customHeight="1">
      <x:c r="A95" s="2"/>
      <x:c r="B95" s="2"/>
      <x:c r="C95" s="2" t="n">
        <x:v>1</x:v>
      </x:c>
      <x:c r="D95" s="3" t="n">
        <x:v>20</x:v>
      </x:c>
      <x:c r="E95" s="3" t="n">
        <x:v>5</x:v>
      </x:c>
      <x:c r="F95" s="3" t="n">
        <x:v>8938</x:v>
      </x:c>
      <x:c r="G95" s="3" t="n">
        <x:v>9254</x:v>
      </x:c>
      <x:c r="H95" s="3" t="n">
        <x:v>9114</x:v>
      </x:c>
      <x:c r="I95" s="3" t="n">
        <x:v>8574</x:v>
      </x:c>
      <x:c r="J95" s="3" t="n">
        <x:v>8305</x:v>
      </x:c>
      <x:c r="K95" s="3"/>
      <x:c r="L95" s="3"/>
      <x:c r="M95" s="3"/>
      <x:c r="N95" s="3"/>
    </x:row>
    <x:row r="96" ht="19" customHeight="1">
      <x:c r="A96" s="2"/>
      <x:c r="B96" s="2"/>
      <x:c r="C96" s="2" t="n">
        <x:v>1</x:v>
      </x:c>
      <x:c r="D96" s="3" t="n">
        <x:v>21</x:v>
      </x:c>
      <x:c r="E96" s="3" t="n">
        <x:v>5</x:v>
      </x:c>
      <x:c r="F96" s="3" t="n">
        <x:v>8633</x:v>
      </x:c>
      <x:c r="G96" s="3" t="n">
        <x:v>8938</x:v>
      </x:c>
      <x:c r="H96" s="3" t="n">
        <x:v>9254</x:v>
      </x:c>
      <x:c r="I96" s="3" t="n">
        <x:v>9114</x:v>
      </x:c>
      <x:c r="J96" s="3" t="n">
        <x:v>8574</x:v>
      </x:c>
      <x:c r="K96" s="3"/>
      <x:c r="L96" s="3"/>
      <x:c r="M96" s="3"/>
      <x:c r="N96" s="3"/>
    </x:row>
    <x:row r="97" ht="19" customHeight="1">
      <x:c r="A97" s="2"/>
      <x:c r="B97" s="2"/>
      <x:c r="C97" s="2" t="n">
        <x:v>1</x:v>
      </x:c>
      <x:c r="D97" s="3" t="n">
        <x:v>22</x:v>
      </x:c>
      <x:c r="E97" s="3" t="n">
        <x:v>5</x:v>
      </x:c>
      <x:c r="F97" s="3" t="n">
        <x:v>8598</x:v>
      </x:c>
      <x:c r="G97" s="3" t="n">
        <x:v>8633</x:v>
      </x:c>
      <x:c r="H97" s="3" t="n">
        <x:v>8938</x:v>
      </x:c>
      <x:c r="I97" s="3" t="n">
        <x:v>9254</x:v>
      </x:c>
      <x:c r="J97" s="3" t="n">
        <x:v>9114</x:v>
      </x:c>
      <x:c r="K97" s="3"/>
      <x:c r="L97" s="3"/>
      <x:c r="M97" s="3"/>
      <x:c r="N97" s="3"/>
    </x:row>
    <x:row r="98" ht="19" customHeight="1">
      <x:c r="A98" s="2"/>
      <x:c r="B98" s="2"/>
      <x:c r="C98" s="2" t="n">
        <x:v>1</x:v>
      </x:c>
      <x:c r="D98" s="3" t="n">
        <x:v>23</x:v>
      </x:c>
      <x:c r="E98" s="3" t="n">
        <x:v>5</x:v>
      </x:c>
      <x:c r="F98" s="3" t="n">
        <x:v>8386</x:v>
      </x:c>
      <x:c r="G98" s="3" t="n">
        <x:v>8598</x:v>
      </x:c>
      <x:c r="H98" s="3" t="n">
        <x:v>8633</x:v>
      </x:c>
      <x:c r="I98" s="3" t="n">
        <x:v>8938</x:v>
      </x:c>
      <x:c r="J98" s="3" t="n">
        <x:v>9254</x:v>
      </x:c>
      <x:c r="K98" s="3"/>
      <x:c r="L98" s="3"/>
      <x:c r="M98" s="3"/>
      <x:c r="N98" s="3"/>
    </x:row>
    <x:row r="99" ht="19" customHeight="1">
      <x:c r="A99" s="2"/>
      <x:c r="B99" s="2"/>
      <x:c r="C99" s="2" t="n">
        <x:v>1</x:v>
      </x:c>
      <x:c r="D99" s="3" t="n">
        <x:v>24</x:v>
      </x:c>
      <x:c r="E99" s="3" t="n">
        <x:v>5</x:v>
      </x:c>
      <x:c r="F99" s="3" t="n">
        <x:v>8073</x:v>
      </x:c>
      <x:c r="G99" s="3" t="n">
        <x:v>8386</x:v>
      </x:c>
      <x:c r="H99" s="3" t="n">
        <x:v>8598</x:v>
      </x:c>
      <x:c r="I99" s="3" t="n">
        <x:v>8633</x:v>
      </x:c>
      <x:c r="J99" s="3" t="n">
        <x:v>8938</x:v>
      </x:c>
      <x:c r="K99" s="3"/>
      <x:c r="L99" s="3"/>
      <x:c r="M99" s="3"/>
      <x:c r="N99" s="3"/>
    </x:row>
    <x:row r="100" ht="19" customHeight="1">
      <x:c r="A100" s="2"/>
      <x:c r="B100" s="2"/>
      <x:c r="C100" s="2" t="n">
        <x:v>1</x:v>
      </x:c>
      <x:c r="D100" s="3" t="n">
        <x:v>25</x:v>
      </x:c>
      <x:c r="E100" s="3" t="n">
        <x:v>5</x:v>
      </x:c>
      <x:c r="F100" s="3" t="n">
        <x:v>7299</x:v>
      </x:c>
      <x:c r="G100" s="3" t="n">
        <x:v>8073</x:v>
      </x:c>
      <x:c r="H100" s="3" t="n">
        <x:v>8386</x:v>
      </x:c>
      <x:c r="I100" s="3" t="n">
        <x:v>8598</x:v>
      </x:c>
      <x:c r="J100" s="3" t="n">
        <x:v>8633</x:v>
      </x:c>
      <x:c r="K100" s="3"/>
      <x:c r="L100" s="3"/>
      <x:c r="M100" s="3"/>
      <x:c r="N100" s="3"/>
    </x:row>
    <x:row r="101" ht="19" customHeight="1">
      <x:c r="A101" s="2"/>
      <x:c r="B101" s="2"/>
      <x:c r="C101" s="2" t="n">
        <x:v>1</x:v>
      </x:c>
      <x:c r="D101" s="3" t="n">
        <x:v>26</x:v>
      </x:c>
      <x:c r="E101" s="3" t="n">
        <x:v>5</x:v>
      </x:c>
      <x:c r="F101" s="3" t="n">
        <x:v>6797</x:v>
      </x:c>
      <x:c r="G101" s="3" t="n">
        <x:v>7299</x:v>
      </x:c>
      <x:c r="H101" s="3" t="n">
        <x:v>8073</x:v>
      </x:c>
      <x:c r="I101" s="3" t="n">
        <x:v>8386</x:v>
      </x:c>
      <x:c r="J101" s="3" t="n">
        <x:v>8598</x:v>
      </x:c>
      <x:c r="K101" s="3"/>
      <x:c r="L101" s="3"/>
      <x:c r="M101" s="3"/>
      <x:c r="N101" s="3"/>
    </x:row>
    <x:row r="102" ht="19" customHeight="1">
      <x:c r="A102" s="2"/>
      <x:c r="B102" s="2"/>
      <x:c r="C102" s="2" t="n">
        <x:v>1</x:v>
      </x:c>
      <x:c r="D102" s="3" t="n">
        <x:v>27</x:v>
      </x:c>
      <x:c r="E102" s="3" t="n">
        <x:v>5</x:v>
      </x:c>
      <x:c r="F102" s="3" t="n">
        <x:v>6519</x:v>
      </x:c>
      <x:c r="G102" s="3" t="n">
        <x:v>6797</x:v>
      </x:c>
      <x:c r="H102" s="3" t="n">
        <x:v>7299</x:v>
      </x:c>
      <x:c r="I102" s="3" t="n">
        <x:v>8073</x:v>
      </x:c>
      <x:c r="J102" s="3" t="n">
        <x:v>8386</x:v>
      </x:c>
      <x:c r="K102" s="3"/>
      <x:c r="L102" s="3"/>
      <x:c r="M102" s="3"/>
      <x:c r="N102" s="3"/>
    </x:row>
    <x:row r="103" ht="19" customHeight="1">
      <x:c r="A103" s="2"/>
      <x:c r="B103" s="2"/>
      <x:c r="C103" s="2" t="n">
        <x:v>1</x:v>
      </x:c>
      <x:c r="D103" s="3" t="n">
        <x:v>28</x:v>
      </x:c>
      <x:c r="E103" s="3" t="n">
        <x:v>5</x:v>
      </x:c>
      <x:c r="F103" s="3" t="n">
        <x:v>6053</x:v>
      </x:c>
      <x:c r="G103" s="3" t="n">
        <x:v>6519</x:v>
      </x:c>
      <x:c r="H103" s="3" t="n">
        <x:v>6797</x:v>
      </x:c>
      <x:c r="I103" s="3" t="n">
        <x:v>7299</x:v>
      </x:c>
      <x:c r="J103" s="3" t="n">
        <x:v>8073</x:v>
      </x:c>
      <x:c r="K103" s="3"/>
      <x:c r="L103" s="3"/>
      <x:c r="M103" s="3"/>
      <x:c r="N103" s="3"/>
    </x:row>
    <x:row r="104" ht="19" customHeight="1">
      <x:c r="A104" s="2"/>
      <x:c r="B104" s="2"/>
      <x:c r="C104" s="2" t="n">
        <x:v>1</x:v>
      </x:c>
      <x:c r="D104" s="3" t="n">
        <x:v>29</x:v>
      </x:c>
      <x:c r="E104" s="3" t="n">
        <x:v>5</x:v>
      </x:c>
      <x:c r="F104" s="3" t="n">
        <x:v>6033</x:v>
      </x:c>
      <x:c r="G104" s="3" t="n">
        <x:v>6053</x:v>
      </x:c>
      <x:c r="H104" s="3" t="n">
        <x:v>6519</x:v>
      </x:c>
      <x:c r="I104" s="3" t="n">
        <x:v>6797</x:v>
      </x:c>
      <x:c r="J104" s="3" t="n">
        <x:v>7299</x:v>
      </x:c>
      <x:c r="K104" s="3"/>
      <x:c r="L104" s="3"/>
      <x:c r="M104" s="3"/>
      <x:c r="N104" s="3"/>
    </x:row>
    <x:row r="105" ht="19" customHeight="1">
      <x:c r="A105" s="2"/>
      <x:c r="B105" s="2"/>
      <x:c r="C105" s="2" t="n">
        <x:v>1</x:v>
      </x:c>
      <x:c r="D105" s="3" t="n">
        <x:v>30</x:v>
      </x:c>
      <x:c r="E105" s="3" t="n">
        <x:v>5</x:v>
      </x:c>
      <x:c r="F105" s="3" t="n">
        <x:v>5351</x:v>
      </x:c>
      <x:c r="G105" s="3" t="n">
        <x:v>6033</x:v>
      </x:c>
      <x:c r="H105" s="3" t="n">
        <x:v>6053</x:v>
      </x:c>
      <x:c r="I105" s="3" t="n">
        <x:v>6519</x:v>
      </x:c>
      <x:c r="J105" s="3" t="n">
        <x:v>6797</x:v>
      </x:c>
      <x:c r="K105" s="3"/>
      <x:c r="L105" s="3"/>
      <x:c r="M105" s="3"/>
      <x:c r="N105" s="3"/>
    </x:row>
    <x:row r="106" ht="19" customHeight="1">
      <x:c r="A106" s="2"/>
      <x:c r="B106" s="2"/>
      <x:c r="C106" s="2" t="n">
        <x:v>1</x:v>
      </x:c>
      <x:c r="D106" s="3" t="n">
        <x:v>31</x:v>
      </x:c>
      <x:c r="E106" s="3" t="n">
        <x:v>5</x:v>
      </x:c>
      <x:c r="F106" s="3" t="n">
        <x:v>4629</x:v>
      </x:c>
      <x:c r="G106" s="3" t="n">
        <x:v>5351</x:v>
      </x:c>
      <x:c r="H106" s="3" t="n">
        <x:v>6033</x:v>
      </x:c>
      <x:c r="I106" s="3" t="n">
        <x:v>6053</x:v>
      </x:c>
      <x:c r="J106" s="3" t="n">
        <x:v>6519</x:v>
      </x:c>
      <x:c r="K106" s="3"/>
      <x:c r="L106" s="3"/>
      <x:c r="M106" s="3"/>
      <x:c r="N106" s="3"/>
    </x:row>
    <x:row r="107" ht="19" customHeight="1">
      <x:c r="A107" s="2"/>
      <x:c r="B107" s="2"/>
      <x:c r="C107" s="2" t="n">
        <x:v>1</x:v>
      </x:c>
      <x:c r="D107" s="3" t="n">
        <x:v>32</x:v>
      </x:c>
      <x:c r="E107" s="3" t="n">
        <x:v>5</x:v>
      </x:c>
      <x:c r="F107" s="3" t="n">
        <x:v>4122</x:v>
      </x:c>
      <x:c r="G107" s="3" t="n">
        <x:v>4629</x:v>
      </x:c>
      <x:c r="H107" s="3" t="n">
        <x:v>5351</x:v>
      </x:c>
      <x:c r="I107" s="3" t="n">
        <x:v>6033</x:v>
      </x:c>
      <x:c r="J107" s="3" t="n">
        <x:v>6053</x:v>
      </x:c>
      <x:c r="K107" s="3"/>
      <x:c r="L107" s="3"/>
      <x:c r="M107" s="3"/>
      <x:c r="N107" s="3"/>
    </x:row>
    <x:row r="108" ht="19" customHeight="1">
      <x:c r="A108" s="2"/>
      <x:c r="B108" s="2"/>
      <x:c r="C108" s="2" t="n">
        <x:v>1</x:v>
      </x:c>
      <x:c r="D108" s="3" t="n">
        <x:v>33</x:v>
      </x:c>
      <x:c r="E108" s="3" t="n">
        <x:v>5</x:v>
      </x:c>
      <x:c r="F108" s="3" t="n">
        <x:v>4548</x:v>
      </x:c>
      <x:c r="G108" s="3" t="n">
        <x:v>4122</x:v>
      </x:c>
      <x:c r="H108" s="3" t="n">
        <x:v>4629</x:v>
      </x:c>
      <x:c r="I108" s="3" t="n">
        <x:v>5351</x:v>
      </x:c>
      <x:c r="J108" s="3" t="n">
        <x:v>6033</x:v>
      </x:c>
      <x:c r="K108" s="3"/>
      <x:c r="L108" s="3"/>
      <x:c r="M108" s="3"/>
      <x:c r="N108" s="3"/>
    </x:row>
    <x:row r="109" ht="19" customHeight="1">
      <x:c r="A109" s="2"/>
      <x:c r="B109" s="2"/>
      <x:c r="C109" s="2" t="n">
        <x:v>1</x:v>
      </x:c>
      <x:c r="D109" s="3" t="n">
        <x:v>34</x:v>
      </x:c>
      <x:c r="E109" s="3" t="n">
        <x:v>5</x:v>
      </x:c>
      <x:c r="F109" s="3" t="n">
        <x:v>4610</x:v>
      </x:c>
      <x:c r="G109" s="3" t="n">
        <x:v>4548</x:v>
      </x:c>
      <x:c r="H109" s="3" t="n">
        <x:v>4122</x:v>
      </x:c>
      <x:c r="I109" s="3" t="n">
        <x:v>4629</x:v>
      </x:c>
      <x:c r="J109" s="3" t="n">
        <x:v>5351</x:v>
      </x:c>
      <x:c r="K109" s="3"/>
      <x:c r="L109" s="3"/>
      <x:c r="M109" s="3"/>
      <x:c r="N109" s="3"/>
    </x:row>
    <x:row r="110" ht="19" customHeight="1">
      <x:c r="A110" s="2"/>
      <x:c r="B110" s="2"/>
      <x:c r="C110" s="2" t="n">
        <x:v>1</x:v>
      </x:c>
      <x:c r="D110" s="3" t="n">
        <x:v>35</x:v>
      </x:c>
      <x:c r="E110" s="3" t="n">
        <x:v>5</x:v>
      </x:c>
      <x:c r="F110" s="3" t="n">
        <x:v>4800</x:v>
      </x:c>
      <x:c r="G110" s="3" t="n">
        <x:v>4610</x:v>
      </x:c>
      <x:c r="H110" s="3" t="n">
        <x:v>4548</x:v>
      </x:c>
      <x:c r="I110" s="3" t="n">
        <x:v>4122</x:v>
      </x:c>
      <x:c r="J110" s="3" t="n">
        <x:v>4629</x:v>
      </x:c>
      <x:c r="K110" s="3"/>
      <x:c r="L110" s="3"/>
      <x:c r="M110" s="3"/>
      <x:c r="N110" s="3"/>
    </x:row>
    <x:row r="111" ht="19" customHeight="1">
      <x:c r="A111" s="2"/>
      <x:c r="B111" s="2"/>
      <x:c r="C111" s="2" t="n">
        <x:v>1</x:v>
      </x:c>
      <x:c r="D111" s="3" t="n">
        <x:v>36</x:v>
      </x:c>
      <x:c r="E111" s="3" t="n">
        <x:v>5</x:v>
      </x:c>
      <x:c r="F111" s="3" t="n">
        <x:v>4610</x:v>
      </x:c>
      <x:c r="G111" s="3" t="n">
        <x:v>4800</x:v>
      </x:c>
      <x:c r="H111" s="3" t="n">
        <x:v>4610</x:v>
      </x:c>
      <x:c r="I111" s="3" t="n">
        <x:v>4548</x:v>
      </x:c>
      <x:c r="J111" s="3" t="n">
        <x:v>4122</x:v>
      </x:c>
      <x:c r="K111" s="3"/>
      <x:c r="L111" s="3"/>
      <x:c r="M111" s="3"/>
      <x:c r="N111" s="3"/>
    </x:row>
    <x:row r="112" ht="19" customHeight="1">
      <x:c r="A112" s="2"/>
      <x:c r="B112" s="2"/>
      <x:c r="C112" s="2" t="n">
        <x:v>1</x:v>
      </x:c>
      <x:c r="D112" s="3" t="n">
        <x:v>37</x:v>
      </x:c>
      <x:c r="E112" s="3" t="n">
        <x:v>5</x:v>
      </x:c>
      <x:c r="F112" s="3" t="n">
        <x:v>4594</x:v>
      </x:c>
      <x:c r="G112" s="3" t="n">
        <x:v>4610</x:v>
      </x:c>
      <x:c r="H112" s="3" t="n">
        <x:v>4800</x:v>
      </x:c>
      <x:c r="I112" s="3" t="n">
        <x:v>4610</x:v>
      </x:c>
      <x:c r="J112" s="3" t="n">
        <x:v>4548</x:v>
      </x:c>
      <x:c r="K112" s="3"/>
      <x:c r="L112" s="3"/>
      <x:c r="M112" s="3"/>
      <x:c r="N112" s="3"/>
    </x:row>
    <x:row r="113" ht="19" customHeight="1">
      <x:c r="A113" s="2"/>
      <x:c r="B113" s="2"/>
      <x:c r="C113" s="2" t="n">
        <x:v>1</x:v>
      </x:c>
      <x:c r="D113" s="3" t="n">
        <x:v>38</x:v>
      </x:c>
      <x:c r="E113" s="3" t="n">
        <x:v>5</x:v>
      </x:c>
      <x:c r="F113" s="3" t="n">
        <x:v>3688</x:v>
      </x:c>
      <x:c r="G113" s="3" t="n">
        <x:v>4594</x:v>
      </x:c>
      <x:c r="H113" s="3" t="n">
        <x:v>4610</x:v>
      </x:c>
      <x:c r="I113" s="3" t="n">
        <x:v>4800</x:v>
      </x:c>
      <x:c r="J113" s="3" t="n">
        <x:v>4610</x:v>
      </x:c>
      <x:c r="K113" s="3"/>
      <x:c r="L113" s="3"/>
      <x:c r="M113" s="3"/>
      <x:c r="N113" s="3"/>
    </x:row>
    <x:row r="114" ht="19" customHeight="1">
      <x:c r="A114" s="2"/>
      <x:c r="B114" s="2"/>
      <x:c r="C114" s="2" t="n">
        <x:v>1</x:v>
      </x:c>
      <x:c r="D114" s="3" t="n">
        <x:v>39</x:v>
      </x:c>
      <x:c r="E114" s="3" t="n">
        <x:v>5</x:v>
      </x:c>
      <x:c r="F114" s="3" t="n">
        <x:v>3255</x:v>
      </x:c>
      <x:c r="G114" s="3" t="n">
        <x:v>3688</x:v>
      </x:c>
      <x:c r="H114" s="3" t="n">
        <x:v>4594</x:v>
      </x:c>
      <x:c r="I114" s="3" t="n">
        <x:v>4610</x:v>
      </x:c>
      <x:c r="J114" s="3" t="n">
        <x:v>4800</x:v>
      </x:c>
      <x:c r="K114" s="3"/>
      <x:c r="L114" s="3"/>
      <x:c r="M114" s="3"/>
      <x:c r="N114" s="3"/>
    </x:row>
    <x:row r="115" ht="19" customHeight="1">
      <x:c r="A115" s="2"/>
      <x:c r="B115" s="2"/>
      <x:c r="C115" s="2" t="n">
        <x:v>1</x:v>
      </x:c>
      <x:c r="D115" s="3" t="n">
        <x:v>40</x:v>
      </x:c>
      <x:c r="E115" s="3" t="n">
        <x:v>5</x:v>
      </x:c>
      <x:c r="F115" s="3" t="n">
        <x:v>2521</x:v>
      </x:c>
      <x:c r="G115" s="3" t="n">
        <x:v>3255</x:v>
      </x:c>
      <x:c r="H115" s="3" t="n">
        <x:v>3688</x:v>
      </x:c>
      <x:c r="I115" s="3" t="n">
        <x:v>4594</x:v>
      </x:c>
      <x:c r="J115" s="3" t="n">
        <x:v>4610</x:v>
      </x:c>
      <x:c r="K115" s="3"/>
      <x:c r="L115" s="3"/>
      <x:c r="M115" s="3"/>
      <x:c r="N115" s="3"/>
    </x:row>
    <x:row r="116" ht="19" customHeight="1">
      <x:c r="A116" s="2"/>
      <x:c r="B116" s="2"/>
      <x:c r="C116" s="2" t="n">
        <x:v>1</x:v>
      </x:c>
      <x:c r="D116" s="3" t="n">
        <x:v>41</x:v>
      </x:c>
      <x:c r="E116" s="3" t="n">
        <x:v>5</x:v>
      </x:c>
      <x:c r="F116" s="3" t="n">
        <x:v>2063</x:v>
      </x:c>
      <x:c r="G116" s="3" t="n">
        <x:v>2521</x:v>
      </x:c>
      <x:c r="H116" s="3" t="n">
        <x:v>3255</x:v>
      </x:c>
      <x:c r="I116" s="3" t="n">
        <x:v>3688</x:v>
      </x:c>
      <x:c r="J116" s="3" t="n">
        <x:v>4594</x:v>
      </x:c>
      <x:c r="K116" s="3"/>
      <x:c r="L116" s="3"/>
      <x:c r="M116" s="3"/>
      <x:c r="N116" s="3"/>
    </x:row>
    <x:row r="117" ht="19" customHeight="1">
      <x:c r="A117" s="2"/>
      <x:c r="B117" s="2"/>
      <x:c r="C117" s="2" t="n">
        <x:v>1</x:v>
      </x:c>
      <x:c r="D117" s="3" t="n">
        <x:v>42</x:v>
      </x:c>
      <x:c r="E117" s="3" t="n">
        <x:v>5</x:v>
      </x:c>
      <x:c r="F117" s="3" t="n">
        <x:v>1746</x:v>
      </x:c>
      <x:c r="G117" s="3" t="n">
        <x:v>2063</x:v>
      </x:c>
      <x:c r="H117" s="3" t="n">
        <x:v>2521</x:v>
      </x:c>
      <x:c r="I117" s="3" t="n">
        <x:v>3255</x:v>
      </x:c>
      <x:c r="J117" s="3" t="n">
        <x:v>3688</x:v>
      </x:c>
      <x:c r="K117" s="3"/>
      <x:c r="L117" s="3"/>
      <x:c r="M117" s="3"/>
      <x:c r="N117" s="3"/>
    </x:row>
    <x:row r="118" ht="19" customHeight="1">
      <x:c r="A118" s="2"/>
      <x:c r="B118" s="2"/>
      <x:c r="C118" s="2" t="n">
        <x:v>1</x:v>
      </x:c>
      <x:c r="D118" s="3" t="n">
        <x:v>43</x:v>
      </x:c>
      <x:c r="E118" s="3" t="n">
        <x:v>5</x:v>
      </x:c>
      <x:c r="F118" s="3" t="n">
        <x:v>1960</x:v>
      </x:c>
      <x:c r="G118" s="3" t="n">
        <x:v>1746</x:v>
      </x:c>
      <x:c r="H118" s="3" t="n">
        <x:v>2063</x:v>
      </x:c>
      <x:c r="I118" s="3" t="n">
        <x:v>2521</x:v>
      </x:c>
      <x:c r="J118" s="3" t="n">
        <x:v>3255</x:v>
      </x:c>
      <x:c r="K118" s="3"/>
      <x:c r="L118" s="3"/>
      <x:c r="M118" s="3"/>
      <x:c r="N118" s="3"/>
    </x:row>
    <x:row r="119" ht="19" customHeight="1">
      <x:c r="A119" s="2"/>
      <x:c r="B119" s="2"/>
      <x:c r="C119" s="2" t="n">
        <x:v>1</x:v>
      </x:c>
      <x:c r="D119" s="3" t="n">
        <x:v>44</x:v>
      </x:c>
      <x:c r="E119" s="3" t="n">
        <x:v>5</x:v>
      </x:c>
      <x:c r="F119" s="3" t="n">
        <x:v>2845</x:v>
      </x:c>
      <x:c r="G119" s="3" t="n">
        <x:v>1960</x:v>
      </x:c>
      <x:c r="H119" s="3" t="n">
        <x:v>1746</x:v>
      </x:c>
      <x:c r="I119" s="3" t="n">
        <x:v>2063</x:v>
      </x:c>
      <x:c r="J119" s="3" t="n">
        <x:v>2521</x:v>
      </x:c>
      <x:c r="K119" s="3"/>
      <x:c r="L119" s="3"/>
      <x:c r="M119" s="3"/>
      <x:c r="N119" s="3"/>
    </x:row>
    <x:row r="120" ht="19" customHeight="1">
      <x:c r="A120" s="2"/>
      <x:c r="B120" s="2"/>
      <x:c r="C120" s="2" t="n">
        <x:v>1</x:v>
      </x:c>
      <x:c r="D120" s="3" t="n">
        <x:v>45</x:v>
      </x:c>
      <x:c r="E120" s="3" t="n">
        <x:v>5</x:v>
      </x:c>
      <x:c r="F120" s="3" t="n">
        <x:v>3474</x:v>
      </x:c>
      <x:c r="G120" s="3" t="n">
        <x:v>2845</x:v>
      </x:c>
      <x:c r="H120" s="3" t="n">
        <x:v>1960</x:v>
      </x:c>
      <x:c r="I120" s="3" t="n">
        <x:v>1746</x:v>
      </x:c>
      <x:c r="J120" s="3" t="n">
        <x:v>2063</x:v>
      </x:c>
      <x:c r="K120" s="3"/>
      <x:c r="L120" s="3"/>
      <x:c r="M120" s="3"/>
      <x:c r="N120" s="3"/>
    </x:row>
    <x:row r="121" ht="19" customHeight="1">
      <x:c r="A121" s="2"/>
      <x:c r="B121" s="2"/>
      <x:c r="C121" s="2" t="n">
        <x:v>2</x:v>
      </x:c>
      <x:c r="D121" s="3" t="n">
        <x:v>0</x:v>
      </x:c>
      <x:c r="E121" s="3" t="n">
        <x:v>0</x:v>
      </x:c>
      <x:c r="F121" s="3" t="n">
        <x:v>11983.4</x:v>
      </x:c>
      <x:c r="G121" s="3" t="n">
        <x:v>12455.7</x:v>
      </x:c>
      <x:c r="H121" s="3" t="n">
        <x:v>13090.5</x:v>
      </x:c>
      <x:c r="I121" s="3" t="n">
        <x:v>13090.5</x:v>
      </x:c>
      <x:c r="J121" s="3" t="n">
        <x:v>13090.5</x:v>
      </x:c>
      <x:c r="K121" s="3"/>
      <x:c r="L121" s="3"/>
      <x:c r="M121" s="3"/>
      <x:c r="N121" s="3"/>
    </x:row>
    <x:row r="122" ht="19" customHeight="1">
      <x:c r="A122" s="2"/>
      <x:c r="B122" s="2"/>
      <x:c r="C122" s="2" t="n">
        <x:v>2</x:v>
      </x:c>
      <x:c r="D122" s="3" t="n">
        <x:v>1</x:v>
      </x:c>
      <x:c r="E122" s="3" t="n">
        <x:v>1</x:v>
      </x:c>
      <x:c r="F122" s="3" t="n">
        <x:v>10541.7</x:v>
      </x:c>
      <x:c r="G122" s="3" t="n">
        <x:v>11983.4</x:v>
      </x:c>
      <x:c r="H122" s="3" t="n">
        <x:v>12455.7</x:v>
      </x:c>
      <x:c r="I122" s="3" t="n">
        <x:v>13090.5</x:v>
      </x:c>
      <x:c r="J122" s="3" t="n">
        <x:v>13090.5</x:v>
      </x:c>
      <x:c r="K122" s="3"/>
      <x:c r="L122" s="3"/>
      <x:c r="M122" s="3"/>
      <x:c r="N122" s="3"/>
    </x:row>
    <x:row r="123" ht="19" customHeight="1">
      <x:c r="A123" s="2"/>
      <x:c r="B123" s="2"/>
      <x:c r="C123" s="2" t="n">
        <x:v>2</x:v>
      </x:c>
      <x:c r="D123" s="3" t="n">
        <x:v>2</x:v>
      </x:c>
      <x:c r="E123" s="3" t="n">
        <x:v>1</x:v>
      </x:c>
      <x:c r="F123" s="3" t="n">
        <x:v>11220.1</x:v>
      </x:c>
      <x:c r="G123" s="3" t="n">
        <x:v>10541.7</x:v>
      </x:c>
      <x:c r="H123" s="3" t="n">
        <x:v>11983.4</x:v>
      </x:c>
      <x:c r="I123" s="3" t="n">
        <x:v>12455.7</x:v>
      </x:c>
      <x:c r="J123" s="3" t="n">
        <x:v>13090.5</x:v>
      </x:c>
      <x:c r="K123" s="3"/>
      <x:c r="L123" s="3"/>
      <x:c r="M123" s="3"/>
      <x:c r="N123" s="3"/>
    </x:row>
    <x:row r="124" ht="19" customHeight="1">
      <x:c r="A124" s="2"/>
      <x:c r="B124" s="2"/>
      <x:c r="C124" s="2" t="n">
        <x:v>2</x:v>
      </x:c>
      <x:c r="D124" s="3" t="n">
        <x:v>3</x:v>
      </x:c>
      <x:c r="E124" s="3" t="n">
        <x:v>1</x:v>
      </x:c>
      <x:c r="F124" s="3" t="n">
        <x:v>10721.2</x:v>
      </x:c>
      <x:c r="G124" s="3" t="n">
        <x:v>11220.1</x:v>
      </x:c>
      <x:c r="H124" s="3" t="n">
        <x:v>10541.7</x:v>
      </x:c>
      <x:c r="I124" s="3" t="n">
        <x:v>11983.4</x:v>
      </x:c>
      <x:c r="J124" s="3" t="n">
        <x:v>12455.7</x:v>
      </x:c>
      <x:c r="K124" s="3"/>
      <x:c r="L124" s="3"/>
      <x:c r="M124" s="3"/>
      <x:c r="N124" s="3"/>
    </x:row>
    <x:row r="125" ht="19" customHeight="1">
      <x:c r="A125" s="2"/>
      <x:c r="B125" s="2"/>
      <x:c r="C125" s="2" t="n">
        <x:v>2</x:v>
      </x:c>
      <x:c r="D125" s="3" t="n">
        <x:v>4</x:v>
      </x:c>
      <x:c r="E125" s="3" t="n">
        <x:v>2</x:v>
      </x:c>
      <x:c r="F125" s="3" t="n">
        <x:v>11910.5</x:v>
      </x:c>
      <x:c r="G125" s="3" t="n">
        <x:v>10721.2</x:v>
      </x:c>
      <x:c r="H125" s="3" t="n">
        <x:v>11220.1</x:v>
      </x:c>
      <x:c r="I125" s="3" t="n">
        <x:v>10541.7</x:v>
      </x:c>
      <x:c r="J125" s="3" t="n">
        <x:v>11983.4</x:v>
      </x:c>
      <x:c r="K125" s="3"/>
      <x:c r="L125" s="3"/>
      <x:c r="M125" s="3"/>
      <x:c r="N125" s="3"/>
    </x:row>
    <x:row r="126" ht="19" customHeight="1">
      <x:c r="A126" s="2"/>
      <x:c r="B126" s="2"/>
      <x:c r="C126" s="2" t="n">
        <x:v>2</x:v>
      </x:c>
      <x:c r="D126" s="3" t="n">
        <x:v>5</x:v>
      </x:c>
      <x:c r="E126" s="3" t="n">
        <x:v>2</x:v>
      </x:c>
      <x:c r="F126" s="3" t="n">
        <x:v>11609.2</x:v>
      </x:c>
      <x:c r="G126" s="3" t="n">
        <x:v>11910.5</x:v>
      </x:c>
      <x:c r="H126" s="3" t="n">
        <x:v>10721.2</x:v>
      </x:c>
      <x:c r="I126" s="3" t="n">
        <x:v>11220.1</x:v>
      </x:c>
      <x:c r="J126" s="3" t="n">
        <x:v>10541.7</x:v>
      </x:c>
      <x:c r="K126" s="3"/>
      <x:c r="L126" s="3"/>
      <x:c r="M126" s="3"/>
      <x:c r="N126" s="3"/>
    </x:row>
    <x:row r="127" ht="19" customHeight="1">
      <x:c r="A127" s="2"/>
      <x:c r="B127" s="2"/>
      <x:c r="C127" s="2" t="n">
        <x:v>2</x:v>
      </x:c>
      <x:c r="D127" s="3" t="n">
        <x:v>6</x:v>
      </x:c>
      <x:c r="E127" s="3" t="n">
        <x:v>2</x:v>
      </x:c>
      <x:c r="F127" s="3" t="n">
        <x:v>10738</x:v>
      </x:c>
      <x:c r="G127" s="3" t="n">
        <x:v>11609.2</x:v>
      </x:c>
      <x:c r="H127" s="3" t="n">
        <x:v>11910.5</x:v>
      </x:c>
      <x:c r="I127" s="3" t="n">
        <x:v>10721.2</x:v>
      </x:c>
      <x:c r="J127" s="3" t="n">
        <x:v>11220.1</x:v>
      </x:c>
      <x:c r="K127" s="3"/>
      <x:c r="L127" s="3"/>
      <x:c r="M127" s="3"/>
      <x:c r="N127" s="3"/>
    </x:row>
    <x:row r="128" ht="19" customHeight="1">
      <x:c r="A128" s="2"/>
      <x:c r="B128" s="2"/>
      <x:c r="C128" s="2" t="n">
        <x:v>2</x:v>
      </x:c>
      <x:c r="D128" s="3" t="n">
        <x:v>7</x:v>
      </x:c>
      <x:c r="E128" s="3" t="n">
        <x:v>3</x:v>
      </x:c>
      <x:c r="F128" s="3" t="n">
        <x:v>10296</x:v>
      </x:c>
      <x:c r="G128" s="3" t="n">
        <x:v>10738</x:v>
      </x:c>
      <x:c r="H128" s="3" t="n">
        <x:v>11609.2</x:v>
      </x:c>
      <x:c r="I128" s="3" t="n">
        <x:v>11910.5</x:v>
      </x:c>
      <x:c r="J128" s="3" t="n">
        <x:v>10721.2</x:v>
      </x:c>
      <x:c r="K128" s="3"/>
      <x:c r="L128" s="3"/>
      <x:c r="M128" s="3"/>
      <x:c r="N128" s="3"/>
    </x:row>
    <x:row r="129" ht="19" customHeight="1">
      <x:c r="A129" s="2"/>
      <x:c r="B129" s="2"/>
      <x:c r="C129" s="2" t="n">
        <x:v>2</x:v>
      </x:c>
      <x:c r="D129" s="3" t="n">
        <x:v>8</x:v>
      </x:c>
      <x:c r="E129" s="3" t="n">
        <x:v>3</x:v>
      </x:c>
      <x:c r="F129" s="3" t="n">
        <x:v>9578.4</x:v>
      </x:c>
      <x:c r="G129" s="3" t="n">
        <x:v>10296</x:v>
      </x:c>
      <x:c r="H129" s="3" t="n">
        <x:v>10738</x:v>
      </x:c>
      <x:c r="I129" s="3" t="n">
        <x:v>11609.2</x:v>
      </x:c>
      <x:c r="J129" s="3" t="n">
        <x:v>11910.5</x:v>
      </x:c>
      <x:c r="K129" s="3"/>
      <x:c r="L129" s="3"/>
      <x:c r="M129" s="3"/>
      <x:c r="N129" s="3"/>
    </x:row>
    <x:row r="130" ht="19" customHeight="1">
      <x:c r="A130" s="2"/>
      <x:c r="B130" s="2"/>
      <x:c r="C130" s="2" t="n">
        <x:v>2</x:v>
      </x:c>
      <x:c r="D130" s="3" t="n">
        <x:v>9</x:v>
      </x:c>
      <x:c r="E130" s="3" t="n">
        <x:v>3</x:v>
      </x:c>
      <x:c r="F130" s="3" t="n">
        <x:v>8483.8</x:v>
      </x:c>
      <x:c r="G130" s="3" t="n">
        <x:v>9578.4</x:v>
      </x:c>
      <x:c r="H130" s="3" t="n">
        <x:v>10296</x:v>
      </x:c>
      <x:c r="I130" s="3" t="n">
        <x:v>10738</x:v>
      </x:c>
      <x:c r="J130" s="3" t="n">
        <x:v>11609.2</x:v>
      </x:c>
      <x:c r="K130" s="3"/>
      <x:c r="L130" s="3"/>
      <x:c r="M130" s="3"/>
      <x:c r="N130" s="3"/>
    </x:row>
    <x:row r="131" ht="19" customHeight="1">
      <x:c r="A131" s="2"/>
      <x:c r="B131" s="2"/>
      <x:c r="C131" s="2" t="n">
        <x:v>2</x:v>
      </x:c>
      <x:c r="D131" s="3" t="n">
        <x:v>10</x:v>
      </x:c>
      <x:c r="E131" s="3" t="n">
        <x:v>4</x:v>
      </x:c>
      <x:c r="F131" s="3" t="n">
        <x:v>7692.6</x:v>
      </x:c>
      <x:c r="G131" s="3" t="n">
        <x:v>8483.8</x:v>
      </x:c>
      <x:c r="H131" s="3" t="n">
        <x:v>9578.4</x:v>
      </x:c>
      <x:c r="I131" s="3" t="n">
        <x:v>10296</x:v>
      </x:c>
      <x:c r="J131" s="3" t="n">
        <x:v>10738</x:v>
      </x:c>
      <x:c r="K131" s="3"/>
      <x:c r="L131" s="3"/>
      <x:c r="M131" s="3"/>
      <x:c r="N131" s="3"/>
    </x:row>
    <x:row r="132" ht="19" customHeight="1">
      <x:c r="A132" s="2"/>
      <x:c r="B132" s="2"/>
      <x:c r="C132" s="2" t="n">
        <x:v>2</x:v>
      </x:c>
      <x:c r="D132" s="3" t="n">
        <x:v>11</x:v>
      </x:c>
      <x:c r="E132" s="3" t="n">
        <x:v>4</x:v>
      </x:c>
      <x:c r="F132" s="3" t="n">
        <x:v>6974.8</x:v>
      </x:c>
      <x:c r="G132" s="3" t="n">
        <x:v>7692.6</x:v>
      </x:c>
      <x:c r="H132" s="3" t="n">
        <x:v>8483.8</x:v>
      </x:c>
      <x:c r="I132" s="3" t="n">
        <x:v>9578.4</x:v>
      </x:c>
      <x:c r="J132" s="3" t="n">
        <x:v>10296</x:v>
      </x:c>
      <x:c r="K132" s="3"/>
      <x:c r="L132" s="3"/>
      <x:c r="M132" s="3"/>
      <x:c r="N132" s="3"/>
    </x:row>
    <x:row r="133" ht="19" customHeight="1">
      <x:c r="A133" s="2"/>
      <x:c r="B133" s="2"/>
      <x:c r="C133" s="2" t="n">
        <x:v>2</x:v>
      </x:c>
      <x:c r="D133" s="3" t="n">
        <x:v>12</x:v>
      </x:c>
      <x:c r="E133" s="3" t="n">
        <x:v>4</x:v>
      </x:c>
      <x:c r="F133" s="3" t="n">
        <x:v>6449</x:v>
      </x:c>
      <x:c r="G133" s="3" t="n">
        <x:v>6974.8</x:v>
      </x:c>
      <x:c r="H133" s="3" t="n">
        <x:v>7692.6</x:v>
      </x:c>
      <x:c r="I133" s="3" t="n">
        <x:v>8483.8</x:v>
      </x:c>
      <x:c r="J133" s="3" t="n">
        <x:v>9578.4</x:v>
      </x:c>
      <x:c r="K133" s="3"/>
      <x:c r="L133" s="3"/>
      <x:c r="M133" s="3"/>
      <x:c r="N133" s="3"/>
    </x:row>
    <x:row r="134" ht="19" customHeight="1">
      <x:c r="A134" s="2"/>
      <x:c r="B134" s="2"/>
      <x:c r="C134" s="2" t="n">
        <x:v>2</x:v>
      </x:c>
      <x:c r="D134" s="3" t="n">
        <x:v>13</x:v>
      </x:c>
      <x:c r="E134" s="3" t="n">
        <x:v>5</x:v>
      </x:c>
      <x:c r="F134" s="3" t="n">
        <x:v>5758</x:v>
      </x:c>
      <x:c r="G134" s="3" t="n">
        <x:v>6449</x:v>
      </x:c>
      <x:c r="H134" s="3" t="n">
        <x:v>6974.8</x:v>
      </x:c>
      <x:c r="I134" s="3" t="n">
        <x:v>7692.6</x:v>
      </x:c>
      <x:c r="J134" s="3" t="n">
        <x:v>8483.8</x:v>
      </x:c>
      <x:c r="K134" s="3"/>
      <x:c r="L134" s="3"/>
      <x:c r="M134" s="3"/>
      <x:c r="N134" s="3"/>
    </x:row>
    <x:row r="135" ht="19" customHeight="1">
      <x:c r="A135" s="2"/>
      <x:c r="B135" s="2"/>
      <x:c r="C135" s="2" t="n">
        <x:v>2</x:v>
      </x:c>
      <x:c r="D135" s="3" t="n">
        <x:v>14</x:v>
      </x:c>
      <x:c r="E135" s="3" t="n">
        <x:v>5</x:v>
      </x:c>
      <x:c r="F135" s="3" t="n">
        <x:v>4834</x:v>
      </x:c>
      <x:c r="G135" s="3" t="n">
        <x:v>5758</x:v>
      </x:c>
      <x:c r="H135" s="3" t="n">
        <x:v>6449</x:v>
      </x:c>
      <x:c r="I135" s="3" t="n">
        <x:v>6974.8</x:v>
      </x:c>
      <x:c r="J135" s="3" t="n">
        <x:v>7692.6</x:v>
      </x:c>
      <x:c r="K135" s="3"/>
      <x:c r="L135" s="3"/>
      <x:c r="M135" s="3"/>
      <x:c r="N135" s="3"/>
    </x:row>
    <x:row r="136" ht="19" customHeight="1">
      <x:c r="A136" s="2"/>
      <x:c r="B136" s="2"/>
      <x:c r="C136" s="2" t="n">
        <x:v>2</x:v>
      </x:c>
      <x:c r="D136" s="3" t="n">
        <x:v>15</x:v>
      </x:c>
      <x:c r="E136" s="3" t="n">
        <x:v>5</x:v>
      </x:c>
      <x:c r="F136" s="3" t="n">
        <x:v>6246</x:v>
      </x:c>
      <x:c r="G136" s="3" t="n">
        <x:v>4834</x:v>
      </x:c>
      <x:c r="H136" s="3" t="n">
        <x:v>5758</x:v>
      </x:c>
      <x:c r="I136" s="3" t="n">
        <x:v>6449</x:v>
      </x:c>
      <x:c r="J136" s="3" t="n">
        <x:v>6974.8</x:v>
      </x:c>
      <x:c r="K136" s="3"/>
      <x:c r="L136" s="3"/>
      <x:c r="M136" s="3"/>
      <x:c r="N136" s="3"/>
    </x:row>
    <x:row r="137" ht="19" customHeight="1">
      <x:c r="A137" s="2"/>
      <x:c r="B137" s="2"/>
      <x:c r="C137" s="2" t="n">
        <x:v>2</x:v>
      </x:c>
      <x:c r="D137" s="3" t="n">
        <x:v>16</x:v>
      </x:c>
      <x:c r="E137" s="3" t="n">
        <x:v>5</x:v>
      </x:c>
      <x:c r="F137" s="3" t="n">
        <x:v>8305</x:v>
      </x:c>
      <x:c r="G137" s="3" t="n">
        <x:v>6246</x:v>
      </x:c>
      <x:c r="H137" s="3" t="n">
        <x:v>4834</x:v>
      </x:c>
      <x:c r="I137" s="3" t="n">
        <x:v>5758</x:v>
      </x:c>
      <x:c r="J137" s="3" t="n">
        <x:v>6449</x:v>
      </x:c>
      <x:c r="K137" s="3"/>
      <x:c r="L137" s="3"/>
      <x:c r="M137" s="3"/>
      <x:c r="N137" s="3"/>
    </x:row>
    <x:row r="138" ht="19" customHeight="1">
      <x:c r="A138" s="2"/>
      <x:c r="B138" s="2"/>
      <x:c r="C138" s="2" t="n">
        <x:v>2</x:v>
      </x:c>
      <x:c r="D138" s="3" t="n">
        <x:v>17</x:v>
      </x:c>
      <x:c r="E138" s="3" t="n">
        <x:v>5</x:v>
      </x:c>
      <x:c r="F138" s="3" t="n">
        <x:v>8574</x:v>
      </x:c>
      <x:c r="G138" s="3" t="n">
        <x:v>8305</x:v>
      </x:c>
      <x:c r="H138" s="3" t="n">
        <x:v>6246</x:v>
      </x:c>
      <x:c r="I138" s="3" t="n">
        <x:v>4834</x:v>
      </x:c>
      <x:c r="J138" s="3" t="n">
        <x:v>5758</x:v>
      </x:c>
      <x:c r="K138" s="3"/>
      <x:c r="L138" s="3"/>
      <x:c r="M138" s="3"/>
      <x:c r="N138" s="3"/>
    </x:row>
    <x:row r="139" ht="19" customHeight="1">
      <x:c r="A139" s="2"/>
      <x:c r="B139" s="2"/>
      <x:c r="C139" s="2" t="n">
        <x:v>2</x:v>
      </x:c>
      <x:c r="D139" s="3" t="n">
        <x:v>18</x:v>
      </x:c>
      <x:c r="E139" s="3" t="n">
        <x:v>5</x:v>
      </x:c>
      <x:c r="F139" s="3" t="n">
        <x:v>9114</x:v>
      </x:c>
      <x:c r="G139" s="3" t="n">
        <x:v>8574</x:v>
      </x:c>
      <x:c r="H139" s="3" t="n">
        <x:v>8305</x:v>
      </x:c>
      <x:c r="I139" s="3" t="n">
        <x:v>6246</x:v>
      </x:c>
      <x:c r="J139" s="3" t="n">
        <x:v>4834</x:v>
      </x:c>
      <x:c r="K139" s="3"/>
      <x:c r="L139" s="3"/>
      <x:c r="M139" s="3"/>
      <x:c r="N139" s="3"/>
    </x:row>
    <x:row r="140" ht="19" customHeight="1">
      <x:c r="A140" s="2"/>
      <x:c r="B140" s="2"/>
      <x:c r="C140" s="2" t="n">
        <x:v>2</x:v>
      </x:c>
      <x:c r="D140" s="3" t="n">
        <x:v>19</x:v>
      </x:c>
      <x:c r="E140" s="3" t="n">
        <x:v>5</x:v>
      </x:c>
      <x:c r="F140" s="3" t="n">
        <x:v>9254</x:v>
      </x:c>
      <x:c r="G140" s="3" t="n">
        <x:v>9114</x:v>
      </x:c>
      <x:c r="H140" s="3" t="n">
        <x:v>8574</x:v>
      </x:c>
      <x:c r="I140" s="3" t="n">
        <x:v>8305</x:v>
      </x:c>
      <x:c r="J140" s="3" t="n">
        <x:v>6246</x:v>
      </x:c>
      <x:c r="K140" s="3"/>
      <x:c r="L140" s="3"/>
      <x:c r="M140" s="3"/>
      <x:c r="N140" s="3"/>
    </x:row>
    <x:row r="141" ht="19" customHeight="1">
      <x:c r="A141" s="2"/>
      <x:c r="B141" s="2"/>
      <x:c r="C141" s="2" t="n">
        <x:v>2</x:v>
      </x:c>
      <x:c r="D141" s="3" t="n">
        <x:v>20</x:v>
      </x:c>
      <x:c r="E141" s="3" t="n">
        <x:v>5</x:v>
      </x:c>
      <x:c r="F141" s="3" t="n">
        <x:v>8938</x:v>
      </x:c>
      <x:c r="G141" s="3" t="n">
        <x:v>9254</x:v>
      </x:c>
      <x:c r="H141" s="3" t="n">
        <x:v>9114</x:v>
      </x:c>
      <x:c r="I141" s="3" t="n">
        <x:v>8574</x:v>
      </x:c>
      <x:c r="J141" s="3" t="n">
        <x:v>8305</x:v>
      </x:c>
      <x:c r="K141" s="3"/>
      <x:c r="L141" s="3"/>
      <x:c r="M141" s="3"/>
      <x:c r="N141" s="3"/>
    </x:row>
    <x:row r="142" ht="19" customHeight="1">
      <x:c r="A142" s="2"/>
      <x:c r="B142" s="2"/>
      <x:c r="C142" s="2" t="n">
        <x:v>2</x:v>
      </x:c>
      <x:c r="D142" s="3" t="n">
        <x:v>21</x:v>
      </x:c>
      <x:c r="E142" s="3" t="n">
        <x:v>5</x:v>
      </x:c>
      <x:c r="F142" s="3" t="n">
        <x:v>8633</x:v>
      </x:c>
      <x:c r="G142" s="3" t="n">
        <x:v>8938</x:v>
      </x:c>
      <x:c r="H142" s="3" t="n">
        <x:v>9254</x:v>
      </x:c>
      <x:c r="I142" s="3" t="n">
        <x:v>9114</x:v>
      </x:c>
      <x:c r="J142" s="3" t="n">
        <x:v>8574</x:v>
      </x:c>
      <x:c r="K142" s="3"/>
      <x:c r="L142" s="3"/>
      <x:c r="M142" s="3"/>
      <x:c r="N142" s="3"/>
    </x:row>
    <x:row r="143" ht="19" customHeight="1">
      <x:c r="A143" s="2"/>
      <x:c r="B143" s="2"/>
      <x:c r="C143" s="2" t="n">
        <x:v>2</x:v>
      </x:c>
      <x:c r="D143" s="3" t="n">
        <x:v>22</x:v>
      </x:c>
      <x:c r="E143" s="3" t="n">
        <x:v>5</x:v>
      </x:c>
      <x:c r="F143" s="3" t="n">
        <x:v>8598</x:v>
      </x:c>
      <x:c r="G143" s="3" t="n">
        <x:v>8633</x:v>
      </x:c>
      <x:c r="H143" s="3" t="n">
        <x:v>8938</x:v>
      </x:c>
      <x:c r="I143" s="3" t="n">
        <x:v>9254</x:v>
      </x:c>
      <x:c r="J143" s="3" t="n">
        <x:v>9114</x:v>
      </x:c>
      <x:c r="K143" s="3"/>
      <x:c r="L143" s="3"/>
      <x:c r="M143" s="3"/>
      <x:c r="N143" s="3"/>
    </x:row>
    <x:row r="144" ht="19" customHeight="1">
      <x:c r="A144" s="2"/>
      <x:c r="B144" s="2"/>
      <x:c r="C144" s="2" t="n">
        <x:v>2</x:v>
      </x:c>
      <x:c r="D144" s="3" t="n">
        <x:v>23</x:v>
      </x:c>
      <x:c r="E144" s="3" t="n">
        <x:v>5</x:v>
      </x:c>
      <x:c r="F144" s="3" t="n">
        <x:v>8386</x:v>
      </x:c>
      <x:c r="G144" s="3" t="n">
        <x:v>8598</x:v>
      </x:c>
      <x:c r="H144" s="3" t="n">
        <x:v>8633</x:v>
      </x:c>
      <x:c r="I144" s="3" t="n">
        <x:v>8938</x:v>
      </x:c>
      <x:c r="J144" s="3" t="n">
        <x:v>9254</x:v>
      </x:c>
      <x:c r="K144" s="3"/>
      <x:c r="L144" s="3"/>
      <x:c r="M144" s="3"/>
      <x:c r="N144" s="3"/>
    </x:row>
    <x:row r="145" ht="19" customHeight="1">
      <x:c r="A145" s="2"/>
      <x:c r="B145" s="2"/>
      <x:c r="C145" s="2" t="n">
        <x:v>2</x:v>
      </x:c>
      <x:c r="D145" s="3" t="n">
        <x:v>24</x:v>
      </x:c>
      <x:c r="E145" s="3" t="n">
        <x:v>5</x:v>
      </x:c>
      <x:c r="F145" s="3" t="n">
        <x:v>8073</x:v>
      </x:c>
      <x:c r="G145" s="3" t="n">
        <x:v>8386</x:v>
      </x:c>
      <x:c r="H145" s="3" t="n">
        <x:v>8598</x:v>
      </x:c>
      <x:c r="I145" s="3" t="n">
        <x:v>8633</x:v>
      </x:c>
      <x:c r="J145" s="3" t="n">
        <x:v>8938</x:v>
      </x:c>
      <x:c r="K145" s="3"/>
      <x:c r="L145" s="3"/>
      <x:c r="M145" s="3"/>
      <x:c r="N145" s="3"/>
    </x:row>
    <x:row r="146" ht="19" customHeight="1">
      <x:c r="A146" s="2"/>
      <x:c r="B146" s="2"/>
      <x:c r="C146" s="2" t="n">
        <x:v>2</x:v>
      </x:c>
      <x:c r="D146" s="3" t="n">
        <x:v>25</x:v>
      </x:c>
      <x:c r="E146" s="3" t="n">
        <x:v>5</x:v>
      </x:c>
      <x:c r="F146" s="3" t="n">
        <x:v>7299</x:v>
      </x:c>
      <x:c r="G146" s="3" t="n">
        <x:v>8073</x:v>
      </x:c>
      <x:c r="H146" s="3" t="n">
        <x:v>8386</x:v>
      </x:c>
      <x:c r="I146" s="3" t="n">
        <x:v>8598</x:v>
      </x:c>
      <x:c r="J146" s="3" t="n">
        <x:v>8633</x:v>
      </x:c>
      <x:c r="K146" s="3"/>
      <x:c r="L146" s="3"/>
      <x:c r="M146" s="3"/>
      <x:c r="N146" s="3"/>
    </x:row>
    <x:row r="147" ht="19" customHeight="1">
      <x:c r="A147" s="2"/>
      <x:c r="B147" s="2"/>
      <x:c r="C147" s="2" t="n">
        <x:v>2</x:v>
      </x:c>
      <x:c r="D147" s="3" t="n">
        <x:v>26</x:v>
      </x:c>
      <x:c r="E147" s="3" t="n">
        <x:v>5</x:v>
      </x:c>
      <x:c r="F147" s="3" t="n">
        <x:v>6797</x:v>
      </x:c>
      <x:c r="G147" s="3" t="n">
        <x:v>7299</x:v>
      </x:c>
      <x:c r="H147" s="3" t="n">
        <x:v>8073</x:v>
      </x:c>
      <x:c r="I147" s="3" t="n">
        <x:v>8386</x:v>
      </x:c>
      <x:c r="J147" s="3" t="n">
        <x:v>8598</x:v>
      </x:c>
      <x:c r="K147" s="3"/>
      <x:c r="L147" s="3"/>
      <x:c r="M147" s="3"/>
      <x:c r="N147" s="3"/>
    </x:row>
    <x:row r="148" ht="19" customHeight="1">
      <x:c r="A148" s="2"/>
      <x:c r="B148" s="2"/>
      <x:c r="C148" s="2" t="n">
        <x:v>2</x:v>
      </x:c>
      <x:c r="D148" s="3" t="n">
        <x:v>27</x:v>
      </x:c>
      <x:c r="E148" s="3" t="n">
        <x:v>5</x:v>
      </x:c>
      <x:c r="F148" s="3" t="n">
        <x:v>6519</x:v>
      </x:c>
      <x:c r="G148" s="3" t="n">
        <x:v>6797</x:v>
      </x:c>
      <x:c r="H148" s="3" t="n">
        <x:v>7299</x:v>
      </x:c>
      <x:c r="I148" s="3" t="n">
        <x:v>8073</x:v>
      </x:c>
      <x:c r="J148" s="3" t="n">
        <x:v>8386</x:v>
      </x:c>
      <x:c r="K148" s="3"/>
      <x:c r="L148" s="3"/>
      <x:c r="M148" s="3"/>
      <x:c r="N148" s="3"/>
    </x:row>
    <x:row r="149" ht="19" customHeight="1">
      <x:c r="A149" s="2"/>
      <x:c r="B149" s="2"/>
      <x:c r="C149" s="2" t="n">
        <x:v>2</x:v>
      </x:c>
      <x:c r="D149" s="3" t="n">
        <x:v>28</x:v>
      </x:c>
      <x:c r="E149" s="3" t="n">
        <x:v>5</x:v>
      </x:c>
      <x:c r="F149" s="3" t="n">
        <x:v>6053</x:v>
      </x:c>
      <x:c r="G149" s="3" t="n">
        <x:v>6519</x:v>
      </x:c>
      <x:c r="H149" s="3" t="n">
        <x:v>6797</x:v>
      </x:c>
      <x:c r="I149" s="3" t="n">
        <x:v>7299</x:v>
      </x:c>
      <x:c r="J149" s="3" t="n">
        <x:v>8073</x:v>
      </x:c>
      <x:c r="K149" s="3"/>
      <x:c r="L149" s="3"/>
      <x:c r="M149" s="3"/>
      <x:c r="N149" s="3"/>
    </x:row>
    <x:row r="150" ht="19" customHeight="1">
      <x:c r="A150" s="2"/>
      <x:c r="B150" s="2"/>
      <x:c r="C150" s="2" t="n">
        <x:v>2</x:v>
      </x:c>
      <x:c r="D150" s="3" t="n">
        <x:v>29</x:v>
      </x:c>
      <x:c r="E150" s="3" t="n">
        <x:v>5</x:v>
      </x:c>
      <x:c r="F150" s="3" t="n">
        <x:v>6033</x:v>
      </x:c>
      <x:c r="G150" s="3" t="n">
        <x:v>6053</x:v>
      </x:c>
      <x:c r="H150" s="3" t="n">
        <x:v>6519</x:v>
      </x:c>
      <x:c r="I150" s="3" t="n">
        <x:v>6797</x:v>
      </x:c>
      <x:c r="J150" s="3" t="n">
        <x:v>7299</x:v>
      </x:c>
      <x:c r="K150" s="3"/>
      <x:c r="L150" s="3"/>
      <x:c r="M150" s="3"/>
      <x:c r="N150" s="3"/>
    </x:row>
    <x:row r="151" ht="19" customHeight="1">
      <x:c r="A151" s="2"/>
      <x:c r="B151" s="2"/>
      <x:c r="C151" s="2" t="n">
        <x:v>2</x:v>
      </x:c>
      <x:c r="D151" s="3" t="n">
        <x:v>30</x:v>
      </x:c>
      <x:c r="E151" s="3" t="n">
        <x:v>5</x:v>
      </x:c>
      <x:c r="F151" s="3" t="n">
        <x:v>5351</x:v>
      </x:c>
      <x:c r="G151" s="3" t="n">
        <x:v>6033</x:v>
      </x:c>
      <x:c r="H151" s="3" t="n">
        <x:v>6053</x:v>
      </x:c>
      <x:c r="I151" s="3" t="n">
        <x:v>6519</x:v>
      </x:c>
      <x:c r="J151" s="3" t="n">
        <x:v>6797</x:v>
      </x:c>
      <x:c r="K151" s="3"/>
      <x:c r="L151" s="3"/>
      <x:c r="M151" s="3"/>
      <x:c r="N151" s="3"/>
    </x:row>
    <x:row r="152" ht="19" customHeight="1">
      <x:c r="A152" s="2"/>
      <x:c r="B152" s="2"/>
      <x:c r="C152" s="2" t="n">
        <x:v>2</x:v>
      </x:c>
      <x:c r="D152" s="3" t="n">
        <x:v>31</x:v>
      </x:c>
      <x:c r="E152" s="3" t="n">
        <x:v>5</x:v>
      </x:c>
      <x:c r="F152" s="3" t="n">
        <x:v>4629</x:v>
      </x:c>
      <x:c r="G152" s="3" t="n">
        <x:v>5351</x:v>
      </x:c>
      <x:c r="H152" s="3" t="n">
        <x:v>6033</x:v>
      </x:c>
      <x:c r="I152" s="3" t="n">
        <x:v>6053</x:v>
      </x:c>
      <x:c r="J152" s="3" t="n">
        <x:v>6519</x:v>
      </x:c>
      <x:c r="K152" s="3"/>
      <x:c r="L152" s="3"/>
      <x:c r="M152" s="3"/>
      <x:c r="N152" s="3"/>
    </x:row>
    <x:row r="153" ht="19" customHeight="1">
      <x:c r="A153" s="2"/>
      <x:c r="B153" s="2"/>
      <x:c r="C153" s="2" t="n">
        <x:v>2</x:v>
      </x:c>
      <x:c r="D153" s="3" t="n">
        <x:v>32</x:v>
      </x:c>
      <x:c r="E153" s="3" t="n">
        <x:v>5</x:v>
      </x:c>
      <x:c r="F153" s="3" t="n">
        <x:v>4122</x:v>
      </x:c>
      <x:c r="G153" s="3" t="n">
        <x:v>4629</x:v>
      </x:c>
      <x:c r="H153" s="3" t="n">
        <x:v>5351</x:v>
      </x:c>
      <x:c r="I153" s="3" t="n">
        <x:v>6033</x:v>
      </x:c>
      <x:c r="J153" s="3" t="n">
        <x:v>6053</x:v>
      </x:c>
      <x:c r="K153" s="3"/>
      <x:c r="L153" s="3"/>
      <x:c r="M153" s="3"/>
      <x:c r="N153" s="3"/>
    </x:row>
    <x:row r="154" ht="19" customHeight="1">
      <x:c r="A154" s="2"/>
      <x:c r="B154" s="2"/>
      <x:c r="C154" s="2" t="n">
        <x:v>2</x:v>
      </x:c>
      <x:c r="D154" s="3" t="n">
        <x:v>33</x:v>
      </x:c>
      <x:c r="E154" s="3" t="n">
        <x:v>5</x:v>
      </x:c>
      <x:c r="F154" s="3" t="n">
        <x:v>4548</x:v>
      </x:c>
      <x:c r="G154" s="3" t="n">
        <x:v>4122</x:v>
      </x:c>
      <x:c r="H154" s="3" t="n">
        <x:v>4629</x:v>
      </x:c>
      <x:c r="I154" s="3" t="n">
        <x:v>5351</x:v>
      </x:c>
      <x:c r="J154" s="3" t="n">
        <x:v>6033</x:v>
      </x:c>
      <x:c r="K154" s="3"/>
      <x:c r="L154" s="3"/>
      <x:c r="M154" s="3"/>
      <x:c r="N154" s="3"/>
    </x:row>
    <x:row r="155" ht="19" customHeight="1">
      <x:c r="A155" s="2"/>
      <x:c r="B155" s="2"/>
      <x:c r="C155" s="2" t="n">
        <x:v>2</x:v>
      </x:c>
      <x:c r="D155" s="3" t="n">
        <x:v>34</x:v>
      </x:c>
      <x:c r="E155" s="3" t="n">
        <x:v>5</x:v>
      </x:c>
      <x:c r="F155" s="3" t="n">
        <x:v>4610</x:v>
      </x:c>
      <x:c r="G155" s="3" t="n">
        <x:v>4548</x:v>
      </x:c>
      <x:c r="H155" s="3" t="n">
        <x:v>4122</x:v>
      </x:c>
      <x:c r="I155" s="3" t="n">
        <x:v>4629</x:v>
      </x:c>
      <x:c r="J155" s="3" t="n">
        <x:v>5351</x:v>
      </x:c>
      <x:c r="K155" s="3"/>
      <x:c r="L155" s="3"/>
      <x:c r="M155" s="3"/>
      <x:c r="N155" s="3"/>
    </x:row>
    <x:row r="156" ht="19" customHeight="1">
      <x:c r="A156" s="2"/>
      <x:c r="B156" s="2"/>
      <x:c r="C156" s="2" t="n">
        <x:v>2</x:v>
      </x:c>
      <x:c r="D156" s="3" t="n">
        <x:v>35</x:v>
      </x:c>
      <x:c r="E156" s="3" t="n">
        <x:v>5</x:v>
      </x:c>
      <x:c r="F156" s="3" t="n">
        <x:v>4800</x:v>
      </x:c>
      <x:c r="G156" s="3" t="n">
        <x:v>4610</x:v>
      </x:c>
      <x:c r="H156" s="3" t="n">
        <x:v>4548</x:v>
      </x:c>
      <x:c r="I156" s="3" t="n">
        <x:v>4122</x:v>
      </x:c>
      <x:c r="J156" s="3" t="n">
        <x:v>4629</x:v>
      </x:c>
      <x:c r="K156" s="3"/>
      <x:c r="L156" s="3"/>
      <x:c r="M156" s="3"/>
      <x:c r="N156" s="3"/>
    </x:row>
    <x:row r="157" ht="19" customHeight="1">
      <x:c r="A157" s="2"/>
      <x:c r="B157" s="2"/>
      <x:c r="C157" s="2" t="n">
        <x:v>2</x:v>
      </x:c>
      <x:c r="D157" s="3" t="n">
        <x:v>36</x:v>
      </x:c>
      <x:c r="E157" s="3" t="n">
        <x:v>5</x:v>
      </x:c>
      <x:c r="F157" s="3" t="n">
        <x:v>4610</x:v>
      </x:c>
      <x:c r="G157" s="3" t="n">
        <x:v>4800</x:v>
      </x:c>
      <x:c r="H157" s="3" t="n">
        <x:v>4610</x:v>
      </x:c>
      <x:c r="I157" s="3" t="n">
        <x:v>4548</x:v>
      </x:c>
      <x:c r="J157" s="3" t="n">
        <x:v>4122</x:v>
      </x:c>
      <x:c r="K157" s="3"/>
      <x:c r="L157" s="3"/>
      <x:c r="M157" s="3"/>
      <x:c r="N157" s="3"/>
    </x:row>
    <x:row r="158" ht="19" customHeight="1">
      <x:c r="A158" s="2"/>
      <x:c r="B158" s="2"/>
      <x:c r="C158" s="2" t="n">
        <x:v>2</x:v>
      </x:c>
      <x:c r="D158" s="3" t="n">
        <x:v>37</x:v>
      </x:c>
      <x:c r="E158" s="3" t="n">
        <x:v>5</x:v>
      </x:c>
      <x:c r="F158" s="3" t="n">
        <x:v>4594</x:v>
      </x:c>
      <x:c r="G158" s="3" t="n">
        <x:v>4610</x:v>
      </x:c>
      <x:c r="H158" s="3" t="n">
        <x:v>4800</x:v>
      </x:c>
      <x:c r="I158" s="3" t="n">
        <x:v>4610</x:v>
      </x:c>
      <x:c r="J158" s="3" t="n">
        <x:v>4548</x:v>
      </x:c>
      <x:c r="K158" s="3"/>
      <x:c r="L158" s="3"/>
      <x:c r="M158" s="3"/>
      <x:c r="N158" s="3"/>
    </x:row>
    <x:row r="159" ht="19" customHeight="1">
      <x:c r="A159" s="2"/>
      <x:c r="B159" s="2"/>
      <x:c r="C159" s="2" t="n">
        <x:v>2</x:v>
      </x:c>
      <x:c r="D159" s="3" t="n">
        <x:v>38</x:v>
      </x:c>
      <x:c r="E159" s="3" t="n">
        <x:v>5</x:v>
      </x:c>
      <x:c r="F159" s="3" t="n">
        <x:v>3688</x:v>
      </x:c>
      <x:c r="G159" s="3" t="n">
        <x:v>4594</x:v>
      </x:c>
      <x:c r="H159" s="3" t="n">
        <x:v>4610</x:v>
      </x:c>
      <x:c r="I159" s="3" t="n">
        <x:v>4800</x:v>
      </x:c>
      <x:c r="J159" s="3" t="n">
        <x:v>4610</x:v>
      </x:c>
      <x:c r="K159" s="3"/>
      <x:c r="L159" s="3"/>
      <x:c r="M159" s="3"/>
      <x:c r="N159" s="3"/>
    </x:row>
    <x:row r="160" ht="19" customHeight="1">
      <x:c r="A160" s="2"/>
      <x:c r="B160" s="2"/>
      <x:c r="C160" s="2" t="n">
        <x:v>2</x:v>
      </x:c>
      <x:c r="D160" s="3" t="n">
        <x:v>39</x:v>
      </x:c>
      <x:c r="E160" s="3" t="n">
        <x:v>5</x:v>
      </x:c>
      <x:c r="F160" s="3" t="n">
        <x:v>3255</x:v>
      </x:c>
      <x:c r="G160" s="3" t="n">
        <x:v>3688</x:v>
      </x:c>
      <x:c r="H160" s="3" t="n">
        <x:v>4594</x:v>
      </x:c>
      <x:c r="I160" s="3" t="n">
        <x:v>4610</x:v>
      </x:c>
      <x:c r="J160" s="3" t="n">
        <x:v>4800</x:v>
      </x:c>
      <x:c r="K160" s="3"/>
      <x:c r="L160" s="3"/>
      <x:c r="M160" s="3"/>
      <x:c r="N160" s="3"/>
    </x:row>
    <x:row r="161" ht="19" customHeight="1">
      <x:c r="A161" s="2"/>
      <x:c r="B161" s="2"/>
      <x:c r="C161" s="2" t="n">
        <x:v>2</x:v>
      </x:c>
      <x:c r="D161" s="3" t="n">
        <x:v>40</x:v>
      </x:c>
      <x:c r="E161" s="3" t="n">
        <x:v>5</x:v>
      </x:c>
      <x:c r="F161" s="3" t="n">
        <x:v>2521</x:v>
      </x:c>
      <x:c r="G161" s="3" t="n">
        <x:v>3255</x:v>
      </x:c>
      <x:c r="H161" s="3" t="n">
        <x:v>3688</x:v>
      </x:c>
      <x:c r="I161" s="3" t="n">
        <x:v>4594</x:v>
      </x:c>
      <x:c r="J161" s="3" t="n">
        <x:v>4610</x:v>
      </x:c>
      <x:c r="K161" s="3"/>
      <x:c r="L161" s="3"/>
      <x:c r="M161" s="3"/>
      <x:c r="N161" s="3"/>
    </x:row>
    <x:row r="162" ht="19" customHeight="1">
      <x:c r="A162" s="2"/>
      <x:c r="B162" s="2"/>
      <x:c r="C162" s="2" t="n">
        <x:v>2</x:v>
      </x:c>
      <x:c r="D162" s="3" t="n">
        <x:v>41</x:v>
      </x:c>
      <x:c r="E162" s="3" t="n">
        <x:v>5</x:v>
      </x:c>
      <x:c r="F162" s="3" t="n">
        <x:v>2063</x:v>
      </x:c>
      <x:c r="G162" s="3" t="n">
        <x:v>2521</x:v>
      </x:c>
      <x:c r="H162" s="3" t="n">
        <x:v>3255</x:v>
      </x:c>
      <x:c r="I162" s="3" t="n">
        <x:v>3688</x:v>
      </x:c>
      <x:c r="J162" s="3" t="n">
        <x:v>4594</x:v>
      </x:c>
      <x:c r="K162" s="3"/>
      <x:c r="L162" s="3"/>
      <x:c r="M162" s="3"/>
      <x:c r="N162" s="3"/>
    </x:row>
    <x:row r="163" ht="19" customHeight="1">
      <x:c r="A163" s="2"/>
      <x:c r="B163" s="2"/>
      <x:c r="C163" s="2" t="n">
        <x:v>2</x:v>
      </x:c>
      <x:c r="D163" s="3" t="n">
        <x:v>42</x:v>
      </x:c>
      <x:c r="E163" s="3" t="n">
        <x:v>5</x:v>
      </x:c>
      <x:c r="F163" s="3" t="n">
        <x:v>1746</x:v>
      </x:c>
      <x:c r="G163" s="3" t="n">
        <x:v>2063</x:v>
      </x:c>
      <x:c r="H163" s="3" t="n">
        <x:v>2521</x:v>
      </x:c>
      <x:c r="I163" s="3" t="n">
        <x:v>3255</x:v>
      </x:c>
      <x:c r="J163" s="3" t="n">
        <x:v>3688</x:v>
      </x:c>
      <x:c r="K163" s="3"/>
      <x:c r="L163" s="3"/>
      <x:c r="M163" s="3"/>
      <x:c r="N163" s="3"/>
    </x:row>
    <x:row r="164" ht="19" customHeight="1">
      <x:c r="A164" s="2"/>
      <x:c r="B164" s="2"/>
      <x:c r="C164" s="2" t="n">
        <x:v>2</x:v>
      </x:c>
      <x:c r="D164" s="3" t="n">
        <x:v>43</x:v>
      </x:c>
      <x:c r="E164" s="3" t="n">
        <x:v>5</x:v>
      </x:c>
      <x:c r="F164" s="3" t="n">
        <x:v>1960</x:v>
      </x:c>
      <x:c r="G164" s="3" t="n">
        <x:v>1746</x:v>
      </x:c>
      <x:c r="H164" s="3" t="n">
        <x:v>2063</x:v>
      </x:c>
      <x:c r="I164" s="3" t="n">
        <x:v>2521</x:v>
      </x:c>
      <x:c r="J164" s="3" t="n">
        <x:v>3255</x:v>
      </x:c>
      <x:c r="K164" s="3"/>
      <x:c r="L164" s="3"/>
      <x:c r="M164" s="3"/>
      <x:c r="N164" s="3"/>
    </x:row>
    <x:row r="165" ht="19" customHeight="1">
      <x:c r="A165" s="2"/>
      <x:c r="B165" s="2"/>
      <x:c r="C165" s="2" t="n">
        <x:v>2</x:v>
      </x:c>
      <x:c r="D165" s="3" t="n">
        <x:v>44</x:v>
      </x:c>
      <x:c r="E165" s="3" t="n">
        <x:v>5</x:v>
      </x:c>
      <x:c r="F165" s="3" t="n">
        <x:v>2845</x:v>
      </x:c>
      <x:c r="G165" s="3" t="n">
        <x:v>1960</x:v>
      </x:c>
      <x:c r="H165" s="3" t="n">
        <x:v>1746</x:v>
      </x:c>
      <x:c r="I165" s="3" t="n">
        <x:v>2063</x:v>
      </x:c>
      <x:c r="J165" s="3" t="n">
        <x:v>2521</x:v>
      </x:c>
      <x:c r="K165" s="3"/>
      <x:c r="L165" s="3"/>
      <x:c r="M165" s="3"/>
      <x:c r="N165" s="3"/>
    </x:row>
    <x:row r="166" ht="19" customHeight="1">
      <x:c r="A166" s="2"/>
      <x:c r="B166" s="2"/>
      <x:c r="C166" s="2" t="n">
        <x:v>2</x:v>
      </x:c>
      <x:c r="D166" s="3" t="n">
        <x:v>45</x:v>
      </x:c>
      <x:c r="E166" s="3" t="n">
        <x:v>5</x:v>
      </x:c>
      <x:c r="F166" s="3" t="n">
        <x:v>3474</x:v>
      </x:c>
      <x:c r="G166" s="3" t="n">
        <x:v>2845</x:v>
      </x:c>
      <x:c r="H166" s="3" t="n">
        <x:v>1960</x:v>
      </x:c>
      <x:c r="I166" s="3" t="n">
        <x:v>1746</x:v>
      </x:c>
      <x:c r="J166" s="3" t="n">
        <x:v>2063</x:v>
      </x:c>
      <x:c r="K166" s="3"/>
      <x:c r="L166" s="3"/>
      <x:c r="M166" s="3"/>
      <x:c r="N166" s="3"/>
    </x:row>
    <x:row r="167" ht="19" customHeight="1">
      <x:c r="A167" s="2"/>
      <x:c r="B167" s="2"/>
      <x:c r="C167" s="2" t="n">
        <x:v>3</x:v>
      </x:c>
      <x:c r="D167" s="3" t="n">
        <x:v>0</x:v>
      </x:c>
      <x:c r="E167" s="3" t="n">
        <x:v>0</x:v>
      </x:c>
      <x:c r="F167" s="3" t="n">
        <x:v>11983.4</x:v>
      </x:c>
      <x:c r="G167" s="3" t="n">
        <x:v>12455.7</x:v>
      </x:c>
      <x:c r="H167" s="3" t="n">
        <x:v>13090.5</x:v>
      </x:c>
      <x:c r="I167" s="3" t="n">
        <x:v>13090.5</x:v>
      </x:c>
      <x:c r="J167" s="3" t="n">
        <x:v>13090.5</x:v>
      </x:c>
      <x:c r="K167" s="3"/>
      <x:c r="L167" s="3"/>
      <x:c r="M167" s="3"/>
      <x:c r="N167" s="3"/>
    </x:row>
    <x:row r="168" ht="19" customHeight="1">
      <x:c r="A168" s="2"/>
      <x:c r="B168" s="2"/>
      <x:c r="C168" s="2" t="n">
        <x:v>3</x:v>
      </x:c>
      <x:c r="D168" s="3" t="n">
        <x:v>1</x:v>
      </x:c>
      <x:c r="E168" s="3" t="n">
        <x:v>1</x:v>
      </x:c>
      <x:c r="F168" s="3" t="n">
        <x:v>10541.7</x:v>
      </x:c>
      <x:c r="G168" s="3" t="n">
        <x:v>11983.4</x:v>
      </x:c>
      <x:c r="H168" s="3" t="n">
        <x:v>12455.7</x:v>
      </x:c>
      <x:c r="I168" s="3" t="n">
        <x:v>13090.5</x:v>
      </x:c>
      <x:c r="J168" s="3" t="n">
        <x:v>13090.5</x:v>
      </x:c>
      <x:c r="K168" s="3"/>
      <x:c r="L168" s="3"/>
      <x:c r="M168" s="3"/>
      <x:c r="N168" s="3"/>
    </x:row>
    <x:row r="169" ht="19" customHeight="1">
      <x:c r="A169" s="2"/>
      <x:c r="B169" s="2"/>
      <x:c r="C169" s="2" t="n">
        <x:v>3</x:v>
      </x:c>
      <x:c r="D169" s="3" t="n">
        <x:v>2</x:v>
      </x:c>
      <x:c r="E169" s="3" t="n">
        <x:v>1</x:v>
      </x:c>
      <x:c r="F169" s="3" t="n">
        <x:v>11220.1</x:v>
      </x:c>
      <x:c r="G169" s="3" t="n">
        <x:v>10541.7</x:v>
      </x:c>
      <x:c r="H169" s="3" t="n">
        <x:v>11983.4</x:v>
      </x:c>
      <x:c r="I169" s="3" t="n">
        <x:v>12455.7</x:v>
      </x:c>
      <x:c r="J169" s="3" t="n">
        <x:v>13090.5</x:v>
      </x:c>
      <x:c r="K169" s="3"/>
      <x:c r="L169" s="3"/>
      <x:c r="M169" s="3"/>
      <x:c r="N169" s="3"/>
    </x:row>
    <x:row r="170" ht="19" customHeight="1">
      <x:c r="A170" s="2"/>
      <x:c r="B170" s="2"/>
      <x:c r="C170" s="2" t="n">
        <x:v>3</x:v>
      </x:c>
      <x:c r="D170" s="3" t="n">
        <x:v>3</x:v>
      </x:c>
      <x:c r="E170" s="3" t="n">
        <x:v>1</x:v>
      </x:c>
      <x:c r="F170" s="3" t="n">
        <x:v>10721.2</x:v>
      </x:c>
      <x:c r="G170" s="3" t="n">
        <x:v>11220.1</x:v>
      </x:c>
      <x:c r="H170" s="3" t="n">
        <x:v>10541.7</x:v>
      </x:c>
      <x:c r="I170" s="3" t="n">
        <x:v>11983.4</x:v>
      </x:c>
      <x:c r="J170" s="3" t="n">
        <x:v>12455.7</x:v>
      </x:c>
      <x:c r="K170" s="3"/>
      <x:c r="L170" s="3"/>
      <x:c r="M170" s="3"/>
      <x:c r="N170" s="3"/>
    </x:row>
    <x:row r="171" ht="19" customHeight="1">
      <x:c r="A171" s="2"/>
      <x:c r="B171" s="2"/>
      <x:c r="C171" s="2" t="n">
        <x:v>3</x:v>
      </x:c>
      <x:c r="D171" s="3" t="n">
        <x:v>4</x:v>
      </x:c>
      <x:c r="E171" s="3" t="n">
        <x:v>2</x:v>
      </x:c>
      <x:c r="F171" s="3" t="n">
        <x:v>11910.5</x:v>
      </x:c>
      <x:c r="G171" s="3" t="n">
        <x:v>10721.2</x:v>
      </x:c>
      <x:c r="H171" s="3" t="n">
        <x:v>11220.1</x:v>
      </x:c>
      <x:c r="I171" s="3" t="n">
        <x:v>10541.7</x:v>
      </x:c>
      <x:c r="J171" s="3" t="n">
        <x:v>11983.4</x:v>
      </x:c>
      <x:c r="K171" s="3"/>
      <x:c r="L171" s="3"/>
      <x:c r="M171" s="3"/>
      <x:c r="N171" s="3"/>
    </x:row>
    <x:row r="172" ht="19" customHeight="1">
      <x:c r="A172" s="2"/>
      <x:c r="B172" s="2"/>
      <x:c r="C172" s="2" t="n">
        <x:v>3</x:v>
      </x:c>
      <x:c r="D172" s="3" t="n">
        <x:v>5</x:v>
      </x:c>
      <x:c r="E172" s="3" t="n">
        <x:v>2</x:v>
      </x:c>
      <x:c r="F172" s="3" t="n">
        <x:v>11609.2</x:v>
      </x:c>
      <x:c r="G172" s="3" t="n">
        <x:v>11910.5</x:v>
      </x:c>
      <x:c r="H172" s="3" t="n">
        <x:v>10721.2</x:v>
      </x:c>
      <x:c r="I172" s="3" t="n">
        <x:v>11220.1</x:v>
      </x:c>
      <x:c r="J172" s="3" t="n">
        <x:v>10541.7</x:v>
      </x:c>
      <x:c r="K172" s="3"/>
      <x:c r="L172" s="3"/>
      <x:c r="M172" s="3"/>
      <x:c r="N172" s="3"/>
    </x:row>
    <x:row r="173" ht="19" customHeight="1">
      <x:c r="A173" s="2"/>
      <x:c r="B173" s="2"/>
      <x:c r="C173" s="2" t="n">
        <x:v>3</x:v>
      </x:c>
      <x:c r="D173" s="3" t="n">
        <x:v>6</x:v>
      </x:c>
      <x:c r="E173" s="3" t="n">
        <x:v>2</x:v>
      </x:c>
      <x:c r="F173" s="3" t="n">
        <x:v>10738</x:v>
      </x:c>
      <x:c r="G173" s="3" t="n">
        <x:v>11609.2</x:v>
      </x:c>
      <x:c r="H173" s="3" t="n">
        <x:v>11910.5</x:v>
      </x:c>
      <x:c r="I173" s="3" t="n">
        <x:v>10721.2</x:v>
      </x:c>
      <x:c r="J173" s="3" t="n">
        <x:v>11220.1</x:v>
      </x:c>
      <x:c r="K173" s="3"/>
      <x:c r="L173" s="3"/>
      <x:c r="M173" s="3"/>
      <x:c r="N173" s="3"/>
    </x:row>
    <x:row r="174" ht="19" customHeight="1">
      <x:c r="A174" s="2"/>
      <x:c r="B174" s="2"/>
      <x:c r="C174" s="2" t="n">
        <x:v>3</x:v>
      </x:c>
      <x:c r="D174" s="3" t="n">
        <x:v>7</x:v>
      </x:c>
      <x:c r="E174" s="3" t="n">
        <x:v>3</x:v>
      </x:c>
      <x:c r="F174" s="3" t="n">
        <x:v>10296</x:v>
      </x:c>
      <x:c r="G174" s="3" t="n">
        <x:v>10738</x:v>
      </x:c>
      <x:c r="H174" s="3" t="n">
        <x:v>11609.2</x:v>
      </x:c>
      <x:c r="I174" s="3" t="n">
        <x:v>11910.5</x:v>
      </x:c>
      <x:c r="J174" s="3" t="n">
        <x:v>10721.2</x:v>
      </x:c>
      <x:c r="K174" s="3"/>
      <x:c r="L174" s="3"/>
      <x:c r="M174" s="3"/>
      <x:c r="N174" s="3"/>
    </x:row>
    <x:row r="175" ht="19" customHeight="1">
      <x:c r="A175" s="2"/>
      <x:c r="B175" s="2"/>
      <x:c r="C175" s="2" t="n">
        <x:v>3</x:v>
      </x:c>
      <x:c r="D175" s="3" t="n">
        <x:v>8</x:v>
      </x:c>
      <x:c r="E175" s="3" t="n">
        <x:v>3</x:v>
      </x:c>
      <x:c r="F175" s="3" t="n">
        <x:v>9578.4</x:v>
      </x:c>
      <x:c r="G175" s="3" t="n">
        <x:v>10296</x:v>
      </x:c>
      <x:c r="H175" s="3" t="n">
        <x:v>10738</x:v>
      </x:c>
      <x:c r="I175" s="3" t="n">
        <x:v>11609.2</x:v>
      </x:c>
      <x:c r="J175" s="3" t="n">
        <x:v>11910.5</x:v>
      </x:c>
      <x:c r="K175" s="3"/>
      <x:c r="L175" s="3"/>
      <x:c r="M175" s="3"/>
      <x:c r="N175" s="3"/>
    </x:row>
    <x:row r="176" ht="19" customHeight="1">
      <x:c r="A176" s="2"/>
      <x:c r="B176" s="2"/>
      <x:c r="C176" s="2" t="n">
        <x:v>3</x:v>
      </x:c>
      <x:c r="D176" s="3" t="n">
        <x:v>9</x:v>
      </x:c>
      <x:c r="E176" s="3" t="n">
        <x:v>3</x:v>
      </x:c>
      <x:c r="F176" s="3" t="n">
        <x:v>8483.8</x:v>
      </x:c>
      <x:c r="G176" s="3" t="n">
        <x:v>9578.4</x:v>
      </x:c>
      <x:c r="H176" s="3" t="n">
        <x:v>10296</x:v>
      </x:c>
      <x:c r="I176" s="3" t="n">
        <x:v>10738</x:v>
      </x:c>
      <x:c r="J176" s="3" t="n">
        <x:v>11609.2</x:v>
      </x:c>
      <x:c r="K176" s="3"/>
      <x:c r="L176" s="3"/>
      <x:c r="M176" s="3"/>
      <x:c r="N176" s="3"/>
    </x:row>
    <x:row r="177" ht="19" customHeight="1">
      <x:c r="A177" s="2"/>
      <x:c r="B177" s="2"/>
      <x:c r="C177" s="2" t="n">
        <x:v>3</x:v>
      </x:c>
      <x:c r="D177" s="3" t="n">
        <x:v>10</x:v>
      </x:c>
      <x:c r="E177" s="3" t="n">
        <x:v>4</x:v>
      </x:c>
      <x:c r="F177" s="3" t="n">
        <x:v>7692.6</x:v>
      </x:c>
      <x:c r="G177" s="3" t="n">
        <x:v>8483.8</x:v>
      </x:c>
      <x:c r="H177" s="3" t="n">
        <x:v>9578.4</x:v>
      </x:c>
      <x:c r="I177" s="3" t="n">
        <x:v>10296</x:v>
      </x:c>
      <x:c r="J177" s="3" t="n">
        <x:v>10738</x:v>
      </x:c>
      <x:c r="K177" s="3"/>
      <x:c r="L177" s="3"/>
      <x:c r="M177" s="3"/>
      <x:c r="N177" s="3"/>
    </x:row>
    <x:row r="178" ht="19" customHeight="1">
      <x:c r="A178" s="2"/>
      <x:c r="B178" s="2"/>
      <x:c r="C178" s="2" t="n">
        <x:v>3</x:v>
      </x:c>
      <x:c r="D178" s="3" t="n">
        <x:v>11</x:v>
      </x:c>
      <x:c r="E178" s="3" t="n">
        <x:v>4</x:v>
      </x:c>
      <x:c r="F178" s="3" t="n">
        <x:v>6974.8</x:v>
      </x:c>
      <x:c r="G178" s="3" t="n">
        <x:v>7692.6</x:v>
      </x:c>
      <x:c r="H178" s="3" t="n">
        <x:v>8483.8</x:v>
      </x:c>
      <x:c r="I178" s="3" t="n">
        <x:v>9578.4</x:v>
      </x:c>
      <x:c r="J178" s="3" t="n">
        <x:v>10296</x:v>
      </x:c>
      <x:c r="K178" s="3"/>
      <x:c r="L178" s="3"/>
      <x:c r="M178" s="3"/>
      <x:c r="N178" s="3"/>
    </x:row>
    <x:row r="179" ht="19" customHeight="1">
      <x:c r="A179" s="2"/>
      <x:c r="B179" s="2"/>
      <x:c r="C179" s="2" t="n">
        <x:v>3</x:v>
      </x:c>
      <x:c r="D179" s="3" t="n">
        <x:v>12</x:v>
      </x:c>
      <x:c r="E179" s="3" t="n">
        <x:v>4</x:v>
      </x:c>
      <x:c r="F179" s="3" t="n">
        <x:v>6449</x:v>
      </x:c>
      <x:c r="G179" s="3" t="n">
        <x:v>6974.8</x:v>
      </x:c>
      <x:c r="H179" s="3" t="n">
        <x:v>7692.6</x:v>
      </x:c>
      <x:c r="I179" s="3" t="n">
        <x:v>8483.8</x:v>
      </x:c>
      <x:c r="J179" s="3" t="n">
        <x:v>9578.4</x:v>
      </x:c>
      <x:c r="K179" s="3"/>
      <x:c r="L179" s="3"/>
      <x:c r="M179" s="3"/>
      <x:c r="N179" s="3"/>
    </x:row>
    <x:row r="180" ht="19" customHeight="1">
      <x:c r="A180" s="2"/>
      <x:c r="B180" s="2"/>
      <x:c r="C180" s="2" t="n">
        <x:v>3</x:v>
      </x:c>
      <x:c r="D180" s="3" t="n">
        <x:v>13</x:v>
      </x:c>
      <x:c r="E180" s="3" t="n">
        <x:v>5</x:v>
      </x:c>
      <x:c r="F180" s="3" t="n">
        <x:v>5758</x:v>
      </x:c>
      <x:c r="G180" s="3" t="n">
        <x:v>6449</x:v>
      </x:c>
      <x:c r="H180" s="3" t="n">
        <x:v>6974.8</x:v>
      </x:c>
      <x:c r="I180" s="3" t="n">
        <x:v>7692.6</x:v>
      </x:c>
      <x:c r="J180" s="3" t="n">
        <x:v>8483.8</x:v>
      </x:c>
      <x:c r="K180" s="3"/>
      <x:c r="L180" s="3"/>
      <x:c r="M180" s="3"/>
      <x:c r="N180" s="3"/>
    </x:row>
    <x:row r="181" ht="19" customHeight="1">
      <x:c r="A181" s="2"/>
      <x:c r="B181" s="2"/>
      <x:c r="C181" s="2" t="n">
        <x:v>3</x:v>
      </x:c>
      <x:c r="D181" s="3" t="n">
        <x:v>14</x:v>
      </x:c>
      <x:c r="E181" s="3" t="n">
        <x:v>5</x:v>
      </x:c>
      <x:c r="F181" s="3" t="n">
        <x:v>4834</x:v>
      </x:c>
      <x:c r="G181" s="3" t="n">
        <x:v>5758</x:v>
      </x:c>
      <x:c r="H181" s="3" t="n">
        <x:v>6449</x:v>
      </x:c>
      <x:c r="I181" s="3" t="n">
        <x:v>6974.8</x:v>
      </x:c>
      <x:c r="J181" s="3" t="n">
        <x:v>7692.6</x:v>
      </x:c>
      <x:c r="K181" s="3"/>
      <x:c r="L181" s="3"/>
      <x:c r="M181" s="3"/>
      <x:c r="N181" s="3"/>
    </x:row>
    <x:row r="182" ht="19" customHeight="1">
      <x:c r="A182" s="2"/>
      <x:c r="B182" s="2"/>
      <x:c r="C182" s="2" t="n">
        <x:v>3</x:v>
      </x:c>
      <x:c r="D182" s="3" t="n">
        <x:v>15</x:v>
      </x:c>
      <x:c r="E182" s="3" t="n">
        <x:v>5</x:v>
      </x:c>
      <x:c r="F182" s="3" t="n">
        <x:v>6246</x:v>
      </x:c>
      <x:c r="G182" s="3" t="n">
        <x:v>4834</x:v>
      </x:c>
      <x:c r="H182" s="3" t="n">
        <x:v>5758</x:v>
      </x:c>
      <x:c r="I182" s="3" t="n">
        <x:v>6449</x:v>
      </x:c>
      <x:c r="J182" s="3" t="n">
        <x:v>6974.8</x:v>
      </x:c>
      <x:c r="K182" s="3"/>
      <x:c r="L182" s="3"/>
      <x:c r="M182" s="3"/>
      <x:c r="N182" s="3"/>
    </x:row>
    <x:row r="183" ht="19" customHeight="1">
      <x:c r="A183" s="2"/>
      <x:c r="B183" s="2"/>
      <x:c r="C183" s="2" t="n">
        <x:v>3</x:v>
      </x:c>
      <x:c r="D183" s="3" t="n">
        <x:v>16</x:v>
      </x:c>
      <x:c r="E183" s="3" t="n">
        <x:v>5</x:v>
      </x:c>
      <x:c r="F183" s="3" t="n">
        <x:v>8305</x:v>
      </x:c>
      <x:c r="G183" s="3" t="n">
        <x:v>6246</x:v>
      </x:c>
      <x:c r="H183" s="3" t="n">
        <x:v>4834</x:v>
      </x:c>
      <x:c r="I183" s="3" t="n">
        <x:v>5758</x:v>
      </x:c>
      <x:c r="J183" s="3" t="n">
        <x:v>6449</x:v>
      </x:c>
      <x:c r="K183" s="3"/>
      <x:c r="L183" s="3"/>
      <x:c r="M183" s="3"/>
      <x:c r="N183" s="3"/>
    </x:row>
    <x:row r="184" ht="19" customHeight="1">
      <x:c r="A184" s="2"/>
      <x:c r="B184" s="2"/>
      <x:c r="C184" s="2" t="n">
        <x:v>3</x:v>
      </x:c>
      <x:c r="D184" s="3" t="n">
        <x:v>17</x:v>
      </x:c>
      <x:c r="E184" s="3" t="n">
        <x:v>5</x:v>
      </x:c>
      <x:c r="F184" s="3" t="n">
        <x:v>8574</x:v>
      </x:c>
      <x:c r="G184" s="3" t="n">
        <x:v>8305</x:v>
      </x:c>
      <x:c r="H184" s="3" t="n">
        <x:v>6246</x:v>
      </x:c>
      <x:c r="I184" s="3" t="n">
        <x:v>4834</x:v>
      </x:c>
      <x:c r="J184" s="3" t="n">
        <x:v>5758</x:v>
      </x:c>
      <x:c r="K184" s="3"/>
      <x:c r="L184" s="3"/>
      <x:c r="M184" s="3"/>
      <x:c r="N184" s="3"/>
    </x:row>
    <x:row r="185" ht="19" customHeight="1">
      <x:c r="A185" s="2"/>
      <x:c r="B185" s="2"/>
      <x:c r="C185" s="2" t="n">
        <x:v>3</x:v>
      </x:c>
      <x:c r="D185" s="3" t="n">
        <x:v>18</x:v>
      </x:c>
      <x:c r="E185" s="3" t="n">
        <x:v>5</x:v>
      </x:c>
      <x:c r="F185" s="3" t="n">
        <x:v>9114</x:v>
      </x:c>
      <x:c r="G185" s="3" t="n">
        <x:v>8574</x:v>
      </x:c>
      <x:c r="H185" s="3" t="n">
        <x:v>8305</x:v>
      </x:c>
      <x:c r="I185" s="3" t="n">
        <x:v>6246</x:v>
      </x:c>
      <x:c r="J185" s="3" t="n">
        <x:v>4834</x:v>
      </x:c>
      <x:c r="K185" s="3"/>
      <x:c r="L185" s="3"/>
      <x:c r="M185" s="3"/>
      <x:c r="N185" s="3"/>
    </x:row>
    <x:row r="186" ht="19" customHeight="1">
      <x:c r="A186" s="2"/>
      <x:c r="B186" s="2"/>
      <x:c r="C186" s="2" t="n">
        <x:v>3</x:v>
      </x:c>
      <x:c r="D186" s="3" t="n">
        <x:v>19</x:v>
      </x:c>
      <x:c r="E186" s="3" t="n">
        <x:v>5</x:v>
      </x:c>
      <x:c r="F186" s="3" t="n">
        <x:v>9254</x:v>
      </x:c>
      <x:c r="G186" s="3" t="n">
        <x:v>9114</x:v>
      </x:c>
      <x:c r="H186" s="3" t="n">
        <x:v>8574</x:v>
      </x:c>
      <x:c r="I186" s="3" t="n">
        <x:v>8305</x:v>
      </x:c>
      <x:c r="J186" s="3" t="n">
        <x:v>6246</x:v>
      </x:c>
      <x:c r="K186" s="3"/>
      <x:c r="L186" s="3"/>
      <x:c r="M186" s="3"/>
      <x:c r="N186" s="3"/>
    </x:row>
    <x:row r="187" ht="19" customHeight="1">
      <x:c r="A187" s="2"/>
      <x:c r="B187" s="2"/>
      <x:c r="C187" s="2" t="n">
        <x:v>3</x:v>
      </x:c>
      <x:c r="D187" s="3" t="n">
        <x:v>20</x:v>
      </x:c>
      <x:c r="E187" s="3" t="n">
        <x:v>5</x:v>
      </x:c>
      <x:c r="F187" s="3" t="n">
        <x:v>8938</x:v>
      </x:c>
      <x:c r="G187" s="3" t="n">
        <x:v>9254</x:v>
      </x:c>
      <x:c r="H187" s="3" t="n">
        <x:v>9114</x:v>
      </x:c>
      <x:c r="I187" s="3" t="n">
        <x:v>8574</x:v>
      </x:c>
      <x:c r="J187" s="3" t="n">
        <x:v>8305</x:v>
      </x:c>
      <x:c r="K187" s="3"/>
      <x:c r="L187" s="3"/>
      <x:c r="M187" s="3"/>
      <x:c r="N187" s="3"/>
    </x:row>
    <x:row r="188" ht="19" customHeight="1">
      <x:c r="A188" s="2"/>
      <x:c r="B188" s="2"/>
      <x:c r="C188" s="2" t="n">
        <x:v>3</x:v>
      </x:c>
      <x:c r="D188" s="3" t="n">
        <x:v>21</x:v>
      </x:c>
      <x:c r="E188" s="3" t="n">
        <x:v>5</x:v>
      </x:c>
      <x:c r="F188" s="3" t="n">
        <x:v>8633</x:v>
      </x:c>
      <x:c r="G188" s="3" t="n">
        <x:v>8938</x:v>
      </x:c>
      <x:c r="H188" s="3" t="n">
        <x:v>9254</x:v>
      </x:c>
      <x:c r="I188" s="3" t="n">
        <x:v>9114</x:v>
      </x:c>
      <x:c r="J188" s="3" t="n">
        <x:v>8574</x:v>
      </x:c>
      <x:c r="K188" s="3"/>
      <x:c r="L188" s="3"/>
      <x:c r="M188" s="3"/>
      <x:c r="N188" s="3"/>
    </x:row>
    <x:row r="189" ht="19" customHeight="1">
      <x:c r="A189" s="2"/>
      <x:c r="B189" s="2"/>
      <x:c r="C189" s="2" t="n">
        <x:v>3</x:v>
      </x:c>
      <x:c r="D189" s="3" t="n">
        <x:v>22</x:v>
      </x:c>
      <x:c r="E189" s="3" t="n">
        <x:v>5</x:v>
      </x:c>
      <x:c r="F189" s="3" t="n">
        <x:v>8598</x:v>
      </x:c>
      <x:c r="G189" s="3" t="n">
        <x:v>8633</x:v>
      </x:c>
      <x:c r="H189" s="3" t="n">
        <x:v>8938</x:v>
      </x:c>
      <x:c r="I189" s="3" t="n">
        <x:v>9254</x:v>
      </x:c>
      <x:c r="J189" s="3" t="n">
        <x:v>9114</x:v>
      </x:c>
      <x:c r="K189" s="3"/>
      <x:c r="L189" s="3"/>
      <x:c r="M189" s="3"/>
      <x:c r="N189" s="3"/>
    </x:row>
    <x:row r="190" ht="19" customHeight="1">
      <x:c r="A190" s="2"/>
      <x:c r="B190" s="2"/>
      <x:c r="C190" s="2" t="n">
        <x:v>3</x:v>
      </x:c>
      <x:c r="D190" s="3" t="n">
        <x:v>23</x:v>
      </x:c>
      <x:c r="E190" s="3" t="n">
        <x:v>5</x:v>
      </x:c>
      <x:c r="F190" s="3" t="n">
        <x:v>8386</x:v>
      </x:c>
      <x:c r="G190" s="3" t="n">
        <x:v>8598</x:v>
      </x:c>
      <x:c r="H190" s="3" t="n">
        <x:v>8633</x:v>
      </x:c>
      <x:c r="I190" s="3" t="n">
        <x:v>8938</x:v>
      </x:c>
      <x:c r="J190" s="3" t="n">
        <x:v>9254</x:v>
      </x:c>
      <x:c r="K190" s="3"/>
      <x:c r="L190" s="3"/>
      <x:c r="M190" s="3"/>
      <x:c r="N190" s="3"/>
    </x:row>
    <x:row r="191" ht="19" customHeight="1">
      <x:c r="A191" s="2"/>
      <x:c r="B191" s="2"/>
      <x:c r="C191" s="2" t="n">
        <x:v>3</x:v>
      </x:c>
      <x:c r="D191" s="3" t="n">
        <x:v>24</x:v>
      </x:c>
      <x:c r="E191" s="3" t="n">
        <x:v>5</x:v>
      </x:c>
      <x:c r="F191" s="3" t="n">
        <x:v>8073</x:v>
      </x:c>
      <x:c r="G191" s="3" t="n">
        <x:v>8386</x:v>
      </x:c>
      <x:c r="H191" s="3" t="n">
        <x:v>8598</x:v>
      </x:c>
      <x:c r="I191" s="3" t="n">
        <x:v>8633</x:v>
      </x:c>
      <x:c r="J191" s="3" t="n">
        <x:v>8938</x:v>
      </x:c>
      <x:c r="K191" s="3"/>
      <x:c r="L191" s="3"/>
      <x:c r="M191" s="3"/>
      <x:c r="N191" s="3"/>
    </x:row>
    <x:row r="192" ht="19" customHeight="1">
      <x:c r="A192" s="2"/>
      <x:c r="B192" s="2"/>
      <x:c r="C192" s="2" t="n">
        <x:v>3</x:v>
      </x:c>
      <x:c r="D192" s="3" t="n">
        <x:v>25</x:v>
      </x:c>
      <x:c r="E192" s="3" t="n">
        <x:v>5</x:v>
      </x:c>
      <x:c r="F192" s="3" t="n">
        <x:v>7299</x:v>
      </x:c>
      <x:c r="G192" s="3" t="n">
        <x:v>8073</x:v>
      </x:c>
      <x:c r="H192" s="3" t="n">
        <x:v>8386</x:v>
      </x:c>
      <x:c r="I192" s="3" t="n">
        <x:v>8598</x:v>
      </x:c>
      <x:c r="J192" s="3" t="n">
        <x:v>8633</x:v>
      </x:c>
      <x:c r="K192" s="3"/>
      <x:c r="L192" s="3"/>
      <x:c r="M192" s="3"/>
      <x:c r="N192" s="3"/>
    </x:row>
    <x:row r="193" ht="19" customHeight="1">
      <x:c r="A193" s="2"/>
      <x:c r="B193" s="2"/>
      <x:c r="C193" s="2" t="n">
        <x:v>3</x:v>
      </x:c>
      <x:c r="D193" s="3" t="n">
        <x:v>26</x:v>
      </x:c>
      <x:c r="E193" s="3" t="n">
        <x:v>5</x:v>
      </x:c>
      <x:c r="F193" s="3" t="n">
        <x:v>6797</x:v>
      </x:c>
      <x:c r="G193" s="3" t="n">
        <x:v>7299</x:v>
      </x:c>
      <x:c r="H193" s="3" t="n">
        <x:v>8073</x:v>
      </x:c>
      <x:c r="I193" s="3" t="n">
        <x:v>8386</x:v>
      </x:c>
      <x:c r="J193" s="3" t="n">
        <x:v>8598</x:v>
      </x:c>
      <x:c r="K193" s="3"/>
      <x:c r="L193" s="3"/>
      <x:c r="M193" s="3"/>
      <x:c r="N193" s="3"/>
    </x:row>
    <x:row r="194" ht="19" customHeight="1">
      <x:c r="A194" s="2"/>
      <x:c r="B194" s="2"/>
      <x:c r="C194" s="2" t="n">
        <x:v>3</x:v>
      </x:c>
      <x:c r="D194" s="3" t="n">
        <x:v>27</x:v>
      </x:c>
      <x:c r="E194" s="3" t="n">
        <x:v>5</x:v>
      </x:c>
      <x:c r="F194" s="3" t="n">
        <x:v>6519</x:v>
      </x:c>
      <x:c r="G194" s="3" t="n">
        <x:v>6797</x:v>
      </x:c>
      <x:c r="H194" s="3" t="n">
        <x:v>7299</x:v>
      </x:c>
      <x:c r="I194" s="3" t="n">
        <x:v>8073</x:v>
      </x:c>
      <x:c r="J194" s="3" t="n">
        <x:v>8386</x:v>
      </x:c>
      <x:c r="K194" s="3"/>
      <x:c r="L194" s="3"/>
      <x:c r="M194" s="3"/>
      <x:c r="N194" s="3"/>
    </x:row>
    <x:row r="195" ht="19" customHeight="1">
      <x:c r="A195" s="2"/>
      <x:c r="B195" s="2"/>
      <x:c r="C195" s="2" t="n">
        <x:v>3</x:v>
      </x:c>
      <x:c r="D195" s="3" t="n">
        <x:v>28</x:v>
      </x:c>
      <x:c r="E195" s="3" t="n">
        <x:v>5</x:v>
      </x:c>
      <x:c r="F195" s="3" t="n">
        <x:v>6053</x:v>
      </x:c>
      <x:c r="G195" s="3" t="n">
        <x:v>6519</x:v>
      </x:c>
      <x:c r="H195" s="3" t="n">
        <x:v>6797</x:v>
      </x:c>
      <x:c r="I195" s="3" t="n">
        <x:v>7299</x:v>
      </x:c>
      <x:c r="J195" s="3" t="n">
        <x:v>8073</x:v>
      </x:c>
      <x:c r="K195" s="3"/>
      <x:c r="L195" s="3"/>
      <x:c r="M195" s="3"/>
      <x:c r="N195" s="3"/>
    </x:row>
    <x:row r="196" ht="19" customHeight="1">
      <x:c r="A196" s="2"/>
      <x:c r="B196" s="2"/>
      <x:c r="C196" s="2" t="n">
        <x:v>3</x:v>
      </x:c>
      <x:c r="D196" s="3" t="n">
        <x:v>29</x:v>
      </x:c>
      <x:c r="E196" s="3" t="n">
        <x:v>5</x:v>
      </x:c>
      <x:c r="F196" s="3" t="n">
        <x:v>6033</x:v>
      </x:c>
      <x:c r="G196" s="3" t="n">
        <x:v>6053</x:v>
      </x:c>
      <x:c r="H196" s="3" t="n">
        <x:v>6519</x:v>
      </x:c>
      <x:c r="I196" s="3" t="n">
        <x:v>6797</x:v>
      </x:c>
      <x:c r="J196" s="3" t="n">
        <x:v>7299</x:v>
      </x:c>
      <x:c r="K196" s="3"/>
      <x:c r="L196" s="3"/>
      <x:c r="M196" s="3"/>
      <x:c r="N196" s="3"/>
    </x:row>
    <x:row r="197" ht="19" customHeight="1">
      <x:c r="A197" s="2"/>
      <x:c r="B197" s="2"/>
      <x:c r="C197" s="2" t="n">
        <x:v>3</x:v>
      </x:c>
      <x:c r="D197" s="3" t="n">
        <x:v>30</x:v>
      </x:c>
      <x:c r="E197" s="3" t="n">
        <x:v>5</x:v>
      </x:c>
      <x:c r="F197" s="3" t="n">
        <x:v>5351</x:v>
      </x:c>
      <x:c r="G197" s="3" t="n">
        <x:v>6033</x:v>
      </x:c>
      <x:c r="H197" s="3" t="n">
        <x:v>6053</x:v>
      </x:c>
      <x:c r="I197" s="3" t="n">
        <x:v>6519</x:v>
      </x:c>
      <x:c r="J197" s="3" t="n">
        <x:v>6797</x:v>
      </x:c>
      <x:c r="K197" s="3"/>
      <x:c r="L197" s="3"/>
      <x:c r="M197" s="3"/>
      <x:c r="N197" s="3"/>
    </x:row>
    <x:row r="198" ht="19" customHeight="1">
      <x:c r="A198" s="2"/>
      <x:c r="B198" s="2"/>
      <x:c r="C198" s="2" t="n">
        <x:v>3</x:v>
      </x:c>
      <x:c r="D198" s="3" t="n">
        <x:v>31</x:v>
      </x:c>
      <x:c r="E198" s="3" t="n">
        <x:v>5</x:v>
      </x:c>
      <x:c r="F198" s="3" t="n">
        <x:v>4629</x:v>
      </x:c>
      <x:c r="G198" s="3" t="n">
        <x:v>5351</x:v>
      </x:c>
      <x:c r="H198" s="3" t="n">
        <x:v>6033</x:v>
      </x:c>
      <x:c r="I198" s="3" t="n">
        <x:v>6053</x:v>
      </x:c>
      <x:c r="J198" s="3" t="n">
        <x:v>6519</x:v>
      </x:c>
      <x:c r="K198" s="3"/>
      <x:c r="L198" s="3"/>
      <x:c r="M198" s="3"/>
      <x:c r="N198" s="3"/>
    </x:row>
    <x:row r="199" ht="19" customHeight="1">
      <x:c r="A199" s="2"/>
      <x:c r="B199" s="2"/>
      <x:c r="C199" s="2" t="n">
        <x:v>3</x:v>
      </x:c>
      <x:c r="D199" s="3" t="n">
        <x:v>32</x:v>
      </x:c>
      <x:c r="E199" s="3" t="n">
        <x:v>5</x:v>
      </x:c>
      <x:c r="F199" s="3" t="n">
        <x:v>4122</x:v>
      </x:c>
      <x:c r="G199" s="3" t="n">
        <x:v>4629</x:v>
      </x:c>
      <x:c r="H199" s="3" t="n">
        <x:v>5351</x:v>
      </x:c>
      <x:c r="I199" s="3" t="n">
        <x:v>6033</x:v>
      </x:c>
      <x:c r="J199" s="3" t="n">
        <x:v>6053</x:v>
      </x:c>
      <x:c r="K199" s="3"/>
      <x:c r="L199" s="3"/>
      <x:c r="M199" s="3"/>
      <x:c r="N199" s="3"/>
    </x:row>
    <x:row r="200" ht="19" customHeight="1">
      <x:c r="A200" s="2"/>
      <x:c r="B200" s="2"/>
      <x:c r="C200" s="2" t="n">
        <x:v>3</x:v>
      </x:c>
      <x:c r="D200" s="3" t="n">
        <x:v>33</x:v>
      </x:c>
      <x:c r="E200" s="3" t="n">
        <x:v>5</x:v>
      </x:c>
      <x:c r="F200" s="3" t="n">
        <x:v>4548</x:v>
      </x:c>
      <x:c r="G200" s="3" t="n">
        <x:v>4122</x:v>
      </x:c>
      <x:c r="H200" s="3" t="n">
        <x:v>4629</x:v>
      </x:c>
      <x:c r="I200" s="3" t="n">
        <x:v>5351</x:v>
      </x:c>
      <x:c r="J200" s="3" t="n">
        <x:v>6033</x:v>
      </x:c>
      <x:c r="K200" s="3"/>
      <x:c r="L200" s="3"/>
      <x:c r="M200" s="3"/>
      <x:c r="N200" s="3"/>
    </x:row>
    <x:row r="201" ht="19" customHeight="1">
      <x:c r="A201" s="2"/>
      <x:c r="B201" s="2"/>
      <x:c r="C201" s="2" t="n">
        <x:v>3</x:v>
      </x:c>
      <x:c r="D201" s="3" t="n">
        <x:v>34</x:v>
      </x:c>
      <x:c r="E201" s="3" t="n">
        <x:v>5</x:v>
      </x:c>
      <x:c r="F201" s="3" t="n">
        <x:v>4610</x:v>
      </x:c>
      <x:c r="G201" s="3" t="n">
        <x:v>4548</x:v>
      </x:c>
      <x:c r="H201" s="3" t="n">
        <x:v>4122</x:v>
      </x:c>
      <x:c r="I201" s="3" t="n">
        <x:v>4629</x:v>
      </x:c>
      <x:c r="J201" s="3" t="n">
        <x:v>5351</x:v>
      </x:c>
      <x:c r="K201" s="3"/>
      <x:c r="L201" s="3"/>
      <x:c r="M201" s="3"/>
      <x:c r="N201" s="3"/>
    </x:row>
    <x:row r="202" ht="19" customHeight="1">
      <x:c r="A202" s="2"/>
      <x:c r="B202" s="2"/>
      <x:c r="C202" s="2" t="n">
        <x:v>3</x:v>
      </x:c>
      <x:c r="D202" s="3" t="n">
        <x:v>35</x:v>
      </x:c>
      <x:c r="E202" s="3" t="n">
        <x:v>5</x:v>
      </x:c>
      <x:c r="F202" s="3" t="n">
        <x:v>4800</x:v>
      </x:c>
      <x:c r="G202" s="3" t="n">
        <x:v>4610</x:v>
      </x:c>
      <x:c r="H202" s="3" t="n">
        <x:v>4548</x:v>
      </x:c>
      <x:c r="I202" s="3" t="n">
        <x:v>4122</x:v>
      </x:c>
      <x:c r="J202" s="3" t="n">
        <x:v>4629</x:v>
      </x:c>
      <x:c r="K202" s="3"/>
      <x:c r="L202" s="3"/>
      <x:c r="M202" s="3"/>
      <x:c r="N202" s="3"/>
    </x:row>
    <x:row r="203" ht="19" customHeight="1">
      <x:c r="A203" s="2"/>
      <x:c r="B203" s="2"/>
      <x:c r="C203" s="2" t="n">
        <x:v>3</x:v>
      </x:c>
      <x:c r="D203" s="3" t="n">
        <x:v>36</x:v>
      </x:c>
      <x:c r="E203" s="3" t="n">
        <x:v>5</x:v>
      </x:c>
      <x:c r="F203" s="3" t="n">
        <x:v>4610</x:v>
      </x:c>
      <x:c r="G203" s="3" t="n">
        <x:v>4800</x:v>
      </x:c>
      <x:c r="H203" s="3" t="n">
        <x:v>4610</x:v>
      </x:c>
      <x:c r="I203" s="3" t="n">
        <x:v>4548</x:v>
      </x:c>
      <x:c r="J203" s="3" t="n">
        <x:v>4122</x:v>
      </x:c>
      <x:c r="K203" s="3"/>
      <x:c r="L203" s="3"/>
      <x:c r="M203" s="3"/>
      <x:c r="N203" s="3"/>
    </x:row>
    <x:row r="204" ht="19" customHeight="1">
      <x:c r="A204" s="2"/>
      <x:c r="B204" s="2"/>
      <x:c r="C204" s="2" t="n">
        <x:v>3</x:v>
      </x:c>
      <x:c r="D204" s="3" t="n">
        <x:v>37</x:v>
      </x:c>
      <x:c r="E204" s="3" t="n">
        <x:v>5</x:v>
      </x:c>
      <x:c r="F204" s="3" t="n">
        <x:v>4594</x:v>
      </x:c>
      <x:c r="G204" s="3" t="n">
        <x:v>4610</x:v>
      </x:c>
      <x:c r="H204" s="3" t="n">
        <x:v>4800</x:v>
      </x:c>
      <x:c r="I204" s="3" t="n">
        <x:v>4610</x:v>
      </x:c>
      <x:c r="J204" s="3" t="n">
        <x:v>4548</x:v>
      </x:c>
      <x:c r="K204" s="3"/>
      <x:c r="L204" s="3"/>
      <x:c r="M204" s="3"/>
      <x:c r="N204" s="3"/>
    </x:row>
    <x:row r="205" ht="19" customHeight="1">
      <x:c r="A205" s="2"/>
      <x:c r="B205" s="2"/>
      <x:c r="C205" s="2" t="n">
        <x:v>3</x:v>
      </x:c>
      <x:c r="D205" s="3" t="n">
        <x:v>38</x:v>
      </x:c>
      <x:c r="E205" s="3" t="n">
        <x:v>5</x:v>
      </x:c>
      <x:c r="F205" s="3" t="n">
        <x:v>3688</x:v>
      </x:c>
      <x:c r="G205" s="3" t="n">
        <x:v>4594</x:v>
      </x:c>
      <x:c r="H205" s="3" t="n">
        <x:v>4610</x:v>
      </x:c>
      <x:c r="I205" s="3" t="n">
        <x:v>4800</x:v>
      </x:c>
      <x:c r="J205" s="3" t="n">
        <x:v>4610</x:v>
      </x:c>
      <x:c r="K205" s="3"/>
      <x:c r="L205" s="3"/>
      <x:c r="M205" s="3"/>
      <x:c r="N205" s="3"/>
    </x:row>
    <x:row r="206" ht="19" customHeight="1">
      <x:c r="A206" s="2"/>
      <x:c r="B206" s="2"/>
      <x:c r="C206" s="2" t="n">
        <x:v>3</x:v>
      </x:c>
      <x:c r="D206" s="3" t="n">
        <x:v>39</x:v>
      </x:c>
      <x:c r="E206" s="3" t="n">
        <x:v>5</x:v>
      </x:c>
      <x:c r="F206" s="3" t="n">
        <x:v>3255</x:v>
      </x:c>
      <x:c r="G206" s="3" t="n">
        <x:v>3688</x:v>
      </x:c>
      <x:c r="H206" s="3" t="n">
        <x:v>4594</x:v>
      </x:c>
      <x:c r="I206" s="3" t="n">
        <x:v>4610</x:v>
      </x:c>
      <x:c r="J206" s="3" t="n">
        <x:v>4800</x:v>
      </x:c>
      <x:c r="K206" s="3"/>
      <x:c r="L206" s="3"/>
      <x:c r="M206" s="3"/>
      <x:c r="N206" s="3"/>
    </x:row>
    <x:row r="207" ht="19" customHeight="1">
      <x:c r="A207" s="2"/>
      <x:c r="B207" s="2"/>
      <x:c r="C207" s="2" t="n">
        <x:v>3</x:v>
      </x:c>
      <x:c r="D207" s="3" t="n">
        <x:v>40</x:v>
      </x:c>
      <x:c r="E207" s="3" t="n">
        <x:v>5</x:v>
      </x:c>
      <x:c r="F207" s="3" t="n">
        <x:v>2521</x:v>
      </x:c>
      <x:c r="G207" s="3" t="n">
        <x:v>3255</x:v>
      </x:c>
      <x:c r="H207" s="3" t="n">
        <x:v>3688</x:v>
      </x:c>
      <x:c r="I207" s="3" t="n">
        <x:v>4594</x:v>
      </x:c>
      <x:c r="J207" s="3" t="n">
        <x:v>4610</x:v>
      </x:c>
      <x:c r="K207" s="3"/>
      <x:c r="L207" s="3"/>
      <x:c r="M207" s="3"/>
      <x:c r="N207" s="3"/>
    </x:row>
    <x:row r="208" ht="19" customHeight="1">
      <x:c r="A208" s="2"/>
      <x:c r="B208" s="2"/>
      <x:c r="C208" s="2" t="n">
        <x:v>3</x:v>
      </x:c>
      <x:c r="D208" s="3" t="n">
        <x:v>41</x:v>
      </x:c>
      <x:c r="E208" s="3" t="n">
        <x:v>5</x:v>
      </x:c>
      <x:c r="F208" s="3" t="n">
        <x:v>2063</x:v>
      </x:c>
      <x:c r="G208" s="3" t="n">
        <x:v>2521</x:v>
      </x:c>
      <x:c r="H208" s="3" t="n">
        <x:v>3255</x:v>
      </x:c>
      <x:c r="I208" s="3" t="n">
        <x:v>3688</x:v>
      </x:c>
      <x:c r="J208" s="3" t="n">
        <x:v>4594</x:v>
      </x:c>
      <x:c r="K208" s="3"/>
      <x:c r="L208" s="3"/>
      <x:c r="M208" s="3"/>
      <x:c r="N208" s="3"/>
    </x:row>
    <x:row r="209" ht="19" customHeight="1">
      <x:c r="A209" s="2"/>
      <x:c r="B209" s="2"/>
      <x:c r="C209" s="2" t="n">
        <x:v>3</x:v>
      </x:c>
      <x:c r="D209" s="3" t="n">
        <x:v>42</x:v>
      </x:c>
      <x:c r="E209" s="3" t="n">
        <x:v>5</x:v>
      </x:c>
      <x:c r="F209" s="3" t="n">
        <x:v>1746</x:v>
      </x:c>
      <x:c r="G209" s="3" t="n">
        <x:v>2063</x:v>
      </x:c>
      <x:c r="H209" s="3" t="n">
        <x:v>2521</x:v>
      </x:c>
      <x:c r="I209" s="3" t="n">
        <x:v>3255</x:v>
      </x:c>
      <x:c r="J209" s="3" t="n">
        <x:v>3688</x:v>
      </x:c>
      <x:c r="K209" s="3"/>
      <x:c r="L209" s="3"/>
      <x:c r="M209" s="3"/>
      <x:c r="N209" s="3"/>
    </x:row>
    <x:row r="210" ht="19" customHeight="1">
      <x:c r="A210" s="2"/>
      <x:c r="B210" s="2"/>
      <x:c r="C210" s="2" t="n">
        <x:v>3</x:v>
      </x:c>
      <x:c r="D210" s="3" t="n">
        <x:v>43</x:v>
      </x:c>
      <x:c r="E210" s="3" t="n">
        <x:v>5</x:v>
      </x:c>
      <x:c r="F210" s="3" t="n">
        <x:v>1960</x:v>
      </x:c>
      <x:c r="G210" s="3" t="n">
        <x:v>1746</x:v>
      </x:c>
      <x:c r="H210" s="3" t="n">
        <x:v>2063</x:v>
      </x:c>
      <x:c r="I210" s="3" t="n">
        <x:v>2521</x:v>
      </x:c>
      <x:c r="J210" s="3" t="n">
        <x:v>3255</x:v>
      </x:c>
      <x:c r="K210" s="3"/>
      <x:c r="L210" s="3"/>
      <x:c r="M210" s="3"/>
      <x:c r="N210" s="3"/>
    </x:row>
    <x:row r="211" ht="19" customHeight="1">
      <x:c r="A211" s="2"/>
      <x:c r="B211" s="2"/>
      <x:c r="C211" s="2" t="n">
        <x:v>3</x:v>
      </x:c>
      <x:c r="D211" s="3" t="n">
        <x:v>44</x:v>
      </x:c>
      <x:c r="E211" s="3" t="n">
        <x:v>5</x:v>
      </x:c>
      <x:c r="F211" s="3" t="n">
        <x:v>2845</x:v>
      </x:c>
      <x:c r="G211" s="3" t="n">
        <x:v>1960</x:v>
      </x:c>
      <x:c r="H211" s="3" t="n">
        <x:v>1746</x:v>
      </x:c>
      <x:c r="I211" s="3" t="n">
        <x:v>2063</x:v>
      </x:c>
      <x:c r="J211" s="3" t="n">
        <x:v>2521</x:v>
      </x:c>
      <x:c r="K211" s="3"/>
      <x:c r="L211" s="3"/>
      <x:c r="M211" s="3"/>
      <x:c r="N211" s="3"/>
    </x:row>
    <x:row r="212" ht="19" customHeight="1">
      <x:c r="A212" s="2"/>
      <x:c r="B212" s="2"/>
      <x:c r="C212" s="2" t="n">
        <x:v>3</x:v>
      </x:c>
      <x:c r="D212" s="3" t="n">
        <x:v>45</x:v>
      </x:c>
      <x:c r="E212" s="3" t="n">
        <x:v>5</x:v>
      </x:c>
      <x:c r="F212" s="3" t="n">
        <x:v>3474</x:v>
      </x:c>
      <x:c r="G212" s="3" t="n">
        <x:v>2845</x:v>
      </x:c>
      <x:c r="H212" s="3" t="n">
        <x:v>1960</x:v>
      </x:c>
      <x:c r="I212" s="3" t="n">
        <x:v>1746</x:v>
      </x:c>
      <x:c r="J212" s="3" t="n">
        <x:v>2063</x:v>
      </x:c>
      <x:c r="K212" s="3"/>
      <x:c r="L212" s="3"/>
      <x:c r="M212" s="3"/>
      <x:c r="N212" s="3"/>
    </x:row>
    <x:row r="213" ht="19" customHeight="1">
      <x:c r="A213" s="2"/>
      <x:c r="B213" s="2"/>
      <x:c r="C213" s="2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</x:row>
    <x:row r="214" ht="19" customHeight="1">
      <x:c r="A214" s="2"/>
      <x:c r="B214" s="2"/>
      <x:c r="C214" s="2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</x:row>
    <x:row r="215" ht="19" customHeight="1">
      <x:c r="A215" s="2"/>
      <x:c r="B215" s="2"/>
      <x:c r="C215" s="2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</x:row>
    <x:row r="216" ht="30" customHeight="1">
      <x:c r="A216" s="2"/>
      <x:c r="B216" s="2"/>
      <x:c r="C216" s="8" t="str">
        <x:v>Age bucket</x:v>
      </x:c>
      <x:c r="D216" s="11" t="str">
        <x:v>Representative age</x:v>
      </x:c>
      <x:c r="E216" s="11" t="str">
        <x:v>CCC target</x:v>
      </x:c>
      <x:c r="F216" s="11" t="str">
        <x:v>Fitted log repair median</x:v>
      </x:c>
      <x:c r="G216" s="11" t="str">
        <x:v>Calibration result</x:v>
      </x:c>
      <x:c r="H216" s="3"/>
      <x:c r="I216" s="3"/>
      <x:c r="J216" s="3"/>
      <x:c r="K216" s="3"/>
      <x:c r="L216" s="3"/>
      <x:c r="M216" s="3"/>
      <x:c r="N216" s="3"/>
    </x:row>
    <x:row r="217" ht="19" customHeight="1">
      <x:c r="A217" s="2"/>
      <x:c r="B217" s="2"/>
      <x:c r="C217" s="2" t="str">
        <x:v>current_year_or_newer</x:v>
      </x:c>
      <x:c r="D217" s="3" t="n">
        <x:v>0</x:v>
      </x:c>
      <x:c r="E217" s="12" t="n">
        <x:v>0.096</x:v>
      </x:c>
      <x:c r="F217" s="3" t="n">
        <x:v>8.024343827519704</x:v>
      </x:c>
      <x:c r="G217" s="12" t="n">
        <x:v>0.09599999999999999</x:v>
      </x:c>
      <x:c r="H217" s="3"/>
      <x:c r="I217" s="3"/>
      <x:c r="J217" s="3"/>
      <x:c r="K217" s="3"/>
      <x:c r="L217" s="3"/>
      <x:c r="M217" s="3"/>
      <x:c r="N217" s="3"/>
    </x:row>
    <x:row r="218" ht="19" customHeight="1">
      <x:c r="A218" s="2"/>
      <x:c r="B218" s="2"/>
      <x:c r="C218" s="2" t="str">
        <x:v>1-3</x:v>
      </x:c>
      <x:c r="D218" s="3" t="n">
        <x:v>2</x:v>
      </x:c>
      <x:c r="E218" s="12" t="n">
        <x:v>0.107</x:v>
      </x:c>
      <x:c r="F218" s="3" t="n">
        <x:v>7.909903025975467</x:v>
      </x:c>
      <x:c r="G218" s="12" t="n">
        <x:v>0.10700000000000008</x:v>
      </x:c>
      <x:c r="H218" s="3"/>
      <x:c r="I218" s="3"/>
      <x:c r="J218" s="3"/>
      <x:c r="K218" s="3"/>
      <x:c r="L218" s="3"/>
      <x:c r="M218" s="3"/>
      <x:c r="N218" s="3"/>
    </x:row>
    <x:row r="219" ht="19" customHeight="1">
      <x:c r="A219" s="2"/>
      <x:c r="B219" s="2"/>
      <x:c r="C219" s="2" t="str">
        <x:v>4-6</x:v>
      </x:c>
      <x:c r="D219" s="3" t="n">
        <x:v>5</x:v>
      </x:c>
      <x:c r="E219" s="12" t="n">
        <x:v>0.157</x:v>
      </x:c>
      <x:c r="F219" s="3" t="n">
        <x:v>7.955584867261274</x:v>
      </x:c>
      <x:c r="G219" s="12" t="n">
        <x:v>0.15699999999999997</x:v>
      </x:c>
      <x:c r="H219" s="3"/>
      <x:c r="I219" s="3"/>
      <x:c r="J219" s="3"/>
      <x:c r="K219" s="3"/>
      <x:c r="L219" s="3"/>
      <x:c r="M219" s="3"/>
      <x:c r="N219" s="3"/>
    </x:row>
    <x:row r="220" ht="19" customHeight="1">
      <x:c r="A220" s="2"/>
      <x:c r="B220" s="2"/>
      <x:c r="C220" s="2" t="str">
        <x:v>7-9</x:v>
      </x:c>
      <x:c r="D220" s="3" t="n">
        <x:v>8</x:v>
      </x:c>
      <x:c r="E220" s="12" t="n">
        <x:v>0.23399999999999999</x:v>
      </x:c>
      <x:c r="F220" s="3" t="n">
        <x:v>8.062717438528928</x:v>
      </x:c>
      <x:c r="G220" s="12" t="n">
        <x:v>0.23399999999999954</x:v>
      </x:c>
      <x:c r="H220" s="3"/>
      <x:c r="I220" s="3"/>
      <x:c r="J220" s="3"/>
      <x:c r="K220" s="3"/>
      <x:c r="L220" s="3"/>
      <x:c r="M220" s="3"/>
      <x:c r="N220" s="3"/>
    </x:row>
    <x:row r="221" ht="19" customHeight="1">
      <x:c r="A221" s="2"/>
      <x:c r="B221" s="2"/>
      <x:c r="C221" s="2" t="str">
        <x:v>10-12</x:v>
      </x:c>
      <x:c r="D221" s="3" t="n">
        <x:v>11</x:v>
      </x:c>
      <x:c r="E221" s="12" t="n">
        <x:v>0.32299999999999995</x:v>
      </x:c>
      <x:c r="F221" s="3" t="n">
        <x:v>8.14856556744418</x:v>
      </x:c>
      <x:c r="G221" s="12" t="n">
        <x:v>0.3230000000000003</x:v>
      </x:c>
      <x:c r="H221" s="3"/>
      <x:c r="I221" s="3"/>
      <x:c r="J221" s="3"/>
      <x:c r="K221" s="3"/>
      <x:c r="L221" s="3"/>
      <x:c r="M221" s="3"/>
      <x:c r="N221" s="3"/>
    </x:row>
    <x:row r="222" ht="19" customHeight="1">
      <x:c r="A222" s="2"/>
      <x:c r="B222" s="2"/>
      <x:c r="C222" s="2" t="str">
        <x:v>13+</x:v>
      </x:c>
      <x:c r="D222" s="3" t="n">
        <x:v>17</x:v>
      </x:c>
      <x:c r="E222" s="12" t="n">
        <x:v>0.45299999999999996</x:v>
      </x:c>
      <x:c r="F222" s="3" t="n">
        <x:v>8.0496367177205</x:v>
      </x:c>
      <x:c r="G222" s="12" t="n">
        <x:v>0.453</x:v>
      </x:c>
      <x:c r="H222" s="3"/>
      <x:c r="I222" s="3"/>
      <x:c r="J222" s="3"/>
      <x:c r="K222" s="3"/>
      <x:c r="L222" s="3"/>
      <x:c r="M222" s="3"/>
      <x:c r="N222" s="3"/>
    </x:row>
    <x:row r="223" ht="19" customHeight="1">
      <x:c r="A223" s="2"/>
      <x:c r="B223" s="2"/>
      <x:c r="C223" s="2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</x:row>
    <x:row r="224" ht="19" customHeight="1">
      <x:c r="A224" s="2"/>
      <x:c r="B224" s="2"/>
      <x:c r="C224" s="2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</x:row>
    <x:row r="225" ht="30" customHeight="1">
      <x:c r="A225" s="2"/>
      <x:c r="B225" s="2"/>
      <x:c r="C225" s="15" t="str">
        <x:v>Births come from the existing ORNL/FRED snapshot. CY2026–27 births hold CY2025 levels. Historical body splits are assumptions.</x:v>
      </x:c>
      <x:c r="D225" s="16"/>
      <x:c r="E225" s="16"/>
      <x:c r="F225" s="16"/>
      <x:c r="G225" s="16"/>
      <x:c r="H225" s="16"/>
      <x:c r="I225" s="16"/>
      <x:c r="J225" s="16"/>
      <x:c r="K225" s="16"/>
      <x:c r="L225" s="3"/>
      <x:c r="M225" s="3"/>
      <x:c r="N225" s="3"/>
    </x:row>
    <x:row r="226" ht="19" customHeight="1">
      <x:c r="A226" s="2"/>
      <x:c r="B226" s="2"/>
      <x:c r="C226" s="2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</x:row>
    <x:row r="227" ht="30" customHeight="1">
      <x:c r="A227" s="2"/>
      <x:c r="B227" s="2"/>
      <x:c r="C227" s="15" t="str">
        <x:v>CCC targets: CY2025 age buckets. Log repair medians fitted once using baseline values and recovery; not observed claims costs.</x:v>
      </x:c>
      <x:c r="D227" s="16"/>
      <x:c r="E227" s="16"/>
      <x:c r="F227" s="16"/>
      <x:c r="G227" s="16"/>
      <x:c r="H227" s="16"/>
      <x:c r="I227" s="16"/>
      <x:c r="J227" s="16"/>
      <x:c r="K227" s="16"/>
      <x:c r="L227" s="3"/>
      <x:c r="M227" s="3"/>
      <x:c r="N227" s="3"/>
    </x:row>
    <x:row r="228" ht="19" customHeight="1">
      <x:c r="A228" s="2"/>
      <x:c r="B228" s="2"/>
      <x:c r="C228" s="2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</x:row>
    <x:row r="229" ht="30" customHeight="1">
      <x:c r="A229" s="2"/>
      <x:c r="B229" s="2"/>
      <x:c r="C229" s="15" t="str">
        <x:v>Service dollars: data/csv/segment_service_rev_8k.csv and FY2026 releases in raw/sec/8k. Units are $millions.</x:v>
      </x:c>
      <x:c r="D229" s="16"/>
      <x:c r="E229" s="16"/>
      <x:c r="F229" s="16"/>
      <x:c r="G229" s="16"/>
      <x:c r="H229" s="16"/>
      <x:c r="I229" s="16"/>
      <x:c r="J229" s="16"/>
      <x:c r="K229" s="16"/>
      <x:c r="L229" s="3"/>
      <x:c r="M229" s="3"/>
      <x:c r="N229" s="3"/>
    </x:row>
    <x:row r="230" ht="19" customHeight="1">
      <x:c r="A230" s="2"/>
      <x:c r="B230" s="2"/>
      <x:c r="C230" s="2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</x:row>
    <x:row r="231" ht="30" customHeight="1">
      <x:c r="A231" s="2"/>
      <x:c r="B231" s="2"/>
      <x:c r="C231" s="15" t="str">
        <x:v>Carrier rows: supplied share workbook, Base engine rows 108–117 and 130–139, columns D:K. Estimates, not observed exposure.</x:v>
      </x:c>
      <x:c r="D231" s="16"/>
      <x:c r="E231" s="16"/>
      <x:c r="F231" s="16"/>
      <x:c r="G231" s="16"/>
      <x:c r="H231" s="16"/>
      <x:c r="I231" s="16"/>
      <x:c r="J231" s="16"/>
      <x:c r="K231" s="16"/>
      <x:c r="L231" s="3"/>
      <x:c r="M231" s="3"/>
      <x:c r="N231" s="3"/>
    </x:row>
    <x:row r="232" ht="19" customHeight="1">
      <x:c r="A232" s="2"/>
      <x:c r="B232" s="2"/>
      <x:c r="C232" s="2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</x:row>
    <x:row r="233" ht="19" customHeight="1">
      <x:c r="A233" s="2"/>
      <x:c r="B233" s="2"/>
      <x:c r="C233" s="2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</x:row>
    <x:row r="234" ht="19" customHeight="1">
      <x:c r="A234" s="2"/>
      <x:c r="B234" s="2"/>
      <x:c r="C234" s="2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</x:row>
    <x:row r="235" ht="19" customHeight="1">
      <x:c r="A235" s="2"/>
      <x:c r="B235" s="2"/>
      <x:c r="C235" s="2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</x:row>
    <x:row r="236" ht="19" customHeight="1">
      <x:c r="A236" s="2"/>
      <x:c r="B236" s="2"/>
      <x:c r="C236" s="2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</x:row>
    <x:row r="237" ht="19" customHeight="1">
      <x:c r="A237" s="2"/>
      <x:c r="B237" s="2"/>
      <x:c r="C237" s="2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</x:row>
    <x:row r="238" ht="19" customHeight="1">
      <x:c r="A238" s="2"/>
      <x:c r="B238" s="2"/>
      <x:c r="C238" s="2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</x:row>
    <x:row r="239" ht="19" customHeight="1">
      <x:c r="A239" s="2"/>
      <x:c r="B239" s="2"/>
      <x:c r="C239" s="2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</x:row>
    <x:row r="240" ht="19" customHeight="1">
      <x:c r="A240" s="2"/>
      <x:c r="B240" s="2"/>
      <x:c r="C240" s="2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</x:row>
    <x:row r="241" ht="19" customHeight="1">
      <x:c r="A241" s="2"/>
      <x:c r="B241" s="2"/>
      <x:c r="C241" s="2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</x:row>
    <x:row r="242" ht="19" customHeight="1">
      <x:c r="A242" s="2"/>
      <x:c r="B242" s="2"/>
      <x:c r="C242" s="2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</x:row>
    <x:row r="243" ht="19" customHeight="1">
      <x:c r="A243" s="2"/>
      <x:c r="B243" s="2"/>
      <x:c r="C243" s="2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</x:row>
    <x:row r="244" ht="19" customHeight="1">
      <x:c r="A244" s="2"/>
      <x:c r="B244" s="2"/>
      <x:c r="C244" s="2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</x:row>
    <x:row r="245" ht="19" customHeight="1">
      <x:c r="A245" s="2"/>
      <x:c r="B245" s="2"/>
      <x:c r="C245" s="2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</x:row>
    <x:row r="246" ht="19" customHeight="1">
      <x:c r="A246" s="2"/>
      <x:c r="B246" s="2"/>
      <x:c r="C246" s="2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</x:row>
    <x:row r="247" ht="19" customHeight="1">
      <x:c r="A247" s="2"/>
      <x:c r="B247" s="2"/>
      <x:c r="C247" s="2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</x:row>
    <x:row r="248" ht="19" customHeight="1">
      <x:c r="A248" s="2"/>
      <x:c r="B248" s="2"/>
      <x:c r="C248" s="2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</x:row>
    <x:row r="249" ht="30" customHeight="1">
      <x:c r="A249" s="2"/>
      <x:c r="B249" s="2"/>
      <x:c r="C249" s="8" t="str">
        <x:v>Period ID</x:v>
      </x:c>
      <x:c r="D249" s="11" t="str">
        <x:v>Carrier</x:v>
      </x:c>
      <x:c r="E249" s="11" t="str">
        <x:v>Auto-share proxy</x:v>
      </x:c>
      <x:c r="F249" s="11" t="str">
        <x:v>Copart allocation</x:v>
      </x:c>
      <x:c r="G249" s="3"/>
      <x:c r="H249" s="3"/>
      <x:c r="I249" s="3"/>
      <x:c r="J249" s="3"/>
      <x:c r="K249" s="3"/>
      <x:c r="L249" s="3"/>
      <x:c r="M249" s="3"/>
      <x:c r="N249" s="3"/>
    </x:row>
    <x:row r="250" ht="19" customHeight="1">
      <x:c r="A250" s="2"/>
      <x:c r="B250" s="2"/>
      <x:c r="C250" s="2" t="n">
        <x:v>0</x:v>
      </x:c>
      <x:c r="D250" s="3" t="str">
        <x:v>State Farm</x:v>
      </x:c>
      <x:c r="E250" s="12" t="n">
        <x:v>0.18706824324324323</x:v>
      </x:c>
      <x:c r="F250" s="12" t="n">
        <x:v>0.5</x:v>
      </x:c>
      <x:c r="G250" s="3"/>
      <x:c r="H250" s="3"/>
      <x:c r="I250" s="3"/>
      <x:c r="J250" s="3"/>
      <x:c r="K250" s="3"/>
      <x:c r="L250" s="3"/>
      <x:c r="M250" s="3"/>
      <x:c r="N250" s="3"/>
    </x:row>
    <x:row r="251" ht="19" customHeight="1">
      <x:c r="A251" s="2"/>
      <x:c r="B251" s="2"/>
      <x:c r="C251" s="2" t="n">
        <x:v>0</x:v>
      </x:c>
      <x:c r="D251" s="3" t="str">
        <x:v>Progressive</x:v>
      </x:c>
      <x:c r="E251" s="12" t="n">
        <x:v>0.181325</x:v>
      </x:c>
      <x:c r="F251" s="12" t="n">
        <x:v>0.25</x:v>
      </x:c>
      <x:c r="G251" s="3"/>
      <x:c r="H251" s="3"/>
      <x:c r="I251" s="3"/>
      <x:c r="J251" s="3"/>
      <x:c r="K251" s="3"/>
      <x:c r="L251" s="3"/>
      <x:c r="M251" s="3"/>
      <x:c r="N251" s="3"/>
    </x:row>
    <x:row r="252" ht="19" customHeight="1">
      <x:c r="A252" s="2"/>
      <x:c r="B252" s="2"/>
      <x:c r="C252" s="2" t="n">
        <x:v>0</x:v>
      </x:c>
      <x:c r="D252" s="3" t="str">
        <x:v>GEICO</x:v>
      </x:c>
      <x:c r="E252" s="12" t="n">
        <x:v>0.11666621621621621</x:v>
      </x:c>
      <x:c r="F252" s="12" t="n">
        <x:v>0.83</x:v>
      </x:c>
      <x:c r="G252" s="3"/>
      <x:c r="H252" s="3"/>
      <x:c r="I252" s="3"/>
      <x:c r="J252" s="3"/>
      <x:c r="K252" s="3"/>
      <x:c r="L252" s="3"/>
      <x:c r="M252" s="3"/>
      <x:c r="N252" s="3"/>
    </x:row>
    <x:row r="253" ht="19" customHeight="1">
      <x:c r="A253" s="2"/>
      <x:c r="B253" s="2"/>
      <x:c r="C253" s="2" t="n">
        <x:v>0</x:v>
      </x:c>
      <x:c r="D253" s="3" t="str">
        <x:v>Allstate</x:v>
      </x:c>
      <x:c r="E253" s="12" t="n">
        <x:v>0.1025858108108108</x:v>
      </x:c>
      <x:c r="F253" s="12" t="n">
        <x:v>0.95</x:v>
      </x:c>
      <x:c r="G253" s="3"/>
      <x:c r="H253" s="3"/>
      <x:c r="I253" s="3"/>
      <x:c r="J253" s="3"/>
      <x:c r="K253" s="3"/>
      <x:c r="L253" s="3"/>
      <x:c r="M253" s="3"/>
      <x:c r="N253" s="3"/>
    </x:row>
    <x:row r="254" ht="19" customHeight="1">
      <x:c r="A254" s="2"/>
      <x:c r="B254" s="2"/>
      <x:c r="C254" s="2" t="n">
        <x:v>0</x:v>
      </x:c>
      <x:c r="D254" s="3" t="str">
        <x:v>USAA</x:v>
      </x:c>
      <x:c r="E254" s="12" t="n">
        <x:v>0.06235608108108108</x:v>
      </x:c>
      <x:c r="F254" s="12" t="n">
        <x:v>0.95</x:v>
      </x:c>
      <x:c r="G254" s="3"/>
      <x:c r="H254" s="3"/>
      <x:c r="I254" s="3"/>
      <x:c r="J254" s="3"/>
      <x:c r="K254" s="3"/>
      <x:c r="L254" s="3"/>
      <x:c r="M254" s="3"/>
      <x:c r="N254" s="3"/>
    </x:row>
    <x:row r="255" ht="19" customHeight="1">
      <x:c r="A255" s="2"/>
      <x:c r="B255" s="2"/>
      <x:c r="C255" s="2" t="n">
        <x:v>0</x:v>
      </x:c>
      <x:c r="D255" s="3" t="str">
        <x:v>Farmers</x:v>
      </x:c>
      <x:c r="E255" s="12" t="n">
        <x:v>0.03821824324324324</x:v>
      </x:c>
      <x:c r="F255" s="12" t="n">
        <x:v>0.9</x:v>
      </x:c>
      <x:c r="G255" s="3"/>
      <x:c r="H255" s="3"/>
      <x:c r="I255" s="3"/>
      <x:c r="J255" s="3"/>
      <x:c r="K255" s="3"/>
      <x:c r="L255" s="3"/>
      <x:c r="M255" s="3"/>
      <x:c r="N255" s="3"/>
    </x:row>
    <x:row r="256" ht="19" customHeight="1">
      <x:c r="A256" s="2"/>
      <x:c r="B256" s="2"/>
      <x:c r="C256" s="2" t="n">
        <x:v>0</x:v>
      </x:c>
      <x:c r="D256" s="3" t="str">
        <x:v>Liberty Mutual</x:v>
      </x:c>
      <x:c r="E256" s="12" t="n">
        <x:v>0.03318952702702703</x:v>
      </x:c>
      <x:c r="F256" s="12" t="n">
        <x:v>0.7</x:v>
      </x:c>
      <x:c r="G256" s="3"/>
      <x:c r="H256" s="3"/>
      <x:c r="I256" s="3"/>
      <x:c r="J256" s="3"/>
      <x:c r="K256" s="3"/>
      <x:c r="L256" s="3"/>
      <x:c r="M256" s="3"/>
      <x:c r="N256" s="3"/>
    </x:row>
    <x:row r="257" ht="19" customHeight="1">
      <x:c r="A257" s="2"/>
      <x:c r="B257" s="2"/>
      <x:c r="C257" s="2" t="n">
        <x:v>0</x:v>
      </x:c>
      <x:c r="D257" s="3" t="str">
        <x:v>Travelers</x:v>
      </x:c>
      <x:c r="E257" s="12" t="n">
        <x:v>0.020114864864864867</x:v>
      </x:c>
      <x:c r="F257" s="12" t="n">
        <x:v>0.85</x:v>
      </x:c>
      <x:c r="G257" s="3"/>
      <x:c r="H257" s="3"/>
      <x:c r="I257" s="3"/>
      <x:c r="J257" s="3"/>
      <x:c r="K257" s="3"/>
      <x:c r="L257" s="3"/>
      <x:c r="M257" s="3"/>
      <x:c r="N257" s="3"/>
    </x:row>
    <x:row r="258" ht="19" customHeight="1">
      <x:c r="A258" s="2"/>
      <x:c r="B258" s="2"/>
      <x:c r="C258" s="2" t="n">
        <x:v>0</x:v>
      </x:c>
      <x:c r="D258" s="3" t="str">
        <x:v>Nationwide</x:v>
      </x:c>
      <x:c r="E258" s="12" t="n">
        <x:v>0.015086148648648648</x:v>
      </x:c>
      <x:c r="F258" s="12" t="n">
        <x:v>0.95</x:v>
      </x:c>
      <x:c r="G258" s="3"/>
      <x:c r="H258" s="3"/>
      <x:c r="I258" s="3"/>
      <x:c r="J258" s="3"/>
      <x:c r="K258" s="3"/>
      <x:c r="L258" s="3"/>
      <x:c r="M258" s="3"/>
      <x:c r="N258" s="3"/>
    </x:row>
    <x:row r="259" ht="19" customHeight="1">
      <x:c r="A259" s="2"/>
      <x:c r="B259" s="2"/>
      <x:c r="C259" s="2" t="n">
        <x:v>0</x:v>
      </x:c>
      <x:c r="D259" s="3" t="str">
        <x:v>Other (Erie, AAA, AmFam, regionals)</x:v>
      </x:c>
      <x:c r="E259" s="12" t="n">
        <x:v>0.24338986486486486</x:v>
      </x:c>
      <x:c r="F259" s="12" t="n">
        <x:v>0.5</x:v>
      </x:c>
      <x:c r="G259" s="3"/>
      <x:c r="H259" s="3"/>
      <x:c r="I259" s="3"/>
      <x:c r="J259" s="3"/>
      <x:c r="K259" s="3"/>
      <x:c r="L259" s="3"/>
      <x:c r="M259" s="3"/>
      <x:c r="N259" s="3"/>
    </x:row>
    <x:row r="260" ht="19" customHeight="1">
      <x:c r="A260" s="2"/>
      <x:c r="B260" s="2"/>
      <x:c r="C260" s="2" t="n">
        <x:v>1</x:v>
      </x:c>
      <x:c r="D260" s="3" t="str">
        <x:v>State Farm</x:v>
      </x:c>
      <x:c r="E260" s="12" t="n">
        <x:v>0.186</x:v>
      </x:c>
      <x:c r="F260" s="12" t="n">
        <x:v>0.5</x:v>
      </x:c>
      <x:c r="G260" s="3"/>
      <x:c r="H260" s="3"/>
      <x:c r="I260" s="3"/>
      <x:c r="J260" s="3"/>
      <x:c r="K260" s="3"/>
      <x:c r="L260" s="3"/>
      <x:c r="M260" s="3"/>
      <x:c r="N260" s="3"/>
    </x:row>
    <x:row r="261" ht="19" customHeight="1">
      <x:c r="A261" s="2"/>
      <x:c r="B261" s="2"/>
      <x:c r="C261" s="2" t="n">
        <x:v>1</x:v>
      </x:c>
      <x:c r="D261" s="3" t="str">
        <x:v>Progressive</x:v>
      </x:c>
      <x:c r="E261" s="12" t="n">
        <x:v>0.186</x:v>
      </x:c>
      <x:c r="F261" s="12" t="n">
        <x:v>0.25</x:v>
      </x:c>
      <x:c r="G261" s="3"/>
      <x:c r="H261" s="3"/>
      <x:c r="I261" s="3"/>
      <x:c r="J261" s="3"/>
      <x:c r="K261" s="3"/>
      <x:c r="L261" s="3"/>
      <x:c r="M261" s="3"/>
      <x:c r="N261" s="3"/>
    </x:row>
    <x:row r="262" ht="19" customHeight="1">
      <x:c r="A262" s="2"/>
      <x:c r="B262" s="2"/>
      <x:c r="C262" s="2" t="n">
        <x:v>1</x:v>
      </x:c>
      <x:c r="D262" s="3" t="str">
        <x:v>GEICO</x:v>
      </x:c>
      <x:c r="E262" s="12" t="n">
        <x:v>0.116</x:v>
      </x:c>
      <x:c r="F262" s="12" t="n">
        <x:v>0.83</x:v>
      </x:c>
      <x:c r="G262" s="3"/>
      <x:c r="H262" s="3"/>
      <x:c r="I262" s="3"/>
      <x:c r="J262" s="3"/>
      <x:c r="K262" s="3"/>
      <x:c r="L262" s="3"/>
      <x:c r="M262" s="3"/>
      <x:c r="N262" s="3"/>
    </x:row>
    <x:row r="263" ht="19" customHeight="1">
      <x:c r="A263" s="2"/>
      <x:c r="B263" s="2"/>
      <x:c r="C263" s="2" t="n">
        <x:v>1</x:v>
      </x:c>
      <x:c r="D263" s="3" t="str">
        <x:v>Allstate</x:v>
      </x:c>
      <x:c r="E263" s="12" t="n">
        <x:v>0.102</x:v>
      </x:c>
      <x:c r="F263" s="12" t="n">
        <x:v>0.95</x:v>
      </x:c>
      <x:c r="G263" s="3"/>
      <x:c r="H263" s="3"/>
      <x:c r="I263" s="3"/>
      <x:c r="J263" s="3"/>
      <x:c r="K263" s="3"/>
      <x:c r="L263" s="3"/>
      <x:c r="M263" s="3"/>
      <x:c r="N263" s="3"/>
    </x:row>
    <x:row r="264" ht="19" customHeight="1">
      <x:c r="A264" s="2"/>
      <x:c r="B264" s="2"/>
      <x:c r="C264" s="2" t="n">
        <x:v>1</x:v>
      </x:c>
      <x:c r="D264" s="3" t="str">
        <x:v>USAA</x:v>
      </x:c>
      <x:c r="E264" s="12" t="n">
        <x:v>0.062</x:v>
      </x:c>
      <x:c r="F264" s="12" t="n">
        <x:v>0.95</x:v>
      </x:c>
      <x:c r="G264" s="3"/>
      <x:c r="H264" s="3"/>
      <x:c r="I264" s="3"/>
      <x:c r="J264" s="3"/>
      <x:c r="K264" s="3"/>
      <x:c r="L264" s="3"/>
      <x:c r="M264" s="3"/>
      <x:c r="N264" s="3"/>
    </x:row>
    <x:row r="265" ht="19" customHeight="1">
      <x:c r="A265" s="2"/>
      <x:c r="B265" s="2"/>
      <x:c r="C265" s="2" t="n">
        <x:v>1</x:v>
      </x:c>
      <x:c r="D265" s="3" t="str">
        <x:v>Farmers</x:v>
      </x:c>
      <x:c r="E265" s="12" t="n">
        <x:v>0.038</x:v>
      </x:c>
      <x:c r="F265" s="12" t="n">
        <x:v>0.9</x:v>
      </x:c>
      <x:c r="G265" s="3"/>
      <x:c r="H265" s="3"/>
      <x:c r="I265" s="3"/>
      <x:c r="J265" s="3"/>
      <x:c r="K265" s="3"/>
      <x:c r="L265" s="3"/>
      <x:c r="M265" s="3"/>
      <x:c r="N265" s="3"/>
    </x:row>
    <x:row r="266" ht="19" customHeight="1">
      <x:c r="A266" s="2"/>
      <x:c r="B266" s="2"/>
      <x:c r="C266" s="2" t="n">
        <x:v>1</x:v>
      </x:c>
      <x:c r="D266" s="3" t="str">
        <x:v>Liberty Mutual</x:v>
      </x:c>
      <x:c r="E266" s="12" t="n">
        <x:v>0.033</x:v>
      </x:c>
      <x:c r="F266" s="12" t="n">
        <x:v>0.7</x:v>
      </x:c>
      <x:c r="G266" s="3"/>
      <x:c r="H266" s="3"/>
      <x:c r="I266" s="3"/>
      <x:c r="J266" s="3"/>
      <x:c r="K266" s="3"/>
      <x:c r="L266" s="3"/>
      <x:c r="M266" s="3"/>
      <x:c r="N266" s="3"/>
    </x:row>
    <x:row r="267" ht="19" customHeight="1">
      <x:c r="A267" s="2"/>
      <x:c r="B267" s="2"/>
      <x:c r="C267" s="2" t="n">
        <x:v>1</x:v>
      </x:c>
      <x:c r="D267" s="3" t="str">
        <x:v>Travelers</x:v>
      </x:c>
      <x:c r="E267" s="12" t="n">
        <x:v>0.02</x:v>
      </x:c>
      <x:c r="F267" s="12" t="n">
        <x:v>0.85</x:v>
      </x:c>
      <x:c r="G267" s="3"/>
      <x:c r="H267" s="3"/>
      <x:c r="I267" s="3"/>
      <x:c r="J267" s="3"/>
      <x:c r="K267" s="3"/>
      <x:c r="L267" s="3"/>
      <x:c r="M267" s="3"/>
      <x:c r="N267" s="3"/>
    </x:row>
    <x:row r="268" ht="19" customHeight="1">
      <x:c r="A268" s="2"/>
      <x:c r="B268" s="2"/>
      <x:c r="C268" s="2" t="n">
        <x:v>1</x:v>
      </x:c>
      <x:c r="D268" s="3" t="str">
        <x:v>Nationwide</x:v>
      </x:c>
      <x:c r="E268" s="12" t="n">
        <x:v>0.015</x:v>
      </x:c>
      <x:c r="F268" s="12" t="n">
        <x:v>0.95</x:v>
      </x:c>
      <x:c r="G268" s="3"/>
      <x:c r="H268" s="3"/>
      <x:c r="I268" s="3"/>
      <x:c r="J268" s="3"/>
      <x:c r="K268" s="3"/>
      <x:c r="L268" s="3"/>
      <x:c r="M268" s="3"/>
      <x:c r="N268" s="3"/>
    </x:row>
    <x:row r="269" ht="19" customHeight="1">
      <x:c r="A269" s="2"/>
      <x:c r="B269" s="2"/>
      <x:c r="C269" s="2" t="n">
        <x:v>1</x:v>
      </x:c>
      <x:c r="D269" s="3" t="str">
        <x:v>Other (Erie, AAA, AmFam, regionals)</x:v>
      </x:c>
      <x:c r="E269" s="12" t="n">
        <x:v>0.24199999999999997</x:v>
      </x:c>
      <x:c r="F269" s="12" t="n">
        <x:v>0.5</x:v>
      </x:c>
      <x:c r="G269" s="3"/>
      <x:c r="H269" s="3"/>
      <x:c r="I269" s="3"/>
      <x:c r="J269" s="3"/>
      <x:c r="K269" s="3"/>
      <x:c r="L269" s="3"/>
      <x:c r="M269" s="3"/>
      <x:c r="N269" s="3"/>
    </x:row>
    <x:row r="270" ht="19" customHeight="1">
      <x:c r="A270" s="2"/>
      <x:c r="B270" s="2"/>
      <x:c r="C270" s="2" t="n">
        <x:v>2</x:v>
      </x:c>
      <x:c r="D270" s="3" t="str">
        <x:v>State Farm</x:v>
      </x:c>
      <x:c r="E270" s="12" t="n">
        <x:v>0.18520024570024568</x:v>
      </x:c>
      <x:c r="F270" s="12" t="n">
        <x:v>0.5</x:v>
      </x:c>
      <x:c r="G270" s="3"/>
      <x:c r="H270" s="3"/>
      <x:c r="I270" s="3"/>
      <x:c r="J270" s="3"/>
      <x:c r="K270" s="3"/>
      <x:c r="L270" s="3"/>
      <x:c r="M270" s="3"/>
      <x:c r="N270" s="3"/>
    </x:row>
    <x:row r="271" ht="19" customHeight="1">
      <x:c r="A271" s="2"/>
      <x:c r="B271" s="2"/>
      <x:c r="C271" s="2" t="n">
        <x:v>2</x:v>
      </x:c>
      <x:c r="D271" s="3" t="str">
        <x:v>Progressive</x:v>
      </x:c>
      <x:c r="E271" s="12" t="n">
        <x:v>0.1895</x:v>
      </x:c>
      <x:c r="F271" s="12" t="n">
        <x:v>0.1590909090909091</x:v>
      </x:c>
      <x:c r="G271" s="3"/>
      <x:c r="H271" s="3"/>
      <x:c r="I271" s="3"/>
      <x:c r="J271" s="3"/>
      <x:c r="K271" s="3"/>
      <x:c r="L271" s="3"/>
      <x:c r="M271" s="3"/>
      <x:c r="N271" s="3"/>
    </x:row>
    <x:row r="272" ht="19" customHeight="1">
      <x:c r="A272" s="2"/>
      <x:c r="B272" s="2"/>
      <x:c r="C272" s="2" t="n">
        <x:v>2</x:v>
      </x:c>
      <x:c r="D272" s="3" t="str">
        <x:v>GEICO</x:v>
      </x:c>
      <x:c r="E272" s="12" t="n">
        <x:v>0.1155012285012285</x:v>
      </x:c>
      <x:c r="F272" s="12" t="n">
        <x:v>0.83</x:v>
      </x:c>
      <x:c r="G272" s="3"/>
      <x:c r="H272" s="3"/>
      <x:c r="I272" s="3"/>
      <x:c r="J272" s="3"/>
      <x:c r="K272" s="3"/>
      <x:c r="L272" s="3"/>
      <x:c r="M272" s="3"/>
      <x:c r="N272" s="3"/>
    </x:row>
    <x:row r="273" ht="19" customHeight="1">
      <x:c r="A273" s="2"/>
      <x:c r="B273" s="2"/>
      <x:c r="C273" s="2" t="n">
        <x:v>2</x:v>
      </x:c>
      <x:c r="D273" s="3" t="str">
        <x:v>Allstate</x:v>
      </x:c>
      <x:c r="E273" s="12" t="n">
        <x:v>0.10156142506142504</x:v>
      </x:c>
      <x:c r="F273" s="12" t="n">
        <x:v>0.95</x:v>
      </x:c>
      <x:c r="G273" s="3"/>
      <x:c r="H273" s="3"/>
      <x:c r="I273" s="3"/>
      <x:c r="J273" s="3"/>
      <x:c r="K273" s="3"/>
      <x:c r="L273" s="3"/>
      <x:c r="M273" s="3"/>
      <x:c r="N273" s="3"/>
    </x:row>
    <x:row r="274" ht="19" customHeight="1">
      <x:c r="A274" s="2"/>
      <x:c r="B274" s="2"/>
      <x:c r="C274" s="2" t="n">
        <x:v>2</x:v>
      </x:c>
      <x:c r="D274" s="3" t="str">
        <x:v>USAA</x:v>
      </x:c>
      <x:c r="E274" s="12" t="n">
        <x:v>0.061733415233415224</x:v>
      </x:c>
      <x:c r="F274" s="12" t="n">
        <x:v>0.95</x:v>
      </x:c>
      <x:c r="G274" s="3"/>
      <x:c r="H274" s="3"/>
      <x:c r="I274" s="3"/>
      <x:c r="J274" s="3"/>
      <x:c r="K274" s="3"/>
      <x:c r="L274" s="3"/>
      <x:c r="M274" s="3"/>
      <x:c r="N274" s="3"/>
    </x:row>
    <x:row r="275" ht="19" customHeight="1">
      <x:c r="A275" s="2"/>
      <x:c r="B275" s="2"/>
      <x:c r="C275" s="2" t="n">
        <x:v>2</x:v>
      </x:c>
      <x:c r="D275" s="3" t="str">
        <x:v>Farmers</x:v>
      </x:c>
      <x:c r="E275" s="12" t="n">
        <x:v>0.03783660933660933</x:v>
      </x:c>
      <x:c r="F275" s="12" t="n">
        <x:v>0.9</x:v>
      </x:c>
      <x:c r="G275" s="3"/>
      <x:c r="H275" s="3"/>
      <x:c r="I275" s="3"/>
      <x:c r="J275" s="3"/>
      <x:c r="K275" s="3"/>
      <x:c r="L275" s="3"/>
      <x:c r="M275" s="3"/>
      <x:c r="N275" s="3"/>
    </x:row>
    <x:row r="276" ht="19" customHeight="1">
      <x:c r="A276" s="2"/>
      <x:c r="B276" s="2"/>
      <x:c r="C276" s="2" t="n">
        <x:v>2</x:v>
      </x:c>
      <x:c r="D276" s="3" t="str">
        <x:v>Liberty Mutual</x:v>
      </x:c>
      <x:c r="E276" s="12" t="n">
        <x:v>0.03285810810810811</x:v>
      </x:c>
      <x:c r="F276" s="12" t="n">
        <x:v>0.7</x:v>
      </x:c>
      <x:c r="G276" s="3"/>
      <x:c r="H276" s="3"/>
      <x:c r="I276" s="3"/>
      <x:c r="J276" s="3"/>
      <x:c r="K276" s="3"/>
      <x:c r="L276" s="3"/>
      <x:c r="M276" s="3"/>
      <x:c r="N276" s="3"/>
    </x:row>
    <x:row r="277" ht="19" customHeight="1">
      <x:c r="A277" s="2"/>
      <x:c r="B277" s="2"/>
      <x:c r="C277" s="2" t="n">
        <x:v>2</x:v>
      </x:c>
      <x:c r="D277" s="3" t="str">
        <x:v>Travelers</x:v>
      </x:c>
      <x:c r="E277" s="12" t="n">
        <x:v>0.019914004914004912</x:v>
      </x:c>
      <x:c r="F277" s="12" t="n">
        <x:v>0.85</x:v>
      </x:c>
      <x:c r="G277" s="3"/>
      <x:c r="H277" s="3"/>
      <x:c r="I277" s="3"/>
      <x:c r="J277" s="3"/>
      <x:c r="K277" s="3"/>
      <x:c r="L277" s="3"/>
      <x:c r="M277" s="3"/>
      <x:c r="N277" s="3"/>
    </x:row>
    <x:row r="278" ht="19" customHeight="1">
      <x:c r="A278" s="2"/>
      <x:c r="B278" s="2"/>
      <x:c r="C278" s="2" t="n">
        <x:v>2</x:v>
      </x:c>
      <x:c r="D278" s="3" t="str">
        <x:v>Nationwide</x:v>
      </x:c>
      <x:c r="E278" s="12" t="n">
        <x:v>0.014935503685503684</x:v>
      </x:c>
      <x:c r="F278" s="12" t="n">
        <x:v>0.95</x:v>
      </x:c>
      <x:c r="G278" s="3"/>
      <x:c r="H278" s="3"/>
      <x:c r="I278" s="3"/>
      <x:c r="J278" s="3"/>
      <x:c r="K278" s="3"/>
      <x:c r="L278" s="3"/>
      <x:c r="M278" s="3"/>
      <x:c r="N278" s="3"/>
    </x:row>
    <x:row r="279" ht="19" customHeight="1">
      <x:c r="A279" s="2"/>
      <x:c r="B279" s="2"/>
      <x:c r="C279" s="2" t="n">
        <x:v>2</x:v>
      </x:c>
      <x:c r="D279" s="3" t="str">
        <x:v>Other (Erie, AAA, AmFam, regionals)</x:v>
      </x:c>
      <x:c r="E279" s="12" t="n">
        <x:v>0.24095945945945943</x:v>
      </x:c>
      <x:c r="F279" s="12" t="n">
        <x:v>0.5</x:v>
      </x:c>
      <x:c r="G279" s="3"/>
      <x:c r="H279" s="3"/>
      <x:c r="I279" s="3"/>
      <x:c r="J279" s="3"/>
      <x:c r="K279" s="3"/>
      <x:c r="L279" s="3"/>
      <x:c r="M279" s="3"/>
      <x:c r="N279" s="3"/>
    </x:row>
    <x:row r="280" ht="19" customHeight="1">
      <x:c r="A280" s="2"/>
      <x:c r="B280" s="2"/>
      <x:c r="C280" s="2" t="n">
        <x:v>3</x:v>
      </x:c>
      <x:c r="D280" s="3" t="str">
        <x:v>State Farm</x:v>
      </x:c>
      <x:c r="E280" s="12" t="n">
        <x:v>0.18440049140049136</x:v>
      </x:c>
      <x:c r="F280" s="12" t="n">
        <x:v>0.5</x:v>
      </x:c>
      <x:c r="G280" s="3"/>
      <x:c r="H280" s="3"/>
      <x:c r="I280" s="3"/>
      <x:c r="J280" s="3"/>
      <x:c r="K280" s="3"/>
      <x:c r="L280" s="3"/>
      <x:c r="M280" s="3"/>
      <x:c r="N280" s="3"/>
    </x:row>
    <x:row r="281" ht="19" customHeight="1">
      <x:c r="A281" s="2"/>
      <x:c r="B281" s="2"/>
      <x:c r="C281" s="2" t="n">
        <x:v>3</x:v>
      </x:c>
      <x:c r="D281" s="3" t="str">
        <x:v>Progressive</x:v>
      </x:c>
      <x:c r="E281" s="12" t="n">
        <x:v>0.193</x:v>
      </x:c>
      <x:c r="F281" s="12" t="n">
        <x:v>0.06818181818181818</x:v>
      </x:c>
      <x:c r="G281" s="3"/>
      <x:c r="H281" s="3"/>
      <x:c r="I281" s="3"/>
      <x:c r="J281" s="3"/>
      <x:c r="K281" s="3"/>
      <x:c r="L281" s="3"/>
      <x:c r="M281" s="3"/>
      <x:c r="N281" s="3"/>
    </x:row>
    <x:row r="282" ht="19" customHeight="1">
      <x:c r="A282" s="2"/>
      <x:c r="B282" s="2"/>
      <x:c r="C282" s="2" t="n">
        <x:v>3</x:v>
      </x:c>
      <x:c r="D282" s="3" t="str">
        <x:v>GEICO</x:v>
      </x:c>
      <x:c r="E282" s="12" t="n">
        <x:v>0.115002457002457</x:v>
      </x:c>
      <x:c r="F282" s="12" t="n">
        <x:v>0.854</x:v>
      </x:c>
      <x:c r="G282" s="3"/>
      <x:c r="H282" s="3"/>
      <x:c r="I282" s="3"/>
      <x:c r="J282" s="3"/>
      <x:c r="K282" s="3"/>
      <x:c r="L282" s="3"/>
      <x:c r="M282" s="3"/>
      <x:c r="N282" s="3"/>
    </x:row>
    <x:row r="283" ht="19" customHeight="1">
      <x:c r="A283" s="2"/>
      <x:c r="B283" s="2"/>
      <x:c r="C283" s="2" t="n">
        <x:v>3</x:v>
      </x:c>
      <x:c r="D283" s="3" t="str">
        <x:v>Allstate</x:v>
      </x:c>
      <x:c r="E283" s="12" t="n">
        <x:v>0.10112285012285009</x:v>
      </x:c>
      <x:c r="F283" s="12" t="n">
        <x:v>0.95</x:v>
      </x:c>
      <x:c r="G283" s="3"/>
      <x:c r="H283" s="3"/>
      <x:c r="I283" s="3"/>
      <x:c r="J283" s="3"/>
      <x:c r="K283" s="3"/>
      <x:c r="L283" s="3"/>
      <x:c r="M283" s="3"/>
      <x:c r="N283" s="3"/>
    </x:row>
    <x:row r="284" ht="19" customHeight="1">
      <x:c r="A284" s="2"/>
      <x:c r="B284" s="2"/>
      <x:c r="C284" s="2" t="n">
        <x:v>3</x:v>
      </x:c>
      <x:c r="D284" s="3" t="str">
        <x:v>USAA</x:v>
      </x:c>
      <x:c r="E284" s="12" t="n">
        <x:v>0.061466830466830456</x:v>
      </x:c>
      <x:c r="F284" s="12" t="n">
        <x:v>0.95</x:v>
      </x:c>
      <x:c r="G284" s="3"/>
      <x:c r="H284" s="3"/>
      <x:c r="I284" s="3"/>
      <x:c r="J284" s="3"/>
      <x:c r="K284" s="3"/>
      <x:c r="L284" s="3"/>
      <x:c r="M284" s="3"/>
      <x:c r="N284" s="3"/>
    </x:row>
    <x:row r="285" ht="19" customHeight="1">
      <x:c r="A285" s="2"/>
      <x:c r="B285" s="2"/>
      <x:c r="C285" s="2" t="n">
        <x:v>3</x:v>
      </x:c>
      <x:c r="D285" s="3" t="str">
        <x:v>Farmers</x:v>
      </x:c>
      <x:c r="E285" s="12" t="n">
        <x:v>0.03767321867321866</x:v>
      </x:c>
      <x:c r="F285" s="12" t="n">
        <x:v>0.9</x:v>
      </x:c>
      <x:c r="G285" s="3"/>
      <x:c r="H285" s="3"/>
      <x:c r="I285" s="3"/>
      <x:c r="J285" s="3"/>
      <x:c r="K285" s="3"/>
      <x:c r="L285" s="3"/>
      <x:c r="M285" s="3"/>
      <x:c r="N285" s="3"/>
    </x:row>
    <x:row r="286" ht="19" customHeight="1">
      <x:c r="A286" s="2"/>
      <x:c r="B286" s="2"/>
      <x:c r="C286" s="2" t="n">
        <x:v>3</x:v>
      </x:c>
      <x:c r="D286" s="3" t="str">
        <x:v>Liberty Mutual</x:v>
      </x:c>
      <x:c r="E286" s="12" t="n">
        <x:v>0.03271621621621621</x:v>
      </x:c>
      <x:c r="F286" s="12" t="n">
        <x:v>0.7</x:v>
      </x:c>
      <x:c r="G286" s="3"/>
      <x:c r="H286" s="3"/>
      <x:c r="I286" s="3"/>
      <x:c r="J286" s="3"/>
      <x:c r="K286" s="3"/>
      <x:c r="L286" s="3"/>
      <x:c r="M286" s="3"/>
      <x:c r="N286" s="3"/>
    </x:row>
    <x:row r="287" ht="19" customHeight="1">
      <x:c r="A287" s="2"/>
      <x:c r="B287" s="2"/>
      <x:c r="C287" s="2" t="n">
        <x:v>3</x:v>
      </x:c>
      <x:c r="D287" s="3" t="str">
        <x:v>Travelers</x:v>
      </x:c>
      <x:c r="E287" s="12" t="n">
        <x:v>0.019828009828009825</x:v>
      </x:c>
      <x:c r="F287" s="12" t="n">
        <x:v>0.85</x:v>
      </x:c>
      <x:c r="G287" s="3"/>
      <x:c r="H287" s="3"/>
      <x:c r="I287" s="3"/>
      <x:c r="J287" s="3"/>
      <x:c r="K287" s="3"/>
      <x:c r="L287" s="3"/>
      <x:c r="M287" s="3"/>
      <x:c r="N287" s="3"/>
    </x:row>
    <x:row r="288" ht="19" customHeight="1">
      <x:c r="A288" s="2"/>
      <x:c r="B288" s="2"/>
      <x:c r="C288" s="2" t="n">
        <x:v>3</x:v>
      </x:c>
      <x:c r="D288" s="3" t="str">
        <x:v>Nationwide</x:v>
      </x:c>
      <x:c r="E288" s="12" t="n">
        <x:v>0.01487100737100737</x:v>
      </x:c>
      <x:c r="F288" s="12" t="n">
        <x:v>0.95</x:v>
      </x:c>
      <x:c r="G288" s="3"/>
      <x:c r="H288" s="3"/>
      <x:c r="I288" s="3"/>
      <x:c r="J288" s="3"/>
      <x:c r="K288" s="3"/>
      <x:c r="L288" s="3"/>
      <x:c r="M288" s="3"/>
      <x:c r="N288" s="3"/>
    </x:row>
    <x:row r="289" ht="19" customHeight="1">
      <x:c r="A289" s="2"/>
      <x:c r="B289" s="2"/>
      <x:c r="C289" s="2" t="n">
        <x:v>3</x:v>
      </x:c>
      <x:c r="D289" s="3" t="str">
        <x:v>Other (Erie, AAA, AmFam, regionals)</x:v>
      </x:c>
      <x:c r="E289" s="12" t="n">
        <x:v>0.23991891891891887</x:v>
      </x:c>
      <x:c r="F289" s="12" t="n">
        <x:v>0.5</x:v>
      </x:c>
      <x:c r="G289" s="3"/>
      <x:c r="H289" s="3"/>
      <x:c r="I289" s="3"/>
      <x:c r="J289" s="3"/>
      <x:c r="K289" s="3"/>
      <x:c r="L289" s="3"/>
      <x:c r="M289" s="3"/>
      <x:c r="N289" s="3"/>
    </x:row>
    <x:row r="290" ht="19" customHeight="1">
      <x:c r="A290" s="2"/>
      <x:c r="B290" s="2"/>
      <x:c r="C290" s="2" t="n">
        <x:v>4</x:v>
      </x:c>
      <x:c r="D290" s="3" t="str">
        <x:v>State Farm</x:v>
      </x:c>
      <x:c r="E290" s="12" t="n">
        <x:v>0.18354361179361178</x:v>
      </x:c>
      <x:c r="F290" s="12" t="n">
        <x:v>0.5</x:v>
      </x:c>
      <x:c r="G290" s="3"/>
      <x:c r="H290" s="3"/>
      <x:c r="I290" s="3"/>
      <x:c r="J290" s="3"/>
      <x:c r="K290" s="3"/>
      <x:c r="L290" s="3"/>
      <x:c r="M290" s="3"/>
      <x:c r="N290" s="3"/>
    </x:row>
    <x:row r="291" ht="19" customHeight="1">
      <x:c r="A291" s="2"/>
      <x:c r="B291" s="2"/>
      <x:c r="C291" s="2" t="n">
        <x:v>4</x:v>
      </x:c>
      <x:c r="D291" s="3" t="str">
        <x:v>Progressive</x:v>
      </x:c>
      <x:c r="E291" s="12" t="n">
        <x:v>0.19675</x:v>
      </x:c>
      <x:c r="F291" s="12" t="n">
        <x:v>0.04999999999999999</x:v>
      </x:c>
      <x:c r="G291" s="3"/>
      <x:c r="H291" s="3"/>
      <x:c r="I291" s="3"/>
      <x:c r="J291" s="3"/>
      <x:c r="K291" s="3"/>
      <x:c r="L291" s="3"/>
      <x:c r="M291" s="3"/>
      <x:c r="N291" s="3"/>
    </x:row>
    <x:row r="292" ht="19" customHeight="1">
      <x:c r="A292" s="2"/>
      <x:c r="B292" s="2"/>
      <x:c r="C292" s="2" t="n">
        <x:v>4</x:v>
      </x:c>
      <x:c r="D292" s="3" t="str">
        <x:v>GEICO</x:v>
      </x:c>
      <x:c r="E292" s="12" t="n">
        <x:v>0.11446805896805898</x:v>
      </x:c>
      <x:c r="F292" s="12" t="n">
        <x:v>0.878</x:v>
      </x:c>
      <x:c r="G292" s="3"/>
      <x:c r="H292" s="3"/>
      <x:c r="I292" s="3"/>
      <x:c r="J292" s="3"/>
      <x:c r="K292" s="3"/>
      <x:c r="L292" s="3"/>
      <x:c r="M292" s="3"/>
      <x:c r="N292" s="3"/>
    </x:row>
    <x:row r="293" ht="19" customHeight="1">
      <x:c r="A293" s="2"/>
      <x:c r="B293" s="2"/>
      <x:c r="C293" s="2" t="n">
        <x:v>4</x:v>
      </x:c>
      <x:c r="D293" s="3" t="str">
        <x:v>Allstate</x:v>
      </x:c>
      <x:c r="E293" s="12" t="n">
        <x:v>0.10065294840294839</x:v>
      </x:c>
      <x:c r="F293" s="12" t="n">
        <x:v>0.95</x:v>
      </x:c>
      <x:c r="G293" s="3"/>
      <x:c r="H293" s="3"/>
      <x:c r="I293" s="3"/>
      <x:c r="J293" s="3"/>
      <x:c r="K293" s="3"/>
      <x:c r="L293" s="3"/>
      <x:c r="M293" s="3"/>
      <x:c r="N293" s="3"/>
    </x:row>
    <x:row r="294" ht="19" customHeight="1">
      <x:c r="A294" s="2"/>
      <x:c r="B294" s="2"/>
      <x:c r="C294" s="2" t="n">
        <x:v>4</x:v>
      </x:c>
      <x:c r="D294" s="3" t="str">
        <x:v>USAA</x:v>
      </x:c>
      <x:c r="E294" s="12" t="n">
        <x:v>0.06118120393120392</x:v>
      </x:c>
      <x:c r="F294" s="12" t="n">
        <x:v>0.95</x:v>
      </x:c>
      <x:c r="G294" s="3"/>
      <x:c r="H294" s="3"/>
      <x:c r="I294" s="3"/>
      <x:c r="J294" s="3"/>
      <x:c r="K294" s="3"/>
      <x:c r="L294" s="3"/>
      <x:c r="M294" s="3"/>
      <x:c r="N294" s="3"/>
    </x:row>
    <x:row r="295" ht="19" customHeight="1">
      <x:c r="A295" s="2"/>
      <x:c r="B295" s="2"/>
      <x:c r="C295" s="2" t="n">
        <x:v>4</x:v>
      </x:c>
      <x:c r="D295" s="3" t="str">
        <x:v>Farmers</x:v>
      </x:c>
      <x:c r="E295" s="12" t="n">
        <x:v>0.03749815724815724</x:v>
      </x:c>
      <x:c r="F295" s="12" t="n">
        <x:v>0.9</x:v>
      </x:c>
      <x:c r="G295" s="3"/>
      <x:c r="H295" s="3"/>
      <x:c r="I295" s="3"/>
      <x:c r="J295" s="3"/>
      <x:c r="K295" s="3"/>
      <x:c r="L295" s="3"/>
      <x:c r="M295" s="3"/>
      <x:c r="N295" s="3"/>
    </x:row>
    <x:row r="296" ht="19" customHeight="1">
      <x:c r="A296" s="2"/>
      <x:c r="B296" s="2"/>
      <x:c r="C296" s="2" t="n">
        <x:v>4</x:v>
      </x:c>
      <x:c r="D296" s="3" t="str">
        <x:v>Liberty Mutual</x:v>
      </x:c>
      <x:c r="E296" s="12" t="n">
        <x:v>0.03256418918918919</x:v>
      </x:c>
      <x:c r="F296" s="12" t="n">
        <x:v>0.7</x:v>
      </x:c>
      <x:c r="G296" s="3"/>
      <x:c r="H296" s="3"/>
      <x:c r="I296" s="3"/>
      <x:c r="J296" s="3"/>
      <x:c r="K296" s="3"/>
      <x:c r="L296" s="3"/>
      <x:c r="M296" s="3"/>
      <x:c r="N296" s="3"/>
    </x:row>
    <x:row r="297" ht="19" customHeight="1">
      <x:c r="A297" s="2"/>
      <x:c r="B297" s="2"/>
      <x:c r="C297" s="2" t="n">
        <x:v>4</x:v>
      </x:c>
      <x:c r="D297" s="3" t="str">
        <x:v>Travelers</x:v>
      </x:c>
      <x:c r="E297" s="12" t="n">
        <x:v>0.019735872235872233</x:v>
      </x:c>
      <x:c r="F297" s="12" t="n">
        <x:v>0.85</x:v>
      </x:c>
      <x:c r="G297" s="3"/>
      <x:c r="H297" s="3"/>
      <x:c r="I297" s="3"/>
      <x:c r="J297" s="3"/>
      <x:c r="K297" s="3"/>
      <x:c r="L297" s="3"/>
      <x:c r="M297" s="3"/>
      <x:c r="N297" s="3"/>
    </x:row>
    <x:row r="298" ht="19" customHeight="1">
      <x:c r="A298" s="2"/>
      <x:c r="B298" s="2"/>
      <x:c r="C298" s="2" t="n">
        <x:v>4</x:v>
      </x:c>
      <x:c r="D298" s="3" t="str">
        <x:v>Nationwide</x:v>
      </x:c>
      <x:c r="E298" s="12" t="n">
        <x:v>0.014801904176904176</x:v>
      </x:c>
      <x:c r="F298" s="12" t="n">
        <x:v>0.95</x:v>
      </x:c>
      <x:c r="G298" s="3"/>
      <x:c r="H298" s="3"/>
      <x:c r="I298" s="3"/>
      <x:c r="J298" s="3"/>
      <x:c r="K298" s="3"/>
      <x:c r="L298" s="3"/>
      <x:c r="M298" s="3"/>
      <x:c r="N298" s="3"/>
    </x:row>
    <x:row r="299" ht="19" customHeight="1">
      <x:c r="A299" s="2"/>
      <x:c r="B299" s="2"/>
      <x:c r="C299" s="2" t="n">
        <x:v>4</x:v>
      </x:c>
      <x:c r="D299" s="3" t="str">
        <x:v>Other (Erie, AAA, AmFam, regionals)</x:v>
      </x:c>
      <x:c r="E299" s="12" t="n">
        <x:v>0.23880405405405403</x:v>
      </x:c>
      <x:c r="F299" s="12" t="n">
        <x:v>0.494375</x:v>
      </x:c>
      <x:c r="G299" s="3"/>
      <x:c r="H299" s="3"/>
      <x:c r="I299" s="3"/>
      <x:c r="J299" s="3"/>
      <x:c r="K299" s="3"/>
      <x:c r="L299" s="3"/>
      <x:c r="M299" s="3"/>
      <x:c r="N299" s="3"/>
    </x:row>
    <x:row r="300" ht="19" customHeight="1">
      <x:c r="A300" s="2"/>
      <x:c r="B300" s="2"/>
      <x:c r="C300" s="2" t="n">
        <x:v>5</x:v>
      </x:c>
      <x:c r="D300" s="3" t="str">
        <x:v>State Farm</x:v>
      </x:c>
      <x:c r="E300" s="12" t="n">
        <x:v>0.18268673218673218</x:v>
      </x:c>
      <x:c r="F300" s="12" t="n">
        <x:v>0.5</x:v>
      </x:c>
      <x:c r="G300" s="3"/>
      <x:c r="H300" s="3"/>
      <x:c r="I300" s="3"/>
      <x:c r="J300" s="3"/>
      <x:c r="K300" s="3"/>
      <x:c r="L300" s="3"/>
      <x:c r="M300" s="3"/>
      <x:c r="N300" s="3"/>
    </x:row>
    <x:row r="301" ht="19" customHeight="1">
      <x:c r="A301" s="2"/>
      <x:c r="B301" s="2"/>
      <x:c r="C301" s="2" t="n">
        <x:v>5</x:v>
      </x:c>
      <x:c r="D301" s="3" t="str">
        <x:v>Progressive</x:v>
      </x:c>
      <x:c r="E301" s="12" t="n">
        <x:v>0.2005</x:v>
      </x:c>
      <x:c r="F301" s="12" t="n">
        <x:v>0.04999999999999999</x:v>
      </x:c>
      <x:c r="G301" s="3"/>
      <x:c r="H301" s="3"/>
      <x:c r="I301" s="3"/>
      <x:c r="J301" s="3"/>
      <x:c r="K301" s="3"/>
      <x:c r="L301" s="3"/>
      <x:c r="M301" s="3"/>
      <x:c r="N301" s="3"/>
    </x:row>
    <x:row r="302" ht="19" customHeight="1">
      <x:c r="A302" s="2"/>
      <x:c r="B302" s="2"/>
      <x:c r="C302" s="2" t="n">
        <x:v>5</x:v>
      </x:c>
      <x:c r="D302" s="3" t="str">
        <x:v>GEICO</x:v>
      </x:c>
      <x:c r="E302" s="12" t="n">
        <x:v>0.11393366093366093</x:v>
      </x:c>
      <x:c r="F302" s="12" t="n">
        <x:v>0.9019999999999999</x:v>
      </x:c>
      <x:c r="G302" s="3"/>
      <x:c r="H302" s="3"/>
      <x:c r="I302" s="3"/>
      <x:c r="J302" s="3"/>
      <x:c r="K302" s="3"/>
      <x:c r="L302" s="3"/>
      <x:c r="M302" s="3"/>
      <x:c r="N302" s="3"/>
    </x:row>
    <x:row r="303" ht="19" customHeight="1">
      <x:c r="A303" s="2"/>
      <x:c r="B303" s="2"/>
      <x:c r="C303" s="2" t="n">
        <x:v>5</x:v>
      </x:c>
      <x:c r="D303" s="3" t="str">
        <x:v>Allstate</x:v>
      </x:c>
      <x:c r="E303" s="12" t="n">
        <x:v>0.10018304668304667</x:v>
      </x:c>
      <x:c r="F303" s="12" t="n">
        <x:v>0.95</x:v>
      </x:c>
      <x:c r="G303" s="3"/>
      <x:c r="H303" s="3"/>
      <x:c r="I303" s="3"/>
      <x:c r="J303" s="3"/>
      <x:c r="K303" s="3"/>
      <x:c r="L303" s="3"/>
      <x:c r="M303" s="3"/>
      <x:c r="N303" s="3"/>
    </x:row>
    <x:row r="304" ht="19" customHeight="1">
      <x:c r="A304" s="2"/>
      <x:c r="B304" s="2"/>
      <x:c r="C304" s="2" t="n">
        <x:v>5</x:v>
      </x:c>
      <x:c r="D304" s="3" t="str">
        <x:v>USAA</x:v>
      </x:c>
      <x:c r="E304" s="12" t="n">
        <x:v>0.0608955773955774</x:v>
      </x:c>
      <x:c r="F304" s="12" t="n">
        <x:v>0.95</x:v>
      </x:c>
      <x:c r="G304" s="3"/>
      <x:c r="H304" s="3"/>
      <x:c r="I304" s="3"/>
      <x:c r="J304" s="3"/>
      <x:c r="K304" s="3"/>
      <x:c r="L304" s="3"/>
      <x:c r="M304" s="3"/>
      <x:c r="N304" s="3"/>
    </x:row>
    <x:row r="305" ht="19" customHeight="1">
      <x:c r="A305" s="2"/>
      <x:c r="B305" s="2"/>
      <x:c r="C305" s="2" t="n">
        <x:v>5</x:v>
      </x:c>
      <x:c r="D305" s="3" t="str">
        <x:v>Farmers</x:v>
      </x:c>
      <x:c r="E305" s="12" t="n">
        <x:v>0.03732309582309582</x:v>
      </x:c>
      <x:c r="F305" s="12" t="n">
        <x:v>0.9</x:v>
      </x:c>
      <x:c r="G305" s="3"/>
      <x:c r="H305" s="3"/>
      <x:c r="I305" s="3"/>
      <x:c r="J305" s="3"/>
      <x:c r="K305" s="3"/>
      <x:c r="L305" s="3"/>
      <x:c r="M305" s="3"/>
      <x:c r="N305" s="3"/>
    </x:row>
    <x:row r="306" ht="19" customHeight="1">
      <x:c r="A306" s="2"/>
      <x:c r="B306" s="2"/>
      <x:c r="C306" s="2" t="n">
        <x:v>5</x:v>
      </x:c>
      <x:c r="D306" s="3" t="str">
        <x:v>Liberty Mutual</x:v>
      </x:c>
      <x:c r="E306" s="12" t="n">
        <x:v>0.03241216216216216</x:v>
      </x:c>
      <x:c r="F306" s="12" t="n">
        <x:v>0.7</x:v>
      </x:c>
      <x:c r="G306" s="3"/>
      <x:c r="H306" s="3"/>
      <x:c r="I306" s="3"/>
      <x:c r="J306" s="3"/>
      <x:c r="K306" s="3"/>
      <x:c r="L306" s="3"/>
      <x:c r="M306" s="3"/>
      <x:c r="N306" s="3"/>
    </x:row>
    <x:row r="307" ht="19" customHeight="1">
      <x:c r="A307" s="2"/>
      <x:c r="B307" s="2"/>
      <x:c r="C307" s="2" t="n">
        <x:v>5</x:v>
      </x:c>
      <x:c r="D307" s="3" t="str">
        <x:v>Travelers</x:v>
      </x:c>
      <x:c r="E307" s="12" t="n">
        <x:v>0.019643734643734645</x:v>
      </x:c>
      <x:c r="F307" s="12" t="n">
        <x:v>0.85</x:v>
      </x:c>
      <x:c r="G307" s="3"/>
      <x:c r="H307" s="3"/>
      <x:c r="I307" s="3"/>
      <x:c r="J307" s="3"/>
      <x:c r="K307" s="3"/>
      <x:c r="L307" s="3"/>
      <x:c r="M307" s="3"/>
      <x:c r="N307" s="3"/>
    </x:row>
    <x:row r="308" ht="19" customHeight="1">
      <x:c r="A308" s="2"/>
      <x:c r="B308" s="2"/>
      <x:c r="C308" s="2" t="n">
        <x:v>5</x:v>
      </x:c>
      <x:c r="D308" s="3" t="str">
        <x:v>Nationwide</x:v>
      </x:c>
      <x:c r="E308" s="12" t="n">
        <x:v>0.014732800982800982</x:v>
      </x:c>
      <x:c r="F308" s="12" t="n">
        <x:v>0.95</x:v>
      </x:c>
      <x:c r="G308" s="3"/>
      <x:c r="H308" s="3"/>
      <x:c r="I308" s="3"/>
      <x:c r="J308" s="3"/>
      <x:c r="K308" s="3"/>
      <x:c r="L308" s="3"/>
      <x:c r="M308" s="3"/>
      <x:c r="N308" s="3"/>
    </x:row>
    <x:row r="309" ht="19" customHeight="1">
      <x:c r="A309" s="2"/>
      <x:c r="B309" s="2"/>
      <x:c r="C309" s="2" t="n">
        <x:v>5</x:v>
      </x:c>
      <x:c r="D309" s="3" t="str">
        <x:v>Other (Erie, AAA, AmFam, regionals)</x:v>
      </x:c>
      <x:c r="E309" s="12" t="n">
        <x:v>0.23768918918918916</x:v>
      </x:c>
      <x:c r="F309" s="12" t="n">
        <x:v>0.48875</x:v>
      </x:c>
      <x:c r="G309" s="3"/>
      <x:c r="H309" s="3"/>
      <x:c r="I309" s="3"/>
      <x:c r="J309" s="3"/>
      <x:c r="K309" s="3"/>
      <x:c r="L309" s="3"/>
      <x:c r="M309" s="3"/>
      <x:c r="N309" s="3"/>
    </x:row>
    <x:row r="310" ht="19" customHeight="1">
      <x:c r="A310" s="2"/>
      <x:c r="B310" s="2"/>
      <x:c r="C310" s="2" t="n">
        <x:v>6</x:v>
      </x:c>
      <x:c r="D310" s="3" t="str">
        <x:v>State Farm</x:v>
      </x:c>
      <x:c r="E310" s="12" t="n">
        <x:v>0.18182985257985254</x:v>
      </x:c>
      <x:c r="F310" s="12" t="n">
        <x:v>0.48875</x:v>
      </x:c>
      <x:c r="G310" s="3"/>
      <x:c r="H310" s="3"/>
      <x:c r="I310" s="3"/>
      <x:c r="J310" s="3"/>
      <x:c r="K310" s="3"/>
      <x:c r="L310" s="3"/>
      <x:c r="M310" s="3"/>
      <x:c r="N310" s="3"/>
    </x:row>
    <x:row r="311" ht="19" customHeight="1">
      <x:c r="A311" s="2"/>
      <x:c r="B311" s="2"/>
      <x:c r="C311" s="2" t="n">
        <x:v>6</x:v>
      </x:c>
      <x:c r="D311" s="3" t="str">
        <x:v>Progressive</x:v>
      </x:c>
      <x:c r="E311" s="12" t="n">
        <x:v>0.20425000000000001</x:v>
      </x:c>
      <x:c r="F311" s="12" t="n">
        <x:v>0.04999999999999999</x:v>
      </x:c>
      <x:c r="G311" s="3"/>
      <x:c r="H311" s="3"/>
      <x:c r="I311" s="3"/>
      <x:c r="J311" s="3"/>
      <x:c r="K311" s="3"/>
      <x:c r="L311" s="3"/>
      <x:c r="M311" s="3"/>
      <x:c r="N311" s="3"/>
    </x:row>
    <x:row r="312" ht="19" customHeight="1">
      <x:c r="A312" s="2"/>
      <x:c r="B312" s="2"/>
      <x:c r="C312" s="2" t="n">
        <x:v>6</x:v>
      </x:c>
      <x:c r="D312" s="3" t="str">
        <x:v>GEICO</x:v>
      </x:c>
      <x:c r="E312" s="12" t="n">
        <x:v>0.11339926289926289</x:v>
      </x:c>
      <x:c r="F312" s="12" t="n">
        <x:v>0.9019999999999999</x:v>
      </x:c>
      <x:c r="G312" s="3"/>
      <x:c r="H312" s="3"/>
      <x:c r="I312" s="3"/>
      <x:c r="J312" s="3"/>
      <x:c r="K312" s="3"/>
      <x:c r="L312" s="3"/>
      <x:c r="M312" s="3"/>
      <x:c r="N312" s="3"/>
    </x:row>
    <x:row r="313" ht="19" customHeight="1">
      <x:c r="A313" s="2"/>
      <x:c r="B313" s="2"/>
      <x:c r="C313" s="2" t="n">
        <x:v>6</x:v>
      </x:c>
      <x:c r="D313" s="3" t="str">
        <x:v>Allstate</x:v>
      </x:c>
      <x:c r="E313" s="12" t="n">
        <x:v>0.09971314496314494</x:v>
      </x:c>
      <x:c r="F313" s="12" t="n">
        <x:v>0.95</x:v>
      </x:c>
      <x:c r="G313" s="3"/>
      <x:c r="H313" s="3"/>
      <x:c r="I313" s="3"/>
      <x:c r="J313" s="3"/>
      <x:c r="K313" s="3"/>
      <x:c r="L313" s="3"/>
      <x:c r="M313" s="3"/>
      <x:c r="N313" s="3"/>
    </x:row>
    <x:row r="314" ht="19" customHeight="1">
      <x:c r="A314" s="2"/>
      <x:c r="B314" s="2"/>
      <x:c r="C314" s="2" t="n">
        <x:v>6</x:v>
      </x:c>
      <x:c r="D314" s="3" t="str">
        <x:v>USAA</x:v>
      </x:c>
      <x:c r="E314" s="12" t="n">
        <x:v>0.060609950859950856</x:v>
      </x:c>
      <x:c r="F314" s="12" t="n">
        <x:v>0.95</x:v>
      </x:c>
      <x:c r="G314" s="3"/>
      <x:c r="H314" s="3"/>
      <x:c r="I314" s="3"/>
      <x:c r="J314" s="3"/>
      <x:c r="K314" s="3"/>
      <x:c r="L314" s="3"/>
      <x:c r="M314" s="3"/>
      <x:c r="N314" s="3"/>
    </x:row>
    <x:row r="315" ht="19" customHeight="1">
      <x:c r="A315" s="2"/>
      <x:c r="B315" s="2"/>
      <x:c r="C315" s="2" t="n">
        <x:v>6</x:v>
      </x:c>
      <x:c r="D315" s="3" t="str">
        <x:v>Farmers</x:v>
      </x:c>
      <x:c r="E315" s="12" t="n">
        <x:v>0.037148034398034394</x:v>
      </x:c>
      <x:c r="F315" s="12" t="n">
        <x:v>0.9</x:v>
      </x:c>
      <x:c r="G315" s="3"/>
      <x:c r="H315" s="3"/>
      <x:c r="I315" s="3"/>
      <x:c r="J315" s="3"/>
      <x:c r="K315" s="3"/>
      <x:c r="L315" s="3"/>
      <x:c r="M315" s="3"/>
      <x:c r="N315" s="3"/>
    </x:row>
    <x:row r="316" ht="19" customHeight="1">
      <x:c r="A316" s="2"/>
      <x:c r="B316" s="2"/>
      <x:c r="C316" s="2" t="n">
        <x:v>6</x:v>
      </x:c>
      <x:c r="D316" s="3" t="str">
        <x:v>Liberty Mutual</x:v>
      </x:c>
      <x:c r="E316" s="12" t="n">
        <x:v>0.03226013513513513</x:v>
      </x:c>
      <x:c r="F316" s="12" t="n">
        <x:v>0.7</x:v>
      </x:c>
      <x:c r="G316" s="3"/>
      <x:c r="H316" s="3"/>
      <x:c r="I316" s="3"/>
      <x:c r="J316" s="3"/>
      <x:c r="K316" s="3"/>
      <x:c r="L316" s="3"/>
      <x:c r="M316" s="3"/>
      <x:c r="N316" s="3"/>
    </x:row>
    <x:row r="317" ht="19" customHeight="1">
      <x:c r="A317" s="2"/>
      <x:c r="B317" s="2"/>
      <x:c r="C317" s="2" t="n">
        <x:v>6</x:v>
      </x:c>
      <x:c r="D317" s="3" t="str">
        <x:v>Travelers</x:v>
      </x:c>
      <x:c r="E317" s="12" t="n">
        <x:v>0.01955159705159705</x:v>
      </x:c>
      <x:c r="F317" s="12" t="n">
        <x:v>0.85</x:v>
      </x:c>
      <x:c r="G317" s="3"/>
      <x:c r="H317" s="3"/>
      <x:c r="I317" s="3"/>
      <x:c r="J317" s="3"/>
      <x:c r="K317" s="3"/>
      <x:c r="L317" s="3"/>
      <x:c r="M317" s="3"/>
      <x:c r="N317" s="3"/>
    </x:row>
    <x:row r="318" ht="19" customHeight="1">
      <x:c r="A318" s="2"/>
      <x:c r="B318" s="2"/>
      <x:c r="C318" s="2" t="n">
        <x:v>6</x:v>
      </x:c>
      <x:c r="D318" s="3" t="str">
        <x:v>Nationwide</x:v>
      </x:c>
      <x:c r="E318" s="12" t="n">
        <x:v>0.014663697788697786</x:v>
      </x:c>
      <x:c r="F318" s="12" t="n">
        <x:v>0.95</x:v>
      </x:c>
      <x:c r="G318" s="3"/>
      <x:c r="H318" s="3"/>
      <x:c r="I318" s="3"/>
      <x:c r="J318" s="3"/>
      <x:c r="K318" s="3"/>
      <x:c r="L318" s="3"/>
      <x:c r="M318" s="3"/>
      <x:c r="N318" s="3"/>
    </x:row>
    <x:row r="319" ht="19" customHeight="1">
      <x:c r="A319" s="2"/>
      <x:c r="B319" s="2"/>
      <x:c r="C319" s="2" t="n">
        <x:v>6</x:v>
      </x:c>
      <x:c r="D319" s="3" t="str">
        <x:v>Other (Erie, AAA, AmFam, regionals)</x:v>
      </x:c>
      <x:c r="E319" s="12" t="n">
        <x:v>0.2365743243243243</x:v>
      </x:c>
      <x:c r="F319" s="12" t="n">
        <x:v>0.483125</x:v>
      </x:c>
      <x:c r="G319" s="3"/>
      <x:c r="H319" s="3"/>
      <x:c r="I319" s="3"/>
      <x:c r="J319" s="3"/>
      <x:c r="K319" s="3"/>
      <x:c r="L319" s="3"/>
      <x:c r="M319" s="3"/>
      <x:c r="N319" s="3"/>
    </x:row>
    <x:row r="320" ht="19" customHeight="1">
      <x:c r="A320" s="2"/>
      <x:c r="B320" s="2"/>
      <x:c r="C320" s="2" t="n">
        <x:v>7</x:v>
      </x:c>
      <x:c r="D320" s="3" t="str">
        <x:v>State Farm</x:v>
      </x:c>
      <x:c r="E320" s="12" t="n">
        <x:v>0.18097297297297296</x:v>
      </x:c>
      <x:c r="F320" s="12" t="n">
        <x:v>0.4775</x:v>
      </x:c>
      <x:c r="G320" s="3"/>
      <x:c r="H320" s="3"/>
      <x:c r="I320" s="3"/>
      <x:c r="J320" s="3"/>
      <x:c r="K320" s="3"/>
      <x:c r="L320" s="3"/>
      <x:c r="M320" s="3"/>
      <x:c r="N320" s="3"/>
    </x:row>
    <x:row r="321" ht="19" customHeight="1">
      <x:c r="A321" s="2"/>
      <x:c r="B321" s="2"/>
      <x:c r="C321" s="2" t="n">
        <x:v>7</x:v>
      </x:c>
      <x:c r="D321" s="3" t="str">
        <x:v>Progressive</x:v>
      </x:c>
      <x:c r="E321" s="12" t="n">
        <x:v>0.20800000000000002</x:v>
      </x:c>
      <x:c r="F321" s="12" t="n">
        <x:v>0.04999999999999999</x:v>
      </x:c>
      <x:c r="G321" s="3"/>
      <x:c r="H321" s="3"/>
      <x:c r="I321" s="3"/>
      <x:c r="J321" s="3"/>
      <x:c r="K321" s="3"/>
      <x:c r="L321" s="3"/>
      <x:c r="M321" s="3"/>
      <x:c r="N321" s="3"/>
    </x:row>
    <x:row r="322" ht="19" customHeight="1">
      <x:c r="A322" s="2"/>
      <x:c r="B322" s="2"/>
      <x:c r="C322" s="2" t="n">
        <x:v>7</x:v>
      </x:c>
      <x:c r="D322" s="3" t="str">
        <x:v>GEICO</x:v>
      </x:c>
      <x:c r="E322" s="12" t="n">
        <x:v>0.11286486486486487</x:v>
      </x:c>
      <x:c r="F322" s="12" t="n">
        <x:v>0.9019999999999999</x:v>
      </x:c>
      <x:c r="G322" s="3"/>
      <x:c r="H322" s="3"/>
      <x:c r="I322" s="3"/>
      <x:c r="J322" s="3"/>
      <x:c r="K322" s="3"/>
      <x:c r="L322" s="3"/>
      <x:c r="M322" s="3"/>
      <x:c r="N322" s="3"/>
    </x:row>
    <x:row r="323" ht="19" customHeight="1">
      <x:c r="A323" s="2"/>
      <x:c r="B323" s="2"/>
      <x:c r="C323" s="2" t="n">
        <x:v>7</x:v>
      </x:c>
      <x:c r="D323" s="3" t="str">
        <x:v>Allstate</x:v>
      </x:c>
      <x:c r="E323" s="12" t="n">
        <x:v>0.09924324324324323</x:v>
      </x:c>
      <x:c r="F323" s="12" t="n">
        <x:v>0.95</x:v>
      </x:c>
      <x:c r="G323" s="3"/>
      <x:c r="H323" s="3"/>
      <x:c r="I323" s="3"/>
      <x:c r="J323" s="3"/>
      <x:c r="K323" s="3"/>
      <x:c r="L323" s="3"/>
      <x:c r="M323" s="3"/>
      <x:c r="N323" s="3"/>
    </x:row>
    <x:row r="324" ht="19" customHeight="1">
      <x:c r="A324" s="2"/>
      <x:c r="B324" s="2"/>
      <x:c r="C324" s="2" t="n">
        <x:v>7</x:v>
      </x:c>
      <x:c r="D324" s="3" t="str">
        <x:v>USAA</x:v>
      </x:c>
      <x:c r="E324" s="12" t="n">
        <x:v>0.06032432432432432</x:v>
      </x:c>
      <x:c r="F324" s="12" t="n">
        <x:v>0.95</x:v>
      </x:c>
      <x:c r="G324" s="3"/>
      <x:c r="H324" s="3"/>
      <x:c r="I324" s="3"/>
      <x:c r="J324" s="3"/>
      <x:c r="K324" s="3"/>
      <x:c r="L324" s="3"/>
      <x:c r="M324" s="3"/>
      <x:c r="N324" s="3"/>
    </x:row>
    <x:row r="325" ht="19" customHeight="1">
      <x:c r="A325" s="2"/>
      <x:c r="B325" s="2"/>
      <x:c r="C325" s="2" t="n">
        <x:v>7</x:v>
      </x:c>
      <x:c r="D325" s="3" t="str">
        <x:v>Farmers</x:v>
      </x:c>
      <x:c r="E325" s="12" t="n">
        <x:v>0.03697297297297297</x:v>
      </x:c>
      <x:c r="F325" s="12" t="n">
        <x:v>0.9</x:v>
      </x:c>
      <x:c r="G325" s="3"/>
      <x:c r="H325" s="3"/>
      <x:c r="I325" s="3"/>
      <x:c r="J325" s="3"/>
      <x:c r="K325" s="3"/>
      <x:c r="L325" s="3"/>
      <x:c r="M325" s="3"/>
      <x:c r="N325" s="3"/>
    </x:row>
    <x:row r="326" ht="19" customHeight="1">
      <x:c r="A326" s="2"/>
      <x:c r="B326" s="2"/>
      <x:c r="C326" s="2" t="n">
        <x:v>7</x:v>
      </x:c>
      <x:c r="D326" s="3" t="str">
        <x:v>Liberty Mutual</x:v>
      </x:c>
      <x:c r="E326" s="12" t="n">
        <x:v>0.03210810810810811</x:v>
      </x:c>
      <x:c r="F326" s="12" t="n">
        <x:v>0.7</x:v>
      </x:c>
      <x:c r="G326" s="3"/>
      <x:c r="H326" s="3"/>
      <x:c r="I326" s="3"/>
      <x:c r="J326" s="3"/>
      <x:c r="K326" s="3"/>
      <x:c r="L326" s="3"/>
      <x:c r="M326" s="3"/>
      <x:c r="N326" s="3"/>
    </x:row>
    <x:row r="327" ht="19" customHeight="1">
      <x:c r="A327" s="2"/>
      <x:c r="B327" s="2"/>
      <x:c r="C327" s="2" t="n">
        <x:v>7</x:v>
      </x:c>
      <x:c r="D327" s="3" t="str">
        <x:v>Travelers</x:v>
      </x:c>
      <x:c r="E327" s="12" t="n">
        <x:v>0.01945945945945946</x:v>
      </x:c>
      <x:c r="F327" s="12" t="n">
        <x:v>0.85</x:v>
      </x:c>
      <x:c r="G327" s="3"/>
      <x:c r="H327" s="3"/>
      <x:c r="I327" s="3"/>
      <x:c r="J327" s="3"/>
      <x:c r="K327" s="3"/>
      <x:c r="L327" s="3"/>
      <x:c r="M327" s="3"/>
      <x:c r="N327" s="3"/>
    </x:row>
    <x:row r="328" ht="19" customHeight="1">
      <x:c r="A328" s="2"/>
      <x:c r="B328" s="2"/>
      <x:c r="C328" s="2" t="n">
        <x:v>7</x:v>
      </x:c>
      <x:c r="D328" s="3" t="str">
        <x:v>Nationwide</x:v>
      </x:c>
      <x:c r="E328" s="12" t="n">
        <x:v>0.014594594594594593</x:v>
      </x:c>
      <x:c r="F328" s="12" t="n">
        <x:v>0.95</x:v>
      </x:c>
      <x:c r="G328" s="3"/>
      <x:c r="H328" s="3"/>
      <x:c r="I328" s="3"/>
      <x:c r="J328" s="3"/>
      <x:c r="K328" s="3"/>
      <x:c r="L328" s="3"/>
      <x:c r="M328" s="3"/>
      <x:c r="N328" s="3"/>
    </x:row>
    <x:row r="329" ht="19" customHeight="1">
      <x:c r="A329" s="2"/>
      <x:c r="B329" s="2"/>
      <x:c r="C329" s="2" t="n">
        <x:v>7</x:v>
      </x:c>
      <x:c r="D329" s="3" t="str">
        <x:v>Other (Erie, AAA, AmFam, regionals)</x:v>
      </x:c>
      <x:c r="E329" s="12" t="n">
        <x:v>0.23545945945945945</x:v>
      </x:c>
      <x:c r="F329" s="12" t="n">
        <x:v>0.4775</x:v>
      </x:c>
      <x:c r="G329" s="3"/>
      <x:c r="H329" s="3"/>
      <x:c r="I329" s="3"/>
      <x:c r="J329" s="3"/>
      <x:c r="K329" s="3"/>
      <x:c r="L329" s="3"/>
      <x:c r="M329" s="3"/>
      <x:c r="N329" s="3"/>
    </x:row>
    <x:row r="330" ht="19" customHeight="1">
      <x:c r="A330" s="2"/>
      <x:c r="B330" s="2"/>
      <x:c r="C330" s="2"/>
      <x:c r="D330" s="3"/>
      <x:c r="E330" s="3"/>
      <x:c r="F330" s="3"/>
      <x:c r="G330" s="3"/>
      <x:c r="H330" s="3"/>
      <x:c r="I330" s="3"/>
      <x:c r="J330" s="3"/>
      <x:c r="K330" s="3"/>
      <x:c r="L330" s="3"/>
      <x:c r="M330" s="3"/>
      <x:c r="N330" s="3"/>
    </x:row>
    <x:row r="331" ht="19" customHeight="1">
      <x:c r="A331" s="2"/>
      <x:c r="B331" s="2"/>
      <x:c r="C331" s="2"/>
      <x:c r="D331" s="3"/>
      <x:c r="E331" s="3"/>
      <x:c r="F331" s="3"/>
      <x:c r="G331" s="3"/>
      <x:c r="H331" s="3"/>
      <x:c r="I331" s="3"/>
      <x:c r="J331" s="3"/>
      <x:c r="K331" s="3"/>
      <x:c r="L331" s="3"/>
      <x:c r="M331" s="3"/>
      <x:c r="N331" s="3"/>
    </x:row>
    <x:row r="332" ht="19" customHeight="1">
      <x:c r="A332" s="2"/>
      <x:c r="B332" s="2"/>
      <x:c r="C332" s="2"/>
      <x:c r="D332" s="3"/>
      <x:c r="E332" s="3"/>
      <x:c r="F332" s="3"/>
      <x:c r="G332" s="3"/>
      <x:c r="H332" s="3"/>
      <x:c r="I332" s="3"/>
      <x:c r="J332" s="3"/>
      <x:c r="K332" s="3"/>
      <x:c r="L332" s="3"/>
      <x:c r="M332" s="3"/>
      <x:c r="N332" s="3"/>
    </x:row>
    <x:row r="333" ht="19" customHeight="1">
      <x:c r="A333" s="2"/>
      <x:c r="B333" s="2"/>
      <x:c r="C333" s="2"/>
      <x:c r="D333" s="3"/>
      <x:c r="E333" s="3"/>
      <x:c r="F333" s="3"/>
      <x:c r="G333" s="3"/>
      <x:c r="H333" s="3"/>
      <x:c r="I333" s="3"/>
      <x:c r="J333" s="3"/>
      <x:c r="K333" s="3"/>
      <x:c r="L333" s="3"/>
      <x:c r="M333" s="3"/>
      <x:c r="N333" s="3"/>
    </x:row>
    <x:row r="334" ht="19" customHeight="1">
      <x:c r="A334" s="2"/>
      <x:c r="B334" s="2"/>
      <x:c r="C334" s="2"/>
      <x:c r="D334" s="3"/>
      <x:c r="E334" s="3"/>
      <x:c r="F334" s="3"/>
      <x:c r="G334" s="3"/>
      <x:c r="H334" s="3"/>
      <x:c r="I334" s="3"/>
      <x:c r="J334" s="3"/>
      <x:c r="K334" s="3"/>
      <x:c r="L334" s="3"/>
      <x:c r="M334" s="3"/>
      <x:c r="N334" s="3"/>
    </x:row>
    <x:row r="335" ht="19" customHeight="1">
      <x:c r="A335" s="2"/>
      <x:c r="B335" s="2"/>
      <x:c r="C335" s="2"/>
      <x:c r="D335" s="3"/>
      <x:c r="E335" s="3"/>
      <x:c r="F335" s="3"/>
      <x:c r="G335" s="3"/>
      <x:c r="H335" s="3"/>
      <x:c r="I335" s="3"/>
      <x:c r="J335" s="3"/>
      <x:c r="K335" s="3"/>
      <x:c r="L335" s="3"/>
      <x:c r="M335" s="3"/>
      <x:c r="N335" s="3"/>
    </x:row>
    <x:row r="336" ht="19" customHeight="1">
      <x:c r="A336" s="2"/>
      <x:c r="B336" s="2"/>
      <x:c r="C336" s="2"/>
      <x:c r="D336" s="3"/>
      <x:c r="E336" s="3"/>
      <x:c r="F336" s="3"/>
      <x:c r="G336" s="3"/>
      <x:c r="H336" s="3"/>
      <x:c r="I336" s="3"/>
      <x:c r="J336" s="3"/>
      <x:c r="K336" s="3"/>
      <x:c r="L336" s="3"/>
      <x:c r="M336" s="3"/>
      <x:c r="N336" s="3"/>
    </x:row>
    <x:row r="337" ht="19" customHeight="1">
      <x:c r="A337" s="2"/>
      <x:c r="B337" s="2"/>
      <x:c r="C337" s="2"/>
      <x:c r="D337" s="3"/>
      <x:c r="E337" s="3"/>
      <x:c r="F337" s="3"/>
      <x:c r="G337" s="3"/>
      <x:c r="H337" s="3"/>
      <x:c r="I337" s="3"/>
      <x:c r="J337" s="3"/>
      <x:c r="K337" s="3"/>
      <x:c r="L337" s="3"/>
      <x:c r="M337" s="3"/>
      <x:c r="N337" s="3"/>
    </x:row>
    <x:row r="338" ht="19" customHeight="1">
      <x:c r="A338" s="2"/>
      <x:c r="B338" s="2"/>
      <x:c r="C338" s="2"/>
      <x:c r="D338" s="3"/>
      <x:c r="E338" s="3"/>
      <x:c r="F338" s="3"/>
      <x:c r="G338" s="3"/>
      <x:c r="H338" s="3"/>
      <x:c r="I338" s="3"/>
      <x:c r="J338" s="3"/>
      <x:c r="K338" s="3"/>
      <x:c r="L338" s="3"/>
      <x:c r="M338" s="3"/>
      <x:c r="N338" s="3"/>
    </x:row>
  </x:sheetData>
  <x:mergeCells>
    <x:mergeCell ref="C225:K225"/>
    <x:mergeCell ref="C227:K227"/>
    <x:mergeCell ref="C229:K229"/>
    <x:mergeCell ref="C231:K23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24" customHeight="1">
      <x:c r="A2" s="2"/>
      <x:c r="B2" s="2"/>
      <x:c r="C2" s="5" t="str">
        <x:v>Buyer fee schedules — September 2026</x:v>
      </x:c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</x:row>
    <x:row r="5" ht="30" customHeight="1">
      <x:c r="A5" s="2"/>
      <x:c r="B5" s="2"/>
      <x:c r="C5" s="8" t="str">
        <x:v>Bid lower</x:v>
      </x:c>
      <x:c r="D5" s="8" t="str">
        <x:v>Standard fixed</x:v>
      </x:c>
      <x:c r="E5" s="8" t="str">
        <x:v>Standard rate</x:v>
      </x:c>
      <x:c r="F5" s="8" t="str">
        <x:v>Preferred fixed</x:v>
      </x:c>
      <x:c r="G5" s="8" t="str">
        <x:v>Preferred rate</x:v>
      </x:c>
      <x:c r="H5" s="2"/>
      <x:c r="I5" s="8" t="str">
        <x:v>Prebid lower</x:v>
      </x:c>
      <x:c r="J5" s="8" t="str">
        <x:v>Prebid fee</x:v>
      </x:c>
      <x:c r="K5" s="2"/>
      <x:c r="L5" s="2"/>
      <x:c r="M5" s="2"/>
    </x:row>
    <x:row r="6" ht="19" customHeight="1">
      <x:c r="A6" s="2"/>
      <x:c r="B6" s="2"/>
      <x:c r="C6" s="2" t="n">
        <x:v>0</x:v>
      </x:c>
      <x:c r="D6" s="3" t="n">
        <x:v>25</x:v>
      </x:c>
      <x:c r="E6" s="12" t="n">
        <x:v>0</x:v>
      </x:c>
      <x:c r="F6" s="3" t="n">
        <x:v>1</x:v>
      </x:c>
      <x:c r="G6" s="12" t="n">
        <x:v>0</x:v>
      </x:c>
      <x:c r="H6" s="3"/>
      <x:c r="I6" s="3" t="n">
        <x:v>0</x:v>
      </x:c>
      <x:c r="J6" s="3" t="n">
        <x:v>0</x:v>
      </x:c>
      <x:c r="K6" s="3"/>
      <x:c r="L6" s="3"/>
      <x:c r="M6" s="3"/>
    </x:row>
    <x:row r="7" ht="19" customHeight="1">
      <x:c r="A7" s="2"/>
      <x:c r="B7" s="2"/>
      <x:c r="C7" s="2" t="n">
        <x:v>50</x:v>
      </x:c>
      <x:c r="D7" s="3" t="n">
        <x:v>45</x:v>
      </x:c>
      <x:c r="E7" s="12" t="n">
        <x:v>0</x:v>
      </x:c>
      <x:c r="F7" s="3" t="n">
        <x:v>1</x:v>
      </x:c>
      <x:c r="G7" s="12" t="n">
        <x:v>0</x:v>
      </x:c>
      <x:c r="H7" s="3"/>
      <x:c r="I7" s="3" t="n">
        <x:v>100</x:v>
      </x:c>
      <x:c r="J7" s="3" t="n">
        <x:v>40</x:v>
      </x:c>
      <x:c r="K7" s="3"/>
      <x:c r="L7" s="3"/>
      <x:c r="M7" s="3"/>
    </x:row>
    <x:row r="8" ht="19" customHeight="1">
      <x:c r="A8" s="2"/>
      <x:c r="B8" s="2"/>
      <x:c r="C8" s="2" t="n">
        <x:v>100</x:v>
      </x:c>
      <x:c r="D8" s="3" t="n">
        <x:v>80</x:v>
      </x:c>
      <x:c r="E8" s="12" t="n">
        <x:v>0</x:v>
      </x:c>
      <x:c r="F8" s="3" t="n">
        <x:v>25</x:v>
      </x:c>
      <x:c r="G8" s="12" t="n">
        <x:v>0</x:v>
      </x:c>
      <x:c r="H8" s="3"/>
      <x:c r="I8" s="3" t="n">
        <x:v>500</x:v>
      </x:c>
      <x:c r="J8" s="3" t="n">
        <x:v>55</x:v>
      </x:c>
      <x:c r="K8" s="3"/>
      <x:c r="L8" s="3"/>
      <x:c r="M8" s="3"/>
    </x:row>
    <x:row r="9" ht="19" customHeight="1">
      <x:c r="A9" s="2"/>
      <x:c r="B9" s="2"/>
      <x:c r="C9" s="2" t="n">
        <x:v>200</x:v>
      </x:c>
      <x:c r="D9" s="3" t="n">
        <x:v>130</x:v>
      </x:c>
      <x:c r="E9" s="12" t="n">
        <x:v>0</x:v>
      </x:c>
      <x:c r="F9" s="3" t="n">
        <x:v>60</x:v>
      </x:c>
      <x:c r="G9" s="12" t="n">
        <x:v>0</x:v>
      </x:c>
      <x:c r="H9" s="3"/>
      <x:c r="I9" s="3" t="n">
        <x:v>1000</x:v>
      </x:c>
      <x:c r="J9" s="3" t="n">
        <x:v>75</x:v>
      </x:c>
      <x:c r="K9" s="3"/>
      <x:c r="L9" s="3"/>
      <x:c r="M9" s="3"/>
    </x:row>
    <x:row r="10" ht="19" customHeight="1">
      <x:c r="A10" s="2"/>
      <x:c r="B10" s="2"/>
      <x:c r="C10" s="2" t="n">
        <x:v>300</x:v>
      </x:c>
      <x:c r="D10" s="3" t="n">
        <x:v>137.5</x:v>
      </x:c>
      <x:c r="E10" s="12" t="n">
        <x:v>0</x:v>
      </x:c>
      <x:c r="F10" s="3" t="n">
        <x:v>85</x:v>
      </x:c>
      <x:c r="G10" s="12" t="n">
        <x:v>0</x:v>
      </x:c>
      <x:c r="H10" s="3"/>
      <x:c r="I10" s="3" t="n">
        <x:v>1500</x:v>
      </x:c>
      <x:c r="J10" s="3" t="n">
        <x:v>85</x:v>
      </x:c>
      <x:c r="K10" s="3"/>
      <x:c r="L10" s="3"/>
      <x:c r="M10" s="3"/>
    </x:row>
    <x:row r="11" ht="19" customHeight="1">
      <x:c r="A11" s="2"/>
      <x:c r="B11" s="2"/>
      <x:c r="C11" s="2" t="n">
        <x:v>350</x:v>
      </x:c>
      <x:c r="D11" s="3" t="n">
        <x:v>145</x:v>
      </x:c>
      <x:c r="E11" s="12" t="n">
        <x:v>0</x:v>
      </x:c>
      <x:c r="F11" s="3" t="n">
        <x:v>100</x:v>
      </x:c>
      <x:c r="G11" s="12" t="n">
        <x:v>0</x:v>
      </x:c>
      <x:c r="H11" s="3"/>
      <x:c r="I11" s="3" t="n">
        <x:v>2000</x:v>
      </x:c>
      <x:c r="J11" s="3" t="n">
        <x:v>100</x:v>
      </x:c>
      <x:c r="K11" s="3"/>
      <x:c r="L11" s="3"/>
      <x:c r="M11" s="3"/>
    </x:row>
    <x:row r="12" ht="19" customHeight="1">
      <x:c r="A12" s="2"/>
      <x:c r="B12" s="2"/>
      <x:c r="C12" s="2" t="n">
        <x:v>400</x:v>
      </x:c>
      <x:c r="D12" s="3" t="n">
        <x:v>175</x:v>
      </x:c>
      <x:c r="E12" s="12" t="n">
        <x:v>0</x:v>
      </x:c>
      <x:c r="F12" s="3" t="n">
        <x:v>125</x:v>
      </x:c>
      <x:c r="G12" s="12" t="n">
        <x:v>0</x:v>
      </x:c>
      <x:c r="H12" s="3"/>
      <x:c r="I12" s="3" t="n">
        <x:v>4000</x:v>
      </x:c>
      <x:c r="J12" s="3" t="n">
        <x:v>110</x:v>
      </x:c>
      <x:c r="K12" s="3"/>
      <x:c r="L12" s="3"/>
      <x:c r="M12" s="3"/>
    </x:row>
    <x:row r="13" ht="19" customHeight="1">
      <x:c r="A13" s="2"/>
      <x:c r="B13" s="2"/>
      <x:c r="C13" s="2" t="n">
        <x:v>450</x:v>
      </x:c>
      <x:c r="D13" s="3" t="n">
        <x:v>185</x:v>
      </x:c>
      <x:c r="E13" s="12" t="n">
        <x:v>0</x:v>
      </x:c>
      <x:c r="F13" s="3" t="n">
        <x:v>135</x:v>
      </x:c>
      <x:c r="G13" s="12" t="n">
        <x:v>0</x:v>
      </x:c>
      <x:c r="H13" s="3"/>
      <x:c r="I13" s="3" t="n">
        <x:v>6000</x:v>
      </x:c>
      <x:c r="J13" s="3" t="n">
        <x:v>125</x:v>
      </x:c>
      <x:c r="K13" s="3"/>
      <x:c r="L13" s="3"/>
      <x:c r="M13" s="3"/>
    </x:row>
    <x:row r="14" ht="19" customHeight="1">
      <x:c r="A14" s="2"/>
      <x:c r="B14" s="2"/>
      <x:c r="C14" s="2" t="n">
        <x:v>500</x:v>
      </x:c>
      <x:c r="D14" s="3" t="n">
        <x:v>205</x:v>
      </x:c>
      <x:c r="E14" s="12" t="n">
        <x:v>0</x:v>
      </x:c>
      <x:c r="F14" s="3" t="n">
        <x:v>145</x:v>
      </x:c>
      <x:c r="G14" s="12" t="n">
        <x:v>0</x:v>
      </x:c>
      <x:c r="H14" s="3"/>
      <x:c r="I14" s="3" t="n">
        <x:v>8000</x:v>
      </x:c>
      <x:c r="J14" s="3" t="n">
        <x:v>140</x:v>
      </x:c>
      <x:c r="K14" s="3"/>
      <x:c r="L14" s="3"/>
      <x:c r="M14" s="3"/>
    </x:row>
    <x:row r="15" ht="19" customHeight="1">
      <x:c r="A15" s="2"/>
      <x:c r="B15" s="2"/>
      <x:c r="C15" s="2" t="n">
        <x:v>550</x:v>
      </x:c>
      <x:c r="D15" s="3" t="n">
        <x:v>210</x:v>
      </x:c>
      <x:c r="E15" s="12" t="n">
        <x:v>0</x:v>
      </x:c>
      <x:c r="F15" s="3" t="n">
        <x:v>155</x:v>
      </x:c>
      <x:c r="G15" s="12" t="n">
        <x:v>0</x:v>
      </x:c>
      <x:c r="H15" s="3"/>
      <x:c r="I15" s="3"/>
      <x:c r="J15" s="3"/>
      <x:c r="K15" s="3"/>
      <x:c r="L15" s="3"/>
      <x:c r="M15" s="3"/>
    </x:row>
    <x:row r="16" ht="19" customHeight="1">
      <x:c r="A16" s="2"/>
      <x:c r="B16" s="2"/>
      <x:c r="C16" s="2" t="n">
        <x:v>600</x:v>
      </x:c>
      <x:c r="D16" s="3" t="n">
        <x:v>240</x:v>
      </x:c>
      <x:c r="E16" s="12" t="n">
        <x:v>0</x:v>
      </x:c>
      <x:c r="F16" s="3" t="n">
        <x:v>170</x:v>
      </x:c>
      <x:c r="G16" s="12" t="n">
        <x:v>0</x:v>
      </x:c>
      <x:c r="H16" s="3"/>
      <x:c r="I16" s="3"/>
      <x:c r="J16" s="3"/>
      <x:c r="K16" s="3"/>
      <x:c r="L16" s="3"/>
      <x:c r="M16" s="3"/>
    </x:row>
    <x:row r="17" ht="19" customHeight="1">
      <x:c r="A17" s="2"/>
      <x:c r="B17" s="2"/>
      <x:c r="C17" s="2" t="n">
        <x:v>700</x:v>
      </x:c>
      <x:c r="D17" s="3" t="n">
        <x:v>270</x:v>
      </x:c>
      <x:c r="E17" s="12" t="n">
        <x:v>0</x:v>
      </x:c>
      <x:c r="F17" s="3" t="n">
        <x:v>195</x:v>
      </x:c>
      <x:c r="G17" s="12" t="n">
        <x:v>0</x:v>
      </x:c>
      <x:c r="H17" s="3"/>
      <x:c r="I17" s="3"/>
      <x:c r="J17" s="3"/>
      <x:c r="K17" s="3"/>
      <x:c r="L17" s="3"/>
      <x:c r="M17" s="3"/>
    </x:row>
    <x:row r="18" ht="19" customHeight="1">
      <x:c r="A18" s="2"/>
      <x:c r="B18" s="2"/>
      <x:c r="C18" s="2" t="n">
        <x:v>800</x:v>
      </x:c>
      <x:c r="D18" s="3" t="n">
        <x:v>295</x:v>
      </x:c>
      <x:c r="E18" s="12" t="n">
        <x:v>0</x:v>
      </x:c>
      <x:c r="F18" s="3" t="n">
        <x:v>215</x:v>
      </x:c>
      <x:c r="G18" s="12" t="n">
        <x:v>0</x:v>
      </x:c>
      <x:c r="H18" s="3"/>
      <x:c r="I18" s="3"/>
      <x:c r="J18" s="3"/>
      <x:c r="K18" s="3"/>
      <x:c r="L18" s="3"/>
      <x:c r="M18" s="3"/>
    </x:row>
    <x:row r="19" ht="19" customHeight="1">
      <x:c r="A19" s="2"/>
      <x:c r="B19" s="2"/>
      <x:c r="C19" s="2" t="n">
        <x:v>900</x:v>
      </x:c>
      <x:c r="D19" s="3" t="n">
        <x:v>320</x:v>
      </x:c>
      <x:c r="E19" s="12" t="n">
        <x:v>0</x:v>
      </x:c>
      <x:c r="F19" s="3" t="n">
        <x:v>230</x:v>
      </x:c>
      <x:c r="G19" s="12" t="n">
        <x:v>0</x:v>
      </x:c>
      <x:c r="H19" s="3"/>
      <x:c r="I19" s="3"/>
      <x:c r="J19" s="3"/>
      <x:c r="K19" s="3"/>
      <x:c r="L19" s="3"/>
      <x:c r="M19" s="3"/>
    </x:row>
    <x:row r="20" ht="19" customHeight="1">
      <x:c r="A20" s="2"/>
      <x:c r="B20" s="2"/>
      <x:c r="C20" s="2" t="n">
        <x:v>1000</x:v>
      </x:c>
      <x:c r="D20" s="3" t="n">
        <x:v>375</x:v>
      </x:c>
      <x:c r="E20" s="12" t="n">
        <x:v>0</x:v>
      </x:c>
      <x:c r="F20" s="3" t="n">
        <x:v>250</x:v>
      </x:c>
      <x:c r="G20" s="12" t="n">
        <x:v>0</x:v>
      </x:c>
      <x:c r="H20" s="3"/>
      <x:c r="I20" s="3" t="str">
        <x:v>Gate</x:v>
      </x:c>
      <x:c r="J20" s="3" t="n">
        <x:v>95</x:v>
      </x:c>
      <x:c r="K20" s="3"/>
      <x:c r="L20" s="3"/>
      <x:c r="M20" s="3"/>
    </x:row>
    <x:row r="21" ht="19" customHeight="1">
      <x:c r="A21" s="2"/>
      <x:c r="B21" s="2"/>
      <x:c r="C21" s="2" t="n">
        <x:v>1200</x:v>
      </x:c>
      <x:c r="D21" s="3" t="n">
        <x:v>395</x:v>
      </x:c>
      <x:c r="E21" s="12" t="n">
        <x:v>0</x:v>
      </x:c>
      <x:c r="F21" s="3" t="n">
        <x:v>270</x:v>
      </x:c>
      <x:c r="G21" s="12" t="n">
        <x:v>0</x:v>
      </x:c>
      <x:c r="H21" s="3"/>
      <x:c r="I21" s="3" t="str">
        <x:v>Environment</x:v>
      </x:c>
      <x:c r="J21" s="3" t="n">
        <x:v>15</x:v>
      </x:c>
      <x:c r="K21" s="3"/>
      <x:c r="L21" s="3"/>
      <x:c r="M21" s="3"/>
    </x:row>
    <x:row r="22" ht="19" customHeight="1">
      <x:c r="A22" s="2"/>
      <x:c r="B22" s="2"/>
      <x:c r="C22" s="2" t="n">
        <x:v>1300</x:v>
      </x:c>
      <x:c r="D22" s="3" t="n">
        <x:v>410</x:v>
      </x:c>
      <x:c r="E22" s="12" t="n">
        <x:v>0</x:v>
      </x:c>
      <x:c r="F22" s="3" t="n">
        <x:v>285</x:v>
      </x:c>
      <x:c r="G22" s="12" t="n">
        <x:v>0</x:v>
      </x:c>
      <x:c r="H22" s="3"/>
      <x:c r="I22" s="3"/>
      <x:c r="J22" s="3"/>
      <x:c r="K22" s="3"/>
      <x:c r="L22" s="3"/>
      <x:c r="M22" s="3"/>
    </x:row>
    <x:row r="23" ht="19" customHeight="1">
      <x:c r="A23" s="2"/>
      <x:c r="B23" s="2"/>
      <x:c r="C23" s="2" t="n">
        <x:v>1400</x:v>
      </x:c>
      <x:c r="D23" s="3" t="n">
        <x:v>430</x:v>
      </x:c>
      <x:c r="E23" s="12" t="n">
        <x:v>0</x:v>
      </x:c>
      <x:c r="F23" s="3" t="n">
        <x:v>300</x:v>
      </x:c>
      <x:c r="G23" s="12" t="n">
        <x:v>0</x:v>
      </x:c>
      <x:c r="H23" s="3"/>
      <x:c r="I23" s="3"/>
      <x:c r="J23" s="3"/>
      <x:c r="K23" s="3"/>
      <x:c r="L23" s="3"/>
      <x:c r="M23" s="3"/>
    </x:row>
    <x:row r="24" ht="19" customHeight="1">
      <x:c r="A24" s="2"/>
      <x:c r="B24" s="2"/>
      <x:c r="C24" s="2" t="n">
        <x:v>1500</x:v>
      </x:c>
      <x:c r="D24" s="3" t="n">
        <x:v>445</x:v>
      </x:c>
      <x:c r="E24" s="12" t="n">
        <x:v>0</x:v>
      </x:c>
      <x:c r="F24" s="3" t="n">
        <x:v>315</x:v>
      </x:c>
      <x:c r="G24" s="12" t="n">
        <x:v>0</x:v>
      </x:c>
      <x:c r="H24" s="3"/>
      <x:c r="I24" s="3"/>
      <x:c r="J24" s="3"/>
      <x:c r="K24" s="3"/>
      <x:c r="L24" s="3"/>
      <x:c r="M24" s="3"/>
    </x:row>
    <x:row r="25" ht="19" customHeight="1">
      <x:c r="A25" s="2"/>
      <x:c r="B25" s="2"/>
      <x:c r="C25" s="2" t="n">
        <x:v>1600</x:v>
      </x:c>
      <x:c r="D25" s="3" t="n">
        <x:v>465</x:v>
      </x:c>
      <x:c r="E25" s="12" t="n">
        <x:v>0</x:v>
      </x:c>
      <x:c r="F25" s="3" t="n">
        <x:v>330</x:v>
      </x:c>
      <x:c r="G25" s="12" t="n">
        <x:v>0</x:v>
      </x:c>
      <x:c r="H25" s="3"/>
      <x:c r="I25" s="3"/>
      <x:c r="J25" s="3"/>
      <x:c r="K25" s="3"/>
      <x:c r="L25" s="3"/>
      <x:c r="M25" s="3"/>
    </x:row>
    <x:row r="26" ht="19" customHeight="1">
      <x:c r="A26" s="2"/>
      <x:c r="B26" s="2"/>
      <x:c r="C26" s="2" t="n">
        <x:v>1700</x:v>
      </x:c>
      <x:c r="D26" s="3" t="n">
        <x:v>485</x:v>
      </x:c>
      <x:c r="E26" s="12" t="n">
        <x:v>0</x:v>
      </x:c>
      <x:c r="F26" s="3" t="n">
        <x:v>350</x:v>
      </x:c>
      <x:c r="G26" s="12" t="n">
        <x:v>0</x:v>
      </x:c>
      <x:c r="H26" s="3"/>
      <x:c r="I26" s="3"/>
      <x:c r="J26" s="3"/>
      <x:c r="K26" s="3"/>
      <x:c r="L26" s="3"/>
      <x:c r="M26" s="3"/>
    </x:row>
    <x:row r="27" ht="19" customHeight="1">
      <x:c r="A27" s="2"/>
      <x:c r="B27" s="2"/>
      <x:c r="C27" s="2" t="n">
        <x:v>1800</x:v>
      </x:c>
      <x:c r="D27" s="3" t="n">
        <x:v>510</x:v>
      </x:c>
      <x:c r="E27" s="12" t="n">
        <x:v>0</x:v>
      </x:c>
      <x:c r="F27" s="3" t="n">
        <x:v>370</x:v>
      </x:c>
      <x:c r="G27" s="12" t="n">
        <x:v>0</x:v>
      </x:c>
      <x:c r="H27" s="3"/>
      <x:c r="I27" s="3"/>
      <x:c r="J27" s="3"/>
      <x:c r="K27" s="3"/>
      <x:c r="L27" s="3"/>
      <x:c r="M27" s="3"/>
    </x:row>
    <x:row r="28" ht="19" customHeight="1">
      <x:c r="A28" s="2"/>
      <x:c r="B28" s="2"/>
      <x:c r="C28" s="2" t="n">
        <x:v>2000</x:v>
      </x:c>
      <x:c r="D28" s="3" t="n">
        <x:v>535</x:v>
      </x:c>
      <x:c r="E28" s="12" t="n">
        <x:v>0</x:v>
      </x:c>
      <x:c r="F28" s="3" t="n">
        <x:v>390</x:v>
      </x:c>
      <x:c r="G28" s="12" t="n">
        <x:v>0</x:v>
      </x:c>
      <x:c r="H28" s="3"/>
      <x:c r="I28" s="3"/>
      <x:c r="J28" s="3"/>
      <x:c r="K28" s="3"/>
      <x:c r="L28" s="3"/>
      <x:c r="M28" s="3"/>
    </x:row>
    <x:row r="29" ht="19" customHeight="1">
      <x:c r="A29" s="2"/>
      <x:c r="B29" s="2"/>
      <x:c r="C29" s="2" t="n">
        <x:v>2400</x:v>
      </x:c>
      <x:c r="D29" s="3" t="n">
        <x:v>570</x:v>
      </x:c>
      <x:c r="E29" s="12" t="n">
        <x:v>0</x:v>
      </x:c>
      <x:c r="F29" s="3" t="n">
        <x:v>425</x:v>
      </x:c>
      <x:c r="G29" s="12" t="n">
        <x:v>0</x:v>
      </x:c>
      <x:c r="H29" s="3"/>
      <x:c r="I29" s="3"/>
      <x:c r="J29" s="3"/>
      <x:c r="K29" s="3"/>
      <x:c r="L29" s="3"/>
      <x:c r="M29" s="3"/>
    </x:row>
    <x:row r="30" ht="19" customHeight="1">
      <x:c r="A30" s="2"/>
      <x:c r="B30" s="2"/>
      <x:c r="C30" s="2" t="n">
        <x:v>2500</x:v>
      </x:c>
      <x:c r="D30" s="3" t="n">
        <x:v>610</x:v>
      </x:c>
      <x:c r="E30" s="12" t="n">
        <x:v>0</x:v>
      </x:c>
      <x:c r="F30" s="3" t="n">
        <x:v>460</x:v>
      </x:c>
      <x:c r="G30" s="12" t="n">
        <x:v>0</x:v>
      </x:c>
      <x:c r="H30" s="3"/>
      <x:c r="I30" s="3"/>
      <x:c r="J30" s="3"/>
      <x:c r="K30" s="3"/>
      <x:c r="L30" s="3"/>
      <x:c r="M30" s="3"/>
    </x:row>
    <x:row r="31" ht="19" customHeight="1">
      <x:c r="A31" s="2"/>
      <x:c r="B31" s="2"/>
      <x:c r="C31" s="2" t="n">
        <x:v>3000</x:v>
      </x:c>
      <x:c r="D31" s="3" t="n">
        <x:v>655</x:v>
      </x:c>
      <x:c r="E31" s="12" t="n">
        <x:v>0</x:v>
      </x:c>
      <x:c r="F31" s="3" t="n">
        <x:v>505</x:v>
      </x:c>
      <x:c r="G31" s="12" t="n">
        <x:v>0</x:v>
      </x:c>
      <x:c r="H31" s="3"/>
      <x:c r="I31" s="3"/>
      <x:c r="J31" s="3"/>
      <x:c r="K31" s="3"/>
      <x:c r="L31" s="3"/>
      <x:c r="M31" s="3"/>
    </x:row>
    <x:row r="32" ht="19" customHeight="1">
      <x:c r="A32" s="2"/>
      <x:c r="B32" s="2"/>
      <x:c r="C32" s="2" t="n">
        <x:v>3500</x:v>
      </x:c>
      <x:c r="D32" s="3" t="n">
        <x:v>705</x:v>
      </x:c>
      <x:c r="E32" s="12" t="n">
        <x:v>0</x:v>
      </x:c>
      <x:c r="F32" s="3" t="n">
        <x:v>555</x:v>
      </x:c>
      <x:c r="G32" s="12" t="n">
        <x:v>0</x:v>
      </x:c>
      <x:c r="H32" s="3"/>
      <x:c r="I32" s="3"/>
      <x:c r="J32" s="3"/>
      <x:c r="K32" s="3"/>
      <x:c r="L32" s="3"/>
      <x:c r="M32" s="3"/>
    </x:row>
    <x:row r="33" ht="19" customHeight="1">
      <x:c r="A33" s="2"/>
      <x:c r="B33" s="2"/>
      <x:c r="C33" s="2" t="n">
        <x:v>4000</x:v>
      </x:c>
      <x:c r="D33" s="3" t="n">
        <x:v>725</x:v>
      </x:c>
      <x:c r="E33" s="12" t="n">
        <x:v>0</x:v>
      </x:c>
      <x:c r="F33" s="3" t="n">
        <x:v>600</x:v>
      </x:c>
      <x:c r="G33" s="12" t="n">
        <x:v>0</x:v>
      </x:c>
      <x:c r="H33" s="3"/>
      <x:c r="I33" s="3"/>
      <x:c r="J33" s="3"/>
      <x:c r="K33" s="3"/>
      <x:c r="L33" s="3"/>
      <x:c r="M33" s="3"/>
    </x:row>
    <x:row r="34" ht="19" customHeight="1">
      <x:c r="A34" s="2"/>
      <x:c r="B34" s="2"/>
      <x:c r="C34" s="2" t="n">
        <x:v>4500</x:v>
      </x:c>
      <x:c r="D34" s="3" t="n">
        <x:v>750</x:v>
      </x:c>
      <x:c r="E34" s="12" t="n">
        <x:v>0</x:v>
      </x:c>
      <x:c r="F34" s="3" t="n">
        <x:v>625</x:v>
      </x:c>
      <x:c r="G34" s="12" t="n">
        <x:v>0</x:v>
      </x:c>
      <x:c r="H34" s="3"/>
      <x:c r="I34" s="3"/>
      <x:c r="J34" s="3"/>
      <x:c r="K34" s="3"/>
      <x:c r="L34" s="3"/>
      <x:c r="M34" s="3"/>
    </x:row>
    <x:row r="35" ht="19" customHeight="1">
      <x:c r="A35" s="2"/>
      <x:c r="B35" s="2"/>
      <x:c r="C35" s="2" t="n">
        <x:v>5000</x:v>
      </x:c>
      <x:c r="D35" s="3" t="n">
        <x:v>775</x:v>
      </x:c>
      <x:c r="E35" s="12" t="n">
        <x:v>0</x:v>
      </x:c>
      <x:c r="F35" s="3" t="n">
        <x:v>650</x:v>
      </x:c>
      <x:c r="G35" s="12" t="n">
        <x:v>0</x:v>
      </x:c>
      <x:c r="H35" s="3"/>
      <x:c r="I35" s="3"/>
      <x:c r="J35" s="3"/>
      <x:c r="K35" s="3"/>
      <x:c r="L35" s="3"/>
      <x:c r="M35" s="3"/>
    </x:row>
    <x:row r="36" ht="19" customHeight="1">
      <x:c r="A36" s="2"/>
      <x:c r="B36" s="2"/>
      <x:c r="C36" s="2" t="n">
        <x:v>5500</x:v>
      </x:c>
      <x:c r="D36" s="3" t="n">
        <x:v>800</x:v>
      </x:c>
      <x:c r="E36" s="12" t="n">
        <x:v>0</x:v>
      </x:c>
      <x:c r="F36" s="3" t="n">
        <x:v>675</x:v>
      </x:c>
      <x:c r="G36" s="12" t="n">
        <x:v>0</x:v>
      </x:c>
      <x:c r="H36" s="3"/>
      <x:c r="I36" s="3"/>
      <x:c r="J36" s="3"/>
      <x:c r="K36" s="3"/>
      <x:c r="L36" s="3"/>
      <x:c r="M36" s="3"/>
    </x:row>
    <x:row r="37" ht="19" customHeight="1">
      <x:c r="A37" s="2"/>
      <x:c r="B37" s="2"/>
      <x:c r="C37" s="2" t="n">
        <x:v>6000</x:v>
      </x:c>
      <x:c r="D37" s="3" t="n">
        <x:v>825</x:v>
      </x:c>
      <x:c r="E37" s="12" t="n">
        <x:v>0</x:v>
      </x:c>
      <x:c r="F37" s="3" t="n">
        <x:v>700</x:v>
      </x:c>
      <x:c r="G37" s="12" t="n">
        <x:v>0</x:v>
      </x:c>
      <x:c r="H37" s="3"/>
      <x:c r="I37" s="3"/>
      <x:c r="J37" s="3"/>
      <x:c r="K37" s="3"/>
      <x:c r="L37" s="3"/>
      <x:c r="M37" s="3"/>
    </x:row>
    <x:row r="38" ht="19" customHeight="1">
      <x:c r="A38" s="2"/>
      <x:c r="B38" s="2"/>
      <x:c r="C38" s="2" t="n">
        <x:v>6500</x:v>
      </x:c>
      <x:c r="D38" s="3" t="n">
        <x:v>845</x:v>
      </x:c>
      <x:c r="E38" s="12" t="n">
        <x:v>0</x:v>
      </x:c>
      <x:c r="F38" s="3" t="n">
        <x:v>720</x:v>
      </x:c>
      <x:c r="G38" s="12" t="n">
        <x:v>0</x:v>
      </x:c>
      <x:c r="H38" s="3"/>
      <x:c r="I38" s="3"/>
      <x:c r="J38" s="3"/>
      <x:c r="K38" s="3"/>
      <x:c r="L38" s="3"/>
      <x:c r="M38" s="3"/>
    </x:row>
    <x:row r="39" ht="19" customHeight="1">
      <x:c r="A39" s="2"/>
      <x:c r="B39" s="2"/>
      <x:c r="C39" s="2" t="n">
        <x:v>7000</x:v>
      </x:c>
      <x:c r="D39" s="3" t="n">
        <x:v>880</x:v>
      </x:c>
      <x:c r="E39" s="12" t="n">
        <x:v>0</x:v>
      </x:c>
      <x:c r="F39" s="3" t="n">
        <x:v>755</x:v>
      </x:c>
      <x:c r="G39" s="12" t="n">
        <x:v>0</x:v>
      </x:c>
      <x:c r="H39" s="3"/>
      <x:c r="I39" s="3"/>
      <x:c r="J39" s="3"/>
      <x:c r="K39" s="3"/>
      <x:c r="L39" s="3"/>
      <x:c r="M39" s="3"/>
    </x:row>
    <x:row r="40" ht="19" customHeight="1">
      <x:c r="A40" s="2"/>
      <x:c r="B40" s="2"/>
      <x:c r="C40" s="2" t="n">
        <x:v>7500</x:v>
      </x:c>
      <x:c r="D40" s="3" t="n">
        <x:v>900</x:v>
      </x:c>
      <x:c r="E40" s="12" t="n">
        <x:v>0</x:v>
      </x:c>
      <x:c r="F40" s="3" t="n">
        <x:v>775</x:v>
      </x:c>
      <x:c r="G40" s="12" t="n">
        <x:v>0</x:v>
      </x:c>
      <x:c r="H40" s="3"/>
      <x:c r="I40" s="3"/>
      <x:c r="J40" s="3"/>
      <x:c r="K40" s="3"/>
      <x:c r="L40" s="3"/>
      <x:c r="M40" s="3"/>
    </x:row>
    <x:row r="41" ht="19" customHeight="1">
      <x:c r="A41" s="2"/>
      <x:c r="B41" s="2"/>
      <x:c r="C41" s="2" t="n">
        <x:v>8000</x:v>
      </x:c>
      <x:c r="D41" s="3" t="n">
        <x:v>925</x:v>
      </x:c>
      <x:c r="E41" s="12" t="n">
        <x:v>0</x:v>
      </x:c>
      <x:c r="F41" s="3" t="n">
        <x:v>800</x:v>
      </x:c>
      <x:c r="G41" s="12" t="n">
        <x:v>0</x:v>
      </x:c>
      <x:c r="H41" s="3"/>
      <x:c r="I41" s="3"/>
      <x:c r="J41" s="3"/>
      <x:c r="K41" s="3"/>
      <x:c r="L41" s="3"/>
      <x:c r="M41" s="3"/>
    </x:row>
    <x:row r="42" ht="19" customHeight="1">
      <x:c r="A42" s="2"/>
      <x:c r="B42" s="2"/>
      <x:c r="C42" s="2" t="n">
        <x:v>8500</x:v>
      </x:c>
      <x:c r="D42" s="3" t="n">
        <x:v>945</x:v>
      </x:c>
      <x:c r="E42" s="12" t="n">
        <x:v>0</x:v>
      </x:c>
      <x:c r="F42" s="3" t="n">
        <x:v>820</x:v>
      </x:c>
      <x:c r="G42" s="12" t="n">
        <x:v>0</x:v>
      </x:c>
      <x:c r="H42" s="3"/>
      <x:c r="I42" s="3"/>
      <x:c r="J42" s="3"/>
      <x:c r="K42" s="3"/>
      <x:c r="L42" s="3"/>
      <x:c r="M42" s="3"/>
    </x:row>
    <x:row r="43" ht="19" customHeight="1">
      <x:c r="A43" s="2"/>
      <x:c r="B43" s="2"/>
      <x:c r="C43" s="2" t="n">
        <x:v>9000</x:v>
      </x:c>
      <x:c r="D43" s="3" t="n">
        <x:v>945</x:v>
      </x:c>
      <x:c r="E43" s="12" t="n">
        <x:v>0</x:v>
      </x:c>
      <x:c r="F43" s="3" t="n">
        <x:v>820</x:v>
      </x:c>
      <x:c r="G43" s="12" t="n">
        <x:v>0</x:v>
      </x:c>
      <x:c r="H43" s="3"/>
      <x:c r="I43" s="3"/>
      <x:c r="J43" s="3"/>
      <x:c r="K43" s="3"/>
      <x:c r="L43" s="3"/>
      <x:c r="M43" s="3"/>
    </x:row>
    <x:row r="44" ht="19" customHeight="1">
      <x:c r="A44" s="2"/>
      <x:c r="B44" s="2"/>
      <x:c r="C44" s="2" t="n">
        <x:v>10000</x:v>
      </x:c>
      <x:c r="D44" s="3" t="n">
        <x:v>1000</x:v>
      </x:c>
      <x:c r="E44" s="12" t="n">
        <x:v>0</x:v>
      </x:c>
      <x:c r="F44" s="3" t="n">
        <x:v>850</x:v>
      </x:c>
      <x:c r="G44" s="12" t="n">
        <x:v>0</x:v>
      </x:c>
      <x:c r="H44" s="3"/>
      <x:c r="I44" s="3"/>
      <x:c r="J44" s="3"/>
      <x:c r="K44" s="3"/>
      <x:c r="L44" s="3"/>
      <x:c r="M44" s="3"/>
    </x:row>
    <x:row r="45" ht="19" customHeight="1">
      <x:c r="A45" s="2"/>
      <x:c r="B45" s="2"/>
      <x:c r="C45" s="2" t="n">
        <x:v>10500</x:v>
      </x:c>
      <x:c r="D45" s="3" t="n">
        <x:v>1000</x:v>
      </x:c>
      <x:c r="E45" s="12" t="n">
        <x:v>0</x:v>
      </x:c>
      <x:c r="F45" s="3" t="n">
        <x:v>850</x:v>
      </x:c>
      <x:c r="G45" s="12" t="n">
        <x:v>0</x:v>
      </x:c>
      <x:c r="H45" s="3"/>
      <x:c r="I45" s="3"/>
      <x:c r="J45" s="3"/>
      <x:c r="K45" s="3"/>
      <x:c r="L45" s="3"/>
      <x:c r="M45" s="3"/>
    </x:row>
    <x:row r="46" ht="19" customHeight="1">
      <x:c r="A46" s="2"/>
      <x:c r="B46" s="2"/>
      <x:c r="C46" s="2" t="n">
        <x:v>11000</x:v>
      </x:c>
      <x:c r="D46" s="3" t="n">
        <x:v>1000</x:v>
      </x:c>
      <x:c r="E46" s="12" t="n">
        <x:v>0</x:v>
      </x:c>
      <x:c r="F46" s="3" t="n">
        <x:v>850</x:v>
      </x:c>
      <x:c r="G46" s="12" t="n">
        <x:v>0</x:v>
      </x:c>
      <x:c r="H46" s="3"/>
      <x:c r="I46" s="3"/>
      <x:c r="J46" s="3"/>
      <x:c r="K46" s="3"/>
      <x:c r="L46" s="3"/>
      <x:c r="M46" s="3"/>
    </x:row>
    <x:row r="47" ht="19" customHeight="1">
      <x:c r="A47" s="2"/>
      <x:c r="B47" s="2"/>
      <x:c r="C47" s="2" t="n">
        <x:v>11500</x:v>
      </x:c>
      <x:c r="D47" s="3" t="n">
        <x:v>1000</x:v>
      </x:c>
      <x:c r="E47" s="12" t="n">
        <x:v>0</x:v>
      </x:c>
      <x:c r="F47" s="3" t="n">
        <x:v>860</x:v>
      </x:c>
      <x:c r="G47" s="12" t="n">
        <x:v>0</x:v>
      </x:c>
      <x:c r="H47" s="3"/>
      <x:c r="I47" s="3"/>
      <x:c r="J47" s="3"/>
      <x:c r="K47" s="3"/>
      <x:c r="L47" s="3"/>
      <x:c r="M47" s="3"/>
    </x:row>
    <x:row r="48" ht="19" customHeight="1">
      <x:c r="A48" s="2"/>
      <x:c r="B48" s="2"/>
      <x:c r="C48" s="2" t="n">
        <x:v>12000</x:v>
      </x:c>
      <x:c r="D48" s="3" t="n">
        <x:v>1000</x:v>
      </x:c>
      <x:c r="E48" s="12" t="n">
        <x:v>0</x:v>
      </x:c>
      <x:c r="F48" s="3" t="n">
        <x:v>875</x:v>
      </x:c>
      <x:c r="G48" s="12" t="n">
        <x:v>0</x:v>
      </x:c>
      <x:c r="H48" s="3"/>
      <x:c r="I48" s="3"/>
      <x:c r="J48" s="3"/>
      <x:c r="K48" s="3"/>
      <x:c r="L48" s="3"/>
      <x:c r="M48" s="3"/>
    </x:row>
    <x:row r="49" ht="19" customHeight="1">
      <x:c r="A49" s="2"/>
      <x:c r="B49" s="2"/>
      <x:c r="C49" s="2" t="n">
        <x:v>12500</x:v>
      </x:c>
      <x:c r="D49" s="3" t="n">
        <x:v>1000</x:v>
      </x:c>
      <x:c r="E49" s="12" t="n">
        <x:v>0</x:v>
      </x:c>
      <x:c r="F49" s="3" t="n">
        <x:v>890</x:v>
      </x:c>
      <x:c r="G49" s="12" t="n">
        <x:v>0</x:v>
      </x:c>
      <x:c r="H49" s="3"/>
      <x:c r="I49" s="3"/>
      <x:c r="J49" s="3"/>
      <x:c r="K49" s="3"/>
      <x:c r="L49" s="3"/>
      <x:c r="M49" s="3"/>
    </x:row>
    <x:row r="50" ht="19" customHeight="1">
      <x:c r="A50" s="2"/>
      <x:c r="B50" s="2"/>
      <x:c r="C50" s="2" t="n">
        <x:v>15000</x:v>
      </x:c>
      <x:c r="D50" s="3" t="n">
        <x:v>0</x:v>
      </x:c>
      <x:c r="E50" s="12" t="n">
        <x:v>0.075</x:v>
      </x:c>
      <x:c r="F50" s="3" t="n">
        <x:v>0</x:v>
      </x:c>
      <x:c r="G50" s="12" t="n">
        <x:v>0.06</x:v>
      </x:c>
      <x:c r="H50" s="3"/>
      <x:c r="I50" s="3"/>
      <x:c r="J50" s="3"/>
      <x:c r="K50" s="3"/>
      <x:c r="L50" s="3"/>
      <x:c r="M50" s="3"/>
    </x:row>
    <x:row r="51" ht="19" customHeight="1">
      <x:c r="A51" s="2"/>
      <x:c r="B51" s="2"/>
      <x:c r="C51" s="2"/>
      <x:c r="D51" s="3"/>
      <x:c r="E51" s="3"/>
      <x:c r="F51" s="3"/>
      <x:c r="G51" s="3"/>
      <x:c r="H51" s="3"/>
      <x:c r="I51" s="3"/>
      <x:c r="J51" s="3"/>
      <x:c r="K51" s="3"/>
      <x:c r="L51" s="3"/>
      <x:c r="M51" s="3"/>
    </x:row>
    <x:row r="52" ht="19" customHeight="1">
      <x:c r="A52" s="2"/>
      <x:c r="B52" s="2"/>
      <x:c r="C52" s="2"/>
      <x:c r="D52" s="3"/>
      <x:c r="E52" s="3"/>
      <x:c r="F52" s="3"/>
      <x:c r="G52" s="3"/>
      <x:c r="H52" s="3"/>
      <x:c r="I52" s="3"/>
      <x:c r="J52" s="3"/>
      <x:c r="K52" s="3"/>
      <x:c r="L52" s="3"/>
      <x:c r="M52" s="3"/>
    </x:row>
    <x:row r="53" ht="19" customHeight="1">
      <x:c r="A53" s="2"/>
      <x:c r="B53" s="2"/>
      <x:c r="C53" s="2"/>
      <x:c r="D53" s="3"/>
      <x:c r="E53" s="3"/>
      <x:c r="F53" s="3"/>
      <x:c r="G53" s="3"/>
      <x:c r="H53" s="3"/>
      <x:c r="I53" s="3"/>
      <x:c r="J53" s="3"/>
      <x:c r="K53" s="3"/>
      <x:c r="L53" s="3"/>
      <x:c r="M53" s="3"/>
    </x:row>
    <x:row r="54" ht="19" customHeight="1">
      <x:c r="A54" s="2"/>
      <x:c r="B54" s="2"/>
      <x:c r="C54" s="2"/>
      <x:c r="D54" s="3"/>
      <x:c r="E54" s="3"/>
      <x:c r="F54" s="3"/>
      <x:c r="G54" s="3"/>
      <x:c r="H54" s="3"/>
      <x:c r="I54" s="3"/>
      <x:c r="J54" s="3"/>
      <x:c r="K54" s="3"/>
      <x:c r="L54" s="3"/>
      <x:c r="M54" s="3"/>
    </x:row>
    <x:row r="55" ht="19" customHeight="1">
      <x:c r="A55" s="2"/>
      <x:c r="B55" s="2"/>
      <x:c r="C55" s="2"/>
      <x:c r="D55" s="3"/>
      <x:c r="E55" s="3"/>
      <x:c r="F55" s="3"/>
      <x:c r="G55" s="3"/>
      <x:c r="H55" s="3"/>
      <x:c r="I55" s="3"/>
      <x:c r="J55" s="3"/>
      <x:c r="K55" s="3"/>
      <x:c r="L55" s="3"/>
      <x:c r="M55" s="3"/>
    </x:row>
    <x:row r="56" ht="19" customHeight="1">
      <x:c r="A56" s="2"/>
      <x:c r="B56" s="2"/>
      <x:c r="C56" s="2"/>
      <x:c r="D56" s="3"/>
      <x:c r="E56" s="3"/>
      <x:c r="F56" s="3"/>
      <x:c r="G56" s="3"/>
      <x:c r="H56" s="3"/>
      <x:c r="I56" s="3"/>
      <x:c r="J56" s="3"/>
      <x:c r="K56" s="3"/>
      <x:c r="L56" s="3"/>
      <x:c r="M56" s="3"/>
    </x:row>
    <x:row r="57" ht="30" customHeight="1">
      <x:c r="A57" s="2"/>
      <x:c r="B57" s="2"/>
      <x:c r="C57" s="15" t="str">
        <x:v>Source: data/csv/copart_fee_grid_2026-09.csv. Non-clean title, standard vehicle, secured payment, prebid.</x:v>
      </x:c>
      <x:c r="D57" s="16"/>
      <x:c r="E57" s="16"/>
      <x:c r="F57" s="16"/>
      <x:c r="G57" s="16"/>
      <x:c r="H57" s="16"/>
      <x:c r="I57" s="16"/>
      <x:c r="J57" s="16"/>
      <x:c r="K57" s="16"/>
      <x:c r="L57" s="3"/>
      <x:c r="M57" s="3"/>
    </x:row>
    <x:row r="58" ht="19" customHeight="1">
      <x:c r="A58" s="2"/>
      <x:c r="B58" s="2"/>
      <x:c r="C58" s="2"/>
      <x:c r="D58" s="3"/>
      <x:c r="E58" s="3"/>
      <x:c r="F58" s="3"/>
      <x:c r="G58" s="3"/>
      <x:c r="H58" s="3"/>
      <x:c r="I58" s="3"/>
      <x:c r="J58" s="3"/>
      <x:c r="K58" s="3"/>
      <x:c r="L58" s="3"/>
      <x:c r="M58" s="3"/>
    </x:row>
    <x:row r="59" ht="30" customHeight="1">
      <x:c r="A59" s="2"/>
      <x:c r="B59" s="2"/>
      <x:c r="C59" s="15" t="str">
        <x:v>Schedule mix is assumed. Clean titles, heavy vehicles and unsecured payments require separate inputs if material.</x:v>
      </x:c>
      <x:c r="D59" s="16"/>
      <x:c r="E59" s="16"/>
      <x:c r="F59" s="16"/>
      <x:c r="G59" s="16"/>
      <x:c r="H59" s="16"/>
      <x:c r="I59" s="16"/>
      <x:c r="J59" s="16"/>
      <x:c r="K59" s="16"/>
      <x:c r="L59" s="3"/>
      <x:c r="M59" s="3"/>
    </x:row>
    <x:row r="60" ht="19" customHeight="1">
      <x:c r="A60" s="2"/>
      <x:c r="B60" s="2"/>
      <x:c r="C60" s="2"/>
      <x:c r="D60" s="3"/>
      <x:c r="E60" s="3"/>
      <x:c r="F60" s="3"/>
      <x:c r="G60" s="3"/>
      <x:c r="H60" s="3"/>
      <x:c r="I60" s="3"/>
      <x:c r="J60" s="3"/>
      <x:c r="K60" s="3"/>
      <x:c r="L60" s="3"/>
      <x:c r="M60" s="3"/>
    </x:row>
    <x:row r="61" ht="19" customHeight="1">
      <x:c r="A61" s="2"/>
      <x:c r="B61" s="2"/>
      <x:c r="C61" s="2"/>
      <x:c r="D61" s="3"/>
      <x:c r="E61" s="3"/>
      <x:c r="F61" s="3"/>
      <x:c r="G61" s="3"/>
      <x:c r="H61" s="3"/>
      <x:c r="I61" s="3"/>
      <x:c r="J61" s="3"/>
      <x:c r="K61" s="3"/>
      <x:c r="L61" s="3"/>
      <x:c r="M61" s="3"/>
    </x:row>
    <x:row r="62" ht="19" customHeight="1">
      <x:c r="A62" s="2"/>
      <x:c r="B62" s="2"/>
      <x:c r="C62" s="2"/>
      <x:c r="D62" s="3"/>
      <x:c r="E62" s="3"/>
      <x:c r="F62" s="3"/>
      <x:c r="G62" s="3"/>
      <x:c r="H62" s="3"/>
      <x:c r="I62" s="3"/>
      <x:c r="J62" s="3"/>
      <x:c r="K62" s="3"/>
      <x:c r="L62" s="3"/>
      <x:c r="M62" s="3"/>
    </x:row>
    <x:row r="63" ht="19" customHeight="1">
      <x:c r="A63" s="2"/>
      <x:c r="B63" s="2"/>
      <x:c r="C63" s="2"/>
      <x:c r="D63" s="3"/>
      <x:c r="E63" s="3"/>
      <x:c r="F63" s="3"/>
      <x:c r="G63" s="3"/>
      <x:c r="H63" s="3"/>
      <x:c r="I63" s="3"/>
      <x:c r="J63" s="3"/>
      <x:c r="K63" s="3"/>
      <x:c r="L63" s="3"/>
      <x:c r="M63" s="3"/>
    </x:row>
    <x:row r="64" ht="19" customHeight="1">
      <x:c r="A64" s="2"/>
      <x:c r="B64" s="2"/>
      <x:c r="C64" s="2"/>
      <x:c r="D64" s="3"/>
      <x:c r="E64" s="3"/>
      <x:c r="F64" s="3"/>
      <x:c r="G64" s="3"/>
      <x:c r="H64" s="3"/>
      <x:c r="I64" s="3"/>
      <x:c r="J64" s="3"/>
      <x:c r="K64" s="3"/>
      <x:c r="L64" s="3"/>
      <x:c r="M64" s="3"/>
    </x:row>
    <x:row r="65" ht="19" customHeight="1">
      <x:c r="A65" s="2"/>
      <x:c r="B65" s="2"/>
      <x:c r="C65" s="2"/>
      <x:c r="D65" s="3"/>
      <x:c r="E65" s="3"/>
      <x:c r="F65" s="3"/>
      <x:c r="G65" s="3"/>
      <x:c r="H65" s="3"/>
      <x:c r="I65" s="3"/>
      <x:c r="J65" s="3"/>
      <x:c r="K65" s="3"/>
      <x:c r="L65" s="3"/>
      <x:c r="M65" s="3"/>
    </x:row>
    <x:row r="66" ht="19" customHeight="1">
      <x:c r="A66" s="2"/>
      <x:c r="B66" s="2"/>
      <x:c r="C66" s="2"/>
      <x:c r="D66" s="3"/>
      <x:c r="E66" s="3"/>
      <x:c r="F66" s="3"/>
      <x:c r="G66" s="3"/>
      <x:c r="H66" s="3"/>
      <x:c r="I66" s="3"/>
      <x:c r="J66" s="3"/>
      <x:c r="K66" s="3"/>
      <x:c r="L66" s="3"/>
      <x:c r="M66" s="3"/>
    </x:row>
    <x:row r="67" ht="19" customHeight="1">
      <x:c r="A67" s="2"/>
      <x:c r="B67" s="2"/>
      <x:c r="C67" s="2"/>
      <x:c r="D67" s="3"/>
      <x:c r="E67" s="3"/>
      <x:c r="F67" s="3"/>
      <x:c r="G67" s="3"/>
      <x:c r="H67" s="3"/>
      <x:c r="I67" s="3"/>
      <x:c r="J67" s="3"/>
      <x:c r="K67" s="3"/>
      <x:c r="L67" s="3"/>
      <x:c r="M67" s="3"/>
    </x:row>
    <x:row r="68" ht="19" customHeight="1">
      <x:c r="A68" s="2"/>
      <x:c r="B68" s="2"/>
      <x:c r="C68" s="2"/>
      <x:c r="D68" s="3"/>
      <x:c r="E68" s="3"/>
      <x:c r="F68" s="3"/>
      <x:c r="G68" s="3"/>
      <x:c r="H68" s="3"/>
      <x:c r="I68" s="3"/>
      <x:c r="J68" s="3"/>
      <x:c r="K68" s="3"/>
      <x:c r="L68" s="3"/>
      <x:c r="M68" s="3"/>
    </x:row>
  </x:sheetData>
  <x:mergeCells>
    <x:mergeCell ref="C57:K57"/>
    <x:mergeCell ref="C59:K5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8" hidden="0" customWidth="1"/>
    <x:col min="4" max="4" width="30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</x:row>
    <x:row r="2" ht="24" customHeight="1">
      <x:c r="A2" s="2"/>
      <x:c r="B2" s="2"/>
      <x:c r="C2" s="5" t="str">
        <x:v>Input provenance and unresolved measurements</x:v>
      </x:c>
      <x:c r="D2" s="5"/>
      <x:c r="E2" s="5"/>
      <x:c r="F2" s="5"/>
      <x:c r="G2" s="5"/>
      <x:c r="H2" s="5"/>
      <x:c r="I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</x:row>
    <x:row r="5" ht="30" customHeight="1">
      <x:c r="A5" s="2"/>
      <x:c r="B5" s="2"/>
      <x:c r="C5" s="8" t="str">
        <x:v>ID</x:v>
      </x:c>
      <x:c r="D5" s="8" t="str">
        <x:v>Input</x:v>
      </x:c>
      <x:c r="E5" s="8" t="str">
        <x:v>Status</x:v>
      </x:c>
      <x:c r="F5" s="8" t="str">
        <x:v>Period / population</x:v>
      </x:c>
      <x:c r="G5" s="8" t="str">
        <x:v>Source</x:v>
      </x:c>
      <x:c r="H5" s="8" t="str">
        <x:v>Limitation</x:v>
      </x:c>
      <x:c r="I5" s="8" t="str">
        <x:v>Treatment</x:v>
      </x:c>
    </x:row>
    <x:row r="6" ht="68" customHeight="1">
      <x:c r="A6" s="2"/>
      <x:c r="B6" s="2"/>
      <x:c r="C6" s="39" t="str">
        <x:v>E01</x:v>
      </x:c>
      <x:c r="D6" s="40" t="str">
        <x:v>US / international service revenue</x:v>
      </x:c>
      <x:c r="E6" s="40" t="str">
        <x:v>Reported</x:v>
      </x:c>
      <x:c r="F6" s="40" t="str">
        <x:v>FY25–FY26 fiscal quarters</x:v>
      </x:c>
      <x:c r="G6" s="40" t="str">
        <x:v>SEC earnings releases; segment_service_rev_8k.csv</x:v>
      </x:c>
      <x:c r="H6" s="40" t="str">
        <x:v>No insurance revenue split disclosed here</x:v>
      </x:c>
      <x:c r="I6" s="40" t="str">
        <x:v>Use as historical controls</x:v>
      </x:c>
    </x:row>
    <x:row r="7" ht="68" customHeight="1">
      <x:c r="A7" s="2"/>
      <x:c r="B7" s="2"/>
      <x:c r="C7" s="39" t="str">
        <x:v>E02</x:v>
      </x:c>
      <x:c r="D7" s="40" t="str">
        <x:v>Carrier weights</x:v>
      </x:c>
      <x:c r="E7" s="40" t="str">
        <x:v>Proxy</x:v>
      </x:c>
      <x:c r="F7" s="40" t="str">
        <x:v>FY26–FY27</x:v>
      </x:c>
      <x:c r="G7" s="40" t="str">
        <x:v>Friend workbook Base engine rows 108–117</x:v>
      </x:c>
      <x:c r="H7" s="40" t="str">
        <x:v>Auto premium/share proxy; not measured claim weights</x:v>
      </x:c>
      <x:c r="I7" s="40" t="str">
        <x:v>Replace with compatible exposure and frequency evidence</x:v>
      </x:c>
    </x:row>
    <x:row r="8" ht="68" customHeight="1">
      <x:c r="A8" s="2"/>
      <x:c r="B8" s="2"/>
      <x:c r="C8" s="39" t="str">
        <x:v>E03</x:v>
      </x:c>
      <x:c r="D8" s="40" t="str">
        <x:v>Carrier allocation</x:v>
      </x:c>
      <x:c r="E8" s="40" t="str">
        <x:v>Assumed path</x:v>
      </x:c>
      <x:c r="F8" s="40" t="str">
        <x:v>FY26–FY27</x:v>
      </x:c>
      <x:c r="G8" s="40" t="str">
        <x:v>Friend workbook Base engine rows 130–139</x:v>
      </x:c>
      <x:c r="H8" s="40" t="str">
        <x:v>Probability-weighted estimates; original quotes not reverified</x:v>
      </x:c>
      <x:c r="I8" s="40" t="str">
        <x:v>No separate aggregate share haircut</x:v>
      </x:c>
    </x:row>
    <x:row r="9" ht="68" customHeight="1">
      <x:c r="A9" s="2"/>
      <x:c r="B9" s="2"/>
      <x:c r="C9" s="39" t="str">
        <x:v>E04</x:v>
      </x:c>
      <x:c r="D9" s="40" t="str">
        <x:v>Fleet births and survival</x:v>
      </x:c>
      <x:c r="E9" s="40" t="str">
        <x:v>Source + fitted transfer</x:v>
      </x:c>
      <x:c r="F9" s="40" t="str">
        <x:v>1970–2027</x:v>
      </x:c>
      <x:c r="G9" s="40" t="str">
        <x:v>Legacy input snapshot / ORNL / FRED</x:v>
      </x:c>
      <x:c r="H9" s="40" t="str">
        <x:v>2026–27 births flat; historical LT split held constant</x:v>
      </x:c>
      <x:c r="I9" s="40" t="str">
        <x:v>Need cohort-specific crossover births</x:v>
      </x:c>
    </x:row>
    <x:row r="10" ht="68" customHeight="1">
      <x:c r="A10" s="2"/>
      <x:c r="B10" s="2"/>
      <x:c r="C10" s="39" t="str">
        <x:v>E05</x:v>
      </x:c>
      <x:c r="D10" s="40" t="str">
        <x:v>Relative claims by age</x:v>
      </x:c>
      <x:c r="E10" s="40" t="str">
        <x:v>Fitted assumption</x:v>
      </x:c>
      <x:c r="F10" s="40" t="str">
        <x:v>All modeled periods</x:v>
      </x:c>
      <x:c r="G10" s="40" t="str">
        <x:v>Legacy age decay 0.09027</x:v>
      </x:c>
      <x:c r="H10" s="40" t="str">
        <x:v>Not insured exposure or claim frequency</x:v>
      </x:c>
      <x:c r="I10" s="40" t="str">
        <x:v>Absolute scale calibrated once</x:v>
      </x:c>
    </x:row>
    <x:row r="11" ht="68" customHeight="1">
      <x:c r="A11" s="2"/>
      <x:c r="B11" s="2"/>
      <x:c r="C11" s="39" t="str">
        <x:v>E06</x:v>
      </x:c>
      <x:c r="D11" s="40" t="str">
        <x:v>Total-loss age targets</x:v>
      </x:c>
      <x:c r="E11" s="40" t="str">
        <x:v>Reported with population caveat</x:v>
      </x:c>
      <x:c r="F11" s="40" t="str">
        <x:v>CY2025</x:v>
      </x:c>
      <x:c r="G11" s="40" t="str">
        <x:v>CCC Crash Course Figure 19</x:v>
      </x:c>
      <x:c r="H11" s="40" t="str">
        <x:v>Annual age targets; not carrier-specific</x:v>
      </x:c>
      <x:c r="I11" s="40" t="str">
        <x:v>Latent damage calibration fitted once</x:v>
      </x:c>
    </x:row>
    <x:row r="12" ht="68" customHeight="1">
      <x:c r="A12" s="2"/>
      <x:c r="B12" s="2"/>
      <x:c r="C12" s="39" t="str">
        <x:v>E07</x:v>
      </x:c>
      <x:c r="D12" s="40" t="str">
        <x:v>Body repair ratios</x:v>
      </x:c>
      <x:c r="E12" s="40" t="str">
        <x:v>Assumption-driven estimate</x:v>
      </x:c>
      <x:c r="F12" s="40" t="str">
        <x:v>2026 working case</x:v>
      </x:c>
      <x:c r="G12" s="40" t="str">
        <x:v>AAA + CRSS + CCC working repair analysis</x:v>
      </x:c>
      <x:c r="H12" s="40" t="str">
        <x:v>Modern scenarios transferred to older claims</x:v>
      </x:c>
      <x:c r="I12" s="40" t="str">
        <x:v>Retain scope and population limitations</x:v>
      </x:c>
    </x:row>
    <x:row r="13" ht="68" customHeight="1">
      <x:c r="A13" s="2"/>
      <x:c r="B13" s="2"/>
      <x:c r="C13" s="39" t="str">
        <x:v>E08</x:v>
      </x:c>
      <x:c r="D13" s="40" t="str">
        <x:v>SUV / pickup value ratios</x:v>
      </x:c>
      <x:c r="E13" s="40" t="str">
        <x:v>Retail proxy assumption</x:v>
      </x:c>
      <x:c r="F13" s="40" t="str">
        <x:v>2016 model-year panel</x:v>
      </x:c>
      <x:c r="G13" s="40" t="str">
        <x:v>value_recovery_audit/README.md</x:v>
      </x:c>
      <x:c r="H13" s="40" t="str">
        <x:v>1.128 and 1.493 not matched insurer ACV</x:v>
      </x:c>
      <x:c r="I13" s="40" t="str">
        <x:v>Base scenario, not measured premiums</x:v>
      </x:c>
    </x:row>
    <x:row r="14" ht="68" customHeight="1">
      <x:c r="A14" s="2"/>
      <x:c r="B14" s="2"/>
      <x:c r="C14" s="39" t="str">
        <x:v>E09</x:v>
      </x:c>
      <x:c r="D14" s="40" t="str">
        <x:v>Severity and salvage relationship</x:v>
      </x:c>
      <x:c r="E14" s="40" t="str">
        <x:v>Assumed</x:v>
      </x:c>
      <x:c r="F14" s="40" t="str">
        <x:v>All modeled periods</x:v>
      </x:c>
      <x:c r="G14" s="40" t="str">
        <x:v>9 severity intervals; recovery 30% +/- 10pp</x:v>
      </x:c>
      <x:c r="H14" s="40" t="str">
        <x:v>Not observed damaged-vehicle recovery curve</x:v>
      </x:c>
      <x:c r="I14" s="40" t="str">
        <x:v>Do not claim validated damage selection</x:v>
      </x:c>
    </x:row>
    <x:row r="15" ht="68" customHeight="1">
      <x:c r="A15" s="2"/>
      <x:c r="B15" s="2"/>
      <x:c r="C15" s="39" t="str">
        <x:v>E10</x:v>
      </x:c>
      <x:c r="D15" s="40" t="str">
        <x:v>Buyer fee grid</x:v>
      </x:c>
      <x:c r="E15" s="40" t="str">
        <x:v>Observed snapshot</x:v>
      </x:c>
      <x:c r="F15" s="40" t="str">
        <x:v>2026-09-26</x:v>
      </x:c>
      <x:c r="G15" s="40" t="str">
        <x:v>copart_fee_grid_2026-09.csv</x:v>
      </x:c>
      <x:c r="H15" s="40" t="str">
        <x:v>Standard/preferred mix assumed; not historical grids</x:v>
      </x:c>
      <x:c r="I15" s="40" t="str">
        <x:v>Historical reconstruction uses current schedule</x:v>
      </x:c>
    </x:row>
    <x:row r="16" ht="68" customHeight="1">
      <x:c r="A16" s="2"/>
      <x:c r="B16" s="2"/>
      <x:c r="C16" s="39" t="str">
        <x:v>E11</x:v>
      </x:c>
      <x:c r="D16" s="40" t="str">
        <x:v>Seller fee rate</x:v>
      </x:c>
      <x:c r="E16" s="40" t="str">
        <x:v>Analyst assumption</x:v>
      </x:c>
      <x:c r="F16" s="40" t="str">
        <x:v>All modeled periods</x:v>
      </x:c>
      <x:c r="G16" s="40" t="str">
        <x:v>Barclays illustration uses 4%</x:v>
      </x:c>
      <x:c r="H16" s="40" t="str">
        <x:v>Not executed carrier terms</x:v>
      </x:c>
      <x:c r="I16" s="40" t="str">
        <x:v>Rates separately editable by carrier</x:v>
      </x:c>
    </x:row>
    <x:row r="17" ht="68" customHeight="1">
      <x:c r="A17" s="2"/>
      <x:c r="B17" s="2"/>
      <x:c r="C17" s="39" t="str">
        <x:v>E12</x:v>
      </x:c>
      <x:c r="D17" s="40" t="str">
        <x:v>Title service adoption and price</x:v>
      </x:c>
      <x:c r="E17" s="40" t="str">
        <x:v>Illustrative assumption</x:v>
      </x:c>
      <x:c r="F17" s="40" t="str">
        <x:v>All modeled periods</x:v>
      </x:c>
      <x:c r="G17" s="40" t="str">
        <x:v>Usage 50%; fee $50; not disclosed</x:v>
      </x:c>
      <x:c r="H17" s="40" t="str">
        <x:v>Management confirms contribution, not the decomposition</x:v>
      </x:c>
      <x:c r="I17" s="40" t="str">
        <x:v>Flat future use; no presumed saturation</x:v>
      </x:c>
    </x:row>
    <x:row r="18" ht="68" customHeight="1">
      <x:c r="A18" s="2"/>
      <x:c r="B18" s="2"/>
      <x:c r="C18" s="39" t="str">
        <x:v>E13</x:v>
      </x:c>
      <x:c r="D18" s="40" t="str">
        <x:v>Delivery uptake and price</x:v>
      </x:c>
      <x:c r="E18" s="40" t="str">
        <x:v>Illustrative assumption</x:v>
      </x:c>
      <x:c r="F18" s="40" t="str">
        <x:v>All modeled periods</x:v>
      </x:c>
      <x:c r="G18" s="40" t="str">
        <x:v>Usage 10%; revenue $300; not disclosed</x:v>
      </x:c>
      <x:c r="H18" s="40" t="str">
        <x:v>Not inferred from transport costs</x:v>
      </x:c>
      <x:c r="I18" s="40" t="str">
        <x:v>Flat future use; new product scope unverified</x:v>
      </x:c>
    </x:row>
    <x:row r="19" ht="68" customHeight="1">
      <x:c r="A19" s="2"/>
      <x:c r="B19" s="2"/>
      <x:c r="C19" s="39" t="str">
        <x:v>E14</x:v>
      </x:c>
      <x:c r="D19" s="40" t="str">
        <x:v>US insurance revenue weight</x:v>
      </x:c>
      <x:c r="E19" s="40" t="str">
        <x:v>Assumed</x:v>
      </x:c>
      <x:c r="F19" s="40" t="str">
        <x:v>FY26Q4</x:v>
      </x:c>
      <x:c r="G19" s="40" t="str">
        <x:v>90% retained legacy working assumption</x:v>
      </x:c>
      <x:c r="H19" s="40" t="str">
        <x:v>Not the global 81% insurance unit disclosure</x:v>
      </x:c>
      <x:c r="I19" s="40" t="str">
        <x:v>Material allocation uncertainty</x:v>
      </x:c>
    </x:row>
    <x:row r="20" ht="68" customHeight="1">
      <x:c r="A20" s="2"/>
      <x:c r="B20" s="2"/>
      <x:c r="C20" s="39" t="str">
        <x:v>E15</x:v>
      </x:c>
      <x:c r="D20" s="40" t="str">
        <x:v>Other-US service activity</x:v>
      </x:c>
      <x:c r="E20" s="40" t="str">
        <x:v>Coarse assumed build</x:v>
      </x:c>
      <x:c r="F20" s="40" t="str">
        <x:v>FY26Q4–FY27</x:v>
      </x:c>
      <x:c r="G20" s="40" t="str">
        <x:v>Noninsurance + referral + other service residual</x:v>
      </x:c>
      <x:c r="H20" s="40" t="str">
        <x:v>Activity-equivalent counts, not reported sold units</x:v>
      </x:c>
      <x:c r="I20" s="40" t="str">
        <x:v>Separate actual channels when measured</x:v>
      </x:c>
    </x:row>
    <x:row r="21" ht="68" customHeight="1">
      <x:c r="A21" s="2"/>
      <x:c r="B21" s="2"/>
      <x:c r="C21" s="39" t="str">
        <x:v>E16</x:v>
      </x:c>
      <x:c r="D21" s="40" t="str">
        <x:v>International service activity</x:v>
      </x:c>
      <x:c r="E21" s="40" t="str">
        <x:v>Coarse assumed build</x:v>
      </x:c>
      <x:c r="F21" s="40" t="str">
        <x:v>FY26Q4–FY27</x:v>
      </x:c>
      <x:c r="G21" s="40" t="str">
        <x:v>Country mix combined; unit/fee/FX controls</x:v>
      </x:c>
      <x:c r="H21" s="40" t="str">
        <x:v>No imported US fee grid</x:v>
      </x:c>
      <x:c r="I21" s="40" t="str">
        <x:v>Requires country fee and activity evidence</x:v>
      </x:c>
    </x:row>
    <x:row r="22" ht="68" customHeight="1">
      <x:c r="A22" s="2"/>
      <x:c r="B22" s="2"/>
      <x:c r="C22" s="39" t="str">
        <x:v>E17</x:v>
      </x:c>
      <x:c r="D22" s="40" t="str">
        <x:v>Recognition timing</x:v>
      </x:c>
      <x:c r="E22" s="40" t="str">
        <x:v>Reported historical policy</x:v>
      </x:c>
      <x:c r="F22" s="40" t="str">
        <x:v>FY2025 10-K</x:v>
      </x:c>
      <x:c r="G22" s="40" t="str">
        <x:v>Revenue Recognition / Service revenues</x:v>
      </x:c>
      <x:c r="H22" s="40" t="str">
        <x:v>Auction-related services recognized at auction; access separate</x:v>
      </x:c>
      <x:c r="I22" s="40" t="str">
        <x:v>Check new product/standalone arrangements</x:v>
      </x:c>
    </x:row>
    <x:row r="23" ht="68" customHeight="1">
      <x:c r="A23" s="2"/>
      <x:c r="B23" s="2"/>
      <x:c r="C23" s="39" t="str">
        <x:v>E18</x:v>
      </x:c>
      <x:c r="D23" s="40" t="str">
        <x:v>Sale timing</x:v>
      </x:c>
      <x:c r="E23" s="40" t="str">
        <x:v>Neutral assumption</x:v>
      </x:c>
      <x:c r="F23" s="40" t="str">
        <x:v>All modeled periods</x:v>
      </x:c>
      <x:c r="G23" s="40" t="str">
        <x:v>Same-quarter conversion 100% initially</x:v>
      </x:c>
      <x:c r="H23" s="40" t="str">
        <x:v>Friend ramp may already describe sales; timing unverified</x:v>
      </x:c>
      <x:c r="I23" s="40" t="str">
        <x:v>No second lag until scope resolved</x:v>
      </x:c>
    </x:row>
    <x:row r="24" ht="68" customHeight="1">
      <x:c r="A24" s="2"/>
      <x:c r="B24" s="2"/>
      <x:c r="C24" s="39" t="str">
        <x:v>E19</x:v>
      </x:c>
      <x:c r="D24" s="40" t="str">
        <x:v>Direct-buy referral fees</x:v>
      </x:c>
      <x:c r="E24" s="40" t="str">
        <x:v>Management disclosure</x:v>
      </x:c>
      <x:c r="F24" s="40" t="str">
        <x:v>FY26Q1 call lines 183–190</x:v>
      </x:c>
      <x:c r="G24" s="40" t="str">
        <x:v>Referral fee replaces some owned-vehicle processing</x:v>
      </x:c>
      <x:c r="H24" s="40" t="str">
        <x:v>Fees can arise without Copart inventory/sold units</x:v>
      </x:c>
      <x:c r="I24" s="40" t="str">
        <x:v>Other-US activity branch, not insurer units</x:v>
      </x:c>
    </x:row>
    <x:row r="25" ht="68" customHeight="1">
      <x:c r="A25" s="2"/>
      <x:c r="B25" s="2"/>
      <x:c r="C25" s="39" t="str">
        <x:v>E20</x:v>
      </x:c>
      <x:c r="D25" s="40" t="str">
        <x:v>Consensus service forecast</x:v>
      </x:c>
      <x:c r="E25" s="40" t="str">
        <x:v>Missing</x:v>
      </x:c>
      <x:c r="F25" s="40" t="str">
        <x:v>FY27 quarters</x:v>
      </x:c>
      <x:c r="G25" s="40" t="str">
        <x:v>No comparable dated consensus series loaded</x:v>
      </x:c>
      <x:c r="H25" s="40" t="str">
        <x:v>Never substitute our old revenue growth baseline</x:v>
      </x:c>
      <x:c r="I25" s="40" t="str">
        <x:v>Comparison remains unavailable</x:v>
      </x:c>
    </x:row>
    <x:row r="26" ht="19" customHeight="1">
      <x:c r="A26" s="2"/>
      <x:c r="B26" s="2"/>
      <x:c r="C26" s="2"/>
      <x:c r="D26" s="3"/>
      <x:c r="E26" s="3"/>
      <x:c r="F26" s="3"/>
      <x:c r="G26" s="3"/>
      <x:c r="H26" s="3"/>
      <x:c r="I26" s="3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2" hidden="0" customWidth="1"/>
    <x:col min="2" max="2" width="2" hidden="0" customWidth="1"/>
    <x:col min="3" max="3" width="43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 ht="19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2" ht="24" customHeight="1">
      <x:c r="A2" s="2"/>
      <x:c r="B2" s="2"/>
      <x:c r="C2" s="5" t="str">
        <x:v>Reconciliations and scope checks</x:v>
      </x:c>
      <x:c r="D2" s="5"/>
      <x:c r="E2" s="5"/>
      <x:c r="F2" s="5"/>
      <x:c r="G2" s="5"/>
      <x:c r="H2" s="5"/>
      <x:c r="I2" s="5"/>
      <x:c r="J2" s="5"/>
      <x:c r="K2" s="5"/>
    </x:row>
    <x:row r="3" ht="19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</x:row>
    <x:row r="4" ht="19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</x:row>
    <x:row r="5" ht="30" customHeight="1">
      <x:c r="A5" s="2"/>
      <x:c r="B5" s="2"/>
      <x:c r="C5" s="8" t="str">
        <x:v>Fiscal quarter</x:v>
      </x:c>
      <x:c r="D5" s="8" t="str">
        <x:v>Q1:26A</x:v>
      </x:c>
      <x:c r="E5" s="8" t="str">
        <x:v>Q2:26A</x:v>
      </x:c>
      <x:c r="F5" s="8" t="str">
        <x:v>Q3:26A</x:v>
      </x:c>
      <x:c r="G5" s="8" t="str">
        <x:v>Q4:26A</x:v>
      </x:c>
      <x:c r="H5" s="8" t="str">
        <x:v>Q1:27E</x:v>
      </x:c>
      <x:c r="I5" s="8" t="str">
        <x:v>Q2:27E</x:v>
      </x:c>
      <x:c r="J5" s="8" t="str">
        <x:v>Q3:27E</x:v>
      </x:c>
      <x:c r="K5" s="8" t="str">
        <x:v>Q4:27E</x:v>
      </x:c>
    </x:row>
    <x:row r="6" ht="19" customHeight="1">
      <x:c r="A6" s="2"/>
      <x:c r="B6" s="2"/>
      <x:c r="C6" s="2"/>
      <x:c r="D6" s="3"/>
      <x:c r="E6" s="3"/>
      <x:c r="F6" s="3"/>
      <x:c r="G6" s="3"/>
      <x:c r="H6" s="3"/>
      <x:c r="I6" s="3"/>
      <x:c r="J6" s="3"/>
      <x:c r="K6" s="3"/>
    </x:row>
    <x:row r="7" ht="19" customHeight="1">
      <x:c r="A7" s="2"/>
      <x:c r="B7" s="2"/>
      <x:c r="C7" s="2"/>
      <x:c r="D7" s="3"/>
      <x:c r="E7" s="3"/>
      <x:c r="F7" s="3"/>
      <x:c r="G7" s="3"/>
      <x:c r="H7" s="3"/>
      <x:c r="I7" s="3"/>
      <x:c r="J7" s="3"/>
      <x:c r="K7" s="3"/>
    </x:row>
    <x:row r="8" ht="19" customHeight="1">
      <x:c r="A8" s="2"/>
      <x:c r="B8" s="2"/>
      <x:c r="C8" s="2" t="str">
        <x:v>Inventory conservation (units)</x:v>
      </x:c>
      <x:c r="D8" s="43" t="n">
        <x:f>SUM('Volume Build'!D21,'Volume Build'!D19)-SUM('Volume Build'!D23:'Volume Build'!D24)</x:f>
        <x:v>0</x:v>
      </x:c>
      <x:c r="E8" s="43" t="n">
        <x:f>SUM('Volume Build'!E21,'Volume Build'!E19)-SUM('Volume Build'!E23:'Volume Build'!E24)</x:f>
        <x:v>0</x:v>
      </x:c>
      <x:c r="F8" s="43" t="n">
        <x:f>SUM('Volume Build'!F21,'Volume Build'!F19)-SUM('Volume Build'!F23:'Volume Build'!F24)</x:f>
        <x:v>0</x:v>
      </x:c>
      <x:c r="G8" s="43" t="n">
        <x:f>SUM('Volume Build'!G21,'Volume Build'!G19)-SUM('Volume Build'!G23:'Volume Build'!G24)</x:f>
        <x:v>0</x:v>
      </x:c>
      <x:c r="H8" s="43" t="n">
        <x:f>SUM('Volume Build'!H21,'Volume Build'!H19)-SUM('Volume Build'!H23:'Volume Build'!H24)</x:f>
        <x:v>0</x:v>
      </x:c>
      <x:c r="I8" s="43" t="n">
        <x:f>SUM('Volume Build'!I21,'Volume Build'!I19)-SUM('Volume Build'!I23:'Volume Build'!I24)</x:f>
        <x:v>0</x:v>
      </x:c>
      <x:c r="J8" s="43" t="n">
        <x:f>SUM('Volume Build'!J21,'Volume Build'!J19)-SUM('Volume Build'!J23:'Volume Build'!J24)</x:f>
        <x:v>0</x:v>
      </x:c>
      <x:c r="K8" s="43" t="n">
        <x:f>SUM('Volume Build'!K21,'Volume Build'!K19)-SUM('Volume Build'!K23:'Volume Build'!K24)</x:f>
        <x:v>0</x:v>
      </x:c>
    </x:row>
    <x:row r="9" ht="19" customHeight="1">
      <x:c r="A9" s="2"/>
      <x:c r="B9" s="2"/>
      <x:c r="C9" s="2" t="str">
        <x:v>Normalized carrier weights less one</x:v>
      </x:c>
      <x:c r="D9" s="43" t="n">
        <x:f>'Carrier Engine'!G91-1</x:f>
        <x:v>0</x:v>
      </x:c>
      <x:c r="E9" s="43" t="n">
        <x:f>'Carrier Engine'!G92-1</x:f>
        <x:v>0</x:v>
      </x:c>
      <x:c r="F9" s="43" t="n">
        <x:f>'Carrier Engine'!G93-1</x:f>
        <x:v>0</x:v>
      </x:c>
      <x:c r="G9" s="43" t="n">
        <x:f>'Carrier Engine'!G94-1</x:f>
        <x:v>0</x:v>
      </x:c>
      <x:c r="H9" s="43" t="n">
        <x:f>'Carrier Engine'!G95-1</x:f>
        <x:v>0</x:v>
      </x:c>
      <x:c r="I9" s="43" t="n">
        <x:f>'Carrier Engine'!G96-1</x:f>
        <x:v>0</x:v>
      </x:c>
      <x:c r="J9" s="43" t="n">
        <x:f>'Carrier Engine'!G97-1</x:f>
        <x:v>0</x:v>
      </x:c>
      <x:c r="K9" s="43" t="n">
        <x:f>'Carrier Engine'!G98-1</x:f>
        <x:v>0</x:v>
      </x:c>
    </x:row>
    <x:row r="10" ht="19" customHeight="1">
      <x:c r="A10" s="2"/>
      <x:c r="B10" s="2"/>
      <x:c r="C10" s="2" t="str">
        <x:v>Insurance revenue identity ($m)</x:v>
      </x:c>
      <x:c r="D10" s="43" t="n">
        <x:f>'Revenue Bridge'!D10-'Volume Build'!D23*'Vehicle Economics'!D22/1000000</x:f>
        <x:v>0</x:v>
      </x:c>
      <x:c r="E10" s="43" t="n">
        <x:f>'Revenue Bridge'!E10-'Volume Build'!E23*'Vehicle Economics'!E22/1000000</x:f>
        <x:v>0</x:v>
      </x:c>
      <x:c r="F10" s="43" t="n">
        <x:f>'Revenue Bridge'!F10-'Volume Build'!F23*'Vehicle Economics'!F22/1000000</x:f>
        <x:v>0</x:v>
      </x:c>
      <x:c r="G10" s="43" t="n">
        <x:f>'Revenue Bridge'!G10-'Volume Build'!G23*'Vehicle Economics'!G22/1000000</x:f>
        <x:v>0</x:v>
      </x:c>
      <x:c r="H10" s="43" t="n">
        <x:f>'Revenue Bridge'!H10-'Volume Build'!H23*'Vehicle Economics'!H22/1000000</x:f>
        <x:v>0</x:v>
      </x:c>
      <x:c r="I10" s="43" t="n">
        <x:f>'Revenue Bridge'!I10-'Volume Build'!I23*'Vehicle Economics'!I22/1000000</x:f>
        <x:v>0</x:v>
      </x:c>
      <x:c r="J10" s="43" t="n">
        <x:f>'Revenue Bridge'!J10-'Volume Build'!J23*'Vehicle Economics'!J22/1000000</x:f>
        <x:v>0</x:v>
      </x:c>
      <x:c r="K10" s="43" t="n">
        <x:f>'Revenue Bridge'!K10-'Volume Build'!K23*'Vehicle Economics'!K22/1000000</x:f>
        <x:v>0</x:v>
      </x:c>
    </x:row>
    <x:row r="11" ht="19" customHeight="1">
      <x:c r="A11" s="2"/>
      <x:c r="B11" s="2"/>
      <x:c r="C11" s="2" t="str">
        <x:v>Insurance change bridge ($m)</x:v>
      </x:c>
      <x:c r="D11" s="43" t="n">
        <x:f>'Revenue Bridge'!D33-('Revenue Bridge'!D10-'Revenue Bridge'!$G$10)</x:f>
        <x:v>-2.842170943040401e-14</x:v>
      </x:c>
      <x:c r="E11" s="43" t="n">
        <x:f>'Revenue Bridge'!E33-('Revenue Bridge'!E10-'Revenue Bridge'!$G$10)</x:f>
        <x:v>2.842170943040401e-14</x:v>
      </x:c>
      <x:c r="F11" s="43" t="n">
        <x:f>'Revenue Bridge'!F33-('Revenue Bridge'!F10-'Revenue Bridge'!$G$10)</x:f>
        <x:v>8.881784197001252e-14</x:v>
      </x:c>
      <x:c r="G11" s="43" t="n">
        <x:f>'Revenue Bridge'!G33-('Revenue Bridge'!G10-'Revenue Bridge'!$G$10)</x:f>
        <x:v>0</x:v>
      </x:c>
      <x:c r="H11" s="43" t="n">
        <x:f>'Revenue Bridge'!H33-('Revenue Bridge'!H10-'Revenue Bridge'!$G$10)</x:f>
        <x:v>2.4868995751603507e-14</x:v>
      </x:c>
      <x:c r="I11" s="43" t="n">
        <x:f>'Revenue Bridge'!I33-('Revenue Bridge'!I10-'Revenue Bridge'!$G$10)</x:f>
        <x:v>5.3290705182007514e-14</x:v>
      </x:c>
      <x:c r="J11" s="43" t="n">
        <x:f>'Revenue Bridge'!J33-('Revenue Bridge'!J10-'Revenue Bridge'!$G$10)</x:f>
        <x:v>-1.4210854715202004e-14</x:v>
      </x:c>
      <x:c r="K11" s="43" t="n">
        <x:f>'Revenue Bridge'!K33-('Revenue Bridge'!K10-'Revenue Bridge'!$G$10)</x:f>
        <x:v>3.552713678800501e-14</x:v>
      </x:c>
    </x:row>
    <x:row r="12" ht="19" customHeight="1">
      <x:c r="A12" s="2"/>
      <x:c r="B12" s="2"/>
      <x:c r="C12" s="2" t="str">
        <x:v>RPU component bridge ($)</x:v>
      </x:c>
      <x:c r="D12" s="43" t="n">
        <x:f>'Vehicle Economics'!D31-('Vehicle Economics'!D22-'Vehicle Economics'!$G$22)</x:f>
        <x:v>0</x:v>
      </x:c>
      <x:c r="E12" s="43" t="n">
        <x:f>'Vehicle Economics'!E31-('Vehicle Economics'!E22-'Vehicle Economics'!$G$22)</x:f>
        <x:v>0</x:v>
      </x:c>
      <x:c r="F12" s="43" t="n">
        <x:f>'Vehicle Economics'!F31-('Vehicle Economics'!F22-'Vehicle Economics'!$G$22)</x:f>
        <x:v>0</x:v>
      </x:c>
      <x:c r="G12" s="43" t="n">
        <x:f>'Vehicle Economics'!G31-('Vehicle Economics'!G22-'Vehicle Economics'!$G$22)</x:f>
        <x:v>0</x:v>
      </x:c>
      <x:c r="H12" s="43" t="n">
        <x:f>'Vehicle Economics'!H31-('Vehicle Economics'!H22-'Vehicle Economics'!$G$22)</x:f>
        <x:v>0</x:v>
      </x:c>
      <x:c r="I12" s="43" t="n">
        <x:f>'Vehicle Economics'!I31-('Vehicle Economics'!I22-'Vehicle Economics'!$G$22)</x:f>
        <x:v>0</x:v>
      </x:c>
      <x:c r="J12" s="43" t="n">
        <x:f>'Vehicle Economics'!J31-('Vehicle Economics'!J22-'Vehicle Economics'!$G$22)</x:f>
        <x:v>0</x:v>
      </x:c>
      <x:c r="K12" s="43" t="n">
        <x:f>'Vehicle Economics'!K31-('Vehicle Economics'!K22-'Vehicle Economics'!$G$22)</x:f>
        <x:v>0</x:v>
      </x:c>
    </x:row>
    <x:row r="13" ht="19" customHeight="1">
      <x:c r="A13" s="2"/>
      <x:c r="B13" s="2"/>
      <x:c r="C13" s="2"/>
      <x:c r="D13" s="43"/>
      <x:c r="E13" s="43"/>
      <x:c r="F13" s="43"/>
      <x:c r="G13" s="43"/>
      <x:c r="H13" s="43"/>
      <x:c r="I13" s="43"/>
      <x:c r="J13" s="43"/>
      <x:c r="K13" s="43"/>
    </x:row>
    <x:row r="14" ht="19" customHeight="1">
      <x:c r="A14" s="2"/>
      <x:c r="B14" s="2"/>
      <x:c r="C14" s="2" t="str">
        <x:v>FY26Q4 US calibration residual</x:v>
      </x:c>
      <x:c r="D14" s="43"/>
      <x:c r="E14" s="43"/>
      <x:c r="F14" s="43"/>
      <x:c r="G14" s="43" t="n">
        <x:f>'Revenue Bridge'!G15-'Source Data'!G8</x:f>
        <x:v>1.1368683772161603e-13</x:v>
      </x:c>
      <x:c r="H14" s="43"/>
      <x:c r="I14" s="43"/>
      <x:c r="J14" s="43"/>
      <x:c r="K14" s="43"/>
    </x:row>
    <x:row r="15" ht="19" customHeight="1">
      <x:c r="A15" s="2"/>
      <x:c r="B15" s="2"/>
      <x:c r="C15" s="2"/>
      <x:c r="D15" s="28"/>
      <x:c r="E15" s="28"/>
      <x:c r="F15" s="28"/>
      <x:c r="G15" s="28"/>
      <x:c r="H15" s="28"/>
      <x:c r="I15" s="28"/>
      <x:c r="J15" s="28"/>
      <x:c r="K15" s="28"/>
    </x:row>
    <x:row r="16" ht="19" customHeight="1">
      <x:c r="A16" s="2"/>
      <x:c r="B16" s="2"/>
      <x:c r="C16" s="2" t="str">
        <x:v>Model less reported US ($m)</x:v>
      </x:c>
      <x:c r="D16" s="44" t="n">
        <x:f>'Revenue Bridge'!D25</x:f>
        <x:v>10.230710805485614</x:v>
      </x:c>
      <x:c r="E16" s="44" t="n">
        <x:f>'Revenue Bridge'!E25</x:f>
        <x:v>44.04001916000118</x:v>
      </x:c>
      <x:c r="F16" s="44" t="n">
        <x:f>'Revenue Bridge'!F25</x:f>
        <x:v>-56.14878328123973</x:v>
      </x:c>
      <x:c r="G16" s="44" t="n">
        <x:f>'Revenue Bridge'!G25</x:f>
        <x:v>1.1368683772161603e-13</x:v>
      </x:c>
      <x:c r="H16" s="44" t="str">
        <x:f>"n.a."</x:f>
        <x:v>n.a.</x:v>
      </x:c>
      <x:c r="I16" s="44" t="str">
        <x:f>"n.a."</x:f>
        <x:v>n.a.</x:v>
      </x:c>
      <x:c r="J16" s="44" t="str">
        <x:f>"n.a."</x:f>
        <x:v>n.a.</x:v>
      </x:c>
      <x:c r="K16" s="44" t="str">
        <x:f>"n.a."</x:f>
        <x:v>n.a.</x:v>
      </x:c>
    </x:row>
    <x:row r="17" ht="19" customHeight="1">
      <x:c r="A17" s="2"/>
      <x:c r="B17" s="2"/>
      <x:c r="C17" s="2"/>
      <x:c r="D17" s="3"/>
      <x:c r="E17" s="3"/>
      <x:c r="F17" s="3"/>
      <x:c r="G17" s="3"/>
      <x:c r="H17" s="3"/>
      <x:c r="I17" s="3"/>
      <x:c r="J17" s="3"/>
      <x:c r="K17" s="3"/>
    </x:row>
    <x:row r="18" ht="19" customHeight="1">
      <x:c r="A18" s="2"/>
      <x:c r="B18" s="2"/>
      <x:c r="C18" s="2"/>
      <x:c r="D18" s="3"/>
      <x:c r="E18" s="3"/>
      <x:c r="F18" s="3"/>
      <x:c r="G18" s="3"/>
      <x:c r="H18" s="3"/>
      <x:c r="I18" s="3"/>
      <x:c r="J18" s="3"/>
      <x:c r="K18" s="3"/>
    </x:row>
    <x:row r="19" ht="30" customHeight="1">
      <x:c r="A19" s="2"/>
      <x:c r="B19" s="2"/>
      <x:c r="C19" s="15" t="str">
        <x:v>Earlier historical residuals are not forced to zero. This is a reconstruction with present-day fee assumptions, not an out-of-sample validation.</x:v>
      </x:c>
      <x:c r="D19" s="16"/>
      <x:c r="E19" s="16"/>
      <x:c r="F19" s="16"/>
      <x:c r="G19" s="16"/>
      <x:c r="H19" s="16"/>
      <x:c r="I19" s="16"/>
      <x:c r="J19" s="16"/>
      <x:c r="K19" s="16"/>
    </x:row>
    <x:row r="20" ht="19" customHeight="1">
      <x:c r="A20" s="2"/>
      <x:c r="B20" s="2"/>
      <x:c r="C20" s="2"/>
      <x:c r="D20" s="3"/>
      <x:c r="E20" s="3"/>
      <x:c r="F20" s="3"/>
      <x:c r="G20" s="3"/>
      <x:c r="H20" s="3"/>
      <x:c r="I20" s="3"/>
      <x:c r="J20" s="3"/>
      <x:c r="K20" s="3"/>
    </x:row>
    <x:row r="21" ht="19" customHeight="1">
      <x:c r="A21" s="2"/>
      <x:c r="B21" s="2"/>
      <x:c r="C21" s="2"/>
      <x:c r="D21" s="3"/>
      <x:c r="E21" s="3"/>
      <x:c r="F21" s="3"/>
      <x:c r="G21" s="3"/>
      <x:c r="H21" s="3"/>
      <x:c r="I21" s="3"/>
      <x:c r="J21" s="3"/>
      <x:c r="K21" s="3"/>
    </x:row>
    <x:row r="22" ht="19" customHeight="1">
      <x:c r="A22" s="2"/>
      <x:c r="B22" s="2"/>
      <x:c r="C22" s="2"/>
      <x:c r="D22" s="3"/>
      <x:c r="E22" s="3"/>
      <x:c r="F22" s="3"/>
      <x:c r="G22" s="3"/>
      <x:c r="H22" s="3"/>
      <x:c r="I22" s="3"/>
      <x:c r="J22" s="3"/>
      <x:c r="K22" s="3"/>
    </x:row>
    <x:row r="23" ht="19" customHeight="1">
      <x:c r="A23" s="2"/>
      <x:c r="B23" s="2"/>
      <x:c r="C23" s="2"/>
      <x:c r="D23" s="3"/>
      <x:c r="E23" s="3"/>
      <x:c r="F23" s="3"/>
      <x:c r="G23" s="3"/>
      <x:c r="H23" s="3"/>
      <x:c r="I23" s="3"/>
      <x:c r="J23" s="3"/>
      <x:c r="K23" s="3"/>
    </x:row>
    <x:row r="24" ht="19" customHeight="1">
      <x:c r="A24" s="2"/>
      <x:c r="B24" s="2"/>
      <x:c r="C24" s="2"/>
      <x:c r="D24" s="3"/>
      <x:c r="E24" s="3"/>
      <x:c r="F24" s="3"/>
      <x:c r="G24" s="3"/>
      <x:c r="H24" s="3"/>
      <x:c r="I24" s="3"/>
      <x:c r="J24" s="3"/>
      <x:c r="K24" s="3"/>
    </x:row>
    <x:row r="25" ht="19" customHeight="1">
      <x:c r="A25" s="2"/>
      <x:c r="B25" s="2"/>
      <x:c r="C25" s="2"/>
      <x:c r="D25" s="3"/>
      <x:c r="E25" s="3"/>
      <x:c r="F25" s="3"/>
      <x:c r="G25" s="3"/>
      <x:c r="H25" s="3"/>
      <x:c r="I25" s="3"/>
      <x:c r="J25" s="3"/>
      <x:c r="K25" s="3"/>
    </x:row>
    <x:row r="26" ht="19" customHeight="1">
      <x:c r="A26" s="2"/>
      <x:c r="B26" s="2"/>
      <x:c r="C26" s="2"/>
      <x:c r="D26" s="3"/>
      <x:c r="E26" s="3"/>
      <x:c r="F26" s="3"/>
      <x:c r="G26" s="3"/>
      <x:c r="H26" s="3"/>
      <x:c r="I26" s="3"/>
      <x:c r="J26" s="3"/>
      <x:c r="K26" s="3"/>
    </x:row>
    <x:row r="27" ht="19" customHeight="1">
      <x:c r="A27" s="2"/>
      <x:c r="B27" s="2"/>
      <x:c r="C27" s="2"/>
      <x:c r="D27" s="3"/>
      <x:c r="E27" s="3"/>
      <x:c r="F27" s="3"/>
      <x:c r="G27" s="3"/>
      <x:c r="H27" s="3"/>
      <x:c r="I27" s="3"/>
      <x:c r="J27" s="3"/>
      <x:c r="K27" s="3"/>
    </x:row>
    <x:row r="28" ht="19" customHeight="1">
      <x:c r="A28" s="2"/>
      <x:c r="B28" s="2"/>
      <x:c r="C28" s="2"/>
      <x:c r="D28" s="3"/>
      <x:c r="E28" s="3"/>
      <x:c r="F28" s="3"/>
      <x:c r="G28" s="3"/>
      <x:c r="H28" s="3"/>
      <x:c r="I28" s="3"/>
      <x:c r="J28" s="3"/>
      <x:c r="K28" s="3"/>
    </x:row>
    <x:row r="29" ht="19" customHeight="1">
      <x:c r="A29" s="2"/>
      <x:c r="B29" s="2"/>
      <x:c r="C29" s="2"/>
      <x:c r="D29" s="3"/>
      <x:c r="E29" s="3"/>
      <x:c r="F29" s="3"/>
      <x:c r="G29" s="3"/>
      <x:c r="H29" s="3"/>
      <x:c r="I29" s="3"/>
      <x:c r="J29" s="3"/>
      <x:c r="K29" s="3"/>
    </x:row>
    <x:row r="30" ht="19" customHeight="1">
      <x:c r="A30" s="2"/>
      <x:c r="B30" s="2"/>
      <x:c r="C30" s="2"/>
      <x:c r="D30" s="3"/>
      <x:c r="E30" s="3"/>
      <x:c r="F30" s="3"/>
      <x:c r="G30" s="3"/>
      <x:c r="H30" s="3"/>
      <x:c r="I30" s="3"/>
      <x:c r="J30" s="3"/>
      <x:c r="K30" s="3"/>
    </x:row>
  </x:sheetData>
  <x:mergeCells>
    <x:mergeCell ref="C19:K19"/>
  </x:mergeCells>
  <x:conditionalFormatting sqref="D8:K14">
    <x:cfRule type="cellIs" dxfId="0" priority="1" operator="notBetween">
      <x:formula>-0.00001</x:formula>
      <x:formula>0.00001</x:formula>
    </x:cfRule>
  </x:conditionalFormatting>
  <x:pageMargins left="0.7" right="0.7" top="0.75" bottom="0.75" header="0.3" footer="0.3"/>
</x:worksheet>
</file>