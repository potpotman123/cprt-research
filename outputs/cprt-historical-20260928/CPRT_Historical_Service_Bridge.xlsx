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91b797b50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Bridge" sheetId="1" r:id="R4b75886b41bf45e5"/>
    <x:sheet xmlns:r="http://schemas.openxmlformats.org/officeDocument/2006/relationships" name="Source Data" sheetId="2" r:id="R2c8f5b9cb512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.0%"/>
    <x:numFmt numFmtId="202" formatCode="0.00%"/>
  </x:numFmts>
  <x:fonts count="12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name val="Arial"/>
    </x:font>
    <x:font>
      <x:sz val="10"/>
      <x:color rgb="FF008000"/>
      <x:name val="Arial"/>
    </x:font>
    <x:font>
      <x:sz val="10"/>
      <x:color rgb="FF111111"/>
      <x:name val="Arial"/>
    </x:font>
    <x:font>
      <x:sz val="9"/>
      <x:color rgb="FF008000"/>
      <x:name val="Arial"/>
    </x:font>
    <x:font>
      <x:sz val="9"/>
      <x:name val="Arial"/>
    </x:font>
    <x:font>
      <x:b/>
      <x:sz val="10"/>
      <x:color rgb="FF008000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1"/>
      </x:patternFill>
    </x:fill>
    <x:fill>
      <x:patternFill patternType="solid">
        <x:fgColor rgb="FFE7EBEF"/>
      </x:patternFill>
    </x:fill>
  </x:fills>
  <x:borders count="4">
    <x:border/>
    <x:border>
      <x:bottom style="thin">
        <x:color rgb="FF243A51"/>
      </x:bottom>
    </x:border>
    <x:border>
      <x:bottom style="thin">
        <x:color rgb="FF8A98A5"/>
      </x:bottom>
    </x:border>
    <x:border>
      <x:top style="thin">
        <x:color rgb="FF243A51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0" fontId="5" fillId="3" borderId="2" xfId="0" applyNumberFormat="1" applyFont="1" applyFill="1" applyBorder="1"/>
    <x:xf numFmtId="200" fontId="5" fillId="3" borderId="2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horizontal="right" wrapText="1"/>
    </x:xf>
    <x:xf numFmtId="200" fontId="6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0" fontId="8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0" fontId="10" fillId="0" borderId="0" xfId="0" applyNumberFormat="1" applyFont="1" applyFill="1" applyBorder="1" applyAlignment="1">
      <x:alignment horizontal="right"/>
    </x:xf>
    <x:xf numFmtId="200" fontId="11" fillId="0" borderId="0" xfId="0" applyNumberFormat="1" applyFont="1" applyFill="1" applyBorder="1" applyAlignment="1">
      <x:alignment horizontal="right"/>
    </x:xf>
    <x:xf numFmtId="0" fontId="5" fillId="0" borderId="3" xfId="0" applyNumberFormat="1" applyFont="1" applyFill="1" applyBorder="1"/>
    <x:xf numFmtId="200" fontId="10" fillId="0" borderId="3" xfId="0" applyNumberFormat="1" applyFont="1" applyFill="1" applyBorder="1" applyAlignment="1">
      <x:alignment horizontal="right"/>
    </x:xf>
    <x:xf numFmtId="200" fontId="11" fillId="0" borderId="3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9e86993574693" /><Relationship Type="http://schemas.openxmlformats.org/officeDocument/2006/relationships/theme" Target="/xl/theme/theme1.xml" Id="R8a2ef8b73dd44ef0" /><Relationship Type="http://schemas.openxmlformats.org/officeDocument/2006/relationships/sharedStrings" Target="/xl/sharedStrings.xml" Id="Re70d912bbbfe4be1" /><Relationship Type="http://schemas.openxmlformats.org/officeDocument/2006/relationships/worksheet" Target="/xl/worksheets/sheet1.xml" Id="R4b75886b41bf45e5" /><Relationship Type="http://schemas.openxmlformats.org/officeDocument/2006/relationships/worksheet" Target="/xl/worksheets/sheet2.xml" Id="R2c8f5b9cb512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42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1"/>
      <x:c r="B2" s="5" t="str">
        <x:v>Copart — historical service-revenue bridge</x:v>
      </x:c>
      <x:c r="C2" s="5"/>
      <x:c r="D2" s="5"/>
      <x:c r="E2" s="5"/>
      <x:c r="F2" s="5"/>
      <x:c r="G2" s="5"/>
      <x:c r="H2" s="5"/>
      <x:c r="I2" s="1"/>
      <x:c r="J2" s="1"/>
    </x:row>
    <x:row r="3" ht="30" customHeight="1">
      <x:c r="A3" s="1"/>
      <x:c r="B3" s="17" t="str">
        <x:v>USD millions. Derived contributions are accounting attributions, not causal estimates.</x:v>
      </x:c>
      <x:c r="C3" s="17"/>
      <x:c r="D3" s="17"/>
      <x:c r="E3" s="17"/>
      <x:c r="F3" s="17"/>
      <x:c r="G3" s="17"/>
      <x:c r="H3" s="17"/>
      <x:c r="I3" s="1"/>
      <x:c r="J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0" customHeight="1">
      <x:c r="A5" s="1"/>
      <x:c r="B5" s="7"/>
      <x:c r="C5" s="7"/>
      <x:c r="D5" s="7" t="str">
        <x:v>FY26 Q1</x:v>
      </x:c>
      <x:c r="E5" s="7" t="str">
        <x:v>FY26 Q2</x:v>
      </x:c>
      <x:c r="F5" s="7" t="str">
        <x:v>FY26 Q3</x:v>
      </x:c>
      <x:c r="G5" s="7" t="str">
        <x:v>FY26 Q4</x:v>
      </x:c>
      <x:c r="H5" s="7" t="str">
        <x:v>FY26 total</x:v>
      </x:c>
      <x:c r="I5" s="1"/>
      <x:c r="J5" s="1"/>
    </x:row>
    <x:row r="6" ht="20" customHeight="1">
      <x:c r="A6" s="1"/>
      <x:c r="B6" s="1"/>
      <x:c r="C6" s="1"/>
      <x:c r="D6" s="3"/>
      <x:c r="E6" s="3"/>
      <x:c r="F6" s="3"/>
      <x:c r="G6" s="3"/>
      <x:c r="H6" s="3"/>
      <x:c r="I6" s="1"/>
      <x:c r="J6" s="1"/>
    </x:row>
    <x:row r="7" ht="20" customHeight="1">
      <x:c r="A7" s="1"/>
      <x:c r="B7" s="15" t="str">
        <x:v>US service revenue</x:v>
      </x:c>
      <x:c r="C7" s="15"/>
      <x:c r="D7" s="16"/>
      <x:c r="E7" s="16"/>
      <x:c r="F7" s="16"/>
      <x:c r="G7" s="16"/>
      <x:c r="H7" s="16"/>
      <x:c r="I7" s="1"/>
      <x:c r="J7" s="1"/>
    </x:row>
    <x:row r="8" ht="20" customHeight="1">
      <x:c r="A8" s="1"/>
      <x:c r="B8" s="1" t="str">
        <x:v>Prior-year service revenue</x:v>
      </x:c>
      <x:c r="C8" s="1"/>
      <x:c r="D8" s="19" t="n">
        <x:f>'Source Data'!D7</x:f>
        <x:v>859.99</x:v>
      </x:c>
      <x:c r="E8" s="19" t="n">
        <x:f>'Source Data'!E7</x:f>
        <x:v>868.13</x:v>
      </x:c>
      <x:c r="F8" s="19" t="n">
        <x:f>'Source Data'!F7</x:f>
        <x:v>898.625</x:v>
      </x:c>
      <x:c r="G8" s="19" t="n">
        <x:f>'Source Data'!G7</x:f>
        <x:v>824.813</x:v>
      </x:c>
      <x:c r="H8" s="20" t="n">
        <x:f>SUM(D8:G8)</x:f>
        <x:v>3451.558</x:v>
      </x:c>
      <x:c r="I8" s="1"/>
      <x:c r="J8" s="1"/>
    </x:row>
    <x:row r="9" ht="20" customHeight="1">
      <x:c r="A9" s="1"/>
      <x:c r="B9" s="1" t="str">
        <x:v>Fee-unit growth — used</x:v>
      </x:c>
      <x:c r="C9" s="1"/>
      <x:c r="D9" s="21" t="n">
        <x:f>IF(ISNUMBER('Source Data'!D9),'Source Data'!D9,IF(ISNUMBER('Source Data'!D10),('Source Data'!D8/D8)/(1+'Source Data'!D10)-1,"n.a."))</x:f>
        <x:v>-0.07458740055657764</x:v>
      </x:c>
      <x:c r="E9" s="21" t="n">
        <x:f>IF(ISNUMBER('Source Data'!E9),'Source Data'!E9,IF(ISNUMBER('Source Data'!E10),('Source Data'!E8/E8)/(1+'Source Data'!E10)-1,"n.a."))</x:f>
        <x:v>-0.09</x:v>
      </x:c>
      <x:c r="F9" s="21" t="n">
        <x:f>IF(ISNUMBER('Source Data'!F9),'Source Data'!F9,IF(ISNUMBER('Source Data'!F10),('Source Data'!F8/F8)/(1+'Source Data'!F10)-1,"n.a."))</x:f>
        <x:v>-0.033</x:v>
      </x:c>
      <x:c r="G9" s="21" t="str">
        <x:f>IF(ISNUMBER('Source Data'!G9),'Source Data'!G9,IF(ISNUMBER('Source Data'!G10),('Source Data'!G8/G8)/(1+'Source Data'!G10)-1,"n.a."))</x:f>
        <x:v>n.a.</x:v>
      </x:c>
      <x:c r="H9" s="3" t="str">
        <x:v>n.a.</x:v>
      </x:c>
      <x:c r="I9" s="1"/>
      <x:c r="J9" s="1"/>
    </x:row>
    <x:row r="10" ht="20" customHeight="1">
      <x:c r="A10" s="1"/>
      <x:c r="B10" s="1" t="str">
        <x:v>Fee RPU growth — used</x:v>
      </x:c>
      <x:c r="C10" s="1"/>
      <x:c r="D10" s="21" t="n">
        <x:f>IF(ISNUMBER('Source Data'!D10),'Source Data'!D10,IF(ISNUMBER('Source Data'!D9),('Source Data'!D8/D8)/(1+'Source Data'!D9)-1,"n.a."))</x:f>
        <x:v>0.075</x:v>
      </x:c>
      <x:c r="E10" s="21" t="n">
        <x:f>IF(ISNUMBER('Source Data'!E10),'Source Data'!E10,IF(ISNUMBER('Source Data'!E9),('Source Data'!E8/E8)/(1+'Source Data'!E9)-1,"n.a."))</x:f>
        <x:v>0.03730223216936035</x:v>
      </x:c>
      <x:c r="F10" s="21" t="n">
        <x:f>IF(ISNUMBER('Source Data'!F10),'Source Data'!F10,IF(ISNUMBER('Source Data'!F9),('Source Data'!F8/F8)/(1+'Source Data'!F9)-1,"n.a."))</x:f>
        <x:v>0.03048852499718424</x:v>
      </x:c>
      <x:c r="G10" s="21" t="str">
        <x:f>IF(ISNUMBER('Source Data'!G10),'Source Data'!G10,IF(ISNUMBER('Source Data'!G9),('Source Data'!G8/G8)/(1+'Source Data'!G9)-1,"n.a."))</x:f>
        <x:v>n.a.</x:v>
      </x:c>
      <x:c r="H10" s="3" t="str">
        <x:v>n.a.</x:v>
      </x:c>
      <x:c r="I10" s="1"/>
      <x:c r="J10" s="1"/>
    </x:row>
    <x:row r="11" ht="20" customHeight="1">
      <x:c r="A11" s="1"/>
      <x:c r="B11" s="1" t="str">
        <x:v>Attribution basis</x:v>
      </x:c>
      <x:c r="C11" s="1"/>
      <x:c r="D11" s="24" t="str">
        <x:f>IF(ISNUMBER('Source Data'!D9),"Broker units",IF(ISNUMBER('Source Data'!D10),"Reported RPU","Unresolved"))</x:f>
        <x:v>Reported RPU</x:v>
      </x:c>
      <x:c r="E11" s="24" t="str">
        <x:f>IF(ISNUMBER('Source Data'!E9),"Broker units",IF(ISNUMBER('Source Data'!E10),"Reported RPU","Unresolved"))</x:f>
        <x:v>Broker units</x:v>
      </x:c>
      <x:c r="F11" s="24" t="str">
        <x:f>IF(ISNUMBER('Source Data'!F9),"Broker units",IF(ISNUMBER('Source Data'!F10),"Reported RPU","Unresolved"))</x:f>
        <x:v>Broker units</x:v>
      </x:c>
      <x:c r="G11" s="24" t="str">
        <x:f>IF(ISNUMBER('Source Data'!G9),"Broker units",IF(ISNUMBER('Source Data'!G10),"Reported RPU","Unresolved"))</x:f>
        <x:v>Unresolved</x:v>
      </x:c>
      <x:c r="H11" s="25" t="str">
        <x:v>Q4 unresolved</x:v>
      </x:c>
      <x:c r="I11" s="1"/>
      <x:c r="J11" s="1"/>
    </x:row>
    <x:row r="12" ht="20" customHeight="1">
      <x:c r="A12" s="1"/>
      <x:c r="B12" s="1" t="str">
        <x:v>Volume contribution ($m)</x:v>
      </x:c>
      <x:c r="C12" s="1"/>
      <x:c r="D12" s="20" t="n">
        <x:f>IF(AND(ISNUMBER(D9),ISNUMBER(D10)),D8*D9,"n.a.")</x:f>
        <x:v>-64.14441860465121</x:v>
      </x:c>
      <x:c r="E12" s="20" t="n">
        <x:f>IF(AND(ISNUMBER(E9),ISNUMBER(E10)),E8*E9,"n.a.")</x:f>
        <x:v>-78.1317</x:v>
      </x:c>
      <x:c r="F12" s="20" t="n">
        <x:f>IF(AND(ISNUMBER(F9),ISNUMBER(F10)),F8*F9,"n.a.")</x:f>
        <x:v>-29.654625000000003</x:v>
      </x:c>
      <x:c r="G12" s="20" t="str">
        <x:f>IF(AND(ISNUMBER(G9),ISNUMBER(G10)),G8*G9,"n.a.")</x:f>
        <x:v>n.a.</x:v>
      </x:c>
      <x:c r="H12" s="20" t="n">
        <x:f>SUM(D12:G12)</x:f>
        <x:v>-171.9307436046512</x:v>
      </x:c>
      <x:c r="I12" s="1"/>
      <x:c r="J12" s="1"/>
    </x:row>
    <x:row r="13" ht="20" customHeight="1">
      <x:c r="A13" s="1"/>
      <x:c r="B13" s="1" t="str">
        <x:v>RPU contribution ($m)</x:v>
      </x:c>
      <x:c r="C13" s="1"/>
      <x:c r="D13" s="20" t="n">
        <x:f>IF(AND(ISNUMBER(D9),ISNUMBER(D10)),D8*D10,"n.a.")</x:f>
        <x:v>64.49925</x:v>
      </x:c>
      <x:c r="E13" s="20" t="n">
        <x:f>IF(AND(ISNUMBER(E9),ISNUMBER(E10)),E8*E10,"n.a.")</x:f>
        <x:v>32.3831868131868</x:v>
      </x:c>
      <x:c r="F13" s="20" t="n">
        <x:f>IF(AND(ISNUMBER(F9),ISNUMBER(F10)),F8*F10,"n.a.")</x:f>
        <x:v>27.397750775594687</x:v>
      </x:c>
      <x:c r="G13" s="20" t="str">
        <x:f>IF(AND(ISNUMBER(G9),ISNUMBER(G10)),G8*G10,"n.a.")</x:f>
        <x:v>n.a.</x:v>
      </x:c>
      <x:c r="H13" s="20" t="n">
        <x:f>SUM(D13:G13)</x:f>
        <x:v>124.2801875887815</x:v>
      </x:c>
      <x:c r="I13" s="1"/>
      <x:c r="J13" s="1"/>
    </x:row>
    <x:row r="14" ht="20" customHeight="1">
      <x:c r="A14" s="1"/>
      <x:c r="B14" s="1" t="str">
        <x:v>Volume × RPU interaction ($m)</x:v>
      </x:c>
      <x:c r="C14" s="1"/>
      <x:c r="D14" s="20" t="n">
        <x:f>IF(AND(ISNUMBER(D9),ISNUMBER(D10)),D8*D9*D10,"n.a.")</x:f>
        <x:v>-4.81083139534884</x:v>
      </x:c>
      <x:c r="E14" s="20" t="n">
        <x:f>IF(AND(ISNUMBER(E9),ISNUMBER(E10)),E8*E9*E10,"n.a.")</x:f>
        <x:v>-2.914486813186812</x:v>
      </x:c>
      <x:c r="F14" s="20" t="n">
        <x:f>IF(AND(ISNUMBER(F9),ISNUMBER(F10)),F8*F9*F10,"n.a.")</x:f>
        <x:v>-0.9041257755946248</x:v>
      </x:c>
      <x:c r="G14" s="20" t="str">
        <x:f>IF(AND(ISNUMBER(G9),ISNUMBER(G10)),G8*G9*G10,"n.a.")</x:f>
        <x:v>n.a.</x:v>
      </x:c>
      <x:c r="H14" s="20" t="n">
        <x:f>SUM(D14:G14)</x:f>
        <x:v>-8.629443984130278</x:v>
      </x:c>
      <x:c r="I14" s="1"/>
      <x:c r="J14" s="1"/>
    </x:row>
    <x:row r="15" ht="20" customHeight="1">
      <x:c r="A15" s="1"/>
      <x:c r="B15" s="1" t="str">
        <x:v>Unallocated revenue change ($m)</x:v>
      </x:c>
      <x:c r="C15" s="1"/>
      <x:c r="D15" s="19" t="n">
        <x:f>IF(ISNUMBER(D9),0,'Source Data'!D8-D8)</x:f>
        <x:v>0</x:v>
      </x:c>
      <x:c r="E15" s="19" t="n">
        <x:f>IF(ISNUMBER(E9),0,'Source Data'!E8-E8)</x:f>
        <x:v>0</x:v>
      </x:c>
      <x:c r="F15" s="19" t="n">
        <x:f>IF(ISNUMBER(F9),0,'Source Data'!F8-F8)</x:f>
        <x:v>0</x:v>
      </x:c>
      <x:c r="G15" s="19" t="n">
        <x:f>IF(ISNUMBER(G9),0,'Source Data'!G8-G8)</x:f>
        <x:v>-6.9909999999999854</x:v>
      </x:c>
      <x:c r="H15" s="20" t="n">
        <x:f>SUM(D15:G15)</x:f>
        <x:v>-6.9909999999999854</x:v>
      </x:c>
      <x:c r="I15" s="1"/>
      <x:c r="J15" s="1"/>
    </x:row>
    <x:row r="16" ht="20" customHeight="1">
      <x:c r="A16" s="1"/>
      <x:c r="B16" s="1" t="str">
        <x:v>Reconstructed service revenue</x:v>
      </x:c>
      <x:c r="C16" s="1"/>
      <x:c r="D16" s="20" t="n">
        <x:f>D8+SUM(D12:D15)</x:f>
        <x:v>855.534</x:v>
      </x:c>
      <x:c r="E16" s="20" t="n">
        <x:f>E8+SUM(E12:E15)</x:f>
        <x:v>819.467</x:v>
      </x:c>
      <x:c r="F16" s="20" t="n">
        <x:f>F8+SUM(F12:F15)</x:f>
        <x:v>895.464</x:v>
      </x:c>
      <x:c r="G16" s="20" t="n">
        <x:f>G8+SUM(G12:G15)</x:f>
        <x:v>817.822</x:v>
      </x:c>
      <x:c r="H16" s="20" t="n">
        <x:f>SUM(D16:G16)</x:f>
        <x:v>3388.2870000000003</x:v>
      </x:c>
      <x:c r="I16" s="1"/>
      <x:c r="J16" s="1"/>
    </x:row>
    <x:row r="17" ht="20" customHeight="1">
      <x:c r="A17" s="1"/>
      <x:c r="B17" s="29" t="str">
        <x:v>Reported service revenue</x:v>
      </x:c>
      <x:c r="C17" s="29"/>
      <x:c r="D17" s="30" t="n">
        <x:f>'Source Data'!D8</x:f>
        <x:v>855.534</x:v>
      </x:c>
      <x:c r="E17" s="30" t="n">
        <x:f>'Source Data'!E8</x:f>
        <x:v>819.467</x:v>
      </x:c>
      <x:c r="F17" s="30" t="n">
        <x:f>'Source Data'!F8</x:f>
        <x:v>895.464</x:v>
      </x:c>
      <x:c r="G17" s="30" t="n">
        <x:f>'Source Data'!G8</x:f>
        <x:v>817.822</x:v>
      </x:c>
      <x:c r="H17" s="31" t="n">
        <x:f>SUM(D17:G17)</x:f>
        <x:v>3388.2870000000003</x:v>
      </x:c>
      <x:c r="I17" s="1"/>
      <x:c r="J17" s="1"/>
    </x:row>
    <x:row r="18" ht="20" customHeight="1">
      <x:c r="A18" s="1"/>
      <x:c r="B18" s="1" t="str">
        <x:v>Reconciliation difference</x:v>
      </x:c>
      <x:c r="C18" s="1"/>
      <x:c r="D18" s="20" t="n">
        <x:f>D16-D17</x:f>
        <x:v>0</x:v>
      </x:c>
      <x:c r="E18" s="20" t="n">
        <x:f>E16-E17</x:f>
        <x:v>0</x:v>
      </x:c>
      <x:c r="F18" s="20" t="n">
        <x:f>F16-F17</x:f>
        <x:v>0</x:v>
      </x:c>
      <x:c r="G18" s="20" t="n">
        <x:f>G16-G17</x:f>
        <x:v>0</x:v>
      </x:c>
      <x:c r="H18" s="20" t="n">
        <x:f>SUM(D18:G18)</x:f>
        <x:v>0</x:v>
      </x:c>
      <x:c r="I18" s="1"/>
      <x:c r="J18" s="1"/>
    </x:row>
    <x:row r="19" ht="20" customHeight="1">
      <x:c r="A19" s="1"/>
      <x:c r="B19" s="1" t="str">
        <x:v>Reported revenue change ($m)</x:v>
      </x:c>
      <x:c r="C19" s="1"/>
      <x:c r="D19" s="20" t="n">
        <x:f>D17-D8</x:f>
        <x:v>-4.456000000000017</x:v>
      </x:c>
      <x:c r="E19" s="20" t="n">
        <x:f>E17-E8</x:f>
        <x:v>-48.66300000000001</x:v>
      </x:c>
      <x:c r="F19" s="20" t="n">
        <x:f>F17-F8</x:f>
        <x:v>-3.1609999999999445</x:v>
      </x:c>
      <x:c r="G19" s="20" t="n">
        <x:f>G17-G8</x:f>
        <x:v>-6.9909999999999854</x:v>
      </x:c>
      <x:c r="H19" s="20" t="n">
        <x:f>SUM(D19:G19)</x:f>
        <x:v>-63.27099999999996</x:v>
      </x:c>
      <x:c r="I19" s="1"/>
      <x:c r="J19" s="1"/>
    </x:row>
    <x:row r="20" ht="20" customHeight="1">
      <x:c r="A20" s="1"/>
      <x:c r="B20" s="1" t="str">
        <x:v>Reported revenue growth</x:v>
      </x:c>
      <x:c r="C20" s="1"/>
      <x:c r="D20" s="22" t="n">
        <x:f>D17/D8-1</x:f>
        <x:v>-0.00518145559832095</x:v>
      </x:c>
      <x:c r="E20" s="22" t="n">
        <x:f>E17/E8-1</x:f>
        <x:v>-0.056054968725882115</x:v>
      </x:c>
      <x:c r="F20" s="22" t="n">
        <x:f>F17/F8-1</x:f>
        <x:v>-0.0035175963277228606</x:v>
      </x:c>
      <x:c r="G20" s="22" t="n">
        <x:f>G17/G8-1</x:f>
        <x:v>-0.008475860589006179</x:v>
      </x:c>
      <x:c r="H20" s="22" t="n">
        <x:f>H17/H8-1</x:f>
        <x:v>-0.01833114205237163</x:v>
      </x:c>
      <x:c r="I20" s="1"/>
      <x:c r="J20" s="1"/>
    </x:row>
    <x:row r="21" ht="20" customHeight="1">
      <x:c r="A21" s="1"/>
      <x:c r="B21" s="1"/>
      <x:c r="C21" s="1"/>
      <x:c r="D21" s="3"/>
      <x:c r="E21" s="3"/>
      <x:c r="F21" s="3"/>
      <x:c r="G21" s="3"/>
      <x:c r="H21" s="3"/>
      <x:c r="I21" s="1"/>
      <x:c r="J21" s="1"/>
    </x:row>
    <x:row r="22" ht="30" customHeight="1">
      <x:c r="A22" s="1"/>
      <x:c r="B22" s="17" t="str">
        <x:v>US annual attribution is partial: Q4 revenue change remains explicitly unallocated.</x:v>
      </x:c>
      <x:c r="C22" s="17"/>
      <x:c r="D22" s="18"/>
      <x:c r="E22" s="18"/>
      <x:c r="F22" s="18"/>
      <x:c r="G22" s="18"/>
      <x:c r="H22" s="18"/>
      <x:c r="I22" s="1"/>
      <x:c r="J22" s="1"/>
    </x:row>
    <x:row r="23" ht="20" customHeight="1">
      <x:c r="A23" s="1"/>
      <x:c r="B23" s="1"/>
      <x:c r="C23" s="1"/>
      <x:c r="D23" s="3"/>
      <x:c r="E23" s="3"/>
      <x:c r="F23" s="3"/>
      <x:c r="G23" s="3"/>
      <x:c r="H23" s="3"/>
      <x:c r="I23" s="1"/>
      <x:c r="J23" s="1"/>
    </x:row>
    <x:row r="24" ht="20" customHeight="1">
      <x:c r="A24" s="1"/>
      <x:c r="B24" s="15" t="str">
        <x:v>International service revenue</x:v>
      </x:c>
      <x:c r="C24" s="15"/>
      <x:c r="D24" s="16"/>
      <x:c r="E24" s="16"/>
      <x:c r="F24" s="16"/>
      <x:c r="G24" s="16"/>
      <x:c r="H24" s="16"/>
      <x:c r="I24" s="1"/>
      <x:c r="J24" s="1"/>
    </x:row>
    <x:row r="25" ht="20" customHeight="1">
      <x:c r="A25" s="1"/>
      <x:c r="B25" s="1" t="str">
        <x:v>Prior-year service revenue</x:v>
      </x:c>
      <x:c r="C25" s="1"/>
      <x:c r="D25" s="19" t="n">
        <x:f>'Source Data'!D14</x:f>
        <x:v>126.346</x:v>
      </x:c>
      <x:c r="E25" s="19" t="n">
        <x:f>'Source Data'!E14</x:f>
        <x:v>123.151</x:v>
      </x:c>
      <x:c r="F25" s="19" t="n">
        <x:f>'Source Data'!F14</x:f>
        <x:v>136.211</x:v>
      </x:c>
      <x:c r="G25" s="19" t="n">
        <x:f>'Source Data'!G14</x:f>
        <x:v>131.396</x:v>
      </x:c>
      <x:c r="H25" s="20" t="n">
        <x:f>SUM(D25:G25)</x:f>
        <x:v>517.104</x:v>
      </x:c>
      <x:c r="I25" s="1"/>
      <x:c r="J25" s="1"/>
    </x:row>
    <x:row r="26" ht="20" customHeight="1">
      <x:c r="A26" s="1"/>
      <x:c r="B26" s="1" t="str">
        <x:v>Fee-unit growth — used</x:v>
      </x:c>
      <x:c r="C26" s="1"/>
      <x:c r="D26" s="21" t="n">
        <x:f>IF(ISNUMBER('Source Data'!D16),'Source Data'!D16,IF(ISNUMBER('Source Data'!D17),('Source Data'!D15/D25)/(1+'Source Data'!D17)-1,"n.a."))</x:f>
        <x:v>-0.0019697316502194084</x:v>
      </x:c>
      <x:c r="E26" s="21" t="n">
        <x:f>IF(ISNUMBER('Source Data'!E16),'Source Data'!E16,IF(ISNUMBER('Source Data'!E17),('Source Data'!E15/E25)/(1+'Source Data'!E17)-1,"n.a."))</x:f>
        <x:v>0.0005548542441278226</x:v>
      </x:c>
      <x:c r="F26" s="21" t="n">
        <x:f>IF(ISNUMBER('Source Data'!F16),'Source Data'!F16,IF(ISNUMBER('Source Data'!F17),('Source Data'!F15/F25)/(1+'Source Data'!F17)-1,"n.a."))</x:f>
        <x:v>0.06712267110472836</x:v>
      </x:c>
      <x:c r="G26" s="21" t="n">
        <x:f>IF(ISNUMBER('Source Data'!G16),'Source Data'!G16,IF(ISNUMBER('Source Data'!G17),('Source Data'!G15/G25)/(1+'Source Data'!G17)-1,"n.a."))</x:f>
        <x:v>0.11564510599885924</x:v>
      </x:c>
      <x:c r="H26" s="3" t="str">
        <x:v>n.a.</x:v>
      </x:c>
      <x:c r="I26" s="1"/>
      <x:c r="J26" s="1"/>
    </x:row>
    <x:row r="27" ht="20" customHeight="1">
      <x:c r="A27" s="1"/>
      <x:c r="B27" s="1" t="str">
        <x:v>Fee RPU growth — used</x:v>
      </x:c>
      <x:c r="C27" s="1"/>
      <x:c r="D27" s="21" t="n">
        <x:f>IF(ISNUMBER('Source Data'!D17),'Source Data'!D17,IF(ISNUMBER('Source Data'!D16),('Source Data'!D15/D25)/(1+'Source Data'!D16)-1,"n.a."))</x:f>
        <x:v>0.081</x:v>
      </x:c>
      <x:c r="E27" s="21" t="n">
        <x:f>IF(ISNUMBER('Source Data'!E17),'Source Data'!E17,IF(ISNUMBER('Source Data'!E16),('Source Data'!E15/E25)/(1+'Source Data'!E16)-1,"n.a."))</x:f>
        <x:v>0.076</x:v>
      </x:c>
      <x:c r="F27" s="21" t="n">
        <x:f>IF(ISNUMBER('Source Data'!F17),'Source Data'!F17,IF(ISNUMBER('Source Data'!F16),('Source Data'!F15/F25)/(1+'Source Data'!F16)-1,"n.a."))</x:f>
        <x:v>0.105</x:v>
      </x:c>
      <x:c r="G27" s="21" t="n">
        <x:f>IF(ISNUMBER('Source Data'!G17),'Source Data'!G17,IF(ISNUMBER('Source Data'!G16),('Source Data'!G15/G25)/(1+'Source Data'!G16)-1,"n.a."))</x:f>
        <x:v>0.035</x:v>
      </x:c>
      <x:c r="H27" s="3" t="str">
        <x:v>n.a.</x:v>
      </x:c>
      <x:c r="I27" s="1"/>
      <x:c r="J27" s="1"/>
    </x:row>
    <x:row r="28" ht="20" customHeight="1">
      <x:c r="A28" s="1"/>
      <x:c r="B28" s="1" t="str">
        <x:v>Attribution basis</x:v>
      </x:c>
      <x:c r="C28" s="1"/>
      <x:c r="D28" s="24" t="str">
        <x:f>IF(ISNUMBER('Source Data'!D16),"Broker units",IF(ISNUMBER('Source Data'!D17),"Reported RPU","Unresolved"))</x:f>
        <x:v>Reported RPU</x:v>
      </x:c>
      <x:c r="E28" s="24" t="str">
        <x:f>IF(ISNUMBER('Source Data'!E16),"Broker units",IF(ISNUMBER('Source Data'!E17),"Reported RPU","Unresolved"))</x:f>
        <x:v>Reported RPU</x:v>
      </x:c>
      <x:c r="F28" s="24" t="str">
        <x:f>IF(ISNUMBER('Source Data'!F16),"Broker units",IF(ISNUMBER('Source Data'!F17),"Reported RPU","Unresolved"))</x:f>
        <x:v>Reported RPU</x:v>
      </x:c>
      <x:c r="G28" s="24" t="str">
        <x:f>IF(ISNUMBER('Source Data'!G16),"Broker units",IF(ISNUMBER('Source Data'!G17),"Reported RPU","Unresolved"))</x:f>
        <x:v>Reported RPU</x:v>
      </x:c>
      <x:c r="H28" s="25" t="str">
        <x:v>Derived units</x:v>
      </x:c>
      <x:c r="I28" s="1"/>
      <x:c r="J28" s="1"/>
    </x:row>
    <x:row r="29" ht="20" customHeight="1">
      <x:c r="A29" s="1"/>
      <x:c r="B29" s="1" t="str">
        <x:v>Volume contribution ($m)</x:v>
      </x:c>
      <x:c r="C29" s="1"/>
      <x:c r="D29" s="20" t="n">
        <x:f>IF(AND(ISNUMBER(D26),ISNUMBER(D27)),D25*D26,"n.a.")</x:f>
        <x:v>-0.24886771507862138</x:v>
      </x:c>
      <x:c r="E29" s="20" t="n">
        <x:f>IF(AND(ISNUMBER(E26),ISNUMBER(E27)),E25*E26,"n.a.")</x:f>
        <x:v>0.06833085501858548</x:v>
      </x:c>
      <x:c r="F29" s="20" t="n">
        <x:f>IF(AND(ISNUMBER(F26),ISNUMBER(F27)),F25*F26,"n.a.")</x:f>
        <x:v>9.142846153846156</x:v>
      </x:c>
      <x:c r="G29" s="20" t="n">
        <x:f>IF(AND(ISNUMBER(G26),ISNUMBER(G27)),G25*G26,"n.a.")</x:f>
        <x:v>15.195304347826108</x:v>
      </x:c>
      <x:c r="H29" s="20" t="n">
        <x:f>SUM(D29:G29)</x:f>
        <x:v>24.15761364161223</x:v>
      </x:c>
      <x:c r="I29" s="1"/>
      <x:c r="J29" s="1"/>
    </x:row>
    <x:row r="30" ht="20" customHeight="1">
      <x:c r="A30" s="1"/>
      <x:c r="B30" s="1" t="str">
        <x:v>RPU contribution ($m)</x:v>
      </x:c>
      <x:c r="C30" s="1"/>
      <x:c r="D30" s="20" t="n">
        <x:f>IF(AND(ISNUMBER(D26),ISNUMBER(D27)),D25*D27,"n.a.")</x:f>
        <x:v>10.234026</x:v>
      </x:c>
      <x:c r="E30" s="20" t="n">
        <x:f>IF(AND(ISNUMBER(E26),ISNUMBER(E27)),E25*E27,"n.a.")</x:f>
        <x:v>9.359475999999999</x:v>
      </x:c>
      <x:c r="F30" s="20" t="n">
        <x:f>IF(AND(ISNUMBER(F26),ISNUMBER(F27)),F25*F27,"n.a.")</x:f>
        <x:v>14.302155</x:v>
      </x:c>
      <x:c r="G30" s="20" t="n">
        <x:f>IF(AND(ISNUMBER(G26),ISNUMBER(G27)),G25*G27,"n.a.")</x:f>
        <x:v>4.59886</x:v>
      </x:c>
      <x:c r="H30" s="20" t="n">
        <x:f>SUM(D30:G30)</x:f>
        <x:v>38.494517</x:v>
      </x:c>
      <x:c r="I30" s="1"/>
      <x:c r="J30" s="1"/>
    </x:row>
    <x:row r="31" ht="20" customHeight="1">
      <x:c r="A31" s="1"/>
      <x:c r="B31" s="1" t="str">
        <x:v>Volume × RPU interaction ($m)</x:v>
      </x:c>
      <x:c r="C31" s="1"/>
      <x:c r="D31" s="20" t="n">
        <x:f>IF(AND(ISNUMBER(D26),ISNUMBER(D27)),D25*D26*D27,"n.a.")</x:f>
        <x:v>-0.02015828492136833</x:v>
      </x:c>
      <x:c r="E31" s="20" t="n">
        <x:f>IF(AND(ISNUMBER(E26),ISNUMBER(E27)),E25*E26*E27,"n.a.")</x:f>
        <x:v>0.005193144981412496</x:v>
      </x:c>
      <x:c r="F31" s="20" t="n">
        <x:f>IF(AND(ISNUMBER(F26),ISNUMBER(F27)),F25*F26*F27,"n.a.")</x:f>
        <x:v>0.9599988461538463</x:v>
      </x:c>
      <x:c r="G31" s="20" t="n">
        <x:f>IF(AND(ISNUMBER(G26),ISNUMBER(G27)),G25*G26*G27,"n.a.")</x:f>
        <x:v>0.5318356521739138</x:v>
      </x:c>
      <x:c r="H31" s="20" t="n">
        <x:f>SUM(D31:G31)</x:f>
        <x:v>1.4768693583878043</x:v>
      </x:c>
      <x:c r="I31" s="1"/>
      <x:c r="J31" s="1"/>
    </x:row>
    <x:row r="32" ht="20" customHeight="1">
      <x:c r="A32" s="1"/>
      <x:c r="B32" s="1" t="str">
        <x:v>Unallocated revenue change ($m)</x:v>
      </x:c>
      <x:c r="C32" s="1"/>
      <x:c r="D32" s="19" t="n">
        <x:f>IF(ISNUMBER(D26),0,'Source Data'!D15-D25)</x:f>
        <x:v>0</x:v>
      </x:c>
      <x:c r="E32" s="19" t="n">
        <x:f>IF(ISNUMBER(E26),0,'Source Data'!E15-E25)</x:f>
        <x:v>0</x:v>
      </x:c>
      <x:c r="F32" s="19" t="n">
        <x:f>IF(ISNUMBER(F26),0,'Source Data'!F15-F25)</x:f>
        <x:v>0</x:v>
      </x:c>
      <x:c r="G32" s="19" t="n">
        <x:f>IF(ISNUMBER(G26),0,'Source Data'!G15-G25)</x:f>
        <x:v>0</x:v>
      </x:c>
      <x:c r="H32" s="20" t="n">
        <x:f>SUM(D32:G32)</x:f>
        <x:v>0</x:v>
      </x:c>
      <x:c r="I32" s="1"/>
      <x:c r="J32" s="1"/>
    </x:row>
    <x:row r="33" ht="20" customHeight="1">
      <x:c r="A33" s="1"/>
      <x:c r="B33" s="1" t="str">
        <x:v>Reconstructed service revenue</x:v>
      </x:c>
      <x:c r="C33" s="1"/>
      <x:c r="D33" s="20" t="n">
        <x:f>D25+SUM(D29:D32)</x:f>
        <x:v>136.311</x:v>
      </x:c>
      <x:c r="E33" s="20" t="n">
        <x:f>E25+SUM(E29:E32)</x:f>
        <x:v>132.584</x:v>
      </x:c>
      <x:c r="F33" s="20" t="n">
        <x:f>F25+SUM(F29:F32)</x:f>
        <x:v>160.616</x:v>
      </x:c>
      <x:c r="G33" s="20" t="n">
        <x:f>G25+SUM(G29:G32)</x:f>
        <x:v>151.722</x:v>
      </x:c>
      <x:c r="H33" s="20" t="n">
        <x:f>SUM(D33:G33)</x:f>
        <x:v>581.233</x:v>
      </x:c>
      <x:c r="I33" s="1"/>
      <x:c r="J33" s="1"/>
    </x:row>
    <x:row r="34" ht="20" customHeight="1">
      <x:c r="A34" s="1"/>
      <x:c r="B34" s="29" t="str">
        <x:v>Reported service revenue</x:v>
      </x:c>
      <x:c r="C34" s="29"/>
      <x:c r="D34" s="30" t="n">
        <x:f>'Source Data'!D15</x:f>
        <x:v>136.311</x:v>
      </x:c>
      <x:c r="E34" s="30" t="n">
        <x:f>'Source Data'!E15</x:f>
        <x:v>132.584</x:v>
      </x:c>
      <x:c r="F34" s="30" t="n">
        <x:f>'Source Data'!F15</x:f>
        <x:v>160.616</x:v>
      </x:c>
      <x:c r="G34" s="30" t="n">
        <x:f>'Source Data'!G15</x:f>
        <x:v>151.722</x:v>
      </x:c>
      <x:c r="H34" s="31" t="n">
        <x:f>SUM(D34:G34)</x:f>
        <x:v>581.233</x:v>
      </x:c>
      <x:c r="I34" s="1"/>
      <x:c r="J34" s="1"/>
    </x:row>
    <x:row r="35" ht="20" customHeight="1">
      <x:c r="A35" s="1"/>
      <x:c r="B35" s="1" t="str">
        <x:v>Reconciliation difference</x:v>
      </x:c>
      <x:c r="C35" s="1"/>
      <x:c r="D35" s="20" t="n">
        <x:f>D33-D34</x:f>
        <x:v>0</x:v>
      </x:c>
      <x:c r="E35" s="20" t="n">
        <x:f>E33-E34</x:f>
        <x:v>0</x:v>
      </x:c>
      <x:c r="F35" s="20" t="n">
        <x:f>F33-F34</x:f>
        <x:v>0</x:v>
      </x:c>
      <x:c r="G35" s="20" t="n">
        <x:f>G33-G34</x:f>
        <x:v>0</x:v>
      </x:c>
      <x:c r="H35" s="20" t="n">
        <x:f>SUM(D35:G35)</x:f>
        <x:v>0</x:v>
      </x:c>
      <x:c r="I35" s="1"/>
      <x:c r="J35" s="1"/>
    </x:row>
    <x:row r="36" ht="20" customHeight="1">
      <x:c r="A36" s="1"/>
      <x:c r="B36" s="1" t="str">
        <x:v>Reported revenue change ($m)</x:v>
      </x:c>
      <x:c r="C36" s="1"/>
      <x:c r="D36" s="20" t="n">
        <x:f>D34-D25</x:f>
        <x:v>9.965000000000003</x:v>
      </x:c>
      <x:c r="E36" s="20" t="n">
        <x:f>E34-E25</x:f>
        <x:v>9.433000000000007</x:v>
      </x:c>
      <x:c r="F36" s="20" t="n">
        <x:f>F34-F25</x:f>
        <x:v>24.405</x:v>
      </x:c>
      <x:c r="G36" s="20" t="n">
        <x:f>G34-G25</x:f>
        <x:v>20.326000000000022</x:v>
      </x:c>
      <x:c r="H36" s="20" t="n">
        <x:f>SUM(D36:G36)</x:f>
        <x:v>64.12900000000003</x:v>
      </x:c>
      <x:c r="I36" s="1"/>
      <x:c r="J36" s="1"/>
    </x:row>
    <x:row r="37" ht="20" customHeight="1">
      <x:c r="A37" s="1"/>
      <x:c r="B37" s="1" t="str">
        <x:v>Reported revenue growth</x:v>
      </x:c>
      <x:c r="C37" s="1"/>
      <x:c r="D37" s="22" t="n">
        <x:f>D34/D25-1</x:f>
        <x:v>0.07887072008611273</x:v>
      </x:c>
      <x:c r="E37" s="22" t="n">
        <x:f>E34/E25-1</x:f>
        <x:v>0.07659702316668171</x:v>
      </x:c>
      <x:c r="F37" s="22" t="n">
        <x:f>F34/F25-1</x:f>
        <x:v>0.17917055157072492</x:v>
      </x:c>
      <x:c r="G37" s="22" t="n">
        <x:f>G34/G25-1</x:f>
        <x:v>0.15469268470881925</x:v>
      </x:c>
      <x:c r="H37" s="22" t="n">
        <x:f>H34/H25-1</x:f>
        <x:v>0.12401567189578877</x:v>
      </x:c>
      <x:c r="I37" s="1"/>
      <x:c r="J37" s="1"/>
    </x:row>
    <x:row r="38" ht="20" customHeight="1">
      <x:c r="A38" s="1"/>
      <x:c r="B38" s="1"/>
      <x:c r="C38" s="1"/>
      <x:c r="D38" s="3"/>
      <x:c r="E38" s="3"/>
      <x:c r="F38" s="3"/>
      <x:c r="G38" s="3"/>
      <x:c r="H38" s="3"/>
      <x:c r="I38" s="1"/>
      <x:c r="J38" s="1"/>
    </x:row>
    <x:row r="39" ht="20" customHeight="1">
      <x:c r="A39" s="1"/>
      <x:c r="B39" s="1"/>
      <x:c r="C39" s="1"/>
      <x:c r="D39" s="3"/>
      <x:c r="E39" s="3"/>
      <x:c r="F39" s="3"/>
      <x:c r="G39" s="3"/>
      <x:c r="H39" s="3"/>
      <x:c r="I39" s="1"/>
      <x:c r="J39" s="1"/>
    </x:row>
    <x:row r="40" ht="20" customHeight="1">
      <x:c r="A40" s="1"/>
      <x:c r="B40" s="15" t="str">
        <x:v>Model comparison — US service revenue</x:v>
      </x:c>
      <x:c r="C40" s="15"/>
      <x:c r="D40" s="16"/>
      <x:c r="E40" s="16"/>
      <x:c r="F40" s="16"/>
      <x:c r="G40" s="16"/>
      <x:c r="H40" s="16"/>
      <x:c r="I40" s="1"/>
      <x:c r="J40" s="1"/>
    </x:row>
    <x:row r="41" ht="20" customHeight="1">
      <x:c r="A41" s="1"/>
      <x:c r="B41" s="1" t="str">
        <x:v>Prototype reconstruction</x:v>
      </x:c>
      <x:c r="C41" s="1"/>
      <x:c r="D41" s="19" t="n">
        <x:f>'Source Data'!D37</x:f>
        <x:v>865.7647108054854</x:v>
      </x:c>
      <x:c r="E41" s="19" t="n">
        <x:f>'Source Data'!E37</x:f>
        <x:v>863.507019160001</x:v>
      </x:c>
      <x:c r="F41" s="19" t="n">
        <x:f>'Source Data'!F37</x:f>
        <x:v>839.3152167187603</x:v>
      </x:c>
      <x:c r="G41" s="19" t="n">
        <x:f>'Source Data'!G37</x:f>
        <x:v>817.8220000000001</x:v>
      </x:c>
      <x:c r="H41" s="20" t="n">
        <x:f>SUM(D41:G41)</x:f>
        <x:v>3386.408946684247</x:v>
      </x:c>
      <x:c r="I41" s="1"/>
      <x:c r="J41" s="1"/>
    </x:row>
    <x:row r="42" ht="20" customHeight="1">
      <x:c r="A42" s="1"/>
      <x:c r="B42" s="1" t="str">
        <x:v>Reported US revenue</x:v>
      </x:c>
      <x:c r="C42" s="1"/>
      <x:c r="D42" s="20" t="n">
        <x:f>D17</x:f>
        <x:v>855.534</x:v>
      </x:c>
      <x:c r="E42" s="20" t="n">
        <x:f>E17</x:f>
        <x:v>819.467</x:v>
      </x:c>
      <x:c r="F42" s="20" t="n">
        <x:f>F17</x:f>
        <x:v>895.464</x:v>
      </x:c>
      <x:c r="G42" s="20" t="n">
        <x:f>G17</x:f>
        <x:v>817.822</x:v>
      </x:c>
      <x:c r="H42" s="20" t="n">
        <x:f>SUM(D42:G42)</x:f>
        <x:v>3388.2870000000003</x:v>
      </x:c>
      <x:c r="I42" s="1"/>
      <x:c r="J42" s="1"/>
    </x:row>
    <x:row r="43" ht="20" customHeight="1">
      <x:c r="A43" s="1"/>
      <x:c r="B43" s="1" t="str">
        <x:v>Prototype less reported</x:v>
      </x:c>
      <x:c r="C43" s="1"/>
      <x:c r="D43" s="20" t="n">
        <x:f>D41-D42</x:f>
        <x:v>10.230710805485387</x:v>
      </x:c>
      <x:c r="E43" s="20" t="n">
        <x:f>E41-E42</x:f>
        <x:v>44.040019160001066</x:v>
      </x:c>
      <x:c r="F43" s="20" t="n">
        <x:f>F41-F42</x:f>
        <x:v>-56.14878328123973</x:v>
      </x:c>
      <x:c r="G43" s="20" t="n">
        <x:f>G41-G42</x:f>
        <x:v>1.1368683772161603e-13</x:v>
      </x:c>
      <x:c r="H43" s="20" t="n">
        <x:f>SUM(D43:G43)</x:f>
        <x:v>-1.8780533157531636</x:v>
      </x:c>
      <x:c r="I43" s="1"/>
      <x:c r="J43" s="1"/>
    </x:row>
    <x:row r="44" ht="20" customHeight="1">
      <x:c r="A44" s="1"/>
      <x:c r="B44" s="1" t="str">
        <x:v>Absolute quarterly errors</x:v>
      </x:c>
      <x:c r="C44" s="1"/>
      <x:c r="D44" s="20" t="n">
        <x:f>ABS(D43)</x:f>
        <x:v>10.230710805485387</x:v>
      </x:c>
      <x:c r="E44" s="20" t="n">
        <x:f>ABS(E43)</x:f>
        <x:v>44.040019160001066</x:v>
      </x:c>
      <x:c r="F44" s="20" t="n">
        <x:f>ABS(F43)</x:f>
        <x:v>56.14878328123973</x:v>
      </x:c>
      <x:c r="G44" s="20" t="n">
        <x:f>ABS(G43)</x:f>
        <x:v>1.1368683772161603e-13</x:v>
      </x:c>
      <x:c r="H44" s="20" t="n">
        <x:f>SUM(D44:G44)</x:f>
        <x:v>110.4195132467263</x:v>
      </x:c>
      <x:c r="I44" s="1"/>
      <x:c r="J44" s="1"/>
    </x:row>
    <x:row r="45" ht="20" customHeight="1">
      <x:c r="A45" s="1"/>
      <x:c r="B45" s="1"/>
      <x:c r="C45" s="1"/>
      <x:c r="D45" s="3"/>
      <x:c r="E45" s="3"/>
      <x:c r="F45" s="3"/>
      <x:c r="G45" s="3"/>
      <x:c r="H45" s="3"/>
      <x:c r="I45" s="1"/>
      <x:c r="J45" s="1"/>
    </x:row>
    <x:row r="46" ht="30" customHeight="1">
      <x:c r="A46" s="1"/>
      <x:c r="B46" s="17" t="str">
        <x:v>A zero bridge residual is an identity, not independent validation of inferred units or fees.</x:v>
      </x:c>
      <x:c r="C46" s="17"/>
      <x:c r="D46" s="18"/>
      <x:c r="E46" s="18"/>
      <x:c r="F46" s="18"/>
      <x:c r="G46" s="18"/>
      <x:c r="H46" s="18"/>
      <x:c r="I46" s="1"/>
      <x:c r="J46" s="1"/>
    </x:row>
    <x:row r="47" ht="30" customHeight="1">
      <x:c r="A47" s="1"/>
      <x:c r="B47" s="17" t="str">
        <x:v>Volume = prior revenue × unit growth; RPU = prior revenue × RPU growth; interaction kept separate.</x:v>
      </x:c>
      <x:c r="C47" s="17"/>
      <x:c r="D47" s="18"/>
      <x:c r="E47" s="18"/>
      <x:c r="F47" s="18"/>
      <x:c r="G47" s="18"/>
      <x:c r="H47" s="18"/>
      <x:c r="I47" s="1"/>
      <x:c r="J47" s="1"/>
    </x:row>
    <x:row r="48" ht="30" customHeight="1">
      <x:c r="A48" s="1"/>
      <x:c r="B48" s="17" t="str">
        <x:v>RPU attribution does not distinguish fees, seller mix, additional services or foreign exchange.</x:v>
      </x:c>
      <x:c r="C48" s="17"/>
      <x:c r="D48" s="18"/>
      <x:c r="E48" s="18"/>
      <x:c r="F48" s="18"/>
      <x:c r="G48" s="18"/>
      <x:c r="H48" s="18"/>
      <x:c r="I48" s="1"/>
      <x:c r="J48" s="1"/>
    </x:row>
    <x:row r="49" ht="20" customHeight="1">
      <x:c r="A49" s="1"/>
      <x:c r="B49" s="1"/>
      <x:c r="C49" s="1"/>
      <x:c r="D49" s="3"/>
      <x:c r="E49" s="3"/>
      <x:c r="F49" s="3"/>
      <x:c r="G49" s="3"/>
      <x:c r="H49" s="3"/>
      <x:c r="I49" s="1"/>
      <x:c r="J49" s="1"/>
    </x:row>
    <x:row r="50" ht="20" customHeight="1">
      <x:c r="A50" s="1"/>
      <x:c r="B50" s="1"/>
      <x:c r="C50" s="1"/>
      <x:c r="D50" s="3"/>
      <x:c r="E50" s="3"/>
      <x:c r="F50" s="3"/>
      <x:c r="G50" s="3"/>
      <x:c r="H50" s="3"/>
      <x:c r="I50" s="1"/>
      <x:c r="J50" s="1"/>
    </x:row>
    <x:row r="51" ht="20" customHeight="1">
      <x:c r="A51" s="1"/>
      <x:c r="B51" s="1"/>
      <x:c r="C51" s="1"/>
      <x:c r="D51" s="3"/>
      <x:c r="E51" s="3"/>
      <x:c r="F51" s="3"/>
      <x:c r="G51" s="3"/>
      <x:c r="H51" s="3"/>
      <x:c r="I51" s="1"/>
      <x:c r="J51" s="1"/>
    </x:row>
    <x:row r="52" ht="20" customHeight="1">
      <x:c r="A52" s="1"/>
      <x:c r="B52" s="1"/>
      <x:c r="C52" s="1"/>
      <x:c r="D52" s="3"/>
      <x:c r="E52" s="3"/>
      <x:c r="F52" s="3"/>
      <x:c r="G52" s="3"/>
      <x:c r="H52" s="3"/>
      <x:c r="I52" s="1"/>
      <x:c r="J52" s="1"/>
    </x:row>
    <x:row r="53" ht="20" customHeight="1">
      <x:c r="A53" s="1"/>
      <x:c r="B53" s="1"/>
      <x:c r="C53" s="1"/>
      <x:c r="D53" s="3"/>
      <x:c r="E53" s="3"/>
      <x:c r="F53" s="3"/>
      <x:c r="G53" s="3"/>
      <x:c r="H53" s="3"/>
      <x:c r="I53" s="1"/>
      <x:c r="J53" s="1"/>
    </x:row>
    <x:row r="54" ht="20" customHeight="1">
      <x:c r="A54" s="1"/>
      <x:c r="B54" s="1"/>
      <x:c r="C54" s="1"/>
      <x:c r="D54" s="3"/>
      <x:c r="E54" s="3"/>
      <x:c r="F54" s="3"/>
      <x:c r="G54" s="3"/>
      <x:c r="H54" s="3"/>
      <x:c r="I54" s="1"/>
      <x:c r="J54" s="1"/>
    </x:row>
    <x:row r="55" ht="20" customHeight="1">
      <x:c r="A55" s="1"/>
      <x:c r="B55" s="1"/>
      <x:c r="C55" s="1"/>
      <x:c r="D55" s="3"/>
      <x:c r="E55" s="3"/>
      <x:c r="F55" s="3"/>
      <x:c r="G55" s="3"/>
      <x:c r="H55" s="3"/>
      <x:c r="I55" s="1"/>
      <x:c r="J55" s="1"/>
    </x:row>
  </x:sheetData>
  <x:mergeCells>
    <x:mergeCell ref="B3:H3"/>
    <x:mergeCell ref="B22:H22"/>
    <x:mergeCell ref="B46:H46"/>
    <x:mergeCell ref="B47:H47"/>
    <x:mergeCell ref="B48:H4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42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6" customHeight="1">
      <x:c r="A2" s="1"/>
      <x:c r="B2" s="5" t="str">
        <x:v>Historical observations and provenance</x:v>
      </x:c>
      <x:c r="C2" s="5"/>
      <x:c r="D2" s="5"/>
      <x:c r="E2" s="5"/>
      <x:c r="F2" s="5"/>
      <x:c r="G2" s="5"/>
      <x:c r="H2" s="5"/>
      <x:c r="I2" s="1"/>
      <x:c r="J2" s="1"/>
    </x:row>
    <x:row r="3" ht="30" customHeight="1">
      <x:c r="A3" s="1"/>
      <x:c r="B3" s="17" t="str">
        <x:v>Inputs are observations or labelled broker history. Missing values remain n.a.</x:v>
      </x:c>
      <x:c r="C3" s="17"/>
      <x:c r="D3" s="17"/>
      <x:c r="E3" s="17"/>
      <x:c r="F3" s="17"/>
      <x:c r="G3" s="17"/>
      <x:c r="H3" s="17"/>
      <x:c r="I3" s="1"/>
      <x:c r="J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0" customHeight="1">
      <x:c r="A5" s="1"/>
      <x:c r="B5" s="7"/>
      <x:c r="C5" s="7"/>
      <x:c r="D5" s="7" t="str">
        <x:v>FY26 Q1</x:v>
      </x:c>
      <x:c r="E5" s="7" t="str">
        <x:v>FY26 Q2</x:v>
      </x:c>
      <x:c r="F5" s="7" t="str">
        <x:v>FY26 Q3</x:v>
      </x:c>
      <x:c r="G5" s="7" t="str">
        <x:v>FY26 Q4</x:v>
      </x:c>
      <x:c r="H5" s="7" t="str">
        <x:v>FY26 total</x:v>
      </x:c>
      <x:c r="I5" s="1"/>
      <x:c r="J5" s="1"/>
    </x:row>
    <x:row r="6" ht="20" customHeight="1">
      <x:c r="A6" s="1"/>
      <x:c r="B6" s="1"/>
      <x:c r="C6" s="1"/>
      <x:c r="D6" s="3"/>
      <x:c r="E6" s="3"/>
      <x:c r="F6" s="3"/>
      <x:c r="G6" s="3"/>
      <x:c r="H6" s="3"/>
      <x:c r="I6" s="1"/>
      <x:c r="J6" s="1"/>
    </x:row>
    <x:row r="7" ht="20" customHeight="1">
      <x:c r="A7" s="1"/>
      <x:c r="B7" s="1" t="str">
        <x:v>US: Prior-year service revenue</x:v>
      </x:c>
      <x:c r="C7" s="1"/>
      <x:c r="D7" s="9" t="n">
        <x:v>859.99</x:v>
      </x:c>
      <x:c r="E7" s="9" t="n">
        <x:v>868.13</x:v>
      </x:c>
      <x:c r="F7" s="9" t="n">
        <x:v>898.625</x:v>
      </x:c>
      <x:c r="G7" s="9" t="n">
        <x:v>824.813</x:v>
      </x:c>
      <x:c r="H7" s="3"/>
      <x:c r="I7" s="1"/>
      <x:c r="J7" s="1"/>
    </x:row>
    <x:row r="8" ht="20" customHeight="1">
      <x:c r="A8" s="1"/>
      <x:c r="B8" s="1" t="str">
        <x:v>US: Current-year service revenue</x:v>
      </x:c>
      <x:c r="C8" s="1"/>
      <x:c r="D8" s="9" t="n">
        <x:v>855.534</x:v>
      </x:c>
      <x:c r="E8" s="9" t="n">
        <x:v>819.467</x:v>
      </x:c>
      <x:c r="F8" s="9" t="n">
        <x:v>895.464</x:v>
      </x:c>
      <x:c r="G8" s="9" t="n">
        <x:v>817.822</x:v>
      </x:c>
      <x:c r="H8" s="3"/>
      <x:c r="I8" s="1"/>
      <x:c r="J8" s="1"/>
    </x:row>
    <x:row r="9" ht="20" customHeight="1">
      <x:c r="A9" s="1"/>
      <x:c r="B9" s="1" t="str">
        <x:v>US: Observed fee-unit growth</x:v>
      </x:c>
      <x:c r="C9" s="1"/>
      <x:c r="D9" s="10" t="str">
        <x:v>n.a.</x:v>
      </x:c>
      <x:c r="E9" s="10" t="n">
        <x:v>-0.09</x:v>
      </x:c>
      <x:c r="F9" s="10" t="n">
        <x:v>-0.033</x:v>
      </x:c>
      <x:c r="G9" s="10" t="str">
        <x:v>n.a.</x:v>
      </x:c>
      <x:c r="H9" s="3"/>
      <x:c r="I9" s="1"/>
      <x:c r="J9" s="1"/>
    </x:row>
    <x:row r="10" ht="20" customHeight="1">
      <x:c r="A10" s="1"/>
      <x:c r="B10" s="1" t="str">
        <x:v>US: Observed fee RPU growth</x:v>
      </x:c>
      <x:c r="C10" s="1"/>
      <x:c r="D10" s="10" t="n">
        <x:v>0.075</x:v>
      </x:c>
      <x:c r="E10" s="10" t="str">
        <x:v>n.a.</x:v>
      </x:c>
      <x:c r="F10" s="10" t="str">
        <x:v>n.a.</x:v>
      </x:c>
      <x:c r="G10" s="10" t="str">
        <x:v>n.a.</x:v>
      </x:c>
      <x:c r="H10" s="3"/>
      <x:c r="I10" s="1"/>
      <x:c r="J10" s="1"/>
    </x:row>
    <x:row r="11" ht="20" customHeight="1">
      <x:c r="A11" s="1"/>
      <x:c r="B11" s="1"/>
      <x:c r="C11" s="1"/>
      <x:c r="D11" s="3"/>
      <x:c r="E11" s="3"/>
      <x:c r="F11" s="3"/>
      <x:c r="G11" s="3"/>
      <x:c r="H11" s="3"/>
      <x:c r="I11" s="1"/>
      <x:c r="J11" s="1"/>
    </x:row>
    <x:row r="12" ht="20" customHeight="1">
      <x:c r="A12" s="1"/>
      <x:c r="B12" s="1"/>
      <x:c r="C12" s="1"/>
      <x:c r="D12" s="3"/>
      <x:c r="E12" s="3"/>
      <x:c r="F12" s="3"/>
      <x:c r="G12" s="3"/>
      <x:c r="H12" s="3"/>
      <x:c r="I12" s="1"/>
      <x:c r="J12" s="1"/>
    </x:row>
    <x:row r="13" ht="20" customHeight="1">
      <x:c r="A13" s="1"/>
      <x:c r="B13" s="1"/>
      <x:c r="C13" s="1"/>
      <x:c r="D13" s="3"/>
      <x:c r="E13" s="3"/>
      <x:c r="F13" s="3"/>
      <x:c r="G13" s="3"/>
      <x:c r="H13" s="3"/>
      <x:c r="I13" s="1"/>
      <x:c r="J13" s="1"/>
    </x:row>
    <x:row r="14" ht="20" customHeight="1">
      <x:c r="A14" s="1"/>
      <x:c r="B14" s="1" t="str">
        <x:v>International: Prior-year service revenue</x:v>
      </x:c>
      <x:c r="C14" s="1"/>
      <x:c r="D14" s="9" t="n">
        <x:v>126.346</x:v>
      </x:c>
      <x:c r="E14" s="9" t="n">
        <x:v>123.151</x:v>
      </x:c>
      <x:c r="F14" s="9" t="n">
        <x:v>136.211</x:v>
      </x:c>
      <x:c r="G14" s="9" t="n">
        <x:v>131.396</x:v>
      </x:c>
      <x:c r="H14" s="3"/>
      <x:c r="I14" s="1"/>
      <x:c r="J14" s="1"/>
    </x:row>
    <x:row r="15" ht="20" customHeight="1">
      <x:c r="A15" s="1"/>
      <x:c r="B15" s="1" t="str">
        <x:v>International: Current-year service revenue</x:v>
      </x:c>
      <x:c r="C15" s="1"/>
      <x:c r="D15" s="9" t="n">
        <x:v>136.311</x:v>
      </x:c>
      <x:c r="E15" s="9" t="n">
        <x:v>132.584</x:v>
      </x:c>
      <x:c r="F15" s="9" t="n">
        <x:v>160.616</x:v>
      </x:c>
      <x:c r="G15" s="9" t="n">
        <x:v>151.722</x:v>
      </x:c>
      <x:c r="H15" s="3"/>
      <x:c r="I15" s="1"/>
      <x:c r="J15" s="1"/>
    </x:row>
    <x:row r="16" ht="20" customHeight="1">
      <x:c r="A16" s="1"/>
      <x:c r="B16" s="1" t="str">
        <x:v>International: Observed fee-unit growth</x:v>
      </x:c>
      <x:c r="C16" s="1"/>
      <x:c r="D16" s="10" t="str">
        <x:v>n.a.</x:v>
      </x:c>
      <x:c r="E16" s="10" t="str">
        <x:v>n.a.</x:v>
      </x:c>
      <x:c r="F16" s="10" t="str">
        <x:v>n.a.</x:v>
      </x:c>
      <x:c r="G16" s="10" t="str">
        <x:v>n.a.</x:v>
      </x:c>
      <x:c r="H16" s="3"/>
      <x:c r="I16" s="1"/>
      <x:c r="J16" s="1"/>
    </x:row>
    <x:row r="17" ht="20" customHeight="1">
      <x:c r="A17" s="1"/>
      <x:c r="B17" s="1" t="str">
        <x:v>International: Observed fee RPU growth</x:v>
      </x:c>
      <x:c r="C17" s="1"/>
      <x:c r="D17" s="10" t="n">
        <x:v>0.081</x:v>
      </x:c>
      <x:c r="E17" s="10" t="n">
        <x:v>0.076</x:v>
      </x:c>
      <x:c r="F17" s="10" t="n">
        <x:v>0.105</x:v>
      </x:c>
      <x:c r="G17" s="10" t="n">
        <x:v>0.035</x:v>
      </x:c>
      <x:c r="H17" s="3"/>
      <x:c r="I17" s="1"/>
      <x:c r="J17" s="1"/>
    </x:row>
    <x:row r="18" ht="20" customHeight="1">
      <x:c r="A18" s="1"/>
      <x:c r="B18" s="1"/>
      <x:c r="C18" s="1"/>
      <x:c r="D18" s="3"/>
      <x:c r="E18" s="3"/>
      <x:c r="F18" s="3"/>
      <x:c r="G18" s="3"/>
      <x:c r="H18" s="3"/>
      <x:c r="I18" s="1"/>
      <x:c r="J18" s="1"/>
    </x:row>
    <x:row r="19" ht="20" customHeight="1">
      <x:c r="A19" s="1"/>
      <x:c r="B19" s="1"/>
      <x:c r="C19" s="1"/>
      <x:c r="D19" s="3"/>
      <x:c r="E19" s="3"/>
      <x:c r="F19" s="3"/>
      <x:c r="G19" s="3"/>
      <x:c r="H19" s="3"/>
      <x:c r="I19" s="1"/>
      <x:c r="J19" s="1"/>
    </x:row>
    <x:row r="20" ht="20" customHeight="1">
      <x:c r="A20" s="1"/>
      <x:c r="B20" s="1"/>
      <x:c r="C20" s="1"/>
      <x:c r="D20" s="3"/>
      <x:c r="E20" s="3"/>
      <x:c r="F20" s="3"/>
      <x:c r="G20" s="3"/>
      <x:c r="H20" s="3"/>
      <x:c r="I20" s="1"/>
      <x:c r="J20" s="1"/>
    </x:row>
    <x:row r="21" ht="20" customHeight="1">
      <x:c r="A21" s="1"/>
      <x:c r="B21" s="15" t="str">
        <x:v>Sources and classification</x:v>
      </x:c>
      <x:c r="C21" s="15"/>
      <x:c r="D21" s="16"/>
      <x:c r="E21" s="16"/>
      <x:c r="F21" s="16"/>
      <x:c r="G21" s="16"/>
      <x:c r="H21" s="16"/>
      <x:c r="I21" s="1"/>
      <x:c r="J21" s="1"/>
    </x:row>
    <x:row r="22" ht="20" customHeight="1">
      <x:c r="A22" s="1"/>
      <x:c r="B22" s="1"/>
      <x:c r="C22" s="1"/>
      <x:c r="D22" s="3"/>
      <x:c r="E22" s="3"/>
      <x:c r="F22" s="3"/>
      <x:c r="G22" s="3"/>
      <x:c r="H22" s="3"/>
      <x:c r="I22" s="1"/>
      <x:c r="J22" s="1"/>
    </x:row>
    <x:row r="23" ht="30" customHeight="1">
      <x:c r="A23" s="1"/>
      <x:c r="B23" s="17" t="str">
        <x:v>Service dollars: data/csv/segment_service_rev_8k.csv; FY25/FY26 paired SEC release figures.</x:v>
      </x:c>
      <x:c r="C23" s="17"/>
      <x:c r="D23" s="18"/>
      <x:c r="E23" s="18"/>
      <x:c r="F23" s="18"/>
      <x:c r="G23" s="18"/>
      <x:c r="H23" s="18"/>
      <x:c r="I23" s="1"/>
      <x:c r="J23" s="1"/>
    </x:row>
    <x:row r="24" ht="30" customHeight="1">
      <x:c r="A24" s="1"/>
      <x:c r="B24" s="17" t="str">
        <x:v>US Q1 RPU: call_2025-11-20.txt lines 209–210; +7.5%, company transcript.</x:v>
      </x:c>
      <x:c r="C24" s="17"/>
      <x:c r="D24" s="18"/>
      <x:c r="E24" s="18"/>
      <x:c r="F24" s="18"/>
      <x:c r="G24" s="18"/>
      <x:c r="H24" s="18"/>
      <x:c r="I24" s="1"/>
      <x:c r="J24" s="1"/>
    </x:row>
    <x:row r="25" ht="30" customHeight="1">
      <x:c r="A25" s="1"/>
      <x:c r="B25" s="17" t="str">
        <x:v>US Q2/Q3 fee units: Stephens 20 Aug 2026, Exhibit 7, PDF page 7: -9.0% / -3.3%.</x:v>
      </x:c>
      <x:c r="C25" s="17"/>
      <x:c r="D25" s="18"/>
      <x:c r="E25" s="18"/>
      <x:c r="F25" s="18"/>
      <x:c r="G25" s="18"/>
      <x:c r="H25" s="18"/>
      <x:c r="I25" s="1"/>
      <x:c r="J25" s="1"/>
    </x:row>
    <x:row r="26" ht="30" customHeight="1">
      <x:c r="A26" s="1"/>
      <x:c r="B26" s="17" t="str">
        <x:v>Broker PDF: local supplied report ending 123970131.pdf; period columns verified with text positions.</x:v>
      </x:c>
      <x:c r="C26" s="17"/>
      <x:c r="D26" s="18"/>
      <x:c r="E26" s="18"/>
      <x:c r="F26" s="18"/>
      <x:c r="G26" s="18"/>
      <x:c r="H26" s="18"/>
      <x:c r="I26" s="1"/>
      <x:c r="J26" s="1"/>
    </x:row>
    <x:row r="27" ht="30" customHeight="1">
      <x:c r="A27" s="1"/>
      <x:c r="B27" s="17" t="str">
        <x:v>International RPU: Nov 20 lines 219–220; Feb 19 line 185; May 21 line 184; Sep 10 line 223.</x:v>
      </x:c>
      <x:c r="C27" s="17"/>
      <x:c r="D27" s="18"/>
      <x:c r="E27" s="18"/>
      <x:c r="F27" s="18"/>
      <x:c r="G27" s="18"/>
      <x:c r="H27" s="18"/>
      <x:c r="I27" s="1"/>
      <x:c r="J27" s="1"/>
    </x:row>
    <x:row r="28" ht="30" customHeight="1">
      <x:c r="A28" s="1"/>
      <x:c r="B28" s="17" t="str">
        <x:v>International Q4 fee units: Sep 10 lines 232–235, +11.5%; independent rounded cross-check only.</x:v>
      </x:c>
      <x:c r="C28" s="17"/>
      <x:c r="D28" s="18"/>
      <x:c r="E28" s="18"/>
      <x:c r="F28" s="18"/>
      <x:c r="G28" s="18"/>
      <x:c r="H28" s="18"/>
      <x:c r="I28" s="1"/>
      <x:c r="J28" s="1"/>
    </x:row>
    <x:row r="29" ht="30" customHeight="1">
      <x:c r="A29" s="1"/>
      <x:c r="B29" s="17" t="str">
        <x:v>US Q4 JPM ~5% RPU is an analyst estimate; excluded from the observed bridge.</x:v>
      </x:c>
      <x:c r="C29" s="17"/>
      <x:c r="D29" s="18"/>
      <x:c r="E29" s="18"/>
      <x:c r="F29" s="18"/>
      <x:c r="G29" s="18"/>
      <x:c r="H29" s="18"/>
      <x:c r="I29" s="1"/>
      <x:c r="J29" s="1"/>
    </x:row>
    <x:row r="30" ht="30" customHeight="1">
      <x:c r="A30" s="1"/>
      <x:c r="B30" s="17" t="str">
        <x:v>No absolute unit count or dollar RPU is implied. Each quarter uses its own prior-year revenue.</x:v>
      </x:c>
      <x:c r="C30" s="17"/>
      <x:c r="D30" s="18"/>
      <x:c r="E30" s="18"/>
      <x:c r="F30" s="18"/>
      <x:c r="G30" s="18"/>
      <x:c r="H30" s="18"/>
      <x:c r="I30" s="1"/>
      <x:c r="J30" s="1"/>
    </x:row>
    <x:row r="31" ht="30" customHeight="1">
      <x:c r="A31" s="1"/>
      <x:c r="B31" s="17" t="str">
        <x:v>Derived RPU includes mix, services and FX where relevant; it is not a pure price increase.</x:v>
      </x:c>
      <x:c r="C31" s="17"/>
      <x:c r="D31" s="18"/>
      <x:c r="E31" s="18"/>
      <x:c r="F31" s="18"/>
      <x:c r="G31" s="18"/>
      <x:c r="H31" s="18"/>
      <x:c r="I31" s="1"/>
      <x:c r="J31" s="1"/>
    </x:row>
    <x:row r="32" ht="30" customHeight="1">
      <x:c r="A32" s="1"/>
      <x:c r="B32" s="17" t="str">
        <x:v>Model comparison: linked model validation.json; assumed 90% insurance split, fixed other-US revenue.</x:v>
      </x:c>
      <x:c r="C32" s="17"/>
      <x:c r="D32" s="18"/>
      <x:c r="E32" s="18"/>
      <x:c r="F32" s="18"/>
      <x:c r="G32" s="18"/>
      <x:c r="H32" s="18"/>
      <x:c r="I32" s="1"/>
      <x:c r="J32" s="1"/>
    </x:row>
    <x:row r="33" ht="20" customHeight="1">
      <x:c r="A33" s="1"/>
      <x:c r="B33" s="1"/>
      <x:c r="C33" s="1"/>
      <x:c r="D33" s="3"/>
      <x:c r="E33" s="3"/>
      <x:c r="F33" s="3"/>
      <x:c r="G33" s="3"/>
      <x:c r="H33" s="3"/>
      <x:c r="I33" s="1"/>
      <x:c r="J33" s="1"/>
    </x:row>
    <x:row r="34" ht="20" customHeight="1">
      <x:c r="A34" s="1"/>
      <x:c r="B34" s="1"/>
      <x:c r="C34" s="1"/>
      <x:c r="D34" s="3"/>
      <x:c r="E34" s="3"/>
      <x:c r="F34" s="3"/>
      <x:c r="G34" s="3"/>
      <x:c r="H34" s="3"/>
      <x:c r="I34" s="1"/>
      <x:c r="J34" s="1"/>
    </x:row>
    <x:row r="35" ht="20" customHeight="1">
      <x:c r="A35" s="1"/>
      <x:c r="B35" s="1" t="str">
        <x:v>Observed international Q4 fee-unit growth</x:v>
      </x:c>
      <x:c r="C35" s="1"/>
      <x:c r="D35" s="3"/>
      <x:c r="E35" s="3"/>
      <x:c r="F35" s="3"/>
      <x:c r="G35" s="8" t="n">
        <x:v>0.115</x:v>
      </x:c>
      <x:c r="H35" s="3"/>
      <x:c r="I35" s="1"/>
      <x:c r="J35" s="1"/>
    </x:row>
    <x:row r="36" ht="20" customHeight="1">
      <x:c r="A36" s="1"/>
      <x:c r="B36" s="1"/>
      <x:c r="C36" s="1"/>
      <x:c r="D36" s="3"/>
      <x:c r="E36" s="3"/>
      <x:c r="F36" s="3"/>
      <x:c r="G36" s="3"/>
      <x:c r="H36" s="3"/>
      <x:c r="I36" s="1"/>
      <x:c r="J36" s="1"/>
    </x:row>
    <x:row r="37" ht="20" customHeight="1">
      <x:c r="A37" s="1"/>
      <x:c r="B37" s="1" t="str">
        <x:v>Prototype US service reconstruction</x:v>
      </x:c>
      <x:c r="C37" s="1"/>
      <x:c r="D37" s="3" t="n">
        <x:v>865.7647108054854</x:v>
      </x:c>
      <x:c r="E37" s="3" t="n">
        <x:v>863.507019160001</x:v>
      </x:c>
      <x:c r="F37" s="3" t="n">
        <x:v>839.3152167187603</x:v>
      </x:c>
      <x:c r="G37" s="3" t="n">
        <x:v>817.8220000000001</x:v>
      </x:c>
      <x:c r="H37" s="3"/>
      <x:c r="I37" s="1"/>
      <x:c r="J37" s="1"/>
    </x:row>
    <x:row r="38" ht="20" customHeight="1">
      <x:c r="A38" s="1"/>
      <x:c r="B38" s="1"/>
      <x:c r="C38" s="1"/>
      <x:c r="D38" s="3"/>
      <x:c r="E38" s="3"/>
      <x:c r="F38" s="3"/>
      <x:c r="G38" s="3"/>
      <x:c r="H38" s="3"/>
      <x:c r="I38" s="1"/>
      <x:c r="J38" s="1"/>
    </x:row>
    <x:row r="39" ht="20" customHeight="1">
      <x:c r="A39" s="1"/>
      <x:c r="B39" s="1"/>
      <x:c r="C39" s="1"/>
      <x:c r="D39" s="3"/>
      <x:c r="E39" s="3"/>
      <x:c r="F39" s="3"/>
      <x:c r="G39" s="3"/>
      <x:c r="H39" s="3"/>
      <x:c r="I39" s="1"/>
      <x:c r="J39" s="1"/>
    </x:row>
    <x:row r="40" ht="20" customHeight="1">
      <x:c r="A40" s="1"/>
      <x:c r="B40" s="1"/>
      <x:c r="C40" s="1"/>
      <x:c r="D40" s="3"/>
      <x:c r="E40" s="3"/>
      <x:c r="F40" s="3"/>
      <x:c r="G40" s="3"/>
      <x:c r="H40" s="3"/>
      <x:c r="I40" s="1"/>
      <x:c r="J40" s="1"/>
    </x:row>
    <x:row r="41" ht="20" customHeight="1">
      <x:c r="A41" s="1"/>
      <x:c r="B41" s="1"/>
      <x:c r="C41" s="1"/>
      <x:c r="D41" s="3"/>
      <x:c r="E41" s="3"/>
      <x:c r="F41" s="3"/>
      <x:c r="G41" s="3"/>
      <x:c r="H41" s="3"/>
      <x:c r="I41" s="1"/>
      <x:c r="J41" s="1"/>
    </x:row>
    <x:row r="42" ht="20" customHeight="1">
      <x:c r="A42" s="1"/>
      <x:c r="B42" s="1"/>
      <x:c r="C42" s="1"/>
      <x:c r="D42" s="3"/>
      <x:c r="E42" s="3"/>
      <x:c r="F42" s="3"/>
      <x:c r="G42" s="3"/>
      <x:c r="H42" s="3"/>
      <x:c r="I42" s="1"/>
      <x:c r="J42" s="1"/>
    </x:row>
    <x:row r="43" ht="20" customHeight="1">
      <x:c r="A43" s="1"/>
      <x:c r="B43" s="1"/>
      <x:c r="C43" s="1"/>
      <x:c r="D43" s="3"/>
      <x:c r="E43" s="3"/>
      <x:c r="F43" s="3"/>
      <x:c r="G43" s="3"/>
      <x:c r="H43" s="3"/>
      <x:c r="I43" s="1"/>
      <x:c r="J43" s="1"/>
    </x:row>
    <x:row r="44" ht="20" customHeight="1">
      <x:c r="A44" s="1"/>
      <x:c r="B44" s="1"/>
      <x:c r="C44" s="1"/>
      <x:c r="D44" s="3"/>
      <x:c r="E44" s="3"/>
      <x:c r="F44" s="3"/>
      <x:c r="G44" s="3"/>
      <x:c r="H44" s="3"/>
      <x:c r="I44" s="1"/>
      <x:c r="J44" s="1"/>
    </x:row>
    <x:row r="45" ht="20" customHeight="1">
      <x:c r="A45" s="1"/>
      <x:c r="B45" s="1"/>
      <x:c r="C45" s="1"/>
      <x:c r="D45" s="3"/>
      <x:c r="E45" s="3"/>
      <x:c r="F45" s="3"/>
      <x:c r="G45" s="3"/>
      <x:c r="H45" s="3"/>
      <x:c r="I45" s="1"/>
      <x:c r="J45" s="1"/>
    </x:row>
    <x:row r="46" ht="20" customHeight="1">
      <x:c r="A46" s="1"/>
      <x:c r="B46" s="1"/>
      <x:c r="C46" s="1"/>
      <x:c r="D46" s="3"/>
      <x:c r="E46" s="3"/>
      <x:c r="F46" s="3"/>
      <x:c r="G46" s="3"/>
      <x:c r="H46" s="3"/>
      <x:c r="I46" s="1"/>
      <x:c r="J46" s="1"/>
    </x:row>
    <x:row r="47" ht="20" customHeight="1">
      <x:c r="A47" s="1"/>
      <x:c r="B47" s="1"/>
      <x:c r="C47" s="1"/>
      <x:c r="D47" s="3"/>
      <x:c r="E47" s="3"/>
      <x:c r="F47" s="3"/>
      <x:c r="G47" s="3"/>
      <x:c r="H47" s="3"/>
      <x:c r="I47" s="1"/>
      <x:c r="J47" s="1"/>
    </x:row>
    <x:row r="48" ht="20" customHeight="1">
      <x:c r="A48" s="1"/>
      <x:c r="B48" s="1"/>
      <x:c r="C48" s="1"/>
      <x:c r="D48" s="3"/>
      <x:c r="E48" s="3"/>
      <x:c r="F48" s="3"/>
      <x:c r="G48" s="3"/>
      <x:c r="H48" s="3"/>
      <x:c r="I48" s="1"/>
      <x:c r="J48" s="1"/>
    </x:row>
    <x:row r="49" ht="20" customHeight="1">
      <x:c r="A49" s="1"/>
      <x:c r="B49" s="1"/>
      <x:c r="C49" s="1"/>
      <x:c r="D49" s="3"/>
      <x:c r="E49" s="3"/>
      <x:c r="F49" s="3"/>
      <x:c r="G49" s="3"/>
      <x:c r="H49" s="3"/>
      <x:c r="I49" s="1"/>
      <x:c r="J49" s="1"/>
    </x:row>
    <x:row r="50" ht="20" customHeight="1">
      <x:c r="A50" s="1"/>
      <x:c r="B50" s="1"/>
      <x:c r="C50" s="1"/>
      <x:c r="D50" s="3"/>
      <x:c r="E50" s="3"/>
      <x:c r="F50" s="3"/>
      <x:c r="G50" s="3"/>
      <x:c r="H50" s="3"/>
      <x:c r="I50" s="1"/>
      <x:c r="J50" s="1"/>
    </x:row>
    <x:row r="51" ht="20" customHeight="1">
      <x:c r="A51" s="1"/>
      <x:c r="B51" s="1"/>
      <x:c r="C51" s="1"/>
      <x:c r="D51" s="3"/>
      <x:c r="E51" s="3"/>
      <x:c r="F51" s="3"/>
      <x:c r="G51" s="3"/>
      <x:c r="H51" s="3"/>
      <x:c r="I51" s="1"/>
      <x:c r="J51" s="1"/>
    </x:row>
    <x:row r="52" ht="20" customHeight="1">
      <x:c r="A52" s="1"/>
      <x:c r="B52" s="1"/>
      <x:c r="C52" s="1"/>
      <x:c r="D52" s="3"/>
      <x:c r="E52" s="3"/>
      <x:c r="F52" s="3"/>
      <x:c r="G52" s="3"/>
      <x:c r="H52" s="3"/>
      <x:c r="I52" s="1"/>
      <x:c r="J52" s="1"/>
    </x:row>
    <x:row r="53" ht="20" customHeight="1">
      <x:c r="A53" s="1"/>
      <x:c r="B53" s="1"/>
      <x:c r="C53" s="1"/>
      <x:c r="D53" s="3"/>
      <x:c r="E53" s="3"/>
      <x:c r="F53" s="3"/>
      <x:c r="G53" s="3"/>
      <x:c r="H53" s="3"/>
      <x:c r="I53" s="1"/>
      <x:c r="J53" s="1"/>
    </x:row>
    <x:row r="54" ht="20" customHeight="1">
      <x:c r="A54" s="1"/>
      <x:c r="B54" s="1"/>
      <x:c r="C54" s="1"/>
      <x:c r="D54" s="3"/>
      <x:c r="E54" s="3"/>
      <x:c r="F54" s="3"/>
      <x:c r="G54" s="3"/>
      <x:c r="H54" s="3"/>
      <x:c r="I54" s="1"/>
      <x:c r="J54" s="1"/>
    </x:row>
    <x:row r="55" ht="20" customHeight="1">
      <x:c r="A55" s="1"/>
      <x:c r="B55" s="1"/>
      <x:c r="C55" s="1"/>
      <x:c r="D55" s="3"/>
      <x:c r="E55" s="3"/>
      <x:c r="F55" s="3"/>
      <x:c r="G55" s="3"/>
      <x:c r="H55" s="3"/>
      <x:c r="I55" s="1"/>
      <x:c r="J55" s="1"/>
    </x:row>
  </x:sheetData>
  <x:mergeCells>
    <x:mergeCell ref="B23:H23"/>
    <x:mergeCell ref="B24:H24"/>
    <x:mergeCell ref="B25:H25"/>
    <x:mergeCell ref="B26:H26"/>
    <x:mergeCell ref="B27:H27"/>
    <x:mergeCell ref="B28:H28"/>
    <x:mergeCell ref="B29:H29"/>
    <x:mergeCell ref="B30:H30"/>
    <x:mergeCell ref="B31:H31"/>
    <x:mergeCell ref="B32:H32"/>
    <x:mergeCell ref="B3:H3"/>
  </x:mergeCells>
  <x:pageMargins left="0.7" right="0.7" top="0.75" bottom="0.75" header="0.3" footer="0.3"/>
</x:worksheet>
</file>