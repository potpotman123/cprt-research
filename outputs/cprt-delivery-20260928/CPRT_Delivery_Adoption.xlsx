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ef6e5a996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Build" sheetId="1" r:id="R67d1e406b86c4dc1"/>
    <x:sheet xmlns:r="http://schemas.openxmlformats.org/officeDocument/2006/relationships" name="Inputs" sheetId="2" r:id="R319132a4c518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—&quot;"/>
    <x:numFmt numFmtId="201" formatCode="0.00%"/>
    <x:numFmt numFmtId="202" formatCode="0"/>
    <x:numFmt numFmtId="203" formatCode="#,##0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2"/>
      </x:patternFill>
    </x:fill>
    <x:fill>
      <x:patternFill patternType="solid">
        <x:fgColor rgb="FF243A51"/>
      </x:patternFill>
    </x:fill>
  </x:fills>
  <x:borders count="2">
    <x:border/>
    <x:border>
      <x:bottom style="thin">
        <x:color rgb="FF243A5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right"/>
    </x:xf>
    <x:xf numFmtId="200" fontId="3" fillId="2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0" fontId="3" fillId="3" borderId="0" xfId="0" applyNumberFormat="1" applyFont="1" applyFill="1" applyBorder="1" applyAlignment="1">
      <x:alignment horizontal="right"/>
    </x:xf>
    <x:xf numFmtId="201" fontId="3" fillId="2" borderId="0" xfId="0" applyNumberFormat="1" applyFont="1" applyFill="1" applyBorder="1" applyAlignment="1">
      <x:alignment horizontal="right"/>
    </x:xf>
    <x:xf numFmtId="202" fontId="3" fillId="2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wrapText="1"/>
    </x:xf>
    <x:xf numFmtId="201" fontId="1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c8fcaf6cf4393" /><Relationship Type="http://schemas.openxmlformats.org/officeDocument/2006/relationships/theme" Target="/xl/theme/theme1.xml" Id="Rfb8d8256abd84a4c" /><Relationship Type="http://schemas.openxmlformats.org/officeDocument/2006/relationships/sharedStrings" Target="/xl/sharedStrings.xml" Id="Rab6fbeb7d5b04c03" /><Relationship Type="http://schemas.openxmlformats.org/officeDocument/2006/relationships/worksheet" Target="/xl/worksheets/sheet1.xml" Id="R67d1e406b86c4dc1" /><Relationship Type="http://schemas.openxmlformats.org/officeDocument/2006/relationships/worksheet" Target="/xl/worksheets/sheet2.xml" Id="R319132a4c518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4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</x:row>
    <x:row r="2" ht="25" customHeight="1">
      <x:c r="A2" s="1"/>
      <x:c r="B2" s="5" t="str">
        <x:v>Copart delivery — adoption scenario build</x:v>
      </x:c>
      <x:c r="C2" s="5"/>
      <x:c r="D2" s="5"/>
      <x:c r="E2" s="5"/>
      <x:c r="F2" s="5"/>
      <x:c r="G2" s="5"/>
    </x:row>
    <x:row r="3" ht="32" customHeight="1">
      <x:c r="A3" s="1"/>
      <x:c r="B3" s="6" t="str">
        <x:v>Illustrative operating cases, not adopted forecasts. Revenue levels require an assumed starting base.</x:v>
      </x:c>
      <x:c r="C3" s="6"/>
      <x:c r="D3" s="6"/>
      <x:c r="E3" s="6"/>
      <x:c r="F3" s="6"/>
      <x:c r="G3" s="6"/>
    </x:row>
    <x:row r="4" ht="20" customHeight="1">
      <x:c r="A4" s="1"/>
      <x:c r="B4" s="1"/>
      <x:c r="C4" s="1"/>
      <x:c r="D4" s="1"/>
      <x:c r="E4" s="1"/>
      <x:c r="F4" s="1"/>
      <x:c r="G4" s="1"/>
    </x:row>
    <x:row r="5" ht="20" customHeight="1">
      <x:c r="A5" s="1"/>
      <x:c r="B5" s="1" t="str">
        <x:v>Active case</x:v>
      </x:c>
      <x:c r="C5" s="3" t="str">
        <x:f>CHOOSE(Inputs!C5,"Continuation","Slower","Flat")</x:f>
        <x:v>Continuation</x:v>
      </x:c>
      <x:c r="D5" s="3"/>
      <x:c r="E5" s="3"/>
      <x:c r="F5" s="3"/>
      <x:c r="G5" s="3"/>
    </x:row>
    <x:row r="6" ht="20" customHeight="1">
      <x:c r="A6" s="1"/>
      <x:c r="B6" s="1"/>
      <x:c r="C6" s="3"/>
      <x:c r="D6" s="3"/>
      <x:c r="E6" s="3"/>
      <x:c r="F6" s="3"/>
      <x:c r="G6" s="3"/>
    </x:row>
    <x:row r="7" ht="20" customHeight="1">
      <x:c r="A7" s="1"/>
      <x:c r="B7" s="1" t="str">
        <x:v>Historical constraint — FY26Q4</x:v>
      </x:c>
      <x:c r="C7" s="3"/>
      <x:c r="D7" s="3"/>
      <x:c r="E7" s="3"/>
      <x:c r="F7" s="3"/>
      <x:c r="G7" s="3"/>
    </x:row>
    <x:row r="8" ht="20" customHeight="1">
      <x:c r="A8" s="1"/>
      <x:c r="B8" s="1" t="str">
        <x:v>Assumed FY25Q4 delivery revenue ($m)</x:v>
      </x:c>
      <x:c r="C8" s="3" t="n">
        <x:f>Inputs!C12*Inputs!C13/1000000</x:f>
        <x:v>15</x:v>
      </x:c>
      <x:c r="D8" s="3"/>
      <x:c r="E8" s="3"/>
      <x:c r="F8" s="3"/>
      <x:c r="G8" s="3"/>
    </x:row>
    <x:row r="9" ht="20" customHeight="1">
      <x:c r="A9" s="1"/>
      <x:c r="B9" s="1" t="str">
        <x:v>Conditional YoY delivery revenue increase ($m)</x:v>
      </x:c>
      <x:c r="C9" s="3" t="n">
        <x:f>Inputs!C8*Inputs!C10/(1-Inputs!C11)</x:f>
        <x:v>21.25</x:v>
      </x:c>
      <x:c r="D9" s="3"/>
      <x:c r="E9" s="3"/>
      <x:c r="F9" s="3"/>
      <x:c r="G9" s="3"/>
    </x:row>
    <x:row r="10" ht="20" customHeight="1">
      <x:c r="A10" s="1"/>
      <x:c r="B10" s="1" t="str">
        <x:v>Conditional FY26Q4 delivery revenue ($m)</x:v>
      </x:c>
      <x:c r="C10" s="3" t="n">
        <x:f>SUM(C8:C9)</x:f>
        <x:v>36.25</x:v>
      </x:c>
      <x:c r="D10" s="3"/>
      <x:c r="E10" s="3"/>
      <x:c r="F10" s="3"/>
      <x:c r="G10" s="3"/>
    </x:row>
    <x:row r="11" ht="20" customHeight="1">
      <x:c r="A11" s="1"/>
      <x:c r="B11" s="1" t="str">
        <x:v>Implied FY26Q4 delivery jobs</x:v>
      </x:c>
      <x:c r="C11" s="3" t="n">
        <x:f>C10*1000000/Inputs!C13</x:f>
        <x:v>120833.33333333333</x:v>
      </x:c>
      <x:c r="D11" s="3"/>
      <x:c r="E11" s="3"/>
      <x:c r="F11" s="3"/>
      <x:c r="G11" s="3"/>
    </x:row>
    <x:row r="12" ht="20" customHeight="1">
      <x:c r="A12" s="1"/>
      <x:c r="B12" s="1" t="str">
        <x:v>Implied FY26Q4 adoption</x:v>
      </x:c>
      <x:c r="C12" s="14" t="n">
        <x:f>C11/Inputs!C14</x:f>
        <x:v>0.12083333333333333</x:v>
      </x:c>
      <x:c r="D12" s="3"/>
      <x:c r="E12" s="3"/>
      <x:c r="F12" s="3"/>
      <x:c r="G12" s="3"/>
    </x:row>
    <x:row r="13" ht="20" customHeight="1">
      <x:c r="A13" s="1"/>
      <x:c r="B13" s="1"/>
      <x:c r="C13" s="3"/>
      <x:c r="D13" s="3"/>
      <x:c r="E13" s="3"/>
      <x:c r="F13" s="3"/>
      <x:c r="G13" s="3"/>
    </x:row>
    <x:row r="14" ht="20" customHeight="1">
      <x:c r="A14" s="1"/>
      <x:c r="B14" s="1" t="str">
        <x:v>Q3 conditional YoY revenue increase ($m)</x:v>
      </x:c>
      <x:c r="C14" s="3" t="n">
        <x:f>Inputs!C7*Inputs!C10/(1-Inputs!C11)</x:f>
        <x:v>18.75</x:v>
      </x:c>
      <x:c r="D14" s="3"/>
      <x:c r="E14" s="3"/>
      <x:c r="F14" s="3"/>
      <x:c r="G14" s="3"/>
    </x:row>
    <x:row r="15" ht="20" customHeight="1">
      <x:c r="A15" s="1"/>
      <x:c r="B15" s="1"/>
      <x:c r="C15" s="3"/>
      <x:c r="D15" s="3"/>
      <x:c r="E15" s="3"/>
      <x:c r="F15" s="3"/>
      <x:c r="G15" s="3"/>
    </x:row>
    <x:row r="16" ht="20" customHeight="1">
      <x:c r="A16" s="1"/>
      <x:c r="B16" s="1"/>
      <x:c r="C16" s="3"/>
      <x:c r="D16" s="3"/>
      <x:c r="E16" s="3"/>
      <x:c r="F16" s="3"/>
      <x:c r="G16" s="3"/>
    </x:row>
    <x:row r="17" ht="20" customHeight="1">
      <x:c r="A17" s="1"/>
      <x:c r="B17" s="17"/>
      <x:c r="C17" s="18" t="str">
        <x:v>FY27 Q1</x:v>
      </x:c>
      <x:c r="D17" s="18" t="str">
        <x:v>FY27 Q2</x:v>
      </x:c>
      <x:c r="E17" s="18" t="str">
        <x:v>FY27 Q3</x:v>
      </x:c>
      <x:c r="F17" s="18" t="str">
        <x:v>FY27 Q4</x:v>
      </x:c>
      <x:c r="G17" s="3"/>
    </x:row>
    <x:row r="18" ht="20" customHeight="1">
      <x:c r="A18" s="1"/>
      <x:c r="B18" s="1" t="str">
        <x:v>Eligible transactions</x:v>
      </x:c>
      <x:c r="C18" s="19" t="n">
        <x:f>Inputs!C14*(1+Inputs!C20)</x:f>
        <x:v>1000000</x:v>
      </x:c>
      <x:c r="D18" s="19" t="n">
        <x:f>C18*(1+Inputs!$C$20)</x:f>
        <x:v>1000000</x:v>
      </x:c>
      <x:c r="E18" s="19" t="n">
        <x:f>D18*(1+Inputs!$C$20)</x:f>
        <x:v>1000000</x:v>
      </x:c>
      <x:c r="F18" s="19" t="n">
        <x:f>E18*(1+Inputs!$C$20)</x:f>
        <x:v>1000000</x:v>
      </x:c>
      <x:c r="G18" s="3"/>
    </x:row>
    <x:row r="19" ht="20" customHeight="1">
      <x:c r="A19" s="1"/>
      <x:c r="B19" s="1" t="str">
        <x:v>Beginning adoption</x:v>
      </x:c>
      <x:c r="C19" s="14" t="n">
        <x:f>$C$12</x:f>
        <x:v>0.12083333333333333</x:v>
      </x:c>
      <x:c r="D19" s="14" t="n">
        <x:f>C21</x:f>
        <x:v>0.13083333333333333</x:v>
      </x:c>
      <x:c r="E19" s="14" t="n">
        <x:f>D21</x:f>
        <x:v>0.14083333333333334</x:v>
      </x:c>
      <x:c r="F19" s="14" t="n">
        <x:f>E21</x:f>
        <x:v>0.15083333333333335</x:v>
      </x:c>
      <x:c r="G19" s="3"/>
    </x:row>
    <x:row r="20" ht="20" customHeight="1">
      <x:c r="A20" s="1"/>
      <x:c r="B20" s="1" t="str">
        <x:v>Active quarterly adoption increase</x:v>
      </x:c>
      <x:c r="C20" s="14" t="n">
        <x:f>CHOOSE(Inputs!$C$5,Inputs!$C$16,Inputs!$C$17,Inputs!$C$18)</x:f>
        <x:v>0.01</x:v>
      </x:c>
      <x:c r="D20" s="14" t="n">
        <x:f>CHOOSE(Inputs!$C$5,Inputs!$C$16,Inputs!$C$17,Inputs!$C$18)</x:f>
        <x:v>0.01</x:v>
      </x:c>
      <x:c r="E20" s="14" t="n">
        <x:f>CHOOSE(Inputs!$C$5,Inputs!$C$16,Inputs!$C$17,Inputs!$C$18)</x:f>
        <x:v>0.01</x:v>
      </x:c>
      <x:c r="F20" s="14" t="n">
        <x:f>CHOOSE(Inputs!$C$5,Inputs!$C$16,Inputs!$C$17,Inputs!$C$18)</x:f>
        <x:v>0.01</x:v>
      </x:c>
      <x:c r="G20" s="3"/>
    </x:row>
    <x:row r="21" ht="20" customHeight="1">
      <x:c r="A21" s="1"/>
      <x:c r="B21" s="1" t="str">
        <x:v>Ending adoption</x:v>
      </x:c>
      <x:c r="C21" s="14" t="n">
        <x:f>MIN(1,MAX(0,C19+C20))</x:f>
        <x:v>0.13083333333333333</x:v>
      </x:c>
      <x:c r="D21" s="14" t="n">
        <x:f>MIN(1,MAX(0,D19+D20))</x:f>
        <x:v>0.14083333333333334</x:v>
      </x:c>
      <x:c r="E21" s="14" t="n">
        <x:f>MIN(1,MAX(0,E19+E20))</x:f>
        <x:v>0.15083333333333335</x:v>
      </x:c>
      <x:c r="F21" s="14" t="n">
        <x:f>MIN(1,MAX(0,F19+F20))</x:f>
        <x:v>0.16083333333333336</x:v>
      </x:c>
      <x:c r="G21" s="3"/>
    </x:row>
    <x:row r="22" ht="20" customHeight="1">
      <x:c r="A22" s="1"/>
      <x:c r="B22" s="1" t="str">
        <x:v>Average adoption during quarter</x:v>
      </x:c>
      <x:c r="C22" s="14" t="n">
        <x:f>AVERAGE(C19,C21)</x:f>
        <x:v>0.12583333333333332</x:v>
      </x:c>
      <x:c r="D22" s="14" t="n">
        <x:f>AVERAGE(D19,D21)</x:f>
        <x:v>0.13583333333333333</x:v>
      </x:c>
      <x:c r="E22" s="14" t="n">
        <x:f>AVERAGE(E19,E21)</x:f>
        <x:v>0.14583333333333334</x:v>
      </x:c>
      <x:c r="F22" s="14" t="n">
        <x:f>AVERAGE(F19,F21)</x:f>
        <x:v>0.15583333333333335</x:v>
      </x:c>
      <x:c r="G22" s="3"/>
    </x:row>
    <x:row r="23" ht="20" customHeight="1">
      <x:c r="A23" s="1"/>
      <x:c r="B23" s="1" t="str">
        <x:v>Completed delivery jobs</x:v>
      </x:c>
      <x:c r="C23" s="19" t="n">
        <x:f>C18*C22</x:f>
        <x:v>125833.33333333333</x:v>
      </x:c>
      <x:c r="D23" s="19" t="n">
        <x:f>D18*D22</x:f>
        <x:v>135833.33333333334</x:v>
      </x:c>
      <x:c r="E23" s="19" t="n">
        <x:f>E18*E22</x:f>
        <x:v>145833.33333333334</x:v>
      </x:c>
      <x:c r="F23" s="19" t="n">
        <x:f>F18*F22</x:f>
        <x:v>155833.33333333334</x:v>
      </x:c>
      <x:c r="G23" s="3"/>
    </x:row>
    <x:row r="24" ht="20" customHeight="1">
      <x:c r="A24" s="1"/>
      <x:c r="B24" s="1" t="str">
        <x:v>Revenue per delivery ($)</x:v>
      </x:c>
      <x:c r="C24" s="3" t="n">
        <x:f>Inputs!C13*(1+Inputs!C21)</x:f>
        <x:v>300</x:v>
      </x:c>
      <x:c r="D24" s="3" t="n">
        <x:f>C24*(1+Inputs!$C$21)</x:f>
        <x:v>300</x:v>
      </x:c>
      <x:c r="E24" s="3" t="n">
        <x:f>D24*(1+Inputs!$C$21)</x:f>
        <x:v>300</x:v>
      </x:c>
      <x:c r="F24" s="3" t="n">
        <x:f>E24*(1+Inputs!$C$21)</x:f>
        <x:v>300</x:v>
      </x:c>
      <x:c r="G24" s="3"/>
    </x:row>
    <x:row r="25" ht="20" customHeight="1">
      <x:c r="A25" s="1"/>
      <x:c r="B25" s="1" t="str">
        <x:v>Delivery revenue ($m)</x:v>
      </x:c>
      <x:c r="C25" s="3" t="n">
        <x:f>C23*C24/1000000</x:f>
        <x:v>37.75</x:v>
      </x:c>
      <x:c r="D25" s="3" t="n">
        <x:f>D23*D24/1000000</x:f>
        <x:v>40.75</x:v>
      </x:c>
      <x:c r="E25" s="3" t="n">
        <x:f>E23*E24/1000000</x:f>
        <x:v>43.75</x:v>
      </x:c>
      <x:c r="F25" s="3" t="n">
        <x:f>F23*F24/1000000</x:f>
        <x:v>46.75</x:v>
      </x:c>
      <x:c r="G25" s="3"/>
    </x:row>
    <x:row r="26" ht="20" customHeight="1">
      <x:c r="A26" s="1"/>
      <x:c r="B26" s="1"/>
      <x:c r="C26" s="3"/>
      <x:c r="D26" s="3"/>
      <x:c r="E26" s="3"/>
      <x:c r="F26" s="3"/>
      <x:c r="G26" s="3"/>
    </x:row>
    <x:row r="27" ht="20" customHeight="1">
      <x:c r="A27" s="1"/>
      <x:c r="B27" s="1" t="str">
        <x:v>Volume and adoption at unchanged price ($m)</x:v>
      </x:c>
      <x:c r="C27" s="3" t="n">
        <x:f>C23*Inputs!$C$13/1000000</x:f>
        <x:v>37.75</x:v>
      </x:c>
      <x:c r="D27" s="3" t="n">
        <x:f>D23*Inputs!$C$13/1000000</x:f>
        <x:v>40.75</x:v>
      </x:c>
      <x:c r="E27" s="3" t="n">
        <x:f>E23*Inputs!$C$13/1000000</x:f>
        <x:v>43.75</x:v>
      </x:c>
      <x:c r="F27" s="3" t="n">
        <x:f>F23*Inputs!$C$13/1000000</x:f>
        <x:v>46.75</x:v>
      </x:c>
      <x:c r="G27" s="3"/>
    </x:row>
    <x:row r="28" ht="20" customHeight="1">
      <x:c r="A28" s="1"/>
      <x:c r="B28" s="1" t="str">
        <x:v>Price contribution ($m)</x:v>
      </x:c>
      <x:c r="C28" s="3" t="n">
        <x:f>C23*(C24-Inputs!$C$13)/1000000</x:f>
        <x:v>0</x:v>
      </x:c>
      <x:c r="D28" s="3" t="n">
        <x:f>D23*(D24-Inputs!$C$13)/1000000</x:f>
        <x:v>0</x:v>
      </x:c>
      <x:c r="E28" s="3" t="n">
        <x:f>E23*(E24-Inputs!$C$13)/1000000</x:f>
        <x:v>0</x:v>
      </x:c>
      <x:c r="F28" s="3" t="n">
        <x:f>F23*(F24-Inputs!$C$13)/1000000</x:f>
        <x:v>0</x:v>
      </x:c>
      <x:c r="G28" s="3"/>
    </x:row>
    <x:row r="29" ht="20" customHeight="1">
      <x:c r="A29" s="1"/>
      <x:c r="B29" s="1" t="str">
        <x:v>Revenue identity check</x:v>
      </x:c>
      <x:c r="C29" s="3" t="n">
        <x:f>SUM(C27:C28)-C25</x:f>
        <x:v>0</x:v>
      </x:c>
      <x:c r="D29" s="3" t="n">
        <x:f>SUM(D27:D28)-D25</x:f>
        <x:v>0</x:v>
      </x:c>
      <x:c r="E29" s="3" t="n">
        <x:f>SUM(E27:E28)-E25</x:f>
        <x:v>0</x:v>
      </x:c>
      <x:c r="F29" s="3" t="n">
        <x:f>SUM(F27:F28)-F25</x:f>
        <x:v>0</x:v>
      </x:c>
      <x:c r="G29" s="3"/>
    </x:row>
    <x:row r="30" ht="20" customHeight="1">
      <x:c r="A30" s="1"/>
      <x:c r="B30" s="1"/>
      <x:c r="C30" s="3"/>
      <x:c r="D30" s="3"/>
      <x:c r="E30" s="3"/>
      <x:c r="F30" s="3"/>
      <x:c r="G30" s="3"/>
    </x:row>
    <x:row r="31" ht="20" customHeight="1">
      <x:c r="A31" s="1"/>
      <x:c r="B31" s="1" t="str">
        <x:v>Comparable prior-year delivery revenue ($m)</x:v>
      </x:c>
      <x:c r="C31" s="3" t="str">
        <x:f>Inputs!C23</x:f>
        <x:v>n.a.</x:v>
      </x:c>
      <x:c r="D31" s="3" t="str">
        <x:f>Inputs!C24</x:f>
        <x:v>n.a.</x:v>
      </x:c>
      <x:c r="E31" s="3" t="str">
        <x:f>"n.a."</x:f>
        <x:v>n.a.</x:v>
      </x:c>
      <x:c r="F31" s="3" t="n">
        <x:f>$C$10</x:f>
        <x:v>36.25</x:v>
      </x:c>
      <x:c r="G31" s="3"/>
    </x:row>
    <x:row r="32" ht="20" customHeight="1">
      <x:c r="A32" s="1"/>
      <x:c r="B32" s="1" t="str">
        <x:v>Delivery revenue change, YoY ($m)</x:v>
      </x:c>
      <x:c r="C32" s="3" t="str">
        <x:f>IF(ISNUMBER(C31),C25-C31,"n.a.")</x:f>
        <x:v>n.a.</x:v>
      </x:c>
      <x:c r="D32" s="3" t="str">
        <x:f>IF(ISNUMBER(D31),D25-D31,"n.a.")</x:f>
        <x:v>n.a.</x:v>
      </x:c>
      <x:c r="E32" s="3" t="str">
        <x:f>IF(ISNUMBER(E31),E25-E31,"n.a.")</x:f>
        <x:v>n.a.</x:v>
      </x:c>
      <x:c r="F32" s="3" t="n">
        <x:f>IF(ISNUMBER(F31),F25-F31,"n.a.")</x:f>
        <x:v>10.5</x:v>
      </x:c>
      <x:c r="G32" s="3"/>
    </x:row>
    <x:row r="33" ht="20" customHeight="1">
      <x:c r="A33" s="1"/>
      <x:c r="B33" s="1"/>
      <x:c r="C33" s="3"/>
      <x:c r="D33" s="3"/>
      <x:c r="E33" s="3"/>
      <x:c r="F33" s="3"/>
      <x:c r="G33" s="3"/>
    </x:row>
    <x:row r="34" ht="20" customHeight="1">
      <x:c r="A34" s="1"/>
      <x:c r="B34" s="1"/>
      <x:c r="C34" s="3"/>
      <x:c r="D34" s="3"/>
      <x:c r="E34" s="3"/>
      <x:c r="F34" s="3"/>
      <x:c r="G34" s="3"/>
    </x:row>
    <x:row r="35" ht="20" customHeight="1">
      <x:c r="A35" s="1"/>
      <x:c r="B35" s="1" t="str">
        <x:v>H1 delivery revenue ($m)</x:v>
      </x:c>
      <x:c r="C35" s="3" t="n">
        <x:f>SUM(C25:D25)</x:f>
        <x:v>78.5</x:v>
      </x:c>
      <x:c r="D35" s="3"/>
      <x:c r="E35" s="3"/>
      <x:c r="F35" s="3"/>
      <x:c r="G35" s="3"/>
    </x:row>
    <x:row r="36" ht="20" customHeight="1">
      <x:c r="A36" s="1"/>
      <x:c r="B36" s="1"/>
      <x:c r="C36" s="3"/>
      <x:c r="D36" s="3"/>
      <x:c r="E36" s="3"/>
      <x:c r="F36" s="3"/>
      <x:c r="G36" s="3"/>
    </x:row>
    <x:row r="37" ht="32" customHeight="1">
      <x:c r="A37" s="1"/>
      <x:c r="B37" s="6" t="str">
        <x:v>Adoption begins at the calibrated Q4 average as an assumed opening proxy; actual quarter-end adoption is unknown.</x:v>
      </x:c>
      <x:c r="C37" s="13"/>
      <x:c r="D37" s="13"/>
      <x:c r="E37" s="13"/>
      <x:c r="F37" s="13"/>
      <x:c r="G37" s="13"/>
    </x:row>
    <x:row r="38" ht="20" customHeight="1">
      <x:c r="A38" s="1"/>
      <x:c r="B38" s="1"/>
      <x:c r="C38" s="3"/>
      <x:c r="D38" s="3"/>
      <x:c r="E38" s="3"/>
      <x:c r="F38" s="3"/>
      <x:c r="G38" s="3"/>
    </x:row>
    <x:row r="39" ht="32" customHeight="1">
      <x:c r="A39" s="1"/>
      <x:c r="B39" s="6" t="str">
        <x:v>The Q3 cost disclosure constrains YoY growth only. It does not identify Q3 absolute revenue or H1 prior-year revenue.</x:v>
      </x:c>
      <x:c r="C39" s="13"/>
      <x:c r="D39" s="13"/>
      <x:c r="E39" s="13"/>
      <x:c r="F39" s="13"/>
      <x:c r="G39" s="13"/>
    </x:row>
    <x:row r="40" ht="20" customHeight="1">
      <x:c r="A40" s="1"/>
      <x:c r="B40" s="1"/>
      <x:c r="C40" s="3"/>
      <x:c r="D40" s="3"/>
      <x:c r="E40" s="3"/>
      <x:c r="F40" s="3"/>
      <x:c r="G40" s="3"/>
    </x:row>
    <x:row r="41" ht="32" customHeight="1">
      <x:c r="A41" s="1"/>
      <x:c r="B41" s="6" t="str">
        <x:v>Integrate by replacing the existing delivery allowance, not adding this schedule on top. Other service revenue remains separate.</x:v>
      </x:c>
      <x:c r="C41" s="13"/>
      <x:c r="D41" s="13"/>
      <x:c r="E41" s="13"/>
      <x:c r="F41" s="13"/>
      <x:c r="G41" s="13"/>
    </x:row>
    <x:row r="42" ht="20" customHeight="1">
      <x:c r="A42" s="1"/>
      <x:c r="B42" s="1"/>
      <x:c r="C42" s="3"/>
      <x:c r="D42" s="3"/>
      <x:c r="E42" s="3"/>
      <x:c r="F42" s="3"/>
      <x:c r="G42" s="3"/>
    </x:row>
    <x:row r="43" ht="32" customHeight="1">
      <x:c r="A43" s="1"/>
      <x:c r="B43" s="6" t="str">
        <x:v>Do not recalibrate the starting base when changing forward adoption. Missing YoY history stays unavailable.</x:v>
      </x:c>
      <x:c r="C43" s="13"/>
      <x:c r="D43" s="13"/>
      <x:c r="E43" s="13"/>
      <x:c r="F43" s="13"/>
      <x:c r="G43" s="13"/>
    </x:row>
    <x:row r="44" ht="20" customHeight="1">
      <x:c r="A44" s="1"/>
      <x:c r="B44" s="1"/>
      <x:c r="C44" s="3"/>
      <x:c r="D44" s="3"/>
      <x:c r="E44" s="3"/>
      <x:c r="F44" s="3"/>
      <x:c r="G44" s="3"/>
    </x:row>
    <x:row r="45" ht="20" customHeight="1">
      <x:c r="A45" s="1"/>
      <x:c r="B45" s="1"/>
      <x:c r="C45" s="3"/>
      <x:c r="D45" s="3"/>
      <x:c r="E45" s="3"/>
      <x:c r="F45" s="3"/>
      <x:c r="G45" s="3"/>
    </x:row>
    <x:row r="46" ht="20" customHeight="1">
      <x:c r="A46" s="1"/>
      <x:c r="B46" s="1"/>
      <x:c r="C46" s="3"/>
      <x:c r="D46" s="3"/>
      <x:c r="E46" s="3"/>
      <x:c r="F46" s="3"/>
      <x:c r="G46" s="3"/>
    </x:row>
    <x:row r="47" ht="20" customHeight="1">
      <x:c r="A47" s="1"/>
      <x:c r="B47" s="1"/>
      <x:c r="C47" s="3"/>
      <x:c r="D47" s="3"/>
      <x:c r="E47" s="3"/>
      <x:c r="F47" s="3"/>
      <x:c r="G47" s="3"/>
    </x:row>
    <x:row r="48" ht="20" customHeight="1">
      <x:c r="A48" s="1"/>
      <x:c r="B48" s="1"/>
      <x:c r="C48" s="3"/>
      <x:c r="D48" s="3"/>
      <x:c r="E48" s="3"/>
      <x:c r="F48" s="3"/>
      <x:c r="G48" s="3"/>
    </x:row>
  </x:sheetData>
  <x:mergeCells>
    <x:mergeCell ref="B3:G3"/>
    <x:mergeCell ref="B37:G37"/>
    <x:mergeCell ref="B39:G39"/>
    <x:mergeCell ref="B41:G41"/>
    <x:mergeCell ref="B43:G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4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</x:row>
    <x:row r="2" ht="25" customHeight="1">
      <x:c r="A2" s="1"/>
      <x:c r="B2" s="5" t="str">
        <x:v>Delivery assumptions and source observations</x:v>
      </x:c>
      <x:c r="C2" s="5"/>
      <x:c r="D2" s="5"/>
      <x:c r="E2" s="5"/>
      <x:c r="F2" s="5"/>
      <x:c r="G2" s="5"/>
    </x:row>
    <x:row r="3" ht="20" customHeight="1">
      <x:c r="A3" s="1"/>
      <x:c r="B3" s="1"/>
      <x:c r="C3" s="1"/>
      <x:c r="D3" s="1"/>
      <x:c r="E3" s="1"/>
      <x:c r="F3" s="1"/>
      <x:c r="G3" s="1"/>
    </x:row>
    <x:row r="4" ht="20" customHeight="1">
      <x:c r="A4" s="1"/>
      <x:c r="B4" s="1"/>
      <x:c r="C4" s="1"/>
      <x:c r="D4" s="1"/>
      <x:c r="E4" s="1"/>
      <x:c r="F4" s="1"/>
      <x:c r="G4" s="1"/>
    </x:row>
    <x:row r="5" ht="20" customHeight="1">
      <x:c r="A5" s="1"/>
      <x:c r="B5" s="1" t="str">
        <x:v>Active case: 1 continuation / 2 slower / 3 flat</x:v>
      </x:c>
      <x:c r="C5" s="12" t="n">
        <x:v>1</x:v>
      </x:c>
      <x:c r="D5" s="3"/>
      <x:c r="E5" s="3"/>
      <x:c r="F5" s="3"/>
      <x:c r="G5" s="3"/>
    </x:row>
    <x:row r="6" ht="20" customHeight="1">
      <x:c r="A6" s="1"/>
      <x:c r="B6" s="1"/>
      <x:c r="C6" s="3"/>
      <x:c r="D6" s="3"/>
      <x:c r="E6" s="3"/>
      <x:c r="F6" s="3"/>
      <x:c r="G6" s="3"/>
    </x:row>
    <x:row r="7" ht="20" customHeight="1">
      <x:c r="A7" s="1"/>
      <x:c r="B7" s="1" t="str">
        <x:v>FY26Q3 delivery cost increase, YoY ($m)</x:v>
      </x:c>
      <x:c r="C7" s="10" t="n">
        <x:v>15</x:v>
      </x:c>
      <x:c r="D7" s="3"/>
      <x:c r="E7" s="3"/>
      <x:c r="F7" s="3"/>
      <x:c r="G7" s="3"/>
    </x:row>
    <x:row r="8" ht="20" customHeight="1">
      <x:c r="A8" s="1"/>
      <x:c r="B8" s="1" t="str">
        <x:v>FY26Q4 delivery cost increase, YoY ($m)</x:v>
      </x:c>
      <x:c r="C8" s="10" t="n">
        <x:v>17</x:v>
      </x:c>
      <x:c r="D8" s="3"/>
      <x:c r="E8" s="3"/>
      <x:c r="F8" s="3"/>
      <x:c r="G8" s="3"/>
    </x:row>
    <x:row r="9" ht="20" customHeight="1">
      <x:c r="A9" s="1"/>
      <x:c r="B9" s="1"/>
      <x:c r="C9" s="3"/>
      <x:c r="D9" s="3"/>
      <x:c r="E9" s="3"/>
      <x:c r="F9" s="3"/>
      <x:c r="G9" s="3"/>
    </x:row>
    <x:row r="10" ht="20" customHeight="1">
      <x:c r="A10" s="1"/>
      <x:c r="B10" s="1" t="str">
        <x:v>Cost increase attributable to completed jobs</x:v>
      </x:c>
      <x:c r="C10" s="11" t="n">
        <x:v>1</x:v>
      </x:c>
      <x:c r="D10" s="3"/>
      <x:c r="E10" s="3"/>
      <x:c r="F10" s="3"/>
      <x:c r="G10" s="3"/>
    </x:row>
    <x:row r="11" ht="20" customHeight="1">
      <x:c r="A11" s="1"/>
      <x:c r="B11" s="1" t="str">
        <x:v>Constant delivery gross margin — assumed</x:v>
      </x:c>
      <x:c r="C11" s="11" t="n">
        <x:v>0.2</x:v>
      </x:c>
      <x:c r="D11" s="3"/>
      <x:c r="E11" s="3"/>
      <x:c r="F11" s="3"/>
      <x:c r="G11" s="3"/>
    </x:row>
    <x:row r="12" ht="20" customHeight="1">
      <x:c r="A12" s="1"/>
      <x:c r="B12" s="1" t="str">
        <x:v>FY25Q4 delivery jobs — illustrative base</x:v>
      </x:c>
      <x:c r="C12" s="8" t="n">
        <x:v>50000</x:v>
      </x:c>
      <x:c r="D12" s="3"/>
      <x:c r="E12" s="3"/>
      <x:c r="F12" s="3"/>
      <x:c r="G12" s="3"/>
    </x:row>
    <x:row r="13" ht="20" customHeight="1">
      <x:c r="A13" s="1"/>
      <x:c r="B13" s="1" t="str">
        <x:v>Revenue per completed delivery ($) — assumed</x:v>
      </x:c>
      <x:c r="C13" s="8" t="n">
        <x:v>300</x:v>
      </x:c>
      <x:c r="D13" s="3"/>
      <x:c r="E13" s="3"/>
      <x:c r="F13" s="3"/>
      <x:c r="G13" s="3"/>
    </x:row>
    <x:row r="14" ht="20" customHeight="1">
      <x:c r="A14" s="1"/>
      <x:c r="B14" s="1" t="str">
        <x:v>Eligible quarterly transactions — assumed</x:v>
      </x:c>
      <x:c r="C14" s="8" t="n">
        <x:v>1000000</x:v>
      </x:c>
      <x:c r="D14" s="3"/>
      <x:c r="E14" s="3"/>
      <x:c r="F14" s="3"/>
      <x:c r="G14" s="3"/>
    </x:row>
    <x:row r="15" ht="20" customHeight="1">
      <x:c r="A15" s="1"/>
      <x:c r="B15" s="1"/>
      <x:c r="C15" s="3"/>
      <x:c r="D15" s="3"/>
      <x:c r="E15" s="3"/>
      <x:c r="F15" s="3"/>
      <x:c r="G15" s="3"/>
    </x:row>
    <x:row r="16" ht="20" customHeight="1">
      <x:c r="A16" s="1"/>
      <x:c r="B16" s="1" t="str">
        <x:v>Continuation: adoption increase per quarter</x:v>
      </x:c>
      <x:c r="C16" s="11" t="n">
        <x:v>0.01</x:v>
      </x:c>
      <x:c r="D16" s="3"/>
      <x:c r="E16" s="3"/>
      <x:c r="F16" s="3"/>
      <x:c r="G16" s="3"/>
    </x:row>
    <x:row r="17" ht="20" customHeight="1">
      <x:c r="A17" s="1"/>
      <x:c r="B17" s="1" t="str">
        <x:v>Slower: adoption increase per quarter</x:v>
      </x:c>
      <x:c r="C17" s="11" t="n">
        <x:v>0.0025</x:v>
      </x:c>
      <x:c r="D17" s="3"/>
      <x:c r="E17" s="3"/>
      <x:c r="F17" s="3"/>
      <x:c r="G17" s="3"/>
    </x:row>
    <x:row r="18" ht="20" customHeight="1">
      <x:c r="A18" s="1"/>
      <x:c r="B18" s="1" t="str">
        <x:v>Flat: adoption increase per quarter</x:v>
      </x:c>
      <x:c r="C18" s="11" t="n">
        <x:v>0</x:v>
      </x:c>
      <x:c r="D18" s="3"/>
      <x:c r="E18" s="3"/>
      <x:c r="F18" s="3"/>
      <x:c r="G18" s="3"/>
    </x:row>
    <x:row r="19" ht="20" customHeight="1">
      <x:c r="A19" s="1"/>
      <x:c r="B19" s="1"/>
      <x:c r="C19" s="3"/>
      <x:c r="D19" s="3"/>
      <x:c r="E19" s="3"/>
      <x:c r="F19" s="3"/>
      <x:c r="G19" s="3"/>
    </x:row>
    <x:row r="20" ht="20" customHeight="1">
      <x:c r="A20" s="1"/>
      <x:c r="B20" s="1" t="str">
        <x:v>Eligible transactions, sequential growth</x:v>
      </x:c>
      <x:c r="C20" s="11" t="n">
        <x:v>0</x:v>
      </x:c>
      <x:c r="D20" s="3"/>
      <x:c r="E20" s="3"/>
      <x:c r="F20" s="3"/>
      <x:c r="G20" s="3"/>
    </x:row>
    <x:row r="21" ht="20" customHeight="1">
      <x:c r="A21" s="1"/>
      <x:c r="B21" s="1" t="str">
        <x:v>Revenue per delivery, sequential growth</x:v>
      </x:c>
      <x:c r="C21" s="11" t="n">
        <x:v>0</x:v>
      </x:c>
      <x:c r="D21" s="3"/>
      <x:c r="E21" s="3"/>
      <x:c r="F21" s="3"/>
      <x:c r="G21" s="3"/>
    </x:row>
    <x:row r="22" ht="20" customHeight="1">
      <x:c r="A22" s="1"/>
      <x:c r="B22" s="1"/>
      <x:c r="C22" s="3"/>
      <x:c r="D22" s="3"/>
      <x:c r="E22" s="3"/>
      <x:c r="F22" s="3"/>
      <x:c r="G22" s="3"/>
    </x:row>
    <x:row r="23" ht="20" customHeight="1">
      <x:c r="A23" s="1"/>
      <x:c r="B23" s="1" t="str">
        <x:v>FY26Q1 delivery revenue ($m) — unavailable</x:v>
      </x:c>
      <x:c r="C23" s="8" t="str">
        <x:v>n.a.</x:v>
      </x:c>
      <x:c r="D23" s="3"/>
      <x:c r="E23" s="3"/>
      <x:c r="F23" s="3"/>
      <x:c r="G23" s="3"/>
    </x:row>
    <x:row r="24" ht="20" customHeight="1">
      <x:c r="A24" s="1"/>
      <x:c r="B24" s="1" t="str">
        <x:v>FY26Q2 delivery revenue ($m) — unavailable</x:v>
      </x:c>
      <x:c r="C24" s="8" t="str">
        <x:v>n.a.</x:v>
      </x:c>
      <x:c r="D24" s="3"/>
      <x:c r="E24" s="3"/>
      <x:c r="F24" s="3"/>
      <x:c r="G24" s="3"/>
    </x:row>
    <x:row r="25" ht="20" customHeight="1">
      <x:c r="A25" s="1"/>
      <x:c r="B25" s="1"/>
      <x:c r="C25" s="3"/>
      <x:c r="D25" s="3"/>
      <x:c r="E25" s="3"/>
      <x:c r="F25" s="3"/>
      <x:c r="G25" s="3"/>
    </x:row>
    <x:row r="26" ht="20" customHeight="1">
      <x:c r="A26" s="1"/>
      <x:c r="B26" s="1"/>
      <x:c r="C26" s="3"/>
      <x:c r="D26" s="3"/>
      <x:c r="E26" s="3"/>
      <x:c r="F26" s="3"/>
      <x:c r="G26" s="3"/>
    </x:row>
    <x:row r="27" ht="32" customHeight="1">
      <x:c r="A27" s="1"/>
      <x:c r="B27" s="6" t="str">
        <x:v>Only C7:C8 are reported cost increases. Other numeric inputs are illustrative assumptions, not measured adoption, prices or volumes.</x:v>
      </x:c>
      <x:c r="C27" s="13"/>
      <x:c r="D27" s="13"/>
      <x:c r="E27" s="13"/>
      <x:c r="F27" s="13"/>
      <x:c r="G27" s="13"/>
    </x:row>
    <x:row r="28" ht="20" customHeight="1">
      <x:c r="A28" s="1"/>
      <x:c r="B28" s="1"/>
      <x:c r="C28" s="3"/>
      <x:c r="D28" s="3"/>
      <x:c r="E28" s="3"/>
      <x:c r="F28" s="3"/>
      <x:c r="G28" s="3"/>
    </x:row>
    <x:row r="29" ht="32" customHeight="1">
      <x:c r="A29" s="1"/>
      <x:c r="B29" s="6" t="str">
        <x:v>Source: call_2026-05-21.txt lines 471–477 ($15m); call_2026-09-10.txt lines 522–528 ($17m), existing repository transcripts.</x:v>
      </x:c>
      <x:c r="C29" s="13"/>
      <x:c r="D29" s="13"/>
      <x:c r="E29" s="13"/>
      <x:c r="F29" s="13"/>
      <x:c r="G29" s="13"/>
    </x:row>
    <x:row r="30" ht="20" customHeight="1">
      <x:c r="A30" s="1"/>
      <x:c r="B30" s="1"/>
      <x:c r="C30" s="3"/>
      <x:c r="D30" s="3"/>
      <x:c r="E30" s="3"/>
      <x:c r="F30" s="3"/>
      <x:c r="G30" s="3"/>
    </x:row>
    <x:row r="31" ht="32" customHeight="1">
      <x:c r="A31" s="1"/>
      <x:c r="B31" s="6" t="str">
        <x:v>Cost-to-revenue conversion requires stable margins and costs matched to incremental completed jobs. Positive product margin alone is insufficient.</x:v>
      </x:c>
      <x:c r="C31" s="13"/>
      <x:c r="D31" s="13"/>
      <x:c r="E31" s="13"/>
      <x:c r="F31" s="13"/>
      <x:c r="G31" s="13"/>
    </x:row>
    <x:row r="32" ht="20" customHeight="1">
      <x:c r="A32" s="1"/>
      <x:c r="B32" s="1"/>
      <x:c r="C32" s="3"/>
      <x:c r="D32" s="3"/>
      <x:c r="E32" s="3"/>
      <x:c r="F32" s="3"/>
      <x:c r="G32" s="3"/>
    </x:row>
    <x:row r="33" ht="32" customHeight="1">
      <x:c r="A33" s="1"/>
      <x:c r="B33" s="6" t="str">
        <x:v>Eligible transactions mean the potential delivery customer pool, not insurance-only units. Default one million is a scaling assumption.</x:v>
      </x:c>
      <x:c r="C33" s="13"/>
      <x:c r="D33" s="13"/>
      <x:c r="E33" s="13"/>
      <x:c r="F33" s="13"/>
      <x:c r="G33" s="13"/>
    </x:row>
    <x:row r="34" ht="20" customHeight="1">
      <x:c r="A34" s="1"/>
      <x:c r="B34" s="1"/>
      <x:c r="C34" s="3"/>
      <x:c r="D34" s="3"/>
      <x:c r="E34" s="3"/>
      <x:c r="F34" s="3"/>
      <x:c r="G34" s="3"/>
    </x:row>
    <x:row r="35" ht="32" customHeight="1">
      <x:c r="A35" s="1"/>
      <x:c r="B35" s="6" t="str">
        <x:v>Gross revenue and same-quarter recognition are working conventions requiring contract/accounting confirmation. No ACV revenue included.</x:v>
      </x:c>
      <x:c r="C35" s="13"/>
      <x:c r="D35" s="13"/>
      <x:c r="E35" s="13"/>
      <x:c r="F35" s="13"/>
      <x:c r="G35" s="13"/>
    </x:row>
    <x:row r="36" ht="20" customHeight="1">
      <x:c r="A36" s="1"/>
      <x:c r="B36" s="1"/>
      <x:c r="C36" s="3"/>
      <x:c r="D36" s="3"/>
      <x:c r="E36" s="3"/>
      <x:c r="F36" s="3"/>
      <x:c r="G36" s="3"/>
    </x:row>
    <x:row r="37" ht="32" customHeight="1">
      <x:c r="A37" s="1"/>
      <x:c r="B37" s="6" t="str">
        <x:v>Holding job price and eligible transactions constant isolates adoption. The cases are not evidence that adoption will slow.</x:v>
      </x:c>
      <x:c r="C37" s="13"/>
      <x:c r="D37" s="13"/>
      <x:c r="E37" s="13"/>
      <x:c r="F37" s="13"/>
      <x:c r="G37" s="13"/>
    </x:row>
    <x:row r="38" ht="20" customHeight="1">
      <x:c r="A38" s="1"/>
      <x:c r="B38" s="1"/>
      <x:c r="C38" s="3"/>
      <x:c r="D38" s="3"/>
      <x:c r="E38" s="3"/>
      <x:c r="F38" s="3"/>
      <x:c r="G38" s="3"/>
    </x:row>
    <x:row r="39" ht="20" customHeight="1">
      <x:c r="A39" s="1"/>
      <x:c r="B39" s="1"/>
      <x:c r="C39" s="3"/>
      <x:c r="D39" s="3"/>
      <x:c r="E39" s="3"/>
      <x:c r="F39" s="3"/>
      <x:c r="G39" s="3"/>
    </x:row>
    <x:row r="40" ht="20" customHeight="1">
      <x:c r="A40" s="1"/>
      <x:c r="B40" s="1"/>
      <x:c r="C40" s="3"/>
      <x:c r="D40" s="3"/>
      <x:c r="E40" s="3"/>
      <x:c r="F40" s="3"/>
      <x:c r="G40" s="3"/>
    </x:row>
    <x:row r="41" ht="20" customHeight="1">
      <x:c r="A41" s="1"/>
      <x:c r="B41" s="1"/>
      <x:c r="C41" s="3"/>
      <x:c r="D41" s="3"/>
      <x:c r="E41" s="3"/>
      <x:c r="F41" s="3"/>
      <x:c r="G41" s="3"/>
    </x:row>
    <x:row r="42" ht="20" customHeight="1">
      <x:c r="A42" s="1"/>
      <x:c r="B42" s="1"/>
      <x:c r="C42" s="3"/>
      <x:c r="D42" s="3"/>
      <x:c r="E42" s="3"/>
      <x:c r="F42" s="3"/>
      <x:c r="G42" s="3"/>
    </x:row>
    <x:row r="43" ht="20" customHeight="1">
      <x:c r="A43" s="1"/>
      <x:c r="B43" s="1"/>
      <x:c r="C43" s="3"/>
      <x:c r="D43" s="3"/>
      <x:c r="E43" s="3"/>
      <x:c r="F43" s="3"/>
      <x:c r="G43" s="3"/>
    </x:row>
    <x:row r="44" ht="20" customHeight="1">
      <x:c r="A44" s="1"/>
      <x:c r="B44" s="1"/>
      <x:c r="C44" s="3"/>
      <x:c r="D44" s="3"/>
      <x:c r="E44" s="3"/>
      <x:c r="F44" s="3"/>
      <x:c r="G44" s="3"/>
    </x:row>
    <x:row r="45" ht="20" customHeight="1">
      <x:c r="A45" s="1"/>
      <x:c r="B45" s="1"/>
      <x:c r="C45" s="3"/>
      <x:c r="D45" s="3"/>
      <x:c r="E45" s="3"/>
      <x:c r="F45" s="3"/>
      <x:c r="G45" s="3"/>
    </x:row>
    <x:row r="46" ht="20" customHeight="1">
      <x:c r="A46" s="1"/>
      <x:c r="B46" s="1"/>
      <x:c r="C46" s="3"/>
      <x:c r="D46" s="3"/>
      <x:c r="E46" s="3"/>
      <x:c r="F46" s="3"/>
      <x:c r="G46" s="3"/>
    </x:row>
    <x:row r="47" ht="20" customHeight="1">
      <x:c r="A47" s="1"/>
      <x:c r="B47" s="1"/>
      <x:c r="C47" s="3"/>
      <x:c r="D47" s="3"/>
      <x:c r="E47" s="3"/>
      <x:c r="F47" s="3"/>
      <x:c r="G47" s="3"/>
    </x:row>
    <x:row r="48" ht="20" customHeight="1">
      <x:c r="A48" s="1"/>
      <x:c r="B48" s="1"/>
      <x:c r="C48" s="3"/>
      <x:c r="D48" s="3"/>
      <x:c r="E48" s="3"/>
      <x:c r="F48" s="3"/>
      <x:c r="G48" s="3"/>
    </x:row>
  </x:sheetData>
  <x:mergeCells>
    <x:mergeCell ref="B27:G27"/>
    <x:mergeCell ref="B29:G29"/>
    <x:mergeCell ref="B31:G31"/>
    <x:mergeCell ref="B33:G33"/>
    <x:mergeCell ref="B35:G35"/>
    <x:mergeCell ref="B37:G37"/>
  </x:mergeCells>
  <x:dataValidations count="1">
    <x:dataValidation type="list" sqref="C5">
      <x:formula1>"1,2,3"</x:formula1>
    </x:dataValidation>
  </x:dataValidations>
  <x:pageMargins left="0.7" right="0.7" top="0.75" bottom="0.75" header="0.3" footer="0.3"/>
</x:worksheet>
</file>